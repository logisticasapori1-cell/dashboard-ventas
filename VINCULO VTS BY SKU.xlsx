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C3BEF28A-B576-44BD-80EA-7C508B9A49E2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C5" i="2"/>
  <c r="A3" i="2"/>
  <c r="C5" i="1"/>
  <c r="C2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F5" i="2" l="1"/>
  <c r="E5" i="2"/>
  <c r="A5" i="2"/>
  <c r="G3" i="2"/>
  <c r="F3" i="2"/>
  <c r="C3" i="2"/>
  <c r="D3" i="2" s="1"/>
  <c r="D43" i="1" l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42" i="1"/>
</calcChain>
</file>

<file path=xl/sharedStrings.xml><?xml version="1.0" encoding="utf-8"?>
<sst xmlns="http://schemas.openxmlformats.org/spreadsheetml/2006/main" count="62" uniqueCount="62">
  <si>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</si>
  <si>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</si>
  <si>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</si>
  <si>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</si>
  <si>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</si>
  <si>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</si>
  <si>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</si>
  <si>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</si>
  <si>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</si>
  <si>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</si>
  <si>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</si>
  <si>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</si>
  <si>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</si>
  <si>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</si>
  <si>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</si>
  <si>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</si>
  <si>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</si>
  <si>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</si>
  <si>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</si>
  <si>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</si>
  <si>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</si>
  <si>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</si>
  <si>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</si>
  <si>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</si>
  <si>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</si>
  <si>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</si>
  <si>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</si>
  <si>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</si>
  <si>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</si>
  <si>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</si>
  <si>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</si>
  <si>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</si>
  <si>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</si>
  <si>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</si>
  <si>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</si>
  <si>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</si>
  <si>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</si>
  <si>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</si>
  <si>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</si>
  <si>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</si>
  <si>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</si>
  <si>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</si>
  <si>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</si>
  <si>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</si>
  <si>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</si>
  <si>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</si>
  <si>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</si>
  <si>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</si>
  <si>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</si>
  <si>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</si>
  <si>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UNITS RETURN</t>
  </si>
  <si>
    <t>DASHBOARD</t>
  </si>
  <si>
    <t>TOTAL UNITS SALES GROSS</t>
  </si>
  <si>
    <t>TOTAL UNITS SALES NET</t>
  </si>
  <si>
    <t>PROMD VTA DIA</t>
  </si>
  <si>
    <t>PROMD VTA MES</t>
  </si>
  <si>
    <t>DIF UNITS</t>
  </si>
  <si>
    <t>INICIO DE VENTA</t>
  </si>
  <si>
    <t>TRANSC. VENTA</t>
  </si>
  <si>
    <t>FINAL DE VENTA</t>
  </si>
  <si>
    <t>DIAS VENTA EFECT.</t>
  </si>
  <si>
    <t>DIAS VENTA RESTA.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</si>
</sst>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8" fillId="4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INDICADORES%20LOGISTICA%20A.xlsx" TargetMode="External"/><Relationship Id="rId1" Type="http://schemas.openxmlformats.org/officeDocument/2006/relationships/externalLinkPath" Target="file:///R:\OPERACIONES\INDICADOR%20DE%20DESPACHO\JULIO%202026\INDICADORES%20LOGISTICA%20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</sheetNames>
    <sheetDataSet>
      <sheetData sheetId="0"/>
      <sheetData sheetId="1"/>
      <sheetData sheetId="2">
        <row r="4">
          <cell r="C4">
            <v>19244</v>
          </cell>
          <cell r="D4">
            <v>1132</v>
          </cell>
        </row>
        <row r="5">
          <cell r="C5">
            <v>1282</v>
          </cell>
          <cell r="D5">
            <v>75.411764705882348</v>
          </cell>
        </row>
        <row r="6">
          <cell r="C6">
            <v>9264</v>
          </cell>
          <cell r="D6">
            <v>544.94117647058829</v>
          </cell>
        </row>
        <row r="7">
          <cell r="C7">
            <v>1661</v>
          </cell>
          <cell r="D7">
            <v>97.705882352941174</v>
          </cell>
        </row>
        <row r="8">
          <cell r="C8">
            <v>289</v>
          </cell>
          <cell r="D8">
            <v>17</v>
          </cell>
        </row>
        <row r="9">
          <cell r="C9">
            <v>21428</v>
          </cell>
          <cell r="D9">
            <v>1260.4705882352941</v>
          </cell>
        </row>
        <row r="10">
          <cell r="C10">
            <v>2017</v>
          </cell>
          <cell r="D10">
            <v>118.64705882352941</v>
          </cell>
        </row>
        <row r="11">
          <cell r="C11">
            <v>4806</v>
          </cell>
          <cell r="D11">
            <v>282.70588235294116</v>
          </cell>
        </row>
        <row r="12">
          <cell r="C12">
            <v>10925</v>
          </cell>
          <cell r="D12">
            <v>642.64705882352939</v>
          </cell>
        </row>
        <row r="13">
          <cell r="C13">
            <v>6325</v>
          </cell>
          <cell r="D13">
            <v>372.05882352941177</v>
          </cell>
        </row>
        <row r="14">
          <cell r="C14">
            <v>54660</v>
          </cell>
          <cell r="D14">
            <v>3215.294117647059</v>
          </cell>
        </row>
        <row r="15">
          <cell r="C15">
            <v>36825</v>
          </cell>
          <cell r="D15">
            <v>2166.1764705882351</v>
          </cell>
        </row>
        <row r="16">
          <cell r="C16">
            <v>36606</v>
          </cell>
          <cell r="D16">
            <v>2153.294117647059</v>
          </cell>
        </row>
        <row r="17">
          <cell r="C17">
            <v>40543</v>
          </cell>
          <cell r="D17">
            <v>2384.8823529411766</v>
          </cell>
        </row>
        <row r="18">
          <cell r="C18">
            <v>2281</v>
          </cell>
          <cell r="D18">
            <v>134.1764705882353</v>
          </cell>
        </row>
        <row r="19">
          <cell r="C19">
            <v>3613</v>
          </cell>
          <cell r="D19">
            <v>212.52941176470588</v>
          </cell>
        </row>
        <row r="20">
          <cell r="C20">
            <v>2646</v>
          </cell>
          <cell r="D20">
            <v>155.64705882352942</v>
          </cell>
        </row>
        <row r="21">
          <cell r="C21">
            <v>8211</v>
          </cell>
          <cell r="D21">
            <v>483</v>
          </cell>
        </row>
        <row r="22">
          <cell r="C22">
            <v>13716</v>
          </cell>
          <cell r="D22">
            <v>806.82352941176475</v>
          </cell>
        </row>
        <row r="23">
          <cell r="C23">
            <v>110</v>
          </cell>
          <cell r="D23">
            <v>6.4705882352941178</v>
          </cell>
        </row>
        <row r="24">
          <cell r="C24">
            <v>890</v>
          </cell>
          <cell r="D24">
            <v>52.352941176470587</v>
          </cell>
        </row>
        <row r="25">
          <cell r="C25">
            <v>11866</v>
          </cell>
          <cell r="D25">
            <v>698</v>
          </cell>
        </row>
        <row r="26">
          <cell r="C26">
            <v>18440</v>
          </cell>
          <cell r="D26">
            <v>1084.7058823529412</v>
          </cell>
        </row>
        <row r="27">
          <cell r="C27">
            <v>8047</v>
          </cell>
          <cell r="D27">
            <v>473.35294117647061</v>
          </cell>
        </row>
        <row r="28">
          <cell r="C28">
            <v>6254</v>
          </cell>
          <cell r="D28">
            <v>367.88235294117646</v>
          </cell>
        </row>
        <row r="29">
          <cell r="C29">
            <v>1841</v>
          </cell>
          <cell r="D29">
            <v>108.29411764705883</v>
          </cell>
        </row>
        <row r="30">
          <cell r="C30">
            <v>2009</v>
          </cell>
          <cell r="D30">
            <v>118.17647058823529</v>
          </cell>
        </row>
        <row r="31">
          <cell r="C31">
            <v>13571</v>
          </cell>
          <cell r="D31">
            <v>798.29411764705878</v>
          </cell>
        </row>
        <row r="32">
          <cell r="C32">
            <v>11386</v>
          </cell>
          <cell r="D32">
            <v>669.76470588235293</v>
          </cell>
        </row>
        <row r="33">
          <cell r="C33">
            <v>14188</v>
          </cell>
          <cell r="D33">
            <v>834.58823529411768</v>
          </cell>
        </row>
        <row r="34">
          <cell r="C34">
            <v>9633</v>
          </cell>
          <cell r="D34">
            <v>566.64705882352939</v>
          </cell>
        </row>
        <row r="35">
          <cell r="C35">
            <v>3669</v>
          </cell>
          <cell r="D35">
            <v>215.8235294117647</v>
          </cell>
        </row>
        <row r="36">
          <cell r="C36">
            <v>3171</v>
          </cell>
          <cell r="D36">
            <v>186.52941176470588</v>
          </cell>
        </row>
        <row r="37">
          <cell r="C37">
            <v>5952</v>
          </cell>
          <cell r="D37">
            <v>350.11764705882354</v>
          </cell>
        </row>
        <row r="38">
          <cell r="C38">
            <v>4621</v>
          </cell>
          <cell r="D38">
            <v>271.8235294117647</v>
          </cell>
        </row>
        <row r="39">
          <cell r="C39">
            <v>6813</v>
          </cell>
          <cell r="D39">
            <v>400.76470588235293</v>
          </cell>
        </row>
        <row r="40">
          <cell r="C40">
            <v>4214</v>
          </cell>
          <cell r="D40">
            <v>247.88235294117646</v>
          </cell>
        </row>
        <row r="41">
          <cell r="C41">
            <v>4341</v>
          </cell>
          <cell r="D41">
            <v>255.35294117647058</v>
          </cell>
        </row>
        <row r="42">
          <cell r="C42">
            <v>842</v>
          </cell>
          <cell r="D42">
            <v>49.529411764705884</v>
          </cell>
        </row>
        <row r="43">
          <cell r="C43">
            <v>1370</v>
          </cell>
          <cell r="D43">
            <v>80.588235294117652</v>
          </cell>
        </row>
        <row r="44">
          <cell r="C44">
            <v>602</v>
          </cell>
          <cell r="D44">
            <v>35.411764705882355</v>
          </cell>
        </row>
        <row r="45">
          <cell r="C45">
            <v>720</v>
          </cell>
          <cell r="D45">
            <v>42.352941176470587</v>
          </cell>
        </row>
        <row r="46">
          <cell r="C46">
            <v>10</v>
          </cell>
          <cell r="D46">
            <v>0.58823529411764708</v>
          </cell>
        </row>
        <row r="47">
          <cell r="C47">
            <v>54</v>
          </cell>
          <cell r="D47">
            <v>3.1764705882352939</v>
          </cell>
        </row>
      </sheetData>
      <sheetData sheetId="3">
        <row r="3">
          <cell r="K3">
            <v>410956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NTAS JULIO"/>
      <sheetName val="VENTAS DIARIA POR SKU"/>
      <sheetName val="DESPACHO"/>
      <sheetName val="RELACION DE VIAJES"/>
      <sheetName val="RELACION DE VIAJES SITES "/>
    </sheetNames>
    <sheetDataSet>
      <sheetData sheetId="0">
        <row r="117">
          <cell r="G117">
            <v>415844</v>
          </cell>
        </row>
      </sheetData>
      <sheetData sheetId="1">
        <row r="2">
          <cell r="O2">
            <v>1510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workbookViewId="0">
      <selection activeCell="J28" sqref="J28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19244</v>
      </c>
      <c r="D2" s="12">
        <f ca="1">'[1]VINCULO VTS BY SKU OPEN'!D4</f>
        <v>1132</v>
      </c>
    </row>
    <row r="3" spans="1:4" x14ac:dyDescent="0.25">
      <c r="A3" s="15">
        <v>110151</v>
      </c>
      <c r="B3" s="8" t="s">
        <v>5</v>
      </c>
      <c r="C3" s="13">
        <f>'[1]VINCULO VTS BY SKU OPEN'!C5</f>
        <v>1282</v>
      </c>
      <c r="D3" s="12">
        <f ca="1">'[1]VINCULO VTS BY SKU OPEN'!D5</f>
        <v>75.411764705882348</v>
      </c>
    </row>
    <row r="4" spans="1:4" x14ac:dyDescent="0.25">
      <c r="A4" s="15">
        <v>110230</v>
      </c>
      <c r="B4" s="8" t="s">
        <v>6</v>
      </c>
      <c r="C4" s="13">
        <f>'[1]VINCULO VTS BY SKU OPEN'!C6</f>
        <v>9264</v>
      </c>
      <c r="D4" s="12">
        <f ca="1">'[1]VINCULO VTS BY SKU OPEN'!D6</f>
        <v>544.94117647058829</v>
      </c>
    </row>
    <row r="5" spans="1:4" x14ac:dyDescent="0.25">
      <c r="A5" s="15">
        <v>110400</v>
      </c>
      <c r="B5" s="8" t="s">
        <v>7</v>
      </c>
      <c r="C5" s="13">
        <f>'[1]VINCULO VTS BY SKU OPEN'!C7</f>
        <v>1661</v>
      </c>
      <c r="D5" s="12">
        <f ca="1">'[1]VINCULO VTS BY SKU OPEN'!D7</f>
        <v>97.705882352941174</v>
      </c>
    </row>
    <row r="6" spans="1:4" x14ac:dyDescent="0.25">
      <c r="A6" s="15">
        <v>111000</v>
      </c>
      <c r="B6" s="8" t="s">
        <v>8</v>
      </c>
      <c r="C6" s="13">
        <f>'[1]VINCULO VTS BY SKU OPEN'!C8</f>
        <v>289</v>
      </c>
      <c r="D6" s="12">
        <f ca="1">'[1]VINCULO VTS BY SKU OPEN'!D8</f>
        <v>17</v>
      </c>
    </row>
    <row r="7" spans="1:4" x14ac:dyDescent="0.25">
      <c r="A7" s="15">
        <v>120130</v>
      </c>
      <c r="B7" s="8" t="s">
        <v>9</v>
      </c>
      <c r="C7" s="13">
        <f>'[1]VINCULO VTS BY SKU OPEN'!C9</f>
        <v>21428</v>
      </c>
      <c r="D7" s="12">
        <f ca="1">'[1]VINCULO VTS BY SKU OPEN'!D9</f>
        <v>1260.4705882352941</v>
      </c>
    </row>
    <row r="8" spans="1:4" x14ac:dyDescent="0.25">
      <c r="A8" s="15">
        <v>120131</v>
      </c>
      <c r="B8" s="8" t="s">
        <v>10</v>
      </c>
      <c r="C8" s="13">
        <f>'[1]VINCULO VTS BY SKU OPEN'!C10</f>
        <v>2017</v>
      </c>
      <c r="D8" s="12">
        <f ca="1">'[1]VINCULO VTS BY SKU OPEN'!D10</f>
        <v>118.64705882352941</v>
      </c>
    </row>
    <row r="9" spans="1:4" x14ac:dyDescent="0.25">
      <c r="A9" s="15">
        <v>120132</v>
      </c>
      <c r="B9" s="8" t="s">
        <v>11</v>
      </c>
      <c r="C9" s="13">
        <f>'[1]VINCULO VTS BY SKU OPEN'!C11</f>
        <v>4806</v>
      </c>
      <c r="D9" s="12">
        <f ca="1">'[1]VINCULO VTS BY SKU OPEN'!D11</f>
        <v>282.70588235294116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10925</v>
      </c>
      <c r="D10" s="12">
        <f ca="1">'[1]VINCULO VTS BY SKU OPEN'!D12</f>
        <v>642.64705882352939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6325</v>
      </c>
      <c r="D11" s="12">
        <f ca="1">'[1]VINCULO VTS BY SKU OPEN'!D13</f>
        <v>372.05882352941177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54660</v>
      </c>
      <c r="D12" s="12">
        <f ca="1">'[1]VINCULO VTS BY SKU OPEN'!D14</f>
        <v>3215.294117647059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36825</v>
      </c>
      <c r="D13" s="12">
        <f ca="1">'[1]VINCULO VTS BY SKU OPEN'!D15</f>
        <v>2166.1764705882351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36606</v>
      </c>
      <c r="D14" s="12">
        <f ca="1">'[1]VINCULO VTS BY SKU OPEN'!D16</f>
        <v>2153.294117647059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40543</v>
      </c>
      <c r="D15" s="12">
        <f ca="1">'[1]VINCULO VTS BY SKU OPEN'!D17</f>
        <v>2384.8823529411766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2281</v>
      </c>
      <c r="D16" s="12">
        <f ca="1">'[1]VINCULO VTS BY SKU OPEN'!D18</f>
        <v>134.1764705882353</v>
      </c>
    </row>
    <row r="17" spans="1:4" x14ac:dyDescent="0.25">
      <c r="A17" s="15">
        <v>130700</v>
      </c>
      <c r="B17" s="8" t="s">
        <v>19</v>
      </c>
      <c r="C17" s="13">
        <f>'[1]VINCULO VTS BY SKU OPEN'!C19</f>
        <v>3613</v>
      </c>
      <c r="D17" s="12">
        <f ca="1">'[1]VINCULO VTS BY SKU OPEN'!D19</f>
        <v>212.52941176470588</v>
      </c>
    </row>
    <row r="18" spans="1:4" x14ac:dyDescent="0.25">
      <c r="A18" s="15">
        <v>130701</v>
      </c>
      <c r="B18" s="8" t="s">
        <v>20</v>
      </c>
      <c r="C18" s="13">
        <f>'[1]VINCULO VTS BY SKU OPEN'!C20</f>
        <v>2646</v>
      </c>
      <c r="D18" s="12">
        <f ca="1">'[1]VINCULO VTS BY SKU OPEN'!D20</f>
        <v>155.64705882352942</v>
      </c>
    </row>
    <row r="19" spans="1:4" x14ac:dyDescent="0.25">
      <c r="A19" s="15">
        <v>130702</v>
      </c>
      <c r="B19" s="8" t="s">
        <v>21</v>
      </c>
      <c r="C19" s="13">
        <f>'[1]VINCULO VTS BY SKU OPEN'!C21</f>
        <v>8211</v>
      </c>
      <c r="D19" s="12">
        <f ca="1">'[1]VINCULO VTS BY SKU OPEN'!D21</f>
        <v>483</v>
      </c>
    </row>
    <row r="20" spans="1:4" x14ac:dyDescent="0.25">
      <c r="A20" s="15">
        <v>130703</v>
      </c>
      <c r="B20" s="8" t="s">
        <v>22</v>
      </c>
      <c r="C20" s="13">
        <f>'[1]VINCULO VTS BY SKU OPEN'!C22</f>
        <v>13716</v>
      </c>
      <c r="D20" s="12">
        <f ca="1">'[1]VINCULO VTS BY SKU OPEN'!D22</f>
        <v>806.82352941176475</v>
      </c>
    </row>
    <row r="21" spans="1:4" x14ac:dyDescent="0.25">
      <c r="A21" s="15">
        <v>130704</v>
      </c>
      <c r="B21" s="8" t="s">
        <v>23</v>
      </c>
      <c r="C21" s="13">
        <f>'[1]VINCULO VTS BY SKU OPEN'!C23</f>
        <v>110</v>
      </c>
      <c r="D21" s="12">
        <f ca="1">'[1]VINCULO VTS BY SKU OPEN'!D23</f>
        <v>6.4705882352941178</v>
      </c>
    </row>
    <row r="22" spans="1:4" x14ac:dyDescent="0.25">
      <c r="A22" s="15">
        <v>130707</v>
      </c>
      <c r="B22" s="8" t="s">
        <v>24</v>
      </c>
      <c r="C22" s="13">
        <f>'[1]VINCULO VTS BY SKU OPEN'!C24</f>
        <v>890</v>
      </c>
      <c r="D22" s="12">
        <f ca="1">'[1]VINCULO VTS BY SKU OPEN'!D24</f>
        <v>52.352941176470587</v>
      </c>
    </row>
    <row r="23" spans="1:4" x14ac:dyDescent="0.25">
      <c r="A23" s="15">
        <v>131150</v>
      </c>
      <c r="B23" s="8" t="s">
        <v>25</v>
      </c>
      <c r="C23" s="13">
        <f>'[1]VINCULO VTS BY SKU OPEN'!C25</f>
        <v>11866</v>
      </c>
      <c r="D23" s="12">
        <f ca="1">'[1]VINCULO VTS BY SKU OPEN'!D25</f>
        <v>698</v>
      </c>
    </row>
    <row r="24" spans="1:4" x14ac:dyDescent="0.25">
      <c r="A24" s="15">
        <v>131151</v>
      </c>
      <c r="B24" s="8" t="s">
        <v>26</v>
      </c>
      <c r="C24" s="13">
        <f>'[1]VINCULO VTS BY SKU OPEN'!C26</f>
        <v>18440</v>
      </c>
      <c r="D24" s="12">
        <f ca="1">'[1]VINCULO VTS BY SKU OPEN'!D26</f>
        <v>1084.7058823529412</v>
      </c>
    </row>
    <row r="25" spans="1:4" x14ac:dyDescent="0.25">
      <c r="A25" s="15">
        <v>131152</v>
      </c>
      <c r="B25" s="8" t="s">
        <v>27</v>
      </c>
      <c r="C25" s="13">
        <f>'[1]VINCULO VTS BY SKU OPEN'!C27</f>
        <v>8047</v>
      </c>
      <c r="D25" s="12">
        <f ca="1">'[1]VINCULO VTS BY SKU OPEN'!D27</f>
        <v>473.35294117647061</v>
      </c>
    </row>
    <row r="26" spans="1:4" x14ac:dyDescent="0.25">
      <c r="A26" s="15">
        <v>131153</v>
      </c>
      <c r="B26" s="8" t="s">
        <v>28</v>
      </c>
      <c r="C26" s="13">
        <f>'[1]VINCULO VTS BY SKU OPEN'!C28</f>
        <v>6254</v>
      </c>
      <c r="D26" s="12">
        <f ca="1">'[1]VINCULO VTS BY SKU OPEN'!D28</f>
        <v>367.88235294117646</v>
      </c>
    </row>
    <row r="27" spans="1:4" x14ac:dyDescent="0.25">
      <c r="A27" s="15">
        <v>131700</v>
      </c>
      <c r="B27" s="8" t="s">
        <v>29</v>
      </c>
      <c r="C27" s="13">
        <f>'[1]VINCULO VTS BY SKU OPEN'!C29</f>
        <v>1841</v>
      </c>
      <c r="D27" s="12">
        <f ca="1">'[1]VINCULO VTS BY SKU OPEN'!D29</f>
        <v>108.29411764705883</v>
      </c>
    </row>
    <row r="28" spans="1:4" x14ac:dyDescent="0.25">
      <c r="A28" s="15">
        <v>131701</v>
      </c>
      <c r="B28" s="8" t="s">
        <v>30</v>
      </c>
      <c r="C28" s="13">
        <f>'[1]VINCULO VTS BY SKU OPEN'!C30</f>
        <v>2009</v>
      </c>
      <c r="D28" s="12">
        <f ca="1">'[1]VINCULO VTS BY SKU OPEN'!D30</f>
        <v>118.17647058823529</v>
      </c>
    </row>
    <row r="29" spans="1:4" x14ac:dyDescent="0.25">
      <c r="A29" s="15">
        <v>132150</v>
      </c>
      <c r="B29" s="8" t="s">
        <v>31</v>
      </c>
      <c r="C29" s="13">
        <f>'[1]VINCULO VTS BY SKU OPEN'!C31</f>
        <v>13571</v>
      </c>
      <c r="D29" s="12">
        <f ca="1">'[1]VINCULO VTS BY SKU OPEN'!D31</f>
        <v>798.29411764705878</v>
      </c>
    </row>
    <row r="30" spans="1:4" x14ac:dyDescent="0.25">
      <c r="A30" s="15">
        <v>132151</v>
      </c>
      <c r="B30" s="8" t="s">
        <v>32</v>
      </c>
      <c r="C30" s="13">
        <f>'[1]VINCULO VTS BY SKU OPEN'!C32</f>
        <v>11386</v>
      </c>
      <c r="D30" s="12">
        <f ca="1">'[1]VINCULO VTS BY SKU OPEN'!D32</f>
        <v>669.76470588235293</v>
      </c>
    </row>
    <row r="31" spans="1:4" x14ac:dyDescent="0.25">
      <c r="A31" s="15">
        <v>132152</v>
      </c>
      <c r="B31" s="8" t="s">
        <v>33</v>
      </c>
      <c r="C31" s="13">
        <f>'[1]VINCULO VTS BY SKU OPEN'!C33</f>
        <v>14188</v>
      </c>
      <c r="D31" s="12">
        <f ca="1">'[1]VINCULO VTS BY SKU OPEN'!D33</f>
        <v>834.58823529411768</v>
      </c>
    </row>
    <row r="32" spans="1:4" x14ac:dyDescent="0.25">
      <c r="A32" s="15">
        <v>132153</v>
      </c>
      <c r="B32" s="8" t="s">
        <v>34</v>
      </c>
      <c r="C32" s="13">
        <f>'[1]VINCULO VTS BY SKU OPEN'!C34</f>
        <v>9633</v>
      </c>
      <c r="D32" s="12">
        <f ca="1">'[1]VINCULO VTS BY SKU OPEN'!D34</f>
        <v>566.64705882352939</v>
      </c>
    </row>
    <row r="33" spans="1:4" x14ac:dyDescent="0.25">
      <c r="A33" s="15">
        <v>140230</v>
      </c>
      <c r="B33" s="8" t="s">
        <v>35</v>
      </c>
      <c r="C33" s="13">
        <f>'[1]VINCULO VTS BY SKU OPEN'!C35</f>
        <v>3669</v>
      </c>
      <c r="D33" s="12">
        <f ca="1">'[1]VINCULO VTS BY SKU OPEN'!D35</f>
        <v>215.8235294117647</v>
      </c>
    </row>
    <row r="34" spans="1:4" x14ac:dyDescent="0.25">
      <c r="A34" s="15">
        <v>140231</v>
      </c>
      <c r="B34" s="8" t="s">
        <v>36</v>
      </c>
      <c r="C34" s="13">
        <f>'[1]VINCULO VTS BY SKU OPEN'!C36</f>
        <v>3171</v>
      </c>
      <c r="D34" s="12">
        <f ca="1">'[1]VINCULO VTS BY SKU OPEN'!D36</f>
        <v>186.52941176470588</v>
      </c>
    </row>
    <row r="35" spans="1:4" x14ac:dyDescent="0.25">
      <c r="A35" s="15">
        <v>140232</v>
      </c>
      <c r="B35" s="8" t="s">
        <v>37</v>
      </c>
      <c r="C35" s="13">
        <f>'[1]VINCULO VTS BY SKU OPEN'!C37</f>
        <v>5952</v>
      </c>
      <c r="D35" s="12">
        <f ca="1">'[1]VINCULO VTS BY SKU OPEN'!D37</f>
        <v>350.11764705882354</v>
      </c>
    </row>
    <row r="36" spans="1:4" x14ac:dyDescent="0.25">
      <c r="A36" s="15">
        <v>150360</v>
      </c>
      <c r="B36" s="8" t="s">
        <v>38</v>
      </c>
      <c r="C36" s="13">
        <f>'[1]VINCULO VTS BY SKU OPEN'!C38</f>
        <v>4621</v>
      </c>
      <c r="D36" s="12">
        <f ca="1">'[1]VINCULO VTS BY SKU OPEN'!D38</f>
        <v>271.8235294117647</v>
      </c>
    </row>
    <row r="37" spans="1:4" x14ac:dyDescent="0.25">
      <c r="A37" s="15">
        <v>150361</v>
      </c>
      <c r="B37" s="8" t="s">
        <v>39</v>
      </c>
      <c r="C37" s="13">
        <f>'[1]VINCULO VTS BY SKU OPEN'!C39</f>
        <v>6813</v>
      </c>
      <c r="D37" s="12">
        <f ca="1">'[1]VINCULO VTS BY SKU OPEN'!D39</f>
        <v>400.76470588235293</v>
      </c>
    </row>
    <row r="38" spans="1:4" x14ac:dyDescent="0.25">
      <c r="A38" s="15">
        <v>150362</v>
      </c>
      <c r="B38" s="8" t="s">
        <v>40</v>
      </c>
      <c r="C38" s="13">
        <f>'[1]VINCULO VTS BY SKU OPEN'!C40</f>
        <v>4214</v>
      </c>
      <c r="D38" s="12">
        <f ca="1">'[1]VINCULO VTS BY SKU OPEN'!D40</f>
        <v>247.88235294117646</v>
      </c>
    </row>
    <row r="39" spans="1:4" x14ac:dyDescent="0.25">
      <c r="A39" s="15">
        <v>150363</v>
      </c>
      <c r="B39" s="8" t="s">
        <v>41</v>
      </c>
      <c r="C39" s="13">
        <f>'[1]VINCULO VTS BY SKU OPEN'!C41</f>
        <v>4341</v>
      </c>
      <c r="D39" s="12">
        <f ca="1">'[1]VINCULO VTS BY SKU OPEN'!D41</f>
        <v>255.35294117647058</v>
      </c>
    </row>
    <row r="40" spans="1:4" x14ac:dyDescent="0.25">
      <c r="A40" s="15">
        <v>151500</v>
      </c>
      <c r="B40" s="8" t="s">
        <v>42</v>
      </c>
      <c r="C40" s="13">
        <f>'[1]VINCULO VTS BY SKU OPEN'!C42</f>
        <v>842</v>
      </c>
      <c r="D40" s="12">
        <f ca="1">'[1]VINCULO VTS BY SKU OPEN'!D42</f>
        <v>49.529411764705884</v>
      </c>
    </row>
    <row r="41" spans="1:4" x14ac:dyDescent="0.25">
      <c r="A41" s="15">
        <v>151501</v>
      </c>
      <c r="B41" s="8" t="s">
        <v>43</v>
      </c>
      <c r="C41" s="13">
        <f>'[1]VINCULO VTS BY SKU OPEN'!C43</f>
        <v>1370</v>
      </c>
      <c r="D41" s="12">
        <f ca="1">'[1]VINCULO VTS BY SKU OPEN'!D43</f>
        <v>80.588235294117652</v>
      </c>
    </row>
    <row r="42" spans="1:4" x14ac:dyDescent="0.25">
      <c r="A42" s="15">
        <v>151502</v>
      </c>
      <c r="B42" s="8" t="s">
        <v>44</v>
      </c>
      <c r="C42" s="13">
        <f>'[1]VINCULO VTS BY SKU OPEN'!C44</f>
        <v>602</v>
      </c>
      <c r="D42" s="12">
        <f ca="1">'[1]VINCULO VTS BY SKU OPEN'!D44</f>
        <v>35.411764705882355</v>
      </c>
    </row>
    <row r="43" spans="1:4" x14ac:dyDescent="0.25">
      <c r="A43" s="15">
        <v>151503</v>
      </c>
      <c r="B43" s="8" t="s">
        <v>45</v>
      </c>
      <c r="C43" s="13">
        <f>'[1]VINCULO VTS BY SKU OPEN'!C45</f>
        <v>720</v>
      </c>
      <c r="D43" s="12">
        <f ca="1">'[1]VINCULO VTS BY SKU OPEN'!D45</f>
        <v>42.352941176470587</v>
      </c>
    </row>
    <row r="44" spans="1:4" x14ac:dyDescent="0.25">
      <c r="A44" s="15"/>
      <c r="B44" s="8" t="s">
        <v>46</v>
      </c>
      <c r="C44" s="13">
        <f>'[1]VINCULO VTS BY SKU OPEN'!C46</f>
        <v>10</v>
      </c>
      <c r="D44" s="12">
        <f ca="1">'[1]VINCULO VTS BY SKU OPEN'!D46</f>
        <v>0.58823529411764708</v>
      </c>
    </row>
    <row r="45" spans="1:4" x14ac:dyDescent="0.25">
      <c r="A45" s="15"/>
      <c r="B45" s="8" t="s">
        <v>47</v>
      </c>
      <c r="C45" s="13">
        <f>'[1]VINCULO VTS BY SKU OPEN'!C47</f>
        <v>54</v>
      </c>
      <c r="D45" s="12">
        <f ca="1">'[1]VINCULO VTS BY SKU OPEN'!D47</f>
        <v>3.1764705882352939</v>
      </c>
    </row>
    <row r="46" spans="1:4" x14ac:dyDescent="0.25">
      <c r="C46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H14" sqref="G14:H14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16" t="s">
        <v>51</v>
      </c>
      <c r="B1" s="16"/>
      <c r="C1" s="16"/>
      <c r="D1" s="16"/>
      <c r="E1" s="16"/>
      <c r="F1" s="16"/>
      <c r="G1" s="16"/>
    </row>
    <row r="2" spans="1:7" ht="24" x14ac:dyDescent="0.25">
      <c r="A2" s="1" t="s">
        <v>52</v>
      </c>
      <c r="B2" s="1" t="s">
        <v>53</v>
      </c>
      <c r="C2" s="1" t="s">
        <v>54</v>
      </c>
      <c r="D2" s="1" t="s">
        <v>55</v>
      </c>
      <c r="E2" s="1" t="s">
        <v>0</v>
      </c>
      <c r="F2" s="1" t="s">
        <v>1</v>
      </c>
      <c r="G2" s="1" t="s">
        <v>56</v>
      </c>
    </row>
    <row r="3" spans="1:7" ht="23.25" x14ac:dyDescent="0.35">
      <c r="A3" s="3">
        <f>'[2]VENTAS JULIO'!$G$117</f>
        <v>415844</v>
      </c>
      <c r="B3" s="3">
        <f>'[1]DESV. VTS BY SKU'!$K$3</f>
        <v>410956</v>
      </c>
      <c r="C3" s="4">
        <f ca="1">A3/E5</f>
        <v>23102.444444444445</v>
      </c>
      <c r="D3" s="5">
        <f ca="1">C3*22</f>
        <v>508253.77777777781</v>
      </c>
      <c r="E3" s="4">
        <v>696207</v>
      </c>
      <c r="F3" s="6">
        <f>A3/E3</f>
        <v>0.59729936642406645</v>
      </c>
      <c r="G3" s="7">
        <f>A3-E3</f>
        <v>-280363</v>
      </c>
    </row>
    <row r="4" spans="1:7" x14ac:dyDescent="0.25">
      <c r="A4" s="17" t="s">
        <v>50</v>
      </c>
      <c r="B4" s="17" t="s">
        <v>57</v>
      </c>
      <c r="C4" s="17" t="s">
        <v>58</v>
      </c>
      <c r="D4" s="17" t="s">
        <v>59</v>
      </c>
      <c r="E4" s="17" t="s">
        <v>60</v>
      </c>
      <c r="F4" s="17" t="s">
        <v>61</v>
      </c>
    </row>
    <row r="5" spans="1:7" x14ac:dyDescent="0.25">
      <c r="A5" s="9">
        <f>A3-B3</f>
        <v>4888</v>
      </c>
      <c r="B5" s="18">
        <v>46204</v>
      </c>
      <c r="C5" s="18">
        <f ca="1">TODAY()-1</f>
        <v>46229</v>
      </c>
      <c r="D5" s="18">
        <v>46234</v>
      </c>
      <c r="E5" s="19">
        <f ca="1">NETWORKDAYS(B5,C5)</f>
        <v>18</v>
      </c>
      <c r="F5" s="20">
        <f ca="1">NETWORKDAYS(C5,D5)-2</f>
        <v>3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2026-07-27T18:07:02Z</dcterms:modified>
</cp:coreProperties>
</file>