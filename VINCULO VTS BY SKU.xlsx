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bit\Desktop\Mi_Dashboard_Ventas\"/>
    </mc:Choice>
  </mc:AlternateContent>
  <xr:revisionPtr revIDLastSave="0" documentId="13_ncr:1_{F1F4D2BA-0992-48DA-8289-1D4BF7C3A224}" xr6:coauthVersionLast="47" xr6:coauthVersionMax="47" xr10:uidLastSave="{00000000-0000-0000-0000-000000000000}"/>
  <bookViews>
    <workbookView xWindow="-120" yWindow="-120" windowWidth="29040" windowHeight="15720" xr2:uid="{935E6DF5-EF5A-46DF-8511-A0024DAB6D46}"/>
  </bookViews>
  <sheets>
    <sheet name="file_ventas" sheetId="1" r:id="rId1"/>
    <sheet name="DASHBOARD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F5" i="2" s="1"/>
  <c r="A3" i="2"/>
  <c r="B3" i="2"/>
  <c r="E5" i="2" l="1"/>
  <c r="C3" i="2" s="1"/>
  <c r="D3" i="2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2" i="1"/>
  <c r="A5" i="2"/>
  <c r="G3" i="2"/>
  <c r="F3" i="2"/>
  <c r="D2" i="1" l="1"/>
  <c r="D43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45" i="1"/>
  <c r="D44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42" i="1"/>
</calcChain>
</file>

<file path=xl/sharedStrings.xml><?xml version="1.0" encoding="utf-8"?>
<sst xmlns="http://schemas.openxmlformats.org/spreadsheetml/2006/main" count="62" uniqueCount="62">
  <si>
    <t>FORECAST</t>
  </si>
  <si>
    <t>FORECAST EFFICIENCY</t>
  </si>
  <si>
    <t>REFERENCIA INTERNA</t>
  </si>
  <si>
    <t>PRODUCTO</t>
  </si>
  <si>
    <t>Cremosillo Tradicional 150g</t>
  </si>
  <si>
    <t>Cremosillo Coco 150g</t>
  </si>
  <si>
    <t>Cremosillo Tradicional 230g</t>
  </si>
  <si>
    <t>Cremosillo Tradicional 400g</t>
  </si>
  <si>
    <t>Cremosillo Tradicional 1000g</t>
  </si>
  <si>
    <t>Gelatina Saltarina Fresa 130g</t>
  </si>
  <si>
    <t>Gelatina Saltarina Chicle 130g</t>
  </si>
  <si>
    <t>Gelatina Saltarina Kolita 130g</t>
  </si>
  <si>
    <t>Cremigurt Natural 150g</t>
  </si>
  <si>
    <t>Cremigurt Dulce 150g</t>
  </si>
  <si>
    <t>Cremigurt Griego Fresa 150g</t>
  </si>
  <si>
    <t>Cremigurt Griego Durazno 150g</t>
  </si>
  <si>
    <t>Cremigurt Griego Piña 150g</t>
  </si>
  <si>
    <t>Cremigurt Griego 150g</t>
  </si>
  <si>
    <t>Cremigurt Light 150g</t>
  </si>
  <si>
    <t>Cremigurt Natural 700g</t>
  </si>
  <si>
    <t>Cremigurt Dulce 700g</t>
  </si>
  <si>
    <t>Cremigurt Griego Fresa 700g</t>
  </si>
  <si>
    <t>Cremigurt Griego 700g</t>
  </si>
  <si>
    <t>Cremigurt Light 700g</t>
  </si>
  <si>
    <t>Griego Mykonos 700g</t>
  </si>
  <si>
    <t>Cremigurt Power Natural 150g</t>
  </si>
  <si>
    <t>Cremigurt Power Mantecado 150g</t>
  </si>
  <si>
    <t>Cremigurt Power CheesseCake Fresa 150g</t>
  </si>
  <si>
    <t>Cremigurt Power Cookies and Cream 150g</t>
  </si>
  <si>
    <t>Cremigurt Power Natural 700g</t>
  </si>
  <si>
    <t>Cremigurt Power Mantecado 700g</t>
  </si>
  <si>
    <t>Cremigurt Griego Fresa S/A 150g</t>
  </si>
  <si>
    <t>Cremigurt Griego Coco Vainilla S/A 150g</t>
  </si>
  <si>
    <t>Cremigurt Griego Pie de Limón S/A 150g</t>
  </si>
  <si>
    <t>Cremigurt Griego Caramelo Salado S/A 150g</t>
  </si>
  <si>
    <t>Cremigurt Líquido Dulce 230g</t>
  </si>
  <si>
    <t>Cremigurt Líquido Fresa 230g</t>
  </si>
  <si>
    <t>Cremigurt Líquido Durazno 230g</t>
  </si>
  <si>
    <t>Tevia Limon 360ml</t>
  </si>
  <si>
    <t>Tevia Durazno 360ml</t>
  </si>
  <si>
    <t>Tevia Blueberry 360ml</t>
  </si>
  <si>
    <t>Tevia Tropical Punch 360ml</t>
  </si>
  <si>
    <t>Tevia Limon 1.5L</t>
  </si>
  <si>
    <t>Tevia Durazno 1.5 L</t>
  </si>
  <si>
    <t>Tevia Blueberry 1.5 L</t>
  </si>
  <si>
    <t>Tevia Tropical Punch 1.5 L</t>
  </si>
  <si>
    <t>Cremigurt Griego Dulce 4 Kg</t>
  </si>
  <si>
    <t>Cremigurt Griego Natural 4 Kg</t>
  </si>
  <si>
    <t>PROMEDIO DE VENTA DIARIA</t>
  </si>
  <si>
    <t>VENTA BRUTA</t>
  </si>
  <si>
    <t>UNITS RETURN</t>
  </si>
  <si>
    <t>DASHBOARD</t>
  </si>
  <si>
    <t>TOTAL UNITS SALES GROSS</t>
  </si>
  <si>
    <t>TOTAL UNITS SALES NET</t>
  </si>
  <si>
    <t>PROMD VTA DIA</t>
  </si>
  <si>
    <t>PROMD VTA MES</t>
  </si>
  <si>
    <t>DIF UNITS</t>
  </si>
  <si>
    <t>INICIO DE VENTA</t>
  </si>
  <si>
    <t>TRANSC. VENTA</t>
  </si>
  <si>
    <t>FINAL DE VENTA</t>
  </si>
  <si>
    <t>DIAS VENTA EFECT.</t>
  </si>
  <si>
    <t>DIAS VENTA RESTA.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</si>
</sst>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8"/>
      <color rgb="FF00B05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rgb="FFFFC000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  <xf numFmtId="9" fontId="4" fillId="0" borderId="0" xfId="1" applyFont="1" applyAlignment="1">
      <alignment horizontal="center"/>
    </xf>
    <xf numFmtId="1" fontId="6" fillId="0" borderId="0" xfId="0" applyNumberFormat="1" applyFont="1"/>
    <xf numFmtId="0" fontId="0" fillId="3" borderId="1" xfId="0" applyFill="1" applyBorder="1" applyAlignment="1">
      <alignment horizontal="left"/>
    </xf>
    <xf numFmtId="1" fontId="7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1" fontId="0" fillId="0" borderId="1" xfId="0" applyNumberFormat="1" applyBorder="1"/>
    <xf numFmtId="3" fontId="0" fillId="0" borderId="1" xfId="0" applyNumberFormat="1" applyBorder="1"/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9" fillId="0" borderId="0" xfId="0" applyFont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ALMACEN%202026\Inventario\Julio\Inventario%20Nacional%20Producto%20Terminado\Inventario%20Nacional%20Producto%20Terminado%20JULIO%202026.xlsx" TargetMode="External"/><Relationship Id="rId1" Type="http://schemas.openxmlformats.org/officeDocument/2006/relationships/externalLinkPath" Target="file:///R:\ALMACEN%202026\Inventario\Julio\Inventario%20Nacional%20Producto%20Terminado\Inventario%20Nacional%20Producto%20Terminado%20JULIO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OPERACIONES\INDICADOR%20DE%20DESPACHO\JULIO%202026\INDICADORES%20LOGISTICA%20A.xlsx" TargetMode="External"/><Relationship Id="rId1" Type="http://schemas.openxmlformats.org/officeDocument/2006/relationships/externalLinkPath" Target="file:///R:\OPERACIONES\INDICADOR%20DE%20DESPACHO\JULIO%202026\INDICADORES%20LOGISTICA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ARIO NACIONAL 03-07-26"/>
      <sheetName val="VINCULO VTS BY SKU JUNIO"/>
      <sheetName val="VINCULO VTS BY SKU OPEN"/>
      <sheetName val="DESV. VTS BY SKU"/>
      <sheetName val="INVENTARIO NACIONAL 03-07-26-2"/>
      <sheetName val="INVENTARIO NACIONAL 06-07-26"/>
      <sheetName val="INVENTARIO NACIONAL 07-07-26"/>
      <sheetName val="INVENTARIO NACIONAL 08-07-26"/>
      <sheetName val="INVENTARIO NACIONAL 09-07-26"/>
      <sheetName val="INVENTARIO NACIONAL 10-07-26"/>
      <sheetName val="INVENTARIO NACIONAL 13-07-26"/>
      <sheetName val="INVENTARIO NACIONAL 14-07-26"/>
      <sheetName val="INVENTARIO NACIONAL 15-07-26"/>
      <sheetName val="INVENTARIO NACIONAL 16-07-26"/>
      <sheetName val="INVENTARIO NACIONAL 17-07-26"/>
      <sheetName val="INVENTARIO NACIONAL 20-07-26"/>
      <sheetName val="INVENTARIO NACIONAL 21-07-26"/>
      <sheetName val="INVENTARIO NACIONAL 22-07-26"/>
      <sheetName val="INVENTARIO NACIONAL 23-07-26"/>
      <sheetName val="INVENTARIO NACIONAL 27-07-26"/>
      <sheetName val="INVENTARIO NACIONAL 28-07-26"/>
      <sheetName val="INVENTARIO NACIONAL 29-07-26"/>
      <sheetName val="INVENTARIO NACIONAL 30-07-26"/>
      <sheetName val="INVENTARIO NACIONAL 31-07-26"/>
    </sheetNames>
    <sheetDataSet>
      <sheetData sheetId="0"/>
      <sheetData sheetId="1"/>
      <sheetData sheetId="2">
        <row r="4">
          <cell r="C4">
            <v>24608</v>
          </cell>
          <cell r="D4">
            <v>1118.5454545454545</v>
          </cell>
        </row>
        <row r="5">
          <cell r="C5">
            <v>1715</v>
          </cell>
          <cell r="D5">
            <v>77.954545454545453</v>
          </cell>
        </row>
        <row r="6">
          <cell r="C6">
            <v>12045</v>
          </cell>
          <cell r="D6">
            <v>547.5</v>
          </cell>
        </row>
        <row r="7">
          <cell r="C7">
            <v>2151</v>
          </cell>
          <cell r="D7">
            <v>97.772727272727266</v>
          </cell>
        </row>
        <row r="8">
          <cell r="C8">
            <v>367</v>
          </cell>
          <cell r="D8">
            <v>16.681818181818183</v>
          </cell>
        </row>
        <row r="9">
          <cell r="C9">
            <v>28488</v>
          </cell>
          <cell r="D9">
            <v>1294.909090909091</v>
          </cell>
        </row>
        <row r="10">
          <cell r="C10">
            <v>2688</v>
          </cell>
          <cell r="D10">
            <v>122.18181818181819</v>
          </cell>
        </row>
        <row r="11">
          <cell r="C11">
            <v>6682</v>
          </cell>
          <cell r="D11">
            <v>303.72727272727275</v>
          </cell>
        </row>
        <row r="12">
          <cell r="C12">
            <v>14564</v>
          </cell>
          <cell r="D12">
            <v>662</v>
          </cell>
        </row>
        <row r="13">
          <cell r="C13">
            <v>8915</v>
          </cell>
          <cell r="D13">
            <v>405.22727272727275</v>
          </cell>
        </row>
        <row r="14">
          <cell r="C14">
            <v>71501</v>
          </cell>
          <cell r="D14">
            <v>3250.0454545454545</v>
          </cell>
        </row>
        <row r="15">
          <cell r="C15">
            <v>47928</v>
          </cell>
          <cell r="D15">
            <v>2178.5454545454545</v>
          </cell>
        </row>
        <row r="16">
          <cell r="C16">
            <v>47576</v>
          </cell>
          <cell r="D16">
            <v>2162.5454545454545</v>
          </cell>
        </row>
        <row r="17">
          <cell r="C17">
            <v>52903</v>
          </cell>
          <cell r="D17">
            <v>2404.681818181818</v>
          </cell>
        </row>
        <row r="18">
          <cell r="C18">
            <v>2929</v>
          </cell>
          <cell r="D18">
            <v>133.13636363636363</v>
          </cell>
        </row>
        <row r="19">
          <cell r="C19">
            <v>4969</v>
          </cell>
          <cell r="D19">
            <v>225.86363636363637</v>
          </cell>
        </row>
        <row r="20">
          <cell r="C20">
            <v>3254</v>
          </cell>
          <cell r="D20">
            <v>147.90909090909091</v>
          </cell>
        </row>
        <row r="21">
          <cell r="C21">
            <v>10705</v>
          </cell>
          <cell r="D21">
            <v>486.59090909090907</v>
          </cell>
        </row>
        <row r="22">
          <cell r="C22">
            <v>17521</v>
          </cell>
          <cell r="D22">
            <v>796.40909090909088</v>
          </cell>
        </row>
        <row r="23">
          <cell r="C23">
            <v>110</v>
          </cell>
          <cell r="D23">
            <v>5</v>
          </cell>
        </row>
        <row r="24">
          <cell r="C24">
            <v>1082</v>
          </cell>
          <cell r="D24">
            <v>49.18181818181818</v>
          </cell>
        </row>
        <row r="25">
          <cell r="C25">
            <v>15064</v>
          </cell>
          <cell r="D25">
            <v>684.72727272727275</v>
          </cell>
        </row>
        <row r="26">
          <cell r="C26">
            <v>24411</v>
          </cell>
          <cell r="D26">
            <v>1109.590909090909</v>
          </cell>
        </row>
        <row r="27">
          <cell r="C27">
            <v>10624</v>
          </cell>
          <cell r="D27">
            <v>482.90909090909093</v>
          </cell>
        </row>
        <row r="28">
          <cell r="C28">
            <v>8061</v>
          </cell>
          <cell r="D28">
            <v>366.40909090909093</v>
          </cell>
        </row>
        <row r="29">
          <cell r="C29">
            <v>2355</v>
          </cell>
          <cell r="D29">
            <v>107.04545454545455</v>
          </cell>
        </row>
        <row r="30">
          <cell r="C30">
            <v>2696</v>
          </cell>
          <cell r="D30">
            <v>122.54545454545455</v>
          </cell>
        </row>
        <row r="31">
          <cell r="C31">
            <v>17396</v>
          </cell>
          <cell r="D31">
            <v>790.72727272727275</v>
          </cell>
        </row>
        <row r="32">
          <cell r="C32">
            <v>14334</v>
          </cell>
          <cell r="D32">
            <v>651.5454545454545</v>
          </cell>
        </row>
        <row r="33">
          <cell r="C33">
            <v>18538</v>
          </cell>
          <cell r="D33">
            <v>842.63636363636363</v>
          </cell>
        </row>
        <row r="34">
          <cell r="C34">
            <v>12592</v>
          </cell>
          <cell r="D34">
            <v>572.36363636363637</v>
          </cell>
        </row>
        <row r="35">
          <cell r="C35">
            <v>4676</v>
          </cell>
          <cell r="D35">
            <v>212.54545454545453</v>
          </cell>
        </row>
        <row r="36">
          <cell r="C36">
            <v>6412</v>
          </cell>
          <cell r="D36">
            <v>291.45454545454544</v>
          </cell>
        </row>
        <row r="37">
          <cell r="C37">
            <v>8233</v>
          </cell>
          <cell r="D37">
            <v>374.22727272727275</v>
          </cell>
        </row>
        <row r="38">
          <cell r="C38">
            <v>6005</v>
          </cell>
          <cell r="D38">
            <v>272.95454545454544</v>
          </cell>
        </row>
        <row r="39">
          <cell r="C39">
            <v>9249</v>
          </cell>
          <cell r="D39">
            <v>420.40909090909093</v>
          </cell>
        </row>
        <row r="40">
          <cell r="C40">
            <v>5422</v>
          </cell>
          <cell r="D40">
            <v>246.45454545454547</v>
          </cell>
        </row>
        <row r="41">
          <cell r="C41">
            <v>5795</v>
          </cell>
          <cell r="D41">
            <v>263.40909090909093</v>
          </cell>
        </row>
        <row r="42">
          <cell r="C42">
            <v>1098</v>
          </cell>
          <cell r="D42">
            <v>49.909090909090907</v>
          </cell>
        </row>
        <row r="43">
          <cell r="C43">
            <v>1747</v>
          </cell>
          <cell r="D43">
            <v>79.409090909090907</v>
          </cell>
        </row>
        <row r="44">
          <cell r="C44">
            <v>754</v>
          </cell>
          <cell r="D44">
            <v>34.272727272727273</v>
          </cell>
        </row>
        <row r="45">
          <cell r="C45">
            <v>825</v>
          </cell>
          <cell r="D45">
            <v>37.5</v>
          </cell>
        </row>
        <row r="46">
          <cell r="C46">
            <v>18</v>
          </cell>
          <cell r="D46">
            <v>0.81818181818181823</v>
          </cell>
        </row>
        <row r="47">
          <cell r="C47">
            <v>72</v>
          </cell>
          <cell r="D47">
            <v>3.2727272727272729</v>
          </cell>
        </row>
      </sheetData>
      <sheetData sheetId="3">
        <row r="3">
          <cell r="K3">
            <v>539078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TAS JULIO"/>
      <sheetName val="VENTAS DIARIA POR SKU"/>
      <sheetName val="DESPACHO"/>
      <sheetName val="RELACION DE VIAJES"/>
      <sheetName val="RELACION DE VIAJES SITES "/>
    </sheetNames>
    <sheetDataSet>
      <sheetData sheetId="0">
        <row r="117">
          <cell r="G117">
            <v>533354</v>
          </cell>
        </row>
      </sheetData>
      <sheetData sheetId="1">
        <row r="2">
          <cell r="W2">
            <v>24608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20E1-8530-482E-BAF2-454F195C9DA1}">
  <dimension ref="A1:D46"/>
  <sheetViews>
    <sheetView tabSelected="1" workbookViewId="0">
      <selection activeCell="C2" sqref="C2"/>
    </sheetView>
  </sheetViews>
  <sheetFormatPr baseColWidth="10" defaultRowHeight="15" x14ac:dyDescent="0.25"/>
  <cols>
    <col min="1" max="1" width="11.42578125" style="10"/>
    <col min="2" max="2" width="50.7109375" style="10" customWidth="1"/>
    <col min="3" max="3" width="12.85546875" customWidth="1"/>
    <col min="4" max="4" width="13.140625" customWidth="1"/>
    <col min="5" max="5" width="22.7109375" customWidth="1"/>
    <col min="6" max="6" width="19.28515625" customWidth="1"/>
    <col min="7" max="7" width="16.5703125" customWidth="1"/>
    <col min="8" max="8" width="19.28515625" customWidth="1"/>
    <col min="9" max="9" width="18.7109375" customWidth="1"/>
    <col min="10" max="10" width="15.140625" customWidth="1"/>
    <col min="11" max="11" width="24.7109375" customWidth="1"/>
    <col min="12" max="12" width="14" customWidth="1"/>
    <col min="14" max="14" width="13" customWidth="1"/>
    <col min="15" max="15" width="15.140625" customWidth="1"/>
  </cols>
  <sheetData>
    <row r="1" spans="1:4" ht="24" x14ac:dyDescent="0.25">
      <c r="A1" s="14" t="s">
        <v>2</v>
      </c>
      <c r="B1" s="2" t="s">
        <v>3</v>
      </c>
      <c r="C1" s="2" t="s">
        <v>49</v>
      </c>
      <c r="D1" s="2" t="s">
        <v>48</v>
      </c>
    </row>
    <row r="2" spans="1:4" x14ac:dyDescent="0.25">
      <c r="A2" s="15">
        <v>110150</v>
      </c>
      <c r="B2" s="8" t="s">
        <v>4</v>
      </c>
      <c r="C2" s="13">
        <f>'[1]VINCULO VTS BY SKU OPEN'!C4</f>
        <v>24608</v>
      </c>
      <c r="D2" s="12">
        <f ca="1">'[1]VINCULO VTS BY SKU OPEN'!D4</f>
        <v>1118.5454545454545</v>
      </c>
    </row>
    <row r="3" spans="1:4" x14ac:dyDescent="0.25">
      <c r="A3" s="15">
        <v>110151</v>
      </c>
      <c r="B3" s="8" t="s">
        <v>5</v>
      </c>
      <c r="C3" s="13">
        <f>'[1]VINCULO VTS BY SKU OPEN'!C5</f>
        <v>1715</v>
      </c>
      <c r="D3" s="12">
        <f ca="1">'[1]VINCULO VTS BY SKU OPEN'!D5</f>
        <v>77.954545454545453</v>
      </c>
    </row>
    <row r="4" spans="1:4" x14ac:dyDescent="0.25">
      <c r="A4" s="15">
        <v>110230</v>
      </c>
      <c r="B4" s="8" t="s">
        <v>6</v>
      </c>
      <c r="C4" s="13">
        <f>'[1]VINCULO VTS BY SKU OPEN'!C6</f>
        <v>12045</v>
      </c>
      <c r="D4" s="12">
        <f ca="1">'[1]VINCULO VTS BY SKU OPEN'!D6</f>
        <v>547.5</v>
      </c>
    </row>
    <row r="5" spans="1:4" x14ac:dyDescent="0.25">
      <c r="A5" s="15">
        <v>110400</v>
      </c>
      <c r="B5" s="8" t="s">
        <v>7</v>
      </c>
      <c r="C5" s="13">
        <f>'[1]VINCULO VTS BY SKU OPEN'!C7</f>
        <v>2151</v>
      </c>
      <c r="D5" s="12">
        <f ca="1">'[1]VINCULO VTS BY SKU OPEN'!D7</f>
        <v>97.772727272727266</v>
      </c>
    </row>
    <row r="6" spans="1:4" x14ac:dyDescent="0.25">
      <c r="A6" s="15">
        <v>111000</v>
      </c>
      <c r="B6" s="8" t="s">
        <v>8</v>
      </c>
      <c r="C6" s="13">
        <f>'[1]VINCULO VTS BY SKU OPEN'!C8</f>
        <v>367</v>
      </c>
      <c r="D6" s="12">
        <f ca="1">'[1]VINCULO VTS BY SKU OPEN'!D8</f>
        <v>16.681818181818183</v>
      </c>
    </row>
    <row r="7" spans="1:4" x14ac:dyDescent="0.25">
      <c r="A7" s="15">
        <v>120130</v>
      </c>
      <c r="B7" s="8" t="s">
        <v>9</v>
      </c>
      <c r="C7" s="13">
        <f>'[1]VINCULO VTS BY SKU OPEN'!C9</f>
        <v>28488</v>
      </c>
      <c r="D7" s="12">
        <f ca="1">'[1]VINCULO VTS BY SKU OPEN'!D9</f>
        <v>1294.909090909091</v>
      </c>
    </row>
    <row r="8" spans="1:4" x14ac:dyDescent="0.25">
      <c r="A8" s="15">
        <v>120131</v>
      </c>
      <c r="B8" s="8" t="s">
        <v>10</v>
      </c>
      <c r="C8" s="13">
        <f>'[1]VINCULO VTS BY SKU OPEN'!C10</f>
        <v>2688</v>
      </c>
      <c r="D8" s="12">
        <f ca="1">'[1]VINCULO VTS BY SKU OPEN'!D10</f>
        <v>122.18181818181819</v>
      </c>
    </row>
    <row r="9" spans="1:4" x14ac:dyDescent="0.25">
      <c r="A9" s="15">
        <v>120132</v>
      </c>
      <c r="B9" s="8" t="s">
        <v>11</v>
      </c>
      <c r="C9" s="13">
        <f>'[1]VINCULO VTS BY SKU OPEN'!C11</f>
        <v>6682</v>
      </c>
      <c r="D9" s="12">
        <f ca="1">'[1]VINCULO VTS BY SKU OPEN'!D11</f>
        <v>303.72727272727275</v>
      </c>
    </row>
    <row r="10" spans="1:4" x14ac:dyDescent="0.25">
      <c r="A10" s="15">
        <v>130150</v>
      </c>
      <c r="B10" s="8" t="s">
        <v>12</v>
      </c>
      <c r="C10" s="13">
        <f>'[1]VINCULO VTS BY SKU OPEN'!C12</f>
        <v>14564</v>
      </c>
      <c r="D10" s="12">
        <f ca="1">'[1]VINCULO VTS BY SKU OPEN'!D12</f>
        <v>662</v>
      </c>
    </row>
    <row r="11" spans="1:4" x14ac:dyDescent="0.25">
      <c r="A11" s="15">
        <v>130151</v>
      </c>
      <c r="B11" s="8" t="s">
        <v>13</v>
      </c>
      <c r="C11" s="13">
        <f>'[1]VINCULO VTS BY SKU OPEN'!C13</f>
        <v>8915</v>
      </c>
      <c r="D11" s="12">
        <f ca="1">'[1]VINCULO VTS BY SKU OPEN'!D13</f>
        <v>405.22727272727275</v>
      </c>
    </row>
    <row r="12" spans="1:4" x14ac:dyDescent="0.25">
      <c r="A12" s="15">
        <v>130152</v>
      </c>
      <c r="B12" s="8" t="s">
        <v>14</v>
      </c>
      <c r="C12" s="13">
        <f>'[1]VINCULO VTS BY SKU OPEN'!C14</f>
        <v>71501</v>
      </c>
      <c r="D12" s="12">
        <f ca="1">'[1]VINCULO VTS BY SKU OPEN'!D14</f>
        <v>3250.0454545454545</v>
      </c>
    </row>
    <row r="13" spans="1:4" x14ac:dyDescent="0.25">
      <c r="A13" s="15">
        <v>130153</v>
      </c>
      <c r="B13" s="8" t="s">
        <v>15</v>
      </c>
      <c r="C13" s="13">
        <f>'[1]VINCULO VTS BY SKU OPEN'!C15</f>
        <v>47928</v>
      </c>
      <c r="D13" s="12">
        <f ca="1">'[1]VINCULO VTS BY SKU OPEN'!D15</f>
        <v>2178.5454545454545</v>
      </c>
    </row>
    <row r="14" spans="1:4" x14ac:dyDescent="0.25">
      <c r="A14" s="15">
        <v>130154</v>
      </c>
      <c r="B14" s="8" t="s">
        <v>16</v>
      </c>
      <c r="C14" s="13">
        <f>'[1]VINCULO VTS BY SKU OPEN'!C16</f>
        <v>47576</v>
      </c>
      <c r="D14" s="12">
        <f ca="1">'[1]VINCULO VTS BY SKU OPEN'!D16</f>
        <v>2162.5454545454545</v>
      </c>
    </row>
    <row r="15" spans="1:4" x14ac:dyDescent="0.25">
      <c r="A15" s="15">
        <v>130155</v>
      </c>
      <c r="B15" s="8" t="s">
        <v>17</v>
      </c>
      <c r="C15" s="13">
        <f>'[1]VINCULO VTS BY SKU OPEN'!C17</f>
        <v>52903</v>
      </c>
      <c r="D15" s="12">
        <f ca="1">'[1]VINCULO VTS BY SKU OPEN'!D17</f>
        <v>2404.681818181818</v>
      </c>
    </row>
    <row r="16" spans="1:4" x14ac:dyDescent="0.25">
      <c r="A16" s="15">
        <v>130156</v>
      </c>
      <c r="B16" s="8" t="s">
        <v>18</v>
      </c>
      <c r="C16" s="13">
        <f>'[1]VINCULO VTS BY SKU OPEN'!C18</f>
        <v>2929</v>
      </c>
      <c r="D16" s="12">
        <f ca="1">'[1]VINCULO VTS BY SKU OPEN'!D18</f>
        <v>133.13636363636363</v>
      </c>
    </row>
    <row r="17" spans="1:4" x14ac:dyDescent="0.25">
      <c r="A17" s="15">
        <v>130700</v>
      </c>
      <c r="B17" s="8" t="s">
        <v>19</v>
      </c>
      <c r="C17" s="13">
        <f>'[1]VINCULO VTS BY SKU OPEN'!C19</f>
        <v>4969</v>
      </c>
      <c r="D17" s="12">
        <f ca="1">'[1]VINCULO VTS BY SKU OPEN'!D19</f>
        <v>225.86363636363637</v>
      </c>
    </row>
    <row r="18" spans="1:4" x14ac:dyDescent="0.25">
      <c r="A18" s="15">
        <v>130701</v>
      </c>
      <c r="B18" s="8" t="s">
        <v>20</v>
      </c>
      <c r="C18" s="13">
        <f>'[1]VINCULO VTS BY SKU OPEN'!C20</f>
        <v>3254</v>
      </c>
      <c r="D18" s="12">
        <f ca="1">'[1]VINCULO VTS BY SKU OPEN'!D20</f>
        <v>147.90909090909091</v>
      </c>
    </row>
    <row r="19" spans="1:4" x14ac:dyDescent="0.25">
      <c r="A19" s="15">
        <v>130702</v>
      </c>
      <c r="B19" s="8" t="s">
        <v>21</v>
      </c>
      <c r="C19" s="13">
        <f>'[1]VINCULO VTS BY SKU OPEN'!C21</f>
        <v>10705</v>
      </c>
      <c r="D19" s="12">
        <f ca="1">'[1]VINCULO VTS BY SKU OPEN'!D21</f>
        <v>486.59090909090907</v>
      </c>
    </row>
    <row r="20" spans="1:4" x14ac:dyDescent="0.25">
      <c r="A20" s="15">
        <v>130703</v>
      </c>
      <c r="B20" s="8" t="s">
        <v>22</v>
      </c>
      <c r="C20" s="13">
        <f>'[1]VINCULO VTS BY SKU OPEN'!C22</f>
        <v>17521</v>
      </c>
      <c r="D20" s="12">
        <f ca="1">'[1]VINCULO VTS BY SKU OPEN'!D22</f>
        <v>796.40909090909088</v>
      </c>
    </row>
    <row r="21" spans="1:4" x14ac:dyDescent="0.25">
      <c r="A21" s="15">
        <v>130704</v>
      </c>
      <c r="B21" s="8" t="s">
        <v>23</v>
      </c>
      <c r="C21" s="13">
        <f>'[1]VINCULO VTS BY SKU OPEN'!C23</f>
        <v>110</v>
      </c>
      <c r="D21" s="12">
        <f ca="1">'[1]VINCULO VTS BY SKU OPEN'!D23</f>
        <v>5</v>
      </c>
    </row>
    <row r="22" spans="1:4" x14ac:dyDescent="0.25">
      <c r="A22" s="15">
        <v>130707</v>
      </c>
      <c r="B22" s="8" t="s">
        <v>24</v>
      </c>
      <c r="C22" s="13">
        <f>'[1]VINCULO VTS BY SKU OPEN'!C24</f>
        <v>1082</v>
      </c>
      <c r="D22" s="12">
        <f ca="1">'[1]VINCULO VTS BY SKU OPEN'!D24</f>
        <v>49.18181818181818</v>
      </c>
    </row>
    <row r="23" spans="1:4" x14ac:dyDescent="0.25">
      <c r="A23" s="15">
        <v>131150</v>
      </c>
      <c r="B23" s="8" t="s">
        <v>25</v>
      </c>
      <c r="C23" s="13">
        <f>'[1]VINCULO VTS BY SKU OPEN'!C25</f>
        <v>15064</v>
      </c>
      <c r="D23" s="12">
        <f ca="1">'[1]VINCULO VTS BY SKU OPEN'!D25</f>
        <v>684.72727272727275</v>
      </c>
    </row>
    <row r="24" spans="1:4" x14ac:dyDescent="0.25">
      <c r="A24" s="15">
        <v>131151</v>
      </c>
      <c r="B24" s="8" t="s">
        <v>26</v>
      </c>
      <c r="C24" s="13">
        <f>'[1]VINCULO VTS BY SKU OPEN'!C26</f>
        <v>24411</v>
      </c>
      <c r="D24" s="12">
        <f ca="1">'[1]VINCULO VTS BY SKU OPEN'!D26</f>
        <v>1109.590909090909</v>
      </c>
    </row>
    <row r="25" spans="1:4" x14ac:dyDescent="0.25">
      <c r="A25" s="15">
        <v>131152</v>
      </c>
      <c r="B25" s="8" t="s">
        <v>27</v>
      </c>
      <c r="C25" s="13">
        <f>'[1]VINCULO VTS BY SKU OPEN'!C27</f>
        <v>10624</v>
      </c>
      <c r="D25" s="12">
        <f ca="1">'[1]VINCULO VTS BY SKU OPEN'!D27</f>
        <v>482.90909090909093</v>
      </c>
    </row>
    <row r="26" spans="1:4" x14ac:dyDescent="0.25">
      <c r="A26" s="15">
        <v>131153</v>
      </c>
      <c r="B26" s="8" t="s">
        <v>28</v>
      </c>
      <c r="C26" s="13">
        <f>'[1]VINCULO VTS BY SKU OPEN'!C28</f>
        <v>8061</v>
      </c>
      <c r="D26" s="12">
        <f ca="1">'[1]VINCULO VTS BY SKU OPEN'!D28</f>
        <v>366.40909090909093</v>
      </c>
    </row>
    <row r="27" spans="1:4" x14ac:dyDescent="0.25">
      <c r="A27" s="15">
        <v>131700</v>
      </c>
      <c r="B27" s="8" t="s">
        <v>29</v>
      </c>
      <c r="C27" s="13">
        <f>'[1]VINCULO VTS BY SKU OPEN'!C29</f>
        <v>2355</v>
      </c>
      <c r="D27" s="12">
        <f ca="1">'[1]VINCULO VTS BY SKU OPEN'!D29</f>
        <v>107.04545454545455</v>
      </c>
    </row>
    <row r="28" spans="1:4" x14ac:dyDescent="0.25">
      <c r="A28" s="15">
        <v>131701</v>
      </c>
      <c r="B28" s="8" t="s">
        <v>30</v>
      </c>
      <c r="C28" s="13">
        <f>'[1]VINCULO VTS BY SKU OPEN'!C30</f>
        <v>2696</v>
      </c>
      <c r="D28" s="12">
        <f ca="1">'[1]VINCULO VTS BY SKU OPEN'!D30</f>
        <v>122.54545454545455</v>
      </c>
    </row>
    <row r="29" spans="1:4" x14ac:dyDescent="0.25">
      <c r="A29" s="15">
        <v>132150</v>
      </c>
      <c r="B29" s="8" t="s">
        <v>31</v>
      </c>
      <c r="C29" s="13">
        <f>'[1]VINCULO VTS BY SKU OPEN'!C31</f>
        <v>17396</v>
      </c>
      <c r="D29" s="12">
        <f ca="1">'[1]VINCULO VTS BY SKU OPEN'!D31</f>
        <v>790.72727272727275</v>
      </c>
    </row>
    <row r="30" spans="1:4" x14ac:dyDescent="0.25">
      <c r="A30" s="15">
        <v>132151</v>
      </c>
      <c r="B30" s="8" t="s">
        <v>32</v>
      </c>
      <c r="C30" s="13">
        <f>'[1]VINCULO VTS BY SKU OPEN'!C32</f>
        <v>14334</v>
      </c>
      <c r="D30" s="12">
        <f ca="1">'[1]VINCULO VTS BY SKU OPEN'!D32</f>
        <v>651.5454545454545</v>
      </c>
    </row>
    <row r="31" spans="1:4" x14ac:dyDescent="0.25">
      <c r="A31" s="15">
        <v>132152</v>
      </c>
      <c r="B31" s="8" t="s">
        <v>33</v>
      </c>
      <c r="C31" s="13">
        <f>'[1]VINCULO VTS BY SKU OPEN'!C33</f>
        <v>18538</v>
      </c>
      <c r="D31" s="12">
        <f ca="1">'[1]VINCULO VTS BY SKU OPEN'!D33</f>
        <v>842.63636363636363</v>
      </c>
    </row>
    <row r="32" spans="1:4" x14ac:dyDescent="0.25">
      <c r="A32" s="15">
        <v>132153</v>
      </c>
      <c r="B32" s="8" t="s">
        <v>34</v>
      </c>
      <c r="C32" s="13">
        <f>'[1]VINCULO VTS BY SKU OPEN'!C34</f>
        <v>12592</v>
      </c>
      <c r="D32" s="12">
        <f ca="1">'[1]VINCULO VTS BY SKU OPEN'!D34</f>
        <v>572.36363636363637</v>
      </c>
    </row>
    <row r="33" spans="1:4" x14ac:dyDescent="0.25">
      <c r="A33" s="15">
        <v>140230</v>
      </c>
      <c r="B33" s="8" t="s">
        <v>35</v>
      </c>
      <c r="C33" s="13">
        <f>'[1]VINCULO VTS BY SKU OPEN'!C35</f>
        <v>4676</v>
      </c>
      <c r="D33" s="12">
        <f ca="1">'[1]VINCULO VTS BY SKU OPEN'!D35</f>
        <v>212.54545454545453</v>
      </c>
    </row>
    <row r="34" spans="1:4" x14ac:dyDescent="0.25">
      <c r="A34" s="15">
        <v>140231</v>
      </c>
      <c r="B34" s="8" t="s">
        <v>36</v>
      </c>
      <c r="C34" s="13">
        <f>'[1]VINCULO VTS BY SKU OPEN'!C36</f>
        <v>6412</v>
      </c>
      <c r="D34" s="12">
        <f ca="1">'[1]VINCULO VTS BY SKU OPEN'!D36</f>
        <v>291.45454545454544</v>
      </c>
    </row>
    <row r="35" spans="1:4" x14ac:dyDescent="0.25">
      <c r="A35" s="15">
        <v>140232</v>
      </c>
      <c r="B35" s="8" t="s">
        <v>37</v>
      </c>
      <c r="C35" s="13">
        <f>'[1]VINCULO VTS BY SKU OPEN'!C37</f>
        <v>8233</v>
      </c>
      <c r="D35" s="12">
        <f ca="1">'[1]VINCULO VTS BY SKU OPEN'!D37</f>
        <v>374.22727272727275</v>
      </c>
    </row>
    <row r="36" spans="1:4" x14ac:dyDescent="0.25">
      <c r="A36" s="15">
        <v>150360</v>
      </c>
      <c r="B36" s="8" t="s">
        <v>38</v>
      </c>
      <c r="C36" s="13">
        <f>'[1]VINCULO VTS BY SKU OPEN'!C38</f>
        <v>6005</v>
      </c>
      <c r="D36" s="12">
        <f ca="1">'[1]VINCULO VTS BY SKU OPEN'!D38</f>
        <v>272.95454545454544</v>
      </c>
    </row>
    <row r="37" spans="1:4" x14ac:dyDescent="0.25">
      <c r="A37" s="15">
        <v>150361</v>
      </c>
      <c r="B37" s="8" t="s">
        <v>39</v>
      </c>
      <c r="C37" s="13">
        <f>'[1]VINCULO VTS BY SKU OPEN'!C39</f>
        <v>9249</v>
      </c>
      <c r="D37" s="12">
        <f ca="1">'[1]VINCULO VTS BY SKU OPEN'!D39</f>
        <v>420.40909090909093</v>
      </c>
    </row>
    <row r="38" spans="1:4" x14ac:dyDescent="0.25">
      <c r="A38" s="15">
        <v>150362</v>
      </c>
      <c r="B38" s="8" t="s">
        <v>40</v>
      </c>
      <c r="C38" s="13">
        <f>'[1]VINCULO VTS BY SKU OPEN'!C40</f>
        <v>5422</v>
      </c>
      <c r="D38" s="12">
        <f ca="1">'[1]VINCULO VTS BY SKU OPEN'!D40</f>
        <v>246.45454545454547</v>
      </c>
    </row>
    <row r="39" spans="1:4" x14ac:dyDescent="0.25">
      <c r="A39" s="15">
        <v>150363</v>
      </c>
      <c r="B39" s="8" t="s">
        <v>41</v>
      </c>
      <c r="C39" s="13">
        <f>'[1]VINCULO VTS BY SKU OPEN'!C41</f>
        <v>5795</v>
      </c>
      <c r="D39" s="12">
        <f ca="1">'[1]VINCULO VTS BY SKU OPEN'!D41</f>
        <v>263.40909090909093</v>
      </c>
    </row>
    <row r="40" spans="1:4" x14ac:dyDescent="0.25">
      <c r="A40" s="15">
        <v>151500</v>
      </c>
      <c r="B40" s="8" t="s">
        <v>42</v>
      </c>
      <c r="C40" s="13">
        <f>'[1]VINCULO VTS BY SKU OPEN'!C42</f>
        <v>1098</v>
      </c>
      <c r="D40" s="12">
        <f ca="1">'[1]VINCULO VTS BY SKU OPEN'!D42</f>
        <v>49.909090909090907</v>
      </c>
    </row>
    <row r="41" spans="1:4" x14ac:dyDescent="0.25">
      <c r="A41" s="15">
        <v>151501</v>
      </c>
      <c r="B41" s="8" t="s">
        <v>43</v>
      </c>
      <c r="C41" s="13">
        <f>'[1]VINCULO VTS BY SKU OPEN'!C43</f>
        <v>1747</v>
      </c>
      <c r="D41" s="12">
        <f ca="1">'[1]VINCULO VTS BY SKU OPEN'!D43</f>
        <v>79.409090909090907</v>
      </c>
    </row>
    <row r="42" spans="1:4" x14ac:dyDescent="0.25">
      <c r="A42" s="15">
        <v>151502</v>
      </c>
      <c r="B42" s="8" t="s">
        <v>44</v>
      </c>
      <c r="C42" s="13">
        <f>'[1]VINCULO VTS BY SKU OPEN'!C44</f>
        <v>754</v>
      </c>
      <c r="D42" s="12">
        <f ca="1">'[1]VINCULO VTS BY SKU OPEN'!D44</f>
        <v>34.272727272727273</v>
      </c>
    </row>
    <row r="43" spans="1:4" x14ac:dyDescent="0.25">
      <c r="A43" s="15">
        <v>151503</v>
      </c>
      <c r="B43" s="8" t="s">
        <v>45</v>
      </c>
      <c r="C43" s="13">
        <f>'[1]VINCULO VTS BY SKU OPEN'!C45</f>
        <v>825</v>
      </c>
      <c r="D43" s="12">
        <f ca="1">'[1]VINCULO VTS BY SKU OPEN'!D45</f>
        <v>37.5</v>
      </c>
    </row>
    <row r="44" spans="1:4" x14ac:dyDescent="0.25">
      <c r="A44" s="15"/>
      <c r="B44" s="8" t="s">
        <v>46</v>
      </c>
      <c r="C44" s="13">
        <f>'[1]VINCULO VTS BY SKU OPEN'!C46</f>
        <v>18</v>
      </c>
      <c r="D44" s="12">
        <f ca="1">'[1]VINCULO VTS BY SKU OPEN'!D46</f>
        <v>0.81818181818181823</v>
      </c>
    </row>
    <row r="45" spans="1:4" x14ac:dyDescent="0.25">
      <c r="A45" s="15"/>
      <c r="B45" s="8" t="s">
        <v>47</v>
      </c>
      <c r="C45" s="13">
        <f>'[1]VINCULO VTS BY SKU OPEN'!C47</f>
        <v>72</v>
      </c>
      <c r="D45" s="12">
        <f ca="1">'[1]VINCULO VTS BY SKU OPEN'!D47</f>
        <v>3.2727272727272729</v>
      </c>
    </row>
    <row r="46" spans="1:4" x14ac:dyDescent="0.25">
      <c r="C4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9391-350C-4657-A510-D4378E4F4331}">
  <dimension ref="A1:G5"/>
  <sheetViews>
    <sheetView workbookViewId="0">
      <selection activeCell="F6" sqref="F6"/>
    </sheetView>
  </sheetViews>
  <sheetFormatPr baseColWidth="10" defaultRowHeight="15" x14ac:dyDescent="0.25"/>
  <cols>
    <col min="1" max="7" width="13.28515625" customWidth="1"/>
    <col min="9" max="9" width="14.42578125" customWidth="1"/>
  </cols>
  <sheetData>
    <row r="1" spans="1:7" x14ac:dyDescent="0.25">
      <c r="A1" s="20" t="s">
        <v>51</v>
      </c>
      <c r="B1" s="20"/>
      <c r="C1" s="20"/>
      <c r="D1" s="20"/>
      <c r="E1" s="20"/>
      <c r="F1" s="20"/>
      <c r="G1" s="20"/>
    </row>
    <row r="2" spans="1:7" ht="24" x14ac:dyDescent="0.25">
      <c r="A2" s="1" t="s">
        <v>52</v>
      </c>
      <c r="B2" s="1" t="s">
        <v>53</v>
      </c>
      <c r="C2" s="1" t="s">
        <v>54</v>
      </c>
      <c r="D2" s="1" t="s">
        <v>55</v>
      </c>
      <c r="E2" s="1" t="s">
        <v>0</v>
      </c>
      <c r="F2" s="1" t="s">
        <v>1</v>
      </c>
      <c r="G2" s="1" t="s">
        <v>56</v>
      </c>
    </row>
    <row r="3" spans="1:7" ht="23.25" x14ac:dyDescent="0.35">
      <c r="A3" s="3">
        <f>'[2]VENTAS JULIO'!$G$117</f>
        <v>533354</v>
      </c>
      <c r="B3" s="3">
        <f>'[1]DESV. VTS BY SKU'!$K$3</f>
        <v>539078</v>
      </c>
      <c r="C3" s="4">
        <f ca="1">A3/E5</f>
        <v>24243.363636363636</v>
      </c>
      <c r="D3" s="5">
        <f ca="1">C3*22</f>
        <v>533354</v>
      </c>
      <c r="E3" s="4">
        <v>696207</v>
      </c>
      <c r="F3" s="6">
        <f>A3/E3</f>
        <v>0.76608537403387211</v>
      </c>
      <c r="G3" s="7">
        <f>A3-E3</f>
        <v>-162853</v>
      </c>
    </row>
    <row r="4" spans="1:7" x14ac:dyDescent="0.25">
      <c r="A4" s="16" t="s">
        <v>50</v>
      </c>
      <c r="B4" s="16" t="s">
        <v>57</v>
      </c>
      <c r="C4" s="16" t="s">
        <v>58</v>
      </c>
      <c r="D4" s="16" t="s">
        <v>59</v>
      </c>
      <c r="E4" s="16" t="s">
        <v>60</v>
      </c>
      <c r="F4" s="16" t="s">
        <v>61</v>
      </c>
    </row>
    <row r="5" spans="1:7" x14ac:dyDescent="0.25">
      <c r="A5" s="9">
        <f>A3-B3</f>
        <v>-5724</v>
      </c>
      <c r="B5" s="17">
        <v>46204</v>
      </c>
      <c r="C5" s="17">
        <f ca="1">TODAY()-1</f>
        <v>46236</v>
      </c>
      <c r="D5" s="17">
        <v>46234</v>
      </c>
      <c r="E5" s="19">
        <f ca="1">NETWORKDAYS(B5,C5)-1</f>
        <v>22</v>
      </c>
      <c r="F5" s="18">
        <f ca="1">NETWORKDAYS(C5,D5)-1</f>
        <v>-2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file_ventas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</dc:creator>
  <cp:lastModifiedBy>Orbit</cp:lastModifiedBy>
  <dcterms:created xsi:type="dcterms:W3CDTF">2026-07-13T21:19:51Z</dcterms:created>
  <dcterms:modified xsi:type="dcterms:W3CDTF">2026-08-03T15:20:49Z</dcterms:modified>
</cp:coreProperties>
</file>