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CDE4776E-F7B4-4E55-A351-FE5F177985DA}" xr6:coauthVersionLast="47" xr6:coauthVersionMax="47" xr10:uidLastSave="{00000000-0000-0000-0000-000000000000}"/>
  <bookViews>
    <workbookView xWindow="-120" yWindow="-120" windowWidth="29040" windowHeight="15720" activeTab="1" xr2:uid="{935E6DF5-EF5A-46DF-8511-A0024DAB6D46}"/>
  </bookViews>
  <sheets>
    <sheet name="file_ventas" sheetId="1" r:id="rId1"/>
    <sheet name="DASHBOARD" sheetId="2" r:id="rId2"/>
  </sheets>
  <externalReferences>
    <externalReference r:id="rId3"/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2" l="1"/>
  <c r="A3" i="2"/>
  <c r="B3" i="2"/>
  <c r="E5" i="2" l="1"/>
  <c r="C3" i="2" s="1"/>
  <c r="D3" i="2" s="1"/>
  <c r="F5" i="2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2" i="1"/>
  <c r="A5" i="2"/>
  <c r="G3" i="2"/>
  <c r="F3" i="2"/>
  <c r="D43" i="1" l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45" i="1"/>
  <c r="D44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2" i="1"/>
  <c r="D42" i="1"/>
</calcChain>
</file>

<file path=xl/sharedStrings.xml><?xml version="1.0" encoding="utf-8"?>
<sst xmlns="http://schemas.openxmlformats.org/spreadsheetml/2006/main" count="62" uniqueCount="62">
  <si>
    <t>FORECAST</t>
  </si>
  <si>
    <t>FORECAST EFFICIENCY</t>
  </si>
  <si>
    <t>REFERENCIA INTERNA</t>
  </si>
  <si>
    <t>PRODUCTO</t>
  </si>
  <si>
    <t>Cremosillo Tradicional 150g</t>
  </si>
  <si>
    <t>Cremosillo Coco 150g</t>
  </si>
  <si>
    <t>Cremosillo Tradicional 230g</t>
  </si>
  <si>
    <t>Cremosillo Tradicional 400g</t>
  </si>
  <si>
    <t>Cremosillo Tradicional 1000g</t>
  </si>
  <si>
    <t>Gelatina Saltarina Fresa 130g</t>
  </si>
  <si>
    <t>Gelatina Saltarina Chicle 130g</t>
  </si>
  <si>
    <t>Gelatina Saltarina Kolita 130g</t>
  </si>
  <si>
    <t>Cremigurt Natural 150g</t>
  </si>
  <si>
    <t>Cremigurt Dulce 150g</t>
  </si>
  <si>
    <t>Cremigurt Griego Fresa 150g</t>
  </si>
  <si>
    <t>Cremigurt Griego Durazno 150g</t>
  </si>
  <si>
    <t>Cremigurt Griego Piña 150g</t>
  </si>
  <si>
    <t>Cremigurt Griego 150g</t>
  </si>
  <si>
    <t>Cremigurt Light 150g</t>
  </si>
  <si>
    <t>Cremigurt Natural 700g</t>
  </si>
  <si>
    <t>Cremigurt Dulce 700g</t>
  </si>
  <si>
    <t>Cremigurt Griego Fresa 700g</t>
  </si>
  <si>
    <t>Cremigurt Griego 700g</t>
  </si>
  <si>
    <t>Cremigurt Light 700g</t>
  </si>
  <si>
    <t>Griego Mykonos 700g</t>
  </si>
  <si>
    <t>Cremigurt Power Natural 150g</t>
  </si>
  <si>
    <t>Cremigurt Power Mantecado 150g</t>
  </si>
  <si>
    <t>Cremigurt Power CheesseCake Fresa 150g</t>
  </si>
  <si>
    <t>Cremigurt Power Cookies and Cream 150g</t>
  </si>
  <si>
    <t>Cremigurt Power Natural 700g</t>
  </si>
  <si>
    <t>Cremigurt Power Mantecado 700g</t>
  </si>
  <si>
    <t>Cremigurt Griego Fresa S/A 150g</t>
  </si>
  <si>
    <t>Cremigurt Griego Coco Vainilla S/A 150g</t>
  </si>
  <si>
    <t>Cremigurt Griego Pie de Limón S/A 150g</t>
  </si>
  <si>
    <t>Cremigurt Griego Caramelo Salado S/A 150g</t>
  </si>
  <si>
    <t>Cremigurt Líquido Dulce 230g</t>
  </si>
  <si>
    <t>Cremigurt Líquido Fresa 230g</t>
  </si>
  <si>
    <t>Cremigurt Líquido Durazno 230g</t>
  </si>
  <si>
    <t>Tevia Limon 360ml</t>
  </si>
  <si>
    <t>Tevia Durazno 360ml</t>
  </si>
  <si>
    <t>Tevia Blueberry 360ml</t>
  </si>
  <si>
    <t>Tevia Tropical Punch 360ml</t>
  </si>
  <si>
    <t>Tevia Limon 1.5L</t>
  </si>
  <si>
    <t>Tevia Durazno 1.5 L</t>
  </si>
  <si>
    <t>Tevia Blueberry 1.5 L</t>
  </si>
  <si>
    <t>Tevia Tropical Punch 1.5 L</t>
  </si>
  <si>
    <t>Cremigurt Griego Dulce 4 Kg</t>
  </si>
  <si>
    <t>Cremigurt Griego Natural 4 Kg</t>
  </si>
  <si>
    <t>PROMEDIO DE VENTA DIARIA</t>
  </si>
  <si>
    <t>VENTA BRUTA</t>
  </si>
  <si>
    <t>UNITS RETURN</t>
  </si>
  <si>
    <t>DASHBOARD</t>
  </si>
  <si>
    <t>TOTAL UNITS SALES GROSS</t>
  </si>
  <si>
    <t>TOTAL UNITS SALES NET</t>
  </si>
  <si>
    <t>PROMD VTA DIA</t>
  </si>
  <si>
    <t>PROMD VTA MES</t>
  </si>
  <si>
    <t>DIF UNITS</t>
  </si>
  <si>
    <t>INICIO DE VENTA</t>
  </si>
  <si>
    <t>TRANSC. VENTA</t>
  </si>
  <si>
    <t>FINAL DE VENTA</t>
  </si>
  <si>
    <t>DIAS VENTA EFECT.</t>
  </si>
  <si>
    <t>DIAS VENTA RESTA.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</si>
</sst>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18"/>
      <color rgb="FF00B050"/>
      <name val="Calibri"/>
      <family val="2"/>
      <scheme val="minor"/>
    </font>
    <font>
      <b/>
      <i/>
      <sz val="18"/>
      <color theme="1"/>
      <name val="Calibri"/>
      <family val="2"/>
      <scheme val="minor"/>
    </font>
    <font>
      <b/>
      <i/>
      <sz val="18"/>
      <color rgb="FFFFC000"/>
      <name val="Calibri"/>
      <family val="2"/>
      <scheme val="minor"/>
    </font>
    <font>
      <b/>
      <i/>
      <sz val="18"/>
      <color rgb="FFFF0000"/>
      <name val="Calibri"/>
      <family val="2"/>
      <scheme val="minor"/>
    </font>
    <font>
      <b/>
      <i/>
      <sz val="10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1">
    <xf numFmtId="0" fontId="0" fillId="0" borderId="0" xfId="0"/>
    <xf numFmtId="0" fontId="2" fillId="2" borderId="0" xfId="0" applyFont="1" applyFill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3" fontId="3" fillId="0" borderId="0" xfId="0" applyNumberFormat="1" applyFont="1"/>
    <xf numFmtId="1" fontId="4" fillId="0" borderId="0" xfId="0" applyNumberFormat="1" applyFont="1"/>
    <xf numFmtId="1" fontId="5" fillId="0" borderId="0" xfId="0" applyNumberFormat="1" applyFont="1"/>
    <xf numFmtId="9" fontId="4" fillId="0" borderId="0" xfId="1" applyFont="1" applyAlignment="1">
      <alignment horizontal="center"/>
    </xf>
    <xf numFmtId="1" fontId="6" fillId="0" borderId="0" xfId="0" applyNumberFormat="1" applyFont="1"/>
    <xf numFmtId="0" fontId="0" fillId="3" borderId="1" xfId="0" applyFill="1" applyBorder="1" applyAlignment="1">
      <alignment horizontal="left"/>
    </xf>
    <xf numFmtId="1" fontId="7" fillId="0" borderId="0" xfId="0" applyNumberFormat="1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1" fontId="0" fillId="0" borderId="1" xfId="0" applyNumberFormat="1" applyBorder="1"/>
    <xf numFmtId="3" fontId="0" fillId="0" borderId="1" xfId="0" applyNumberFormat="1" applyBorder="1"/>
    <xf numFmtId="0" fontId="2" fillId="2" borderId="1" xfId="0" applyFont="1" applyFill="1" applyBorder="1" applyAlignment="1">
      <alignment horizontal="left" vertical="center" wrapText="1"/>
    </xf>
    <xf numFmtId="0" fontId="0" fillId="0" borderId="1" xfId="0" applyBorder="1" applyAlignment="1">
      <alignment horizontal="left"/>
    </xf>
    <xf numFmtId="0" fontId="9" fillId="0" borderId="0" xfId="0" applyFont="1" applyAlignment="1">
      <alignment horizontal="center"/>
    </xf>
    <xf numFmtId="14" fontId="10" fillId="0" borderId="0" xfId="0" applyNumberFormat="1" applyFont="1" applyAlignment="1">
      <alignment horizontal="center" vertical="center"/>
    </xf>
    <xf numFmtId="1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4" borderId="0" xfId="0" applyFont="1" applyFill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INDICADORES%20LOGISTICA%20A.xlsx" TargetMode="External"/><Relationship Id="rId1" Type="http://schemas.openxmlformats.org/officeDocument/2006/relationships/externalLinkPath" Target="file:///R:\OPERACIONES\INDICADOR%20DE%20DESPACHO\JULIO%202026\INDICADORES%20LOGISTICA%20A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Relationship Id="rId1" Type="http://schemas.openxmlformats.org/officeDocument/2006/relationships/externalLinkPath" Target="file:///R:\ALMACEN%202026\Inventario\Julio\Inventario%20Nacional%20Producto%20Terminado\Inventario%20Nacional%20Producto%20Terminado%20JULIO%2020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NTAS JULIO"/>
      <sheetName val="VENTAS DIARIA POR SKU"/>
      <sheetName val="DESPACHO"/>
      <sheetName val="RELACION DE VIAJES"/>
      <sheetName val="RELACION DE VIAJES SITES "/>
    </sheetNames>
    <sheetDataSet>
      <sheetData sheetId="0">
        <row r="117">
          <cell r="G117">
            <v>437550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VENTARIO NACIONAL 03-07-26"/>
      <sheetName val="VINCULO VTS BY SKU JUNIO"/>
      <sheetName val="VINCULO VTS BY SKU OPEN"/>
      <sheetName val="DESV. VTS BY SKU"/>
      <sheetName val="INVENTARIO NACIONAL 03-07-26-2"/>
      <sheetName val="INVENTARIO NACIONAL 06-07-26"/>
      <sheetName val="INVENTARIO NACIONAL 07-07-26"/>
      <sheetName val="INVENTARIO NACIONAL 08-07-26"/>
      <sheetName val="INVENTARIO NACIONAL 09-07-26"/>
      <sheetName val="INVENTARIO NACIONAL 10-07-26"/>
      <sheetName val="INVENTARIO NACIONAL 13-07-26"/>
      <sheetName val="INVENTARIO NACIONAL 14-07-26"/>
      <sheetName val="INVENTARIO NACIONAL 15-07-26"/>
      <sheetName val="INVENTARIO NACIONAL 16-07-26"/>
      <sheetName val="INVENTARIO NACIONAL 17-07-26"/>
      <sheetName val="INVENTARIO NACIONAL 20-07-26"/>
      <sheetName val="INVENTARIO NACIONAL 21-07-26"/>
      <sheetName val="INVENTARIO NACIONAL 22-07-26"/>
      <sheetName val="INVENTARIO NACIONAL 23-07-26"/>
      <sheetName val="INVENTARIO NACIONAL 27-07-26"/>
      <sheetName val="INVENTARIO NACIONAL 28-07-26"/>
    </sheetNames>
    <sheetDataSet>
      <sheetData sheetId="0"/>
      <sheetData sheetId="1"/>
      <sheetData sheetId="2">
        <row r="4">
          <cell r="C4">
            <v>20321</v>
          </cell>
          <cell r="D4">
            <v>1128.9444444444443</v>
          </cell>
        </row>
        <row r="5">
          <cell r="C5">
            <v>1383</v>
          </cell>
          <cell r="D5">
            <v>76.833333333333329</v>
          </cell>
        </row>
        <row r="6">
          <cell r="C6">
            <v>9742</v>
          </cell>
          <cell r="D6">
            <v>541.22222222222217</v>
          </cell>
        </row>
        <row r="7">
          <cell r="C7">
            <v>1708</v>
          </cell>
          <cell r="D7">
            <v>94.888888888888886</v>
          </cell>
        </row>
        <row r="8">
          <cell r="C8">
            <v>308</v>
          </cell>
          <cell r="D8">
            <v>17.111111111111111</v>
          </cell>
        </row>
        <row r="9">
          <cell r="C9">
            <v>22713</v>
          </cell>
          <cell r="D9">
            <v>1261.8333333333333</v>
          </cell>
        </row>
        <row r="10">
          <cell r="C10">
            <v>2107</v>
          </cell>
          <cell r="D10">
            <v>117.05555555555556</v>
          </cell>
        </row>
        <row r="11">
          <cell r="C11">
            <v>5094</v>
          </cell>
          <cell r="D11">
            <v>283</v>
          </cell>
        </row>
        <row r="12">
          <cell r="C12">
            <v>11445</v>
          </cell>
          <cell r="D12">
            <v>635.83333333333337</v>
          </cell>
        </row>
        <row r="13">
          <cell r="C13">
            <v>6557</v>
          </cell>
          <cell r="D13">
            <v>364.27777777777777</v>
          </cell>
        </row>
        <row r="14">
          <cell r="C14">
            <v>58109</v>
          </cell>
          <cell r="D14">
            <v>3228.2777777777778</v>
          </cell>
        </row>
        <row r="15">
          <cell r="C15">
            <v>38934</v>
          </cell>
          <cell r="D15">
            <v>2163</v>
          </cell>
        </row>
        <row r="16">
          <cell r="C16">
            <v>38638</v>
          </cell>
          <cell r="D16">
            <v>2146.5555555555557</v>
          </cell>
        </row>
        <row r="17">
          <cell r="C17">
            <v>42932</v>
          </cell>
          <cell r="D17">
            <v>2385.1111111111113</v>
          </cell>
        </row>
        <row r="18">
          <cell r="C18">
            <v>2387</v>
          </cell>
          <cell r="D18">
            <v>132.61111111111111</v>
          </cell>
        </row>
        <row r="19">
          <cell r="C19">
            <v>3858</v>
          </cell>
          <cell r="D19">
            <v>214.33333333333334</v>
          </cell>
        </row>
        <row r="20">
          <cell r="C20">
            <v>2712</v>
          </cell>
          <cell r="D20">
            <v>150.66666666666666</v>
          </cell>
        </row>
        <row r="21">
          <cell r="C21">
            <v>8570</v>
          </cell>
          <cell r="D21">
            <v>476.11111111111109</v>
          </cell>
        </row>
        <row r="22">
          <cell r="C22">
            <v>14310</v>
          </cell>
          <cell r="D22">
            <v>795</v>
          </cell>
        </row>
        <row r="23">
          <cell r="C23">
            <v>110</v>
          </cell>
          <cell r="D23">
            <v>6.1111111111111107</v>
          </cell>
        </row>
        <row r="24">
          <cell r="C24">
            <v>890</v>
          </cell>
          <cell r="D24">
            <v>49.444444444444443</v>
          </cell>
        </row>
        <row r="25">
          <cell r="C25">
            <v>12438</v>
          </cell>
          <cell r="D25">
            <v>691</v>
          </cell>
        </row>
        <row r="26">
          <cell r="C26">
            <v>19701</v>
          </cell>
          <cell r="D26">
            <v>1094.5</v>
          </cell>
        </row>
        <row r="27">
          <cell r="C27">
            <v>8401</v>
          </cell>
          <cell r="D27">
            <v>466.72222222222223</v>
          </cell>
        </row>
        <row r="28">
          <cell r="C28">
            <v>6620</v>
          </cell>
          <cell r="D28">
            <v>367.77777777777777</v>
          </cell>
        </row>
        <row r="29">
          <cell r="C29">
            <v>1921</v>
          </cell>
          <cell r="D29">
            <v>106.72222222222223</v>
          </cell>
        </row>
        <row r="30">
          <cell r="C30">
            <v>2124</v>
          </cell>
          <cell r="D30">
            <v>118</v>
          </cell>
        </row>
        <row r="31">
          <cell r="C31">
            <v>14262</v>
          </cell>
          <cell r="D31">
            <v>792.33333333333337</v>
          </cell>
        </row>
        <row r="32">
          <cell r="C32">
            <v>11797</v>
          </cell>
          <cell r="D32">
            <v>655.38888888888891</v>
          </cell>
        </row>
        <row r="33">
          <cell r="C33">
            <v>14867</v>
          </cell>
          <cell r="D33">
            <v>825.94444444444446</v>
          </cell>
        </row>
        <row r="34">
          <cell r="C34">
            <v>10085</v>
          </cell>
          <cell r="D34">
            <v>560.27777777777783</v>
          </cell>
        </row>
        <row r="35">
          <cell r="C35">
            <v>3803</v>
          </cell>
          <cell r="D35">
            <v>211.27777777777777</v>
          </cell>
        </row>
        <row r="36">
          <cell r="C36">
            <v>3808</v>
          </cell>
          <cell r="D36">
            <v>211.55555555555554</v>
          </cell>
        </row>
        <row r="37">
          <cell r="C37">
            <v>6380</v>
          </cell>
          <cell r="D37">
            <v>354.44444444444446</v>
          </cell>
        </row>
        <row r="38">
          <cell r="C38">
            <v>4876</v>
          </cell>
          <cell r="D38">
            <v>270.88888888888891</v>
          </cell>
        </row>
        <row r="39">
          <cell r="C39">
            <v>7330</v>
          </cell>
          <cell r="D39">
            <v>407.22222222222223</v>
          </cell>
        </row>
        <row r="40">
          <cell r="C40">
            <v>4369</v>
          </cell>
          <cell r="D40">
            <v>242.72222222222223</v>
          </cell>
        </row>
        <row r="41">
          <cell r="C41">
            <v>4622</v>
          </cell>
          <cell r="D41">
            <v>256.77777777777777</v>
          </cell>
        </row>
        <row r="42">
          <cell r="C42">
            <v>938</v>
          </cell>
          <cell r="D42">
            <v>52.111111111111114</v>
          </cell>
        </row>
        <row r="43">
          <cell r="C43">
            <v>1534</v>
          </cell>
          <cell r="D43">
            <v>85.222222222222229</v>
          </cell>
        </row>
        <row r="44">
          <cell r="C44">
            <v>638</v>
          </cell>
          <cell r="D44">
            <v>35.444444444444443</v>
          </cell>
        </row>
        <row r="45">
          <cell r="C45">
            <v>750</v>
          </cell>
          <cell r="D45">
            <v>41.666666666666664</v>
          </cell>
        </row>
        <row r="46">
          <cell r="C46">
            <v>10</v>
          </cell>
          <cell r="D46">
            <v>0.55555555555555558</v>
          </cell>
        </row>
        <row r="47">
          <cell r="C47">
            <v>55</v>
          </cell>
          <cell r="D47">
            <v>3.0555555555555554</v>
          </cell>
        </row>
      </sheetData>
      <sheetData sheetId="3">
        <row r="3">
          <cell r="K3">
            <v>434157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D20E1-8530-482E-BAF2-454F195C9DA1}">
  <dimension ref="A1:D46"/>
  <sheetViews>
    <sheetView workbookViewId="0">
      <selection activeCell="J28" sqref="J28"/>
    </sheetView>
  </sheetViews>
  <sheetFormatPr baseColWidth="10" defaultRowHeight="15" x14ac:dyDescent="0.25"/>
  <cols>
    <col min="1" max="1" width="11.42578125" style="10"/>
    <col min="2" max="2" width="50.7109375" style="10" customWidth="1"/>
    <col min="3" max="3" width="12.85546875" customWidth="1"/>
    <col min="4" max="4" width="13.140625" customWidth="1"/>
    <col min="5" max="5" width="22.7109375" customWidth="1"/>
    <col min="6" max="6" width="19.28515625" customWidth="1"/>
    <col min="7" max="7" width="16.5703125" customWidth="1"/>
    <col min="8" max="8" width="19.28515625" customWidth="1"/>
    <col min="9" max="9" width="18.7109375" customWidth="1"/>
    <col min="10" max="10" width="15.140625" customWidth="1"/>
    <col min="11" max="11" width="24.7109375" customWidth="1"/>
    <col min="12" max="12" width="14" customWidth="1"/>
    <col min="14" max="14" width="13" customWidth="1"/>
    <col min="15" max="15" width="15.140625" customWidth="1"/>
  </cols>
  <sheetData>
    <row r="1" spans="1:4" ht="24" x14ac:dyDescent="0.25">
      <c r="A1" s="14" t="s">
        <v>2</v>
      </c>
      <c r="B1" s="2" t="s">
        <v>3</v>
      </c>
      <c r="C1" s="2" t="s">
        <v>49</v>
      </c>
      <c r="D1" s="2" t="s">
        <v>48</v>
      </c>
    </row>
    <row r="2" spans="1:4" x14ac:dyDescent="0.25">
      <c r="A2" s="15">
        <v>110150</v>
      </c>
      <c r="B2" s="8" t="s">
        <v>4</v>
      </c>
      <c r="C2" s="13">
        <f>'[2]VINCULO VTS BY SKU OPEN'!C4</f>
        <v>20321</v>
      </c>
      <c r="D2" s="12">
        <f ca="1">'[2]VINCULO VTS BY SKU OPEN'!D4</f>
        <v>1128.9444444444443</v>
      </c>
    </row>
    <row r="3" spans="1:4" x14ac:dyDescent="0.25">
      <c r="A3" s="15">
        <v>110151</v>
      </c>
      <c r="B3" s="8" t="s">
        <v>5</v>
      </c>
      <c r="C3" s="13">
        <f>'[2]VINCULO VTS BY SKU OPEN'!C5</f>
        <v>1383</v>
      </c>
      <c r="D3" s="12">
        <f ca="1">'[2]VINCULO VTS BY SKU OPEN'!D5</f>
        <v>76.833333333333329</v>
      </c>
    </row>
    <row r="4" spans="1:4" x14ac:dyDescent="0.25">
      <c r="A4" s="15">
        <v>110230</v>
      </c>
      <c r="B4" s="8" t="s">
        <v>6</v>
      </c>
      <c r="C4" s="13">
        <f>'[2]VINCULO VTS BY SKU OPEN'!C6</f>
        <v>9742</v>
      </c>
      <c r="D4" s="12">
        <f ca="1">'[2]VINCULO VTS BY SKU OPEN'!D6</f>
        <v>541.22222222222217</v>
      </c>
    </row>
    <row r="5" spans="1:4" x14ac:dyDescent="0.25">
      <c r="A5" s="15">
        <v>110400</v>
      </c>
      <c r="B5" s="8" t="s">
        <v>7</v>
      </c>
      <c r="C5" s="13">
        <f>'[2]VINCULO VTS BY SKU OPEN'!C7</f>
        <v>1708</v>
      </c>
      <c r="D5" s="12">
        <f ca="1">'[2]VINCULO VTS BY SKU OPEN'!D7</f>
        <v>94.888888888888886</v>
      </c>
    </row>
    <row r="6" spans="1:4" x14ac:dyDescent="0.25">
      <c r="A6" s="15">
        <v>111000</v>
      </c>
      <c r="B6" s="8" t="s">
        <v>8</v>
      </c>
      <c r="C6" s="13">
        <f>'[2]VINCULO VTS BY SKU OPEN'!C8</f>
        <v>308</v>
      </c>
      <c r="D6" s="12">
        <f ca="1">'[2]VINCULO VTS BY SKU OPEN'!D8</f>
        <v>17.111111111111111</v>
      </c>
    </row>
    <row r="7" spans="1:4" x14ac:dyDescent="0.25">
      <c r="A7" s="15">
        <v>120130</v>
      </c>
      <c r="B7" s="8" t="s">
        <v>9</v>
      </c>
      <c r="C7" s="13">
        <f>'[2]VINCULO VTS BY SKU OPEN'!C9</f>
        <v>22713</v>
      </c>
      <c r="D7" s="12">
        <f ca="1">'[2]VINCULO VTS BY SKU OPEN'!D9</f>
        <v>1261.8333333333333</v>
      </c>
    </row>
    <row r="8" spans="1:4" x14ac:dyDescent="0.25">
      <c r="A8" s="15">
        <v>120131</v>
      </c>
      <c r="B8" s="8" t="s">
        <v>10</v>
      </c>
      <c r="C8" s="13">
        <f>'[2]VINCULO VTS BY SKU OPEN'!C10</f>
        <v>2107</v>
      </c>
      <c r="D8" s="12">
        <f ca="1">'[2]VINCULO VTS BY SKU OPEN'!D10</f>
        <v>117.05555555555556</v>
      </c>
    </row>
    <row r="9" spans="1:4" x14ac:dyDescent="0.25">
      <c r="A9" s="15">
        <v>120132</v>
      </c>
      <c r="B9" s="8" t="s">
        <v>11</v>
      </c>
      <c r="C9" s="13">
        <f>'[2]VINCULO VTS BY SKU OPEN'!C11</f>
        <v>5094</v>
      </c>
      <c r="D9" s="12">
        <f ca="1">'[2]VINCULO VTS BY SKU OPEN'!D11</f>
        <v>283</v>
      </c>
    </row>
    <row r="10" spans="1:4" x14ac:dyDescent="0.25">
      <c r="A10" s="15">
        <v>130150</v>
      </c>
      <c r="B10" s="8" t="s">
        <v>12</v>
      </c>
      <c r="C10" s="13">
        <f>'[2]VINCULO VTS BY SKU OPEN'!C12</f>
        <v>11445</v>
      </c>
      <c r="D10" s="12">
        <f ca="1">'[2]VINCULO VTS BY SKU OPEN'!D12</f>
        <v>635.83333333333337</v>
      </c>
    </row>
    <row r="11" spans="1:4" x14ac:dyDescent="0.25">
      <c r="A11" s="15">
        <v>130151</v>
      </c>
      <c r="B11" s="8" t="s">
        <v>13</v>
      </c>
      <c r="C11" s="13">
        <f>'[2]VINCULO VTS BY SKU OPEN'!C13</f>
        <v>6557</v>
      </c>
      <c r="D11" s="12">
        <f ca="1">'[2]VINCULO VTS BY SKU OPEN'!D13</f>
        <v>364.27777777777777</v>
      </c>
    </row>
    <row r="12" spans="1:4" x14ac:dyDescent="0.25">
      <c r="A12" s="15">
        <v>130152</v>
      </c>
      <c r="B12" s="8" t="s">
        <v>14</v>
      </c>
      <c r="C12" s="13">
        <f>'[2]VINCULO VTS BY SKU OPEN'!C14</f>
        <v>58109</v>
      </c>
      <c r="D12" s="12">
        <f ca="1">'[2]VINCULO VTS BY SKU OPEN'!D14</f>
        <v>3228.2777777777778</v>
      </c>
    </row>
    <row r="13" spans="1:4" x14ac:dyDescent="0.25">
      <c r="A13" s="15">
        <v>130153</v>
      </c>
      <c r="B13" s="8" t="s">
        <v>15</v>
      </c>
      <c r="C13" s="13">
        <f>'[2]VINCULO VTS BY SKU OPEN'!C15</f>
        <v>38934</v>
      </c>
      <c r="D13" s="12">
        <f ca="1">'[2]VINCULO VTS BY SKU OPEN'!D15</f>
        <v>2163</v>
      </c>
    </row>
    <row r="14" spans="1:4" x14ac:dyDescent="0.25">
      <c r="A14" s="15">
        <v>130154</v>
      </c>
      <c r="B14" s="8" t="s">
        <v>16</v>
      </c>
      <c r="C14" s="13">
        <f>'[2]VINCULO VTS BY SKU OPEN'!C16</f>
        <v>38638</v>
      </c>
      <c r="D14" s="12">
        <f ca="1">'[2]VINCULO VTS BY SKU OPEN'!D16</f>
        <v>2146.5555555555557</v>
      </c>
    </row>
    <row r="15" spans="1:4" x14ac:dyDescent="0.25">
      <c r="A15" s="15">
        <v>130155</v>
      </c>
      <c r="B15" s="8" t="s">
        <v>17</v>
      </c>
      <c r="C15" s="13">
        <f>'[2]VINCULO VTS BY SKU OPEN'!C17</f>
        <v>42932</v>
      </c>
      <c r="D15" s="12">
        <f ca="1">'[2]VINCULO VTS BY SKU OPEN'!D17</f>
        <v>2385.1111111111113</v>
      </c>
    </row>
    <row r="16" spans="1:4" x14ac:dyDescent="0.25">
      <c r="A16" s="15">
        <v>130156</v>
      </c>
      <c r="B16" s="8" t="s">
        <v>18</v>
      </c>
      <c r="C16" s="13">
        <f>'[2]VINCULO VTS BY SKU OPEN'!C18</f>
        <v>2387</v>
      </c>
      <c r="D16" s="12">
        <f ca="1">'[2]VINCULO VTS BY SKU OPEN'!D18</f>
        <v>132.61111111111111</v>
      </c>
    </row>
    <row r="17" spans="1:4" x14ac:dyDescent="0.25">
      <c r="A17" s="15">
        <v>130700</v>
      </c>
      <c r="B17" s="8" t="s">
        <v>19</v>
      </c>
      <c r="C17" s="13">
        <f>'[2]VINCULO VTS BY SKU OPEN'!C19</f>
        <v>3858</v>
      </c>
      <c r="D17" s="12">
        <f ca="1">'[2]VINCULO VTS BY SKU OPEN'!D19</f>
        <v>214.33333333333334</v>
      </c>
    </row>
    <row r="18" spans="1:4" x14ac:dyDescent="0.25">
      <c r="A18" s="15">
        <v>130701</v>
      </c>
      <c r="B18" s="8" t="s">
        <v>20</v>
      </c>
      <c r="C18" s="13">
        <f>'[2]VINCULO VTS BY SKU OPEN'!C20</f>
        <v>2712</v>
      </c>
      <c r="D18" s="12">
        <f ca="1">'[2]VINCULO VTS BY SKU OPEN'!D20</f>
        <v>150.66666666666666</v>
      </c>
    </row>
    <row r="19" spans="1:4" x14ac:dyDescent="0.25">
      <c r="A19" s="15">
        <v>130702</v>
      </c>
      <c r="B19" s="8" t="s">
        <v>21</v>
      </c>
      <c r="C19" s="13">
        <f>'[2]VINCULO VTS BY SKU OPEN'!C21</f>
        <v>8570</v>
      </c>
      <c r="D19" s="12">
        <f ca="1">'[2]VINCULO VTS BY SKU OPEN'!D21</f>
        <v>476.11111111111109</v>
      </c>
    </row>
    <row r="20" spans="1:4" x14ac:dyDescent="0.25">
      <c r="A20" s="15">
        <v>130703</v>
      </c>
      <c r="B20" s="8" t="s">
        <v>22</v>
      </c>
      <c r="C20" s="13">
        <f>'[2]VINCULO VTS BY SKU OPEN'!C22</f>
        <v>14310</v>
      </c>
      <c r="D20" s="12">
        <f ca="1">'[2]VINCULO VTS BY SKU OPEN'!D22</f>
        <v>795</v>
      </c>
    </row>
    <row r="21" spans="1:4" x14ac:dyDescent="0.25">
      <c r="A21" s="15">
        <v>130704</v>
      </c>
      <c r="B21" s="8" t="s">
        <v>23</v>
      </c>
      <c r="C21" s="13">
        <f>'[2]VINCULO VTS BY SKU OPEN'!C23</f>
        <v>110</v>
      </c>
      <c r="D21" s="12">
        <f ca="1">'[2]VINCULO VTS BY SKU OPEN'!D23</f>
        <v>6.1111111111111107</v>
      </c>
    </row>
    <row r="22" spans="1:4" x14ac:dyDescent="0.25">
      <c r="A22" s="15">
        <v>130707</v>
      </c>
      <c r="B22" s="8" t="s">
        <v>24</v>
      </c>
      <c r="C22" s="13">
        <f>'[2]VINCULO VTS BY SKU OPEN'!C24</f>
        <v>890</v>
      </c>
      <c r="D22" s="12">
        <f ca="1">'[2]VINCULO VTS BY SKU OPEN'!D24</f>
        <v>49.444444444444443</v>
      </c>
    </row>
    <row r="23" spans="1:4" x14ac:dyDescent="0.25">
      <c r="A23" s="15">
        <v>131150</v>
      </c>
      <c r="B23" s="8" t="s">
        <v>25</v>
      </c>
      <c r="C23" s="13">
        <f>'[2]VINCULO VTS BY SKU OPEN'!C25</f>
        <v>12438</v>
      </c>
      <c r="D23" s="12">
        <f ca="1">'[2]VINCULO VTS BY SKU OPEN'!D25</f>
        <v>691</v>
      </c>
    </row>
    <row r="24" spans="1:4" x14ac:dyDescent="0.25">
      <c r="A24" s="15">
        <v>131151</v>
      </c>
      <c r="B24" s="8" t="s">
        <v>26</v>
      </c>
      <c r="C24" s="13">
        <f>'[2]VINCULO VTS BY SKU OPEN'!C26</f>
        <v>19701</v>
      </c>
      <c r="D24" s="12">
        <f ca="1">'[2]VINCULO VTS BY SKU OPEN'!D26</f>
        <v>1094.5</v>
      </c>
    </row>
    <row r="25" spans="1:4" x14ac:dyDescent="0.25">
      <c r="A25" s="15">
        <v>131152</v>
      </c>
      <c r="B25" s="8" t="s">
        <v>27</v>
      </c>
      <c r="C25" s="13">
        <f>'[2]VINCULO VTS BY SKU OPEN'!C27</f>
        <v>8401</v>
      </c>
      <c r="D25" s="12">
        <f ca="1">'[2]VINCULO VTS BY SKU OPEN'!D27</f>
        <v>466.72222222222223</v>
      </c>
    </row>
    <row r="26" spans="1:4" x14ac:dyDescent="0.25">
      <c r="A26" s="15">
        <v>131153</v>
      </c>
      <c r="B26" s="8" t="s">
        <v>28</v>
      </c>
      <c r="C26" s="13">
        <f>'[2]VINCULO VTS BY SKU OPEN'!C28</f>
        <v>6620</v>
      </c>
      <c r="D26" s="12">
        <f ca="1">'[2]VINCULO VTS BY SKU OPEN'!D28</f>
        <v>367.77777777777777</v>
      </c>
    </row>
    <row r="27" spans="1:4" x14ac:dyDescent="0.25">
      <c r="A27" s="15">
        <v>131700</v>
      </c>
      <c r="B27" s="8" t="s">
        <v>29</v>
      </c>
      <c r="C27" s="13">
        <f>'[2]VINCULO VTS BY SKU OPEN'!C29</f>
        <v>1921</v>
      </c>
      <c r="D27" s="12">
        <f ca="1">'[2]VINCULO VTS BY SKU OPEN'!D29</f>
        <v>106.72222222222223</v>
      </c>
    </row>
    <row r="28" spans="1:4" x14ac:dyDescent="0.25">
      <c r="A28" s="15">
        <v>131701</v>
      </c>
      <c r="B28" s="8" t="s">
        <v>30</v>
      </c>
      <c r="C28" s="13">
        <f>'[2]VINCULO VTS BY SKU OPEN'!C30</f>
        <v>2124</v>
      </c>
      <c r="D28" s="12">
        <f ca="1">'[2]VINCULO VTS BY SKU OPEN'!D30</f>
        <v>118</v>
      </c>
    </row>
    <row r="29" spans="1:4" x14ac:dyDescent="0.25">
      <c r="A29" s="15">
        <v>132150</v>
      </c>
      <c r="B29" s="8" t="s">
        <v>31</v>
      </c>
      <c r="C29" s="13">
        <f>'[2]VINCULO VTS BY SKU OPEN'!C31</f>
        <v>14262</v>
      </c>
      <c r="D29" s="12">
        <f ca="1">'[2]VINCULO VTS BY SKU OPEN'!D31</f>
        <v>792.33333333333337</v>
      </c>
    </row>
    <row r="30" spans="1:4" x14ac:dyDescent="0.25">
      <c r="A30" s="15">
        <v>132151</v>
      </c>
      <c r="B30" s="8" t="s">
        <v>32</v>
      </c>
      <c r="C30" s="13">
        <f>'[2]VINCULO VTS BY SKU OPEN'!C32</f>
        <v>11797</v>
      </c>
      <c r="D30" s="12">
        <f ca="1">'[2]VINCULO VTS BY SKU OPEN'!D32</f>
        <v>655.38888888888891</v>
      </c>
    </row>
    <row r="31" spans="1:4" x14ac:dyDescent="0.25">
      <c r="A31" s="15">
        <v>132152</v>
      </c>
      <c r="B31" s="8" t="s">
        <v>33</v>
      </c>
      <c r="C31" s="13">
        <f>'[2]VINCULO VTS BY SKU OPEN'!C33</f>
        <v>14867</v>
      </c>
      <c r="D31" s="12">
        <f ca="1">'[2]VINCULO VTS BY SKU OPEN'!D33</f>
        <v>825.94444444444446</v>
      </c>
    </row>
    <row r="32" spans="1:4" x14ac:dyDescent="0.25">
      <c r="A32" s="15">
        <v>132153</v>
      </c>
      <c r="B32" s="8" t="s">
        <v>34</v>
      </c>
      <c r="C32" s="13">
        <f>'[2]VINCULO VTS BY SKU OPEN'!C34</f>
        <v>10085</v>
      </c>
      <c r="D32" s="12">
        <f ca="1">'[2]VINCULO VTS BY SKU OPEN'!D34</f>
        <v>560.27777777777783</v>
      </c>
    </row>
    <row r="33" spans="1:4" x14ac:dyDescent="0.25">
      <c r="A33" s="15">
        <v>140230</v>
      </c>
      <c r="B33" s="8" t="s">
        <v>35</v>
      </c>
      <c r="C33" s="13">
        <f>'[2]VINCULO VTS BY SKU OPEN'!C35</f>
        <v>3803</v>
      </c>
      <c r="D33" s="12">
        <f ca="1">'[2]VINCULO VTS BY SKU OPEN'!D35</f>
        <v>211.27777777777777</v>
      </c>
    </row>
    <row r="34" spans="1:4" x14ac:dyDescent="0.25">
      <c r="A34" s="15">
        <v>140231</v>
      </c>
      <c r="B34" s="8" t="s">
        <v>36</v>
      </c>
      <c r="C34" s="13">
        <f>'[2]VINCULO VTS BY SKU OPEN'!C36</f>
        <v>3808</v>
      </c>
      <c r="D34" s="12">
        <f ca="1">'[2]VINCULO VTS BY SKU OPEN'!D36</f>
        <v>211.55555555555554</v>
      </c>
    </row>
    <row r="35" spans="1:4" x14ac:dyDescent="0.25">
      <c r="A35" s="15">
        <v>140232</v>
      </c>
      <c r="B35" s="8" t="s">
        <v>37</v>
      </c>
      <c r="C35" s="13">
        <f>'[2]VINCULO VTS BY SKU OPEN'!C37</f>
        <v>6380</v>
      </c>
      <c r="D35" s="12">
        <f ca="1">'[2]VINCULO VTS BY SKU OPEN'!D37</f>
        <v>354.44444444444446</v>
      </c>
    </row>
    <row r="36" spans="1:4" x14ac:dyDescent="0.25">
      <c r="A36" s="15">
        <v>150360</v>
      </c>
      <c r="B36" s="8" t="s">
        <v>38</v>
      </c>
      <c r="C36" s="13">
        <f>'[2]VINCULO VTS BY SKU OPEN'!C38</f>
        <v>4876</v>
      </c>
      <c r="D36" s="12">
        <f ca="1">'[2]VINCULO VTS BY SKU OPEN'!D38</f>
        <v>270.88888888888891</v>
      </c>
    </row>
    <row r="37" spans="1:4" x14ac:dyDescent="0.25">
      <c r="A37" s="15">
        <v>150361</v>
      </c>
      <c r="B37" s="8" t="s">
        <v>39</v>
      </c>
      <c r="C37" s="13">
        <f>'[2]VINCULO VTS BY SKU OPEN'!C39</f>
        <v>7330</v>
      </c>
      <c r="D37" s="12">
        <f ca="1">'[2]VINCULO VTS BY SKU OPEN'!D39</f>
        <v>407.22222222222223</v>
      </c>
    </row>
    <row r="38" spans="1:4" x14ac:dyDescent="0.25">
      <c r="A38" s="15">
        <v>150362</v>
      </c>
      <c r="B38" s="8" t="s">
        <v>40</v>
      </c>
      <c r="C38" s="13">
        <f>'[2]VINCULO VTS BY SKU OPEN'!C40</f>
        <v>4369</v>
      </c>
      <c r="D38" s="12">
        <f ca="1">'[2]VINCULO VTS BY SKU OPEN'!D40</f>
        <v>242.72222222222223</v>
      </c>
    </row>
    <row r="39" spans="1:4" x14ac:dyDescent="0.25">
      <c r="A39" s="15">
        <v>150363</v>
      </c>
      <c r="B39" s="8" t="s">
        <v>41</v>
      </c>
      <c r="C39" s="13">
        <f>'[2]VINCULO VTS BY SKU OPEN'!C41</f>
        <v>4622</v>
      </c>
      <c r="D39" s="12">
        <f ca="1">'[2]VINCULO VTS BY SKU OPEN'!D41</f>
        <v>256.77777777777777</v>
      </c>
    </row>
    <row r="40" spans="1:4" x14ac:dyDescent="0.25">
      <c r="A40" s="15">
        <v>151500</v>
      </c>
      <c r="B40" s="8" t="s">
        <v>42</v>
      </c>
      <c r="C40" s="13">
        <f>'[2]VINCULO VTS BY SKU OPEN'!C42</f>
        <v>938</v>
      </c>
      <c r="D40" s="12">
        <f ca="1">'[2]VINCULO VTS BY SKU OPEN'!D42</f>
        <v>52.111111111111114</v>
      </c>
    </row>
    <row r="41" spans="1:4" x14ac:dyDescent="0.25">
      <c r="A41" s="15">
        <v>151501</v>
      </c>
      <c r="B41" s="8" t="s">
        <v>43</v>
      </c>
      <c r="C41" s="13">
        <f>'[2]VINCULO VTS BY SKU OPEN'!C43</f>
        <v>1534</v>
      </c>
      <c r="D41" s="12">
        <f ca="1">'[2]VINCULO VTS BY SKU OPEN'!D43</f>
        <v>85.222222222222229</v>
      </c>
    </row>
    <row r="42" spans="1:4" x14ac:dyDescent="0.25">
      <c r="A42" s="15">
        <v>151502</v>
      </c>
      <c r="B42" s="8" t="s">
        <v>44</v>
      </c>
      <c r="C42" s="13">
        <f>'[2]VINCULO VTS BY SKU OPEN'!C44</f>
        <v>638</v>
      </c>
      <c r="D42" s="12">
        <f ca="1">'[2]VINCULO VTS BY SKU OPEN'!D44</f>
        <v>35.444444444444443</v>
      </c>
    </row>
    <row r="43" spans="1:4" x14ac:dyDescent="0.25">
      <c r="A43" s="15">
        <v>151503</v>
      </c>
      <c r="B43" s="8" t="s">
        <v>45</v>
      </c>
      <c r="C43" s="13">
        <f>'[2]VINCULO VTS BY SKU OPEN'!C45</f>
        <v>750</v>
      </c>
      <c r="D43" s="12">
        <f ca="1">'[2]VINCULO VTS BY SKU OPEN'!D45</f>
        <v>41.666666666666664</v>
      </c>
    </row>
    <row r="44" spans="1:4" x14ac:dyDescent="0.25">
      <c r="A44" s="15"/>
      <c r="B44" s="8" t="s">
        <v>46</v>
      </c>
      <c r="C44" s="13">
        <f>'[2]VINCULO VTS BY SKU OPEN'!C46</f>
        <v>10</v>
      </c>
      <c r="D44" s="12">
        <f ca="1">'[2]VINCULO VTS BY SKU OPEN'!D46</f>
        <v>0.55555555555555558</v>
      </c>
    </row>
    <row r="45" spans="1:4" x14ac:dyDescent="0.25">
      <c r="A45" s="15"/>
      <c r="B45" s="8" t="s">
        <v>47</v>
      </c>
      <c r="C45" s="13">
        <f>'[2]VINCULO VTS BY SKU OPEN'!C47</f>
        <v>55</v>
      </c>
      <c r="D45" s="12">
        <f ca="1">'[2]VINCULO VTS BY SKU OPEN'!D47</f>
        <v>3.0555555555555554</v>
      </c>
    </row>
    <row r="46" spans="1:4" x14ac:dyDescent="0.25">
      <c r="C46" s="1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C79391-350C-4657-A510-D4378E4F4331}">
  <dimension ref="A1:G5"/>
  <sheetViews>
    <sheetView tabSelected="1" workbookViewId="0">
      <selection activeCell="E21" sqref="E21"/>
    </sheetView>
  </sheetViews>
  <sheetFormatPr baseColWidth="10" defaultRowHeight="15" x14ac:dyDescent="0.25"/>
  <cols>
    <col min="1" max="7" width="13.28515625" customWidth="1"/>
    <col min="9" max="9" width="14.42578125" customWidth="1"/>
  </cols>
  <sheetData>
    <row r="1" spans="1:7" x14ac:dyDescent="0.25">
      <c r="A1" s="20" t="s">
        <v>51</v>
      </c>
      <c r="B1" s="20"/>
      <c r="C1" s="20"/>
      <c r="D1" s="20"/>
      <c r="E1" s="20"/>
      <c r="F1" s="20"/>
      <c r="G1" s="20"/>
    </row>
    <row r="2" spans="1:7" ht="24" x14ac:dyDescent="0.25">
      <c r="A2" s="1" t="s">
        <v>52</v>
      </c>
      <c r="B2" s="1" t="s">
        <v>53</v>
      </c>
      <c r="C2" s="1" t="s">
        <v>54</v>
      </c>
      <c r="D2" s="1" t="s">
        <v>55</v>
      </c>
      <c r="E2" s="1" t="s">
        <v>0</v>
      </c>
      <c r="F2" s="1" t="s">
        <v>1</v>
      </c>
      <c r="G2" s="1" t="s">
        <v>56</v>
      </c>
    </row>
    <row r="3" spans="1:7" ht="23.25" x14ac:dyDescent="0.35">
      <c r="A3" s="3">
        <f>'[1]VENTAS JULIO'!$G$117</f>
        <v>437550</v>
      </c>
      <c r="B3" s="3">
        <f>'[2]DESV. VTS BY SKU'!$K$3</f>
        <v>434157</v>
      </c>
      <c r="C3" s="4">
        <f ca="1">A3/E5</f>
        <v>24308.333333333332</v>
      </c>
      <c r="D3" s="5">
        <f ca="1">C3*22</f>
        <v>534783.33333333326</v>
      </c>
      <c r="E3" s="4">
        <v>696207</v>
      </c>
      <c r="F3" s="6">
        <f>A3/E3</f>
        <v>0.62847687541205421</v>
      </c>
      <c r="G3" s="7">
        <f>A3-E3</f>
        <v>-258657</v>
      </c>
    </row>
    <row r="4" spans="1:7" x14ac:dyDescent="0.25">
      <c r="A4" s="16" t="s">
        <v>50</v>
      </c>
      <c r="B4" s="16" t="s">
        <v>57</v>
      </c>
      <c r="C4" s="16" t="s">
        <v>58</v>
      </c>
      <c r="D4" s="16" t="s">
        <v>59</v>
      </c>
      <c r="E4" s="16" t="s">
        <v>60</v>
      </c>
      <c r="F4" s="16" t="s">
        <v>61</v>
      </c>
    </row>
    <row r="5" spans="1:7" x14ac:dyDescent="0.25">
      <c r="A5" s="9">
        <f>A3-B3</f>
        <v>3393</v>
      </c>
      <c r="B5" s="17">
        <v>46204</v>
      </c>
      <c r="C5" s="17">
        <f ca="1">TODAY()-1</f>
        <v>46230</v>
      </c>
      <c r="D5" s="17">
        <v>46234</v>
      </c>
      <c r="E5" s="19">
        <f ca="1">NETWORKDAYS(B5,C5)-1</f>
        <v>18</v>
      </c>
      <c r="F5" s="18">
        <f ca="1">NETWORKDAYS(C5,D5)</f>
        <v>5</v>
      </c>
    </row>
  </sheetData>
  <mergeCells count="1">
    <mergeCell ref="A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file_ventas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2026-07-13T21:19:51Z</dcterms:created>
  <dcterms:modified xsi:type="dcterms:W3CDTF">2026-07-28T13:02:25Z</dcterms:modified>
</cp:coreProperties>
</file>