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DD94D3FF-CDF1-413F-A978-2C2CF6C30F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<sst xmlns="http://schemas.openxmlformats.org/spreadsheetml/2006/main" count="102" uniqueCount="62">
  <si>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</si>
  <si>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</si>
  <si>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JUNIO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</si>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</sst>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  <sheetName val="INVENTARIO NACIONAL 28-07-26"/>
      <sheetName val="INVENTARIO NACIONAL 29-07-26"/>
      <sheetName val="INVENTARIO NACIONAL 30-07-26"/>
      <sheetName val="INVENTARIO NACIONAL 31-07-26"/>
    </sheetNames>
    <sheetDataSet>
      <sheetData sheetId="0"/>
      <sheetData sheetId="1"/>
      <sheetData sheetId="2"/>
      <sheetData sheetId="3">
        <row r="4">
          <cell r="F4">
            <v>1118.5454545454545</v>
          </cell>
          <cell r="G4">
            <v>7.0285316631871986E-2</v>
          </cell>
          <cell r="H4" t="str">
            <v>SUBIÓ</v>
          </cell>
        </row>
        <row r="5">
          <cell r="F5">
            <v>77.954545454545453</v>
          </cell>
          <cell r="G5">
            <v>2.6331538001196808E-2</v>
          </cell>
          <cell r="H5" t="str">
            <v>SUBIÓ</v>
          </cell>
        </row>
        <row r="6">
          <cell r="F6">
            <v>547.5</v>
          </cell>
          <cell r="G6">
            <v>0.1201525155770482</v>
          </cell>
          <cell r="H6" t="str">
            <v>SUBIÓ</v>
          </cell>
        </row>
        <row r="7">
          <cell r="F7">
            <v>97.772727272727266</v>
          </cell>
          <cell r="G7">
            <v>7.0149253731343286E-2</v>
          </cell>
          <cell r="H7" t="str">
            <v>SUBIÓ</v>
          </cell>
        </row>
        <row r="8">
          <cell r="F8">
            <v>16.681818181818183</v>
          </cell>
          <cell r="G8">
            <v>4.5584045584045718E-2</v>
          </cell>
          <cell r="H8" t="str">
            <v>SUBIÓ</v>
          </cell>
        </row>
        <row r="9">
          <cell r="F9">
            <v>1294.909090909091</v>
          </cell>
          <cell r="G9">
            <v>-0.10163665604995109</v>
          </cell>
          <cell r="H9" t="str">
            <v>BAJO</v>
          </cell>
        </row>
        <row r="10">
          <cell r="F10">
            <v>122.18181818181819</v>
          </cell>
          <cell r="G10">
            <v>-8.0711354309165428E-2</v>
          </cell>
          <cell r="H10" t="str">
            <v>BAJO</v>
          </cell>
        </row>
        <row r="11">
          <cell r="F11">
            <v>303.72727272727275</v>
          </cell>
          <cell r="G11">
            <v>-8.6784201175344911E-2</v>
          </cell>
          <cell r="H11" t="str">
            <v>BAJO</v>
          </cell>
        </row>
        <row r="12">
          <cell r="F12">
            <v>662</v>
          </cell>
          <cell r="G12">
            <v>-7.2533910717697214E-2</v>
          </cell>
          <cell r="H12" t="str">
            <v>BAJO</v>
          </cell>
        </row>
        <row r="13">
          <cell r="F13">
            <v>405.22727272727275</v>
          </cell>
          <cell r="G13">
            <v>-0.15296912114014249</v>
          </cell>
          <cell r="H13" t="str">
            <v>BAJO</v>
          </cell>
        </row>
        <row r="14">
          <cell r="F14">
            <v>3250.0454545454545</v>
          </cell>
          <cell r="G14">
            <v>-6.9542585724510442E-2</v>
          </cell>
          <cell r="H14" t="str">
            <v>BAJO</v>
          </cell>
        </row>
        <row r="15">
          <cell r="F15">
            <v>2178.5454545454545</v>
          </cell>
          <cell r="G15">
            <v>-2.2954295266440994E-2</v>
          </cell>
          <cell r="H15" t="str">
            <v>BAJO</v>
          </cell>
        </row>
        <row r="16">
          <cell r="F16">
            <v>2162.5454545454545</v>
          </cell>
          <cell r="G16">
            <v>-6.2190770929017813E-2</v>
          </cell>
          <cell r="H16" t="str">
            <v>BAJO</v>
          </cell>
        </row>
        <row r="17">
          <cell r="F17">
            <v>2404.681818181818</v>
          </cell>
          <cell r="G17">
            <v>-0.11208271093133715</v>
          </cell>
          <cell r="H17" t="str">
            <v>BAJO</v>
          </cell>
        </row>
        <row r="18">
          <cell r="F18">
            <v>133.13636363636363</v>
          </cell>
          <cell r="G18">
            <v>-0.23504831548707239</v>
          </cell>
          <cell r="H18" t="str">
            <v>BAJO</v>
          </cell>
        </row>
        <row r="19">
          <cell r="F19">
            <v>225.86363636363637</v>
          </cell>
          <cell r="G19">
            <v>5.2531243380639747E-2</v>
          </cell>
          <cell r="H19" t="str">
            <v>SUBIÓ</v>
          </cell>
        </row>
        <row r="20">
          <cell r="F20">
            <v>147.90909090909091</v>
          </cell>
          <cell r="G20">
            <v>0.16255805644873167</v>
          </cell>
          <cell r="H20" t="str">
            <v>SUBIÓ</v>
          </cell>
        </row>
        <row r="21">
          <cell r="F21">
            <v>486.59090909090907</v>
          </cell>
          <cell r="G21">
            <v>4.9755914382274558E-3</v>
          </cell>
          <cell r="H21" t="str">
            <v>SUBIÓ</v>
          </cell>
        </row>
        <row r="22">
          <cell r="F22">
            <v>796.40909090909088</v>
          </cell>
          <cell r="G22">
            <v>2.2586669779385948E-2</v>
          </cell>
          <cell r="H22" t="str">
            <v>SUBIÓ</v>
          </cell>
        </row>
        <row r="23">
          <cell r="F23">
            <v>5</v>
          </cell>
          <cell r="G23">
            <v>-0.90871369294605808</v>
          </cell>
          <cell r="H23" t="str">
            <v>BAJO</v>
          </cell>
        </row>
        <row r="24">
          <cell r="F24">
            <v>49.18181818181818</v>
          </cell>
          <cell r="G24">
            <v>0.1825136612021856</v>
          </cell>
          <cell r="H24" t="str">
            <v>SUBIÓ</v>
          </cell>
        </row>
        <row r="25">
          <cell r="F25">
            <v>684.72727272727275</v>
          </cell>
          <cell r="G25">
            <v>-0.21101974545644997</v>
          </cell>
          <cell r="H25" t="str">
            <v>BAJO</v>
          </cell>
        </row>
        <row r="26">
          <cell r="F26">
            <v>1109.590909090909</v>
          </cell>
          <cell r="G26">
            <v>-0.19742898474487114</v>
          </cell>
          <cell r="H26" t="str">
            <v>BAJO</v>
          </cell>
        </row>
        <row r="27">
          <cell r="F27">
            <v>482.90909090909093</v>
          </cell>
          <cell r="G27">
            <v>-0.11488794468049657</v>
          </cell>
          <cell r="H27" t="str">
            <v>BAJO</v>
          </cell>
        </row>
        <row r="28">
          <cell r="F28">
            <v>366.40909090909093</v>
          </cell>
          <cell r="G28">
            <v>-0.27299783549783541</v>
          </cell>
          <cell r="H28" t="str">
            <v>BAJO</v>
          </cell>
        </row>
        <row r="29">
          <cell r="F29">
            <v>107.04545454545455</v>
          </cell>
          <cell r="G29">
            <v>-0.17829727843684584</v>
          </cell>
          <cell r="H29" t="str">
            <v>BAJO</v>
          </cell>
        </row>
        <row r="30">
          <cell r="F30">
            <v>122.54545454545455</v>
          </cell>
          <cell r="G30">
            <v>-0.14167462591531366</v>
          </cell>
          <cell r="H30" t="str">
            <v>BAJO</v>
          </cell>
        </row>
        <row r="31">
          <cell r="F31">
            <v>790.72727272727275</v>
          </cell>
          <cell r="G31">
            <v>-7.1718249733191075E-2</v>
          </cell>
          <cell r="H31" t="str">
            <v>BAJO</v>
          </cell>
        </row>
        <row r="32">
          <cell r="F32">
            <v>651.5454545454545</v>
          </cell>
          <cell r="G32">
            <v>-0.24009966601282939</v>
          </cell>
          <cell r="H32" t="str">
            <v>BAJO</v>
          </cell>
        </row>
        <row r="33">
          <cell r="F33">
            <v>842.63636363636363</v>
          </cell>
          <cell r="G33">
            <v>-0.21081311196253727</v>
          </cell>
          <cell r="H33" t="str">
            <v>BAJO</v>
          </cell>
        </row>
        <row r="34">
          <cell r="F34">
            <v>572.36363636363637</v>
          </cell>
          <cell r="G34">
            <v>-0.16454352441613596</v>
          </cell>
          <cell r="H34" t="str">
            <v>BAJO</v>
          </cell>
        </row>
        <row r="35">
          <cell r="F35">
            <v>212.54545454545453</v>
          </cell>
          <cell r="G35">
            <v>1.8292682926829285E-2</v>
          </cell>
          <cell r="H35" t="str">
            <v>SUBIÓ</v>
          </cell>
        </row>
        <row r="36">
          <cell r="F36">
            <v>291.45454545454544</v>
          </cell>
          <cell r="G36">
            <v>-0.42938506718875147</v>
          </cell>
          <cell r="H36" t="str">
            <v>BAJO</v>
          </cell>
        </row>
        <row r="37">
          <cell r="F37">
            <v>374.22727272727275</v>
          </cell>
          <cell r="G37">
            <v>-0.1728122174218828</v>
          </cell>
          <cell r="H37" t="str">
            <v>BAJO</v>
          </cell>
        </row>
        <row r="38">
          <cell r="F38">
            <v>272.95454545454544</v>
          </cell>
          <cell r="G38">
            <v>-0.19933333333333347</v>
          </cell>
          <cell r="H38" t="str">
            <v>BAJO</v>
          </cell>
        </row>
        <row r="39">
          <cell r="F39">
            <v>420.40909090909093</v>
          </cell>
          <cell r="G39">
            <v>-0.16974865350089763</v>
          </cell>
          <cell r="H39" t="str">
            <v>BAJO</v>
          </cell>
        </row>
        <row r="40">
          <cell r="F40">
            <v>246.45454545454547</v>
          </cell>
          <cell r="G40">
            <v>-0.11085601836667758</v>
          </cell>
          <cell r="H40" t="str">
            <v>BAJO</v>
          </cell>
        </row>
        <row r="41">
          <cell r="F41">
            <v>263.40909090909093</v>
          </cell>
          <cell r="G41">
            <v>-0.1058478629841072</v>
          </cell>
          <cell r="H41" t="str">
            <v>BAJO</v>
          </cell>
        </row>
        <row r="42">
          <cell r="F42">
            <v>49.909090909090907</v>
          </cell>
          <cell r="G42">
            <v>-0.30152671755725191</v>
          </cell>
          <cell r="H42" t="str">
            <v>BAJO</v>
          </cell>
        </row>
        <row r="43">
          <cell r="F43">
            <v>79.409090909090907</v>
          </cell>
          <cell r="G43">
            <v>-0.24076488483268144</v>
          </cell>
          <cell r="H43" t="str">
            <v>BAJO</v>
          </cell>
        </row>
        <row r="44">
          <cell r="F44">
            <v>34.272727272727273</v>
          </cell>
          <cell r="G44">
            <v>-0.29598506069094299</v>
          </cell>
          <cell r="H44" t="str">
            <v>BAJO</v>
          </cell>
        </row>
        <row r="45">
          <cell r="F45">
            <v>37.5</v>
          </cell>
          <cell r="G45">
            <v>-0.21278625954198471</v>
          </cell>
          <cell r="H45" t="str">
            <v>BAJO</v>
          </cell>
        </row>
        <row r="46">
          <cell r="F46">
            <v>0.81818181818181823</v>
          </cell>
          <cell r="G46">
            <v>0.50000000000000022</v>
          </cell>
          <cell r="H46" t="str">
            <v>SUBIÓ</v>
          </cell>
        </row>
        <row r="47">
          <cell r="F47">
            <v>3.2727272727272729</v>
          </cell>
          <cell r="G47">
            <v>0.18032786885246033</v>
          </cell>
          <cell r="H47" t="str">
            <v>SUBIÓ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3" sqref="G3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61</v>
      </c>
      <c r="D1" s="4" t="s">
        <v>2</v>
      </c>
      <c r="E1" s="4" t="s">
        <v>3</v>
      </c>
      <c r="F1" s="4" t="s">
        <v>4</v>
      </c>
      <c r="G1" t="s">
        <v>5</v>
      </c>
      <c r="H1" s="4" t="s">
        <v>55</v>
      </c>
    </row>
    <row r="2" spans="1:8" x14ac:dyDescent="0.2">
      <c r="A2">
        <v>110150</v>
      </c>
      <c r="B2" t="s">
        <v>6</v>
      </c>
      <c r="C2" s="4" t="s">
        <v>56</v>
      </c>
      <c r="D2" s="5">
        <v>1045</v>
      </c>
      <c r="E2" s="5">
        <f ca="1">'[1]DESV. VTS BY SKU'!$F$4</f>
        <v>1118.5454545454545</v>
      </c>
      <c r="F2" s="6">
        <f ca="1">'[1]DESV. VTS BY SKU'!G4</f>
        <v>7.0285316631871986E-2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7</v>
      </c>
      <c r="C3" s="4" t="s">
        <v>56</v>
      </c>
      <c r="D3" s="5">
        <v>76</v>
      </c>
      <c r="E3" s="5">
        <f ca="1">'[1]DESV. VTS BY SKU'!F5</f>
        <v>77.954545454545453</v>
      </c>
      <c r="F3" s="7">
        <f ca="1">'[1]DESV. VTS BY SKU'!G5</f>
        <v>2.6331538001196808E-2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8</v>
      </c>
      <c r="C4" s="4" t="s">
        <v>56</v>
      </c>
      <c r="D4" s="5">
        <v>489</v>
      </c>
      <c r="E4" s="5">
        <f ca="1">'[1]DESV. VTS BY SKU'!F6</f>
        <v>547.5</v>
      </c>
      <c r="F4" s="6">
        <f ca="1">'[1]DESV. VTS BY SKU'!G6</f>
        <v>0.1201525155770482</v>
      </c>
      <c r="G4" s="8" t="str">
        <f ca="1">'[1]DESV. VTS BY SKU'!H6</f>
        <v>SUBIÓ</v>
      </c>
      <c r="H4">
        <v>2.0299999999999998</v>
      </c>
    </row>
    <row r="5" spans="1:8" x14ac:dyDescent="0.2">
      <c r="A5">
        <v>110400</v>
      </c>
      <c r="B5" t="s">
        <v>9</v>
      </c>
      <c r="C5" s="4" t="s">
        <v>56</v>
      </c>
      <c r="D5" s="5">
        <v>91</v>
      </c>
      <c r="E5" s="5">
        <f ca="1">'[1]DESV. VTS BY SKU'!F7</f>
        <v>97.772727272727266</v>
      </c>
      <c r="F5" s="7">
        <f ca="1">'[1]DESV. VTS BY SKU'!G7</f>
        <v>7.0149253731343286E-2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10</v>
      </c>
      <c r="C6" s="4" t="s">
        <v>56</v>
      </c>
      <c r="D6" s="5">
        <v>16</v>
      </c>
      <c r="E6" s="5">
        <f ca="1">'[1]DESV. VTS BY SKU'!F8</f>
        <v>16.681818181818183</v>
      </c>
      <c r="F6" s="6">
        <f ca="1">'[1]DESV. VTS BY SKU'!G8</f>
        <v>4.5584045584045718E-2</v>
      </c>
      <c r="G6" s="8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11</v>
      </c>
      <c r="C7" s="4" t="s">
        <v>59</v>
      </c>
      <c r="D7" s="5">
        <v>1441</v>
      </c>
      <c r="E7" s="5">
        <f ca="1">'[1]DESV. VTS BY SKU'!F9</f>
        <v>1294.909090909091</v>
      </c>
      <c r="F7" s="7">
        <f ca="1">'[1]DESV. VTS BY SKU'!G9</f>
        <v>-0.10163665604995109</v>
      </c>
      <c r="G7" s="8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12</v>
      </c>
      <c r="C8" s="4" t="s">
        <v>59</v>
      </c>
      <c r="D8" s="5">
        <v>133</v>
      </c>
      <c r="E8" s="5">
        <f ca="1">'[1]DESV. VTS BY SKU'!F10</f>
        <v>122.18181818181819</v>
      </c>
      <c r="F8" s="6">
        <f ca="1">'[1]DESV. VTS BY SKU'!G10</f>
        <v>-8.0711354309165428E-2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13</v>
      </c>
      <c r="C9" s="4" t="s">
        <v>59</v>
      </c>
      <c r="D9" s="5">
        <v>333</v>
      </c>
      <c r="E9" s="5">
        <f ca="1">'[1]DESV. VTS BY SKU'!F11</f>
        <v>303.72727272727275</v>
      </c>
      <c r="F9" s="7">
        <f ca="1">'[1]DESV. VTS BY SKU'!G11</f>
        <v>-8.6784201175344911E-2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14</v>
      </c>
      <c r="C10" s="4" t="s">
        <v>57</v>
      </c>
      <c r="D10" s="5">
        <v>714</v>
      </c>
      <c r="E10" s="5">
        <f ca="1">'[1]DESV. VTS BY SKU'!F12</f>
        <v>662</v>
      </c>
      <c r="F10" s="6">
        <f ca="1">'[1]DESV. VTS BY SKU'!G12</f>
        <v>-7.2533910717697214E-2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15</v>
      </c>
      <c r="C11" s="4" t="s">
        <v>57</v>
      </c>
      <c r="D11" s="5">
        <v>478</v>
      </c>
      <c r="E11" s="5">
        <f ca="1">'[1]DESV. VTS BY SKU'!F13</f>
        <v>405.22727272727275</v>
      </c>
      <c r="F11" s="7">
        <f ca="1">'[1]DESV. VTS BY SKU'!G13</f>
        <v>-0.15296912114014249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16</v>
      </c>
      <c r="C12" s="4" t="s">
        <v>57</v>
      </c>
      <c r="D12" s="5">
        <v>3493</v>
      </c>
      <c r="E12" s="5">
        <f ca="1">'[1]DESV. VTS BY SKU'!F14</f>
        <v>3250.0454545454545</v>
      </c>
      <c r="F12" s="6">
        <f ca="1">'[1]DESV. VTS BY SKU'!G14</f>
        <v>-6.9542585724510442E-2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17</v>
      </c>
      <c r="C13" s="4" t="s">
        <v>57</v>
      </c>
      <c r="D13" s="5">
        <v>2230</v>
      </c>
      <c r="E13" s="5">
        <f ca="1">'[1]DESV. VTS BY SKU'!F15</f>
        <v>2178.5454545454545</v>
      </c>
      <c r="F13" s="7">
        <f ca="1">'[1]DESV. VTS BY SKU'!G15</f>
        <v>-2.2954295266440994E-2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18</v>
      </c>
      <c r="C14" s="4" t="s">
        <v>57</v>
      </c>
      <c r="D14" s="5">
        <v>2306</v>
      </c>
      <c r="E14" s="5">
        <f ca="1">'[1]DESV. VTS BY SKU'!F16</f>
        <v>2162.5454545454545</v>
      </c>
      <c r="F14" s="6">
        <f ca="1">'[1]DESV. VTS BY SKU'!G16</f>
        <v>-6.2190770929017813E-2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19</v>
      </c>
      <c r="C15" s="4" t="s">
        <v>57</v>
      </c>
      <c r="D15" s="5">
        <v>2708</v>
      </c>
      <c r="E15" s="5">
        <f ca="1">'[1]DESV. VTS BY SKU'!F17</f>
        <v>2404.681818181818</v>
      </c>
      <c r="F15" s="7">
        <f ca="1">'[1]DESV. VTS BY SKU'!G17</f>
        <v>-0.11208271093133715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20</v>
      </c>
      <c r="C16" s="4" t="s">
        <v>57</v>
      </c>
      <c r="D16" s="5">
        <v>174</v>
      </c>
      <c r="E16" s="5">
        <f ca="1">'[1]DESV. VTS BY SKU'!F18</f>
        <v>133.13636363636363</v>
      </c>
      <c r="F16" s="6">
        <f ca="1">'[1]DESV. VTS BY SKU'!G18</f>
        <v>-0.23504831548707239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21</v>
      </c>
      <c r="C17" s="4" t="s">
        <v>57</v>
      </c>
      <c r="D17" s="5">
        <v>215</v>
      </c>
      <c r="E17" s="5">
        <f ca="1">'[1]DESV. VTS BY SKU'!F19</f>
        <v>225.86363636363637</v>
      </c>
      <c r="F17" s="7">
        <f ca="1">'[1]DESV. VTS BY SKU'!G19</f>
        <v>5.2531243380639747E-2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22</v>
      </c>
      <c r="C18" s="4" t="s">
        <v>57</v>
      </c>
      <c r="D18" s="5">
        <v>127</v>
      </c>
      <c r="E18" s="5">
        <f ca="1">'[1]DESV. VTS BY SKU'!F20</f>
        <v>147.90909090909091</v>
      </c>
      <c r="F18" s="6">
        <f ca="1">'[1]DESV. VTS BY SKU'!G20</f>
        <v>0.16255805644873167</v>
      </c>
      <c r="G18" s="8" t="str">
        <f ca="1">'[1]DESV. VTS BY SKU'!H20</f>
        <v>SUBIÓ</v>
      </c>
      <c r="H18">
        <v>3.68</v>
      </c>
    </row>
    <row r="19" spans="1:8" x14ac:dyDescent="0.2">
      <c r="A19">
        <v>130702</v>
      </c>
      <c r="B19" t="s">
        <v>23</v>
      </c>
      <c r="C19" s="4" t="s">
        <v>57</v>
      </c>
      <c r="D19" s="5">
        <v>484</v>
      </c>
      <c r="E19" s="5">
        <f ca="1">'[1]DESV. VTS BY SKU'!F21</f>
        <v>486.59090909090907</v>
      </c>
      <c r="F19" s="7">
        <f ca="1">'[1]DESV. VTS BY SKU'!G21</f>
        <v>4.9755914382274558E-3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24</v>
      </c>
      <c r="C20" s="4" t="s">
        <v>57</v>
      </c>
      <c r="D20" s="5">
        <v>779</v>
      </c>
      <c r="E20" s="5">
        <f ca="1">'[1]DESV. VTS BY SKU'!F22</f>
        <v>796.40909090909088</v>
      </c>
      <c r="F20" s="6">
        <f ca="1">'[1]DESV. VTS BY SKU'!G22</f>
        <v>2.2586669779385948E-2</v>
      </c>
      <c r="G20" s="8" t="str">
        <f ca="1">'[1]DESV. VTS BY SKU'!H22</f>
        <v>SUBIÓ</v>
      </c>
      <c r="H20">
        <v>4.1500000000000004</v>
      </c>
    </row>
    <row r="21" spans="1:8" x14ac:dyDescent="0.2">
      <c r="A21">
        <v>130704</v>
      </c>
      <c r="B21" t="s">
        <v>25</v>
      </c>
      <c r="C21" s="4" t="s">
        <v>57</v>
      </c>
      <c r="D21" s="5">
        <v>55</v>
      </c>
      <c r="E21" s="5">
        <f ca="1">'[1]DESV. VTS BY SKU'!F23</f>
        <v>5</v>
      </c>
      <c r="F21" s="7">
        <f ca="1">'[1]DESV. VTS BY SKU'!G23</f>
        <v>-0.90871369294605808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26</v>
      </c>
      <c r="C22" s="4" t="s">
        <v>57</v>
      </c>
      <c r="D22" s="5">
        <v>42</v>
      </c>
      <c r="E22" s="5">
        <f ca="1">'[1]DESV. VTS BY SKU'!F24</f>
        <v>49.18181818181818</v>
      </c>
      <c r="F22" s="6">
        <f ca="1">'[1]DESV. VTS BY SKU'!G24</f>
        <v>0.1825136612021856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27</v>
      </c>
      <c r="C23" s="4" t="s">
        <v>60</v>
      </c>
      <c r="D23" s="5">
        <v>868</v>
      </c>
      <c r="E23" s="5">
        <f ca="1">'[1]DESV. VTS BY SKU'!F25</f>
        <v>684.72727272727275</v>
      </c>
      <c r="F23" s="7">
        <f ca="1">'[1]DESV. VTS BY SKU'!G25</f>
        <v>-0.21101974545644997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28</v>
      </c>
      <c r="C24" s="4" t="s">
        <v>60</v>
      </c>
      <c r="D24" s="5">
        <v>1383</v>
      </c>
      <c r="E24" s="5">
        <f ca="1">'[1]DESV. VTS BY SKU'!F26</f>
        <v>1109.590909090909</v>
      </c>
      <c r="F24" s="6">
        <f ca="1">'[1]DESV. VTS BY SKU'!G26</f>
        <v>-0.19742898474487114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29</v>
      </c>
      <c r="C25" s="4" t="s">
        <v>60</v>
      </c>
      <c r="D25" s="5">
        <v>546</v>
      </c>
      <c r="E25" s="5">
        <f ca="1">'[1]DESV. VTS BY SKU'!F27</f>
        <v>482.90909090909093</v>
      </c>
      <c r="F25" s="7">
        <f ca="1">'[1]DESV. VTS BY SKU'!G27</f>
        <v>-0.11488794468049657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30</v>
      </c>
      <c r="C26" s="4" t="s">
        <v>60</v>
      </c>
      <c r="D26" s="5">
        <v>504</v>
      </c>
      <c r="E26" s="5">
        <f ca="1">'[1]DESV. VTS BY SKU'!F28</f>
        <v>366.40909090909093</v>
      </c>
      <c r="F26" s="6">
        <f ca="1">'[1]DESV. VTS BY SKU'!G28</f>
        <v>-0.27299783549783541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31</v>
      </c>
      <c r="C27" s="4" t="s">
        <v>60</v>
      </c>
      <c r="D27" s="5">
        <v>130</v>
      </c>
      <c r="E27" s="5">
        <f ca="1">'[1]DESV. VTS BY SKU'!F29</f>
        <v>107.04545454545455</v>
      </c>
      <c r="F27" s="7">
        <f ca="1">'[1]DESV. VTS BY SKU'!G29</f>
        <v>-0.17829727843684584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32</v>
      </c>
      <c r="C28" s="4" t="s">
        <v>60</v>
      </c>
      <c r="D28" s="5">
        <v>143</v>
      </c>
      <c r="E28" s="5">
        <f ca="1">'[1]DESV. VTS BY SKU'!F30</f>
        <v>122.54545454545455</v>
      </c>
      <c r="F28" s="6">
        <f ca="1">'[1]DESV. VTS BY SKU'!G30</f>
        <v>-0.14167462591531366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33</v>
      </c>
      <c r="C29" s="4" t="s">
        <v>57</v>
      </c>
      <c r="D29" s="5">
        <v>852</v>
      </c>
      <c r="E29" s="5">
        <f ca="1">'[1]DESV. VTS BY SKU'!F31</f>
        <v>790.72727272727275</v>
      </c>
      <c r="F29" s="7">
        <f ca="1">'[1]DESV. VTS BY SKU'!G31</f>
        <v>-7.1718249733191075E-2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34</v>
      </c>
      <c r="C30" s="4" t="s">
        <v>57</v>
      </c>
      <c r="D30" s="5">
        <v>857</v>
      </c>
      <c r="E30" s="5">
        <f ca="1">'[1]DESV. VTS BY SKU'!F32</f>
        <v>651.5454545454545</v>
      </c>
      <c r="F30" s="6">
        <f ca="1">'[1]DESV. VTS BY SKU'!G32</f>
        <v>-0.24009966601282939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35</v>
      </c>
      <c r="C31" s="4" t="s">
        <v>57</v>
      </c>
      <c r="D31" s="5">
        <v>1068</v>
      </c>
      <c r="E31" s="5">
        <f ca="1">'[1]DESV. VTS BY SKU'!F33</f>
        <v>842.63636363636363</v>
      </c>
      <c r="F31" s="7">
        <f ca="1">'[1]DESV. VTS BY SKU'!G33</f>
        <v>-0.21081311196253727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36</v>
      </c>
      <c r="C32" s="4" t="s">
        <v>57</v>
      </c>
      <c r="D32" s="5">
        <v>685</v>
      </c>
      <c r="E32" s="5">
        <f ca="1">'[1]DESV. VTS BY SKU'!F34</f>
        <v>572.36363636363637</v>
      </c>
      <c r="F32" s="6">
        <f ca="1">'[1]DESV. VTS BY SKU'!G34</f>
        <v>-0.16454352441613596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37</v>
      </c>
      <c r="C33" s="4" t="s">
        <v>57</v>
      </c>
      <c r="D33" s="5">
        <v>209</v>
      </c>
      <c r="E33" s="5">
        <f ca="1">'[1]DESV. VTS BY SKU'!F35</f>
        <v>212.54545454545453</v>
      </c>
      <c r="F33" s="7">
        <f ca="1">'[1]DESV. VTS BY SKU'!G35</f>
        <v>1.8292682926829285E-2</v>
      </c>
      <c r="G33" s="8" t="str">
        <f ca="1">'[1]DESV. VTS BY SKU'!H35</f>
        <v>SUBIÓ</v>
      </c>
      <c r="H33">
        <v>1.1599999999999999</v>
      </c>
    </row>
    <row r="34" spans="1:8" x14ac:dyDescent="0.2">
      <c r="A34">
        <v>140231</v>
      </c>
      <c r="B34" t="s">
        <v>38</v>
      </c>
      <c r="C34" s="4" t="s">
        <v>57</v>
      </c>
      <c r="D34" s="5">
        <v>511</v>
      </c>
      <c r="E34" s="5">
        <f ca="1">'[1]DESV. VTS BY SKU'!F36</f>
        <v>291.45454545454544</v>
      </c>
      <c r="F34" s="6">
        <f ca="1">'[1]DESV. VTS BY SKU'!G36</f>
        <v>-0.42938506718875147</v>
      </c>
      <c r="G34" s="8" t="str">
        <f ca="1">'[1]DESV. VTS BY SKU'!H36</f>
        <v>BAJO</v>
      </c>
      <c r="H34">
        <v>1.1599999999999999</v>
      </c>
    </row>
    <row r="35" spans="1:8" x14ac:dyDescent="0.2">
      <c r="A35">
        <v>140232</v>
      </c>
      <c r="B35" t="s">
        <v>39</v>
      </c>
      <c r="C35" s="4" t="s">
        <v>57</v>
      </c>
      <c r="D35" s="5">
        <v>452</v>
      </c>
      <c r="E35" s="5">
        <f ca="1">'[1]DESV. VTS BY SKU'!F37</f>
        <v>374.22727272727275</v>
      </c>
      <c r="F35" s="7">
        <f ca="1">'[1]DESV. VTS BY SKU'!G37</f>
        <v>-0.1728122174218828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49</v>
      </c>
      <c r="C36" s="4" t="s">
        <v>58</v>
      </c>
      <c r="D36" s="5">
        <v>341</v>
      </c>
      <c r="E36" s="5">
        <f ca="1">'[1]DESV. VTS BY SKU'!F38</f>
        <v>272.95454545454544</v>
      </c>
      <c r="F36" s="6">
        <f ca="1">'[1]DESV. VTS BY SKU'!G38</f>
        <v>-0.19933333333333347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40</v>
      </c>
      <c r="C37" s="4" t="s">
        <v>58</v>
      </c>
      <c r="D37" s="5">
        <v>506</v>
      </c>
      <c r="E37" s="5">
        <f ca="1">'[1]DESV. VTS BY SKU'!F39</f>
        <v>420.40909090909093</v>
      </c>
      <c r="F37" s="7">
        <f ca="1">'[1]DESV. VTS BY SKU'!G39</f>
        <v>-0.16974865350089763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41</v>
      </c>
      <c r="C38" s="4" t="s">
        <v>58</v>
      </c>
      <c r="D38" s="5">
        <v>277</v>
      </c>
      <c r="E38" s="5">
        <f ca="1">'[1]DESV. VTS BY SKU'!F40</f>
        <v>246.45454545454547</v>
      </c>
      <c r="F38" s="6">
        <f ca="1">'[1]DESV. VTS BY SKU'!G40</f>
        <v>-0.11085601836667758</v>
      </c>
      <c r="G38" s="8" t="str">
        <f ca="1">'[1]DESV. VTS BY SKU'!H40</f>
        <v>BAJO</v>
      </c>
      <c r="H38">
        <v>0.81</v>
      </c>
    </row>
    <row r="39" spans="1:8" x14ac:dyDescent="0.2">
      <c r="A39">
        <v>150363</v>
      </c>
      <c r="B39" t="s">
        <v>42</v>
      </c>
      <c r="C39" s="4" t="s">
        <v>58</v>
      </c>
      <c r="D39" s="5">
        <v>295</v>
      </c>
      <c r="E39" s="5">
        <f ca="1">'[1]DESV. VTS BY SKU'!F41</f>
        <v>263.40909090909093</v>
      </c>
      <c r="F39" s="7">
        <f ca="1">'[1]DESV. VTS BY SKU'!G41</f>
        <v>-0.1058478629841072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50</v>
      </c>
      <c r="C40" s="4" t="s">
        <v>58</v>
      </c>
      <c r="D40" s="5">
        <v>71</v>
      </c>
      <c r="E40" s="5">
        <f ca="1">'[1]DESV. VTS BY SKU'!F42</f>
        <v>49.909090909090907</v>
      </c>
      <c r="F40" s="6">
        <f ca="1">'[1]DESV. VTS BY SKU'!G42</f>
        <v>-0.30152671755725191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51</v>
      </c>
      <c r="C41" s="4" t="s">
        <v>58</v>
      </c>
      <c r="D41" s="5">
        <v>105</v>
      </c>
      <c r="E41" s="5">
        <f ca="1">'[1]DESV. VTS BY SKU'!F43</f>
        <v>79.409090909090907</v>
      </c>
      <c r="F41" s="7">
        <f ca="1">'[1]DESV. VTS BY SKU'!G43</f>
        <v>-0.24076488483268144</v>
      </c>
      <c r="G41" s="8" t="str">
        <f ca="1">'[1]DESV. VTS BY SKU'!H43</f>
        <v>BAJO</v>
      </c>
      <c r="H41">
        <v>2.62</v>
      </c>
    </row>
    <row r="42" spans="1:8" x14ac:dyDescent="0.2">
      <c r="A42">
        <v>151502</v>
      </c>
      <c r="B42" t="s">
        <v>52</v>
      </c>
      <c r="C42" s="4" t="s">
        <v>58</v>
      </c>
      <c r="D42" s="5">
        <v>49</v>
      </c>
      <c r="E42" s="5">
        <f ca="1">'[1]DESV. VTS BY SKU'!F44</f>
        <v>34.272727272727273</v>
      </c>
      <c r="F42" s="6">
        <f ca="1">'[1]DESV. VTS BY SKU'!G44</f>
        <v>-0.29598506069094299</v>
      </c>
      <c r="G42" s="8" t="str">
        <f ca="1">'[1]DESV. VTS BY SKU'!H44</f>
        <v>BAJO</v>
      </c>
      <c r="H42">
        <v>2.62</v>
      </c>
    </row>
    <row r="43" spans="1:8" x14ac:dyDescent="0.2">
      <c r="A43">
        <v>151503</v>
      </c>
      <c r="B43" t="s">
        <v>53</v>
      </c>
      <c r="C43" s="4" t="s">
        <v>58</v>
      </c>
      <c r="D43" s="5">
        <v>48</v>
      </c>
      <c r="E43" s="5">
        <f ca="1">'[1]DESV. VTS BY SKU'!F45</f>
        <v>37.5</v>
      </c>
      <c r="F43" s="7">
        <f ca="1">'[1]DESV. VTS BY SKU'!G45</f>
        <v>-0.21278625954198471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54</v>
      </c>
      <c r="B44" t="s">
        <v>43</v>
      </c>
      <c r="C44" s="4" t="s">
        <v>57</v>
      </c>
      <c r="D44" s="5">
        <v>1</v>
      </c>
      <c r="E44" s="5">
        <f ca="1">'[1]DESV. VTS BY SKU'!F46</f>
        <v>0.81818181818181823</v>
      </c>
      <c r="F44" s="6">
        <f ca="1">'[1]DESV. VTS BY SKU'!G46</f>
        <v>0.50000000000000022</v>
      </c>
      <c r="G44" s="8" t="str">
        <f ca="1">'[1]DESV. VTS BY SKU'!H46</f>
        <v>SUBIÓ</v>
      </c>
      <c r="H44">
        <v>18</v>
      </c>
    </row>
    <row r="45" spans="1:8" x14ac:dyDescent="0.2">
      <c r="A45" s="3" t="s">
        <v>54</v>
      </c>
      <c r="B45" t="s">
        <v>44</v>
      </c>
      <c r="C45" s="4" t="s">
        <v>57</v>
      </c>
      <c r="D45" s="5">
        <v>3</v>
      </c>
      <c r="E45" s="5">
        <f ca="1">'[1]DESV. VTS BY SKU'!F47</f>
        <v>3.2727272727272729</v>
      </c>
      <c r="F45" s="7">
        <f ca="1">'[1]DESV. VTS BY SKU'!G47</f>
        <v>0.18032786885246033</v>
      </c>
      <c r="G45" s="8" t="str">
        <f ca="1">'[1]DESV. VTS BY SKU'!H47</f>
        <v>SUBIÓ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45</v>
      </c>
      <c r="B1" s="1" t="s">
        <v>46</v>
      </c>
    </row>
    <row r="2" spans="1:2" x14ac:dyDescent="0.2">
      <c r="A2" s="2" t="s">
        <v>47</v>
      </c>
      <c r="B2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2026-08-03T15:20:58Z</dcterms:modified>
</cp:coreProperties>
</file>