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2106A901-6B61-4F15-B811-F5588D293D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" i="1" l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2" i="1"/>
  <c r="E43" i="1"/>
  <c r="E45" i="1"/>
  <c r="G30" i="1" l="1"/>
  <c r="F30" i="1"/>
  <c r="G29" i="1"/>
  <c r="F29" i="1"/>
  <c r="G28" i="1"/>
  <c r="F28" i="1"/>
  <c r="G32" i="1"/>
  <c r="F32" i="1"/>
  <c r="G31" i="1"/>
  <c r="F31" i="1"/>
  <c r="G34" i="1"/>
  <c r="F34" i="1"/>
  <c r="G33" i="1"/>
  <c r="F33" i="1"/>
  <c r="G36" i="1"/>
  <c r="F36" i="1"/>
  <c r="G38" i="1"/>
  <c r="F38" i="1"/>
  <c r="G37" i="1"/>
  <c r="F37" i="1"/>
  <c r="G40" i="1"/>
  <c r="F40" i="1"/>
  <c r="G39" i="1"/>
  <c r="F39" i="1"/>
  <c r="G42" i="1"/>
  <c r="F42" i="1"/>
  <c r="G41" i="1"/>
  <c r="F41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44" i="1"/>
  <c r="F44" i="1"/>
  <c r="G35" i="1"/>
  <c r="F35" i="1"/>
  <c r="G3" i="1"/>
  <c r="F3" i="1"/>
  <c r="G2" i="1"/>
  <c r="F2" i="1"/>
  <c r="G43" i="1"/>
  <c r="F43" i="1"/>
  <c r="G45" i="1"/>
  <c r="F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<sst xmlns="http://schemas.openxmlformats.org/spreadsheetml/2006/main" count="102" uniqueCount="62">
  <si>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</si>
  <si>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</si>
  <si>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PROMD VTA DIA JUNIO</t>
  </si>
  <si>
    <t>PROMD VTA DIA JULIO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</si>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</sst>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</sheetNames>
    <sheetDataSet>
      <sheetData sheetId="0"/>
      <sheetData sheetId="1"/>
      <sheetData sheetId="2"/>
      <sheetData sheetId="3">
        <row r="4">
          <cell r="F4">
            <v>1047.7777777777778</v>
          </cell>
          <cell r="G4">
            <v>2.5709425500659577E-3</v>
          </cell>
          <cell r="H4" t="str">
            <v>SUBIÓ</v>
          </cell>
        </row>
        <row r="5">
          <cell r="F5">
            <v>75</v>
          </cell>
          <cell r="G5">
            <v>-1.2567324955116699E-2</v>
          </cell>
          <cell r="H5" t="str">
            <v>BAJO</v>
          </cell>
        </row>
        <row r="6">
          <cell r="F6">
            <v>473.44444444444446</v>
          </cell>
          <cell r="G6">
            <v>-3.1360757204707657E-2</v>
          </cell>
          <cell r="H6" t="str">
            <v>BAJO</v>
          </cell>
        </row>
        <row r="7">
          <cell r="F7">
            <v>88.555555555555557</v>
          </cell>
          <cell r="G7">
            <v>-3.073521282476499E-2</v>
          </cell>
          <cell r="H7" t="str">
            <v>BAJO</v>
          </cell>
        </row>
        <row r="8">
          <cell r="F8">
            <v>15.444444444444445</v>
          </cell>
          <cell r="G8">
            <v>-3.1972143083254245E-2</v>
          </cell>
          <cell r="H8" t="str">
            <v>BAJO</v>
          </cell>
        </row>
        <row r="9">
          <cell r="F9">
            <v>1142</v>
          </cell>
          <cell r="G9">
            <v>-0.20771971870959605</v>
          </cell>
          <cell r="H9" t="str">
            <v>BAJO</v>
          </cell>
        </row>
        <row r="10">
          <cell r="F10">
            <v>101.44444444444444</v>
          </cell>
          <cell r="G10">
            <v>-0.23673810609515122</v>
          </cell>
          <cell r="H10" t="str">
            <v>BAJO</v>
          </cell>
        </row>
        <row r="11">
          <cell r="F11">
            <v>257.11111111111109</v>
          </cell>
          <cell r="G11">
            <v>-0.226944862041213</v>
          </cell>
          <cell r="H11" t="str">
            <v>BAJO</v>
          </cell>
        </row>
        <row r="12">
          <cell r="F12">
            <v>560</v>
          </cell>
          <cell r="G12">
            <v>-0.21543654078838437</v>
          </cell>
          <cell r="H12" t="str">
            <v>BAJO</v>
          </cell>
        </row>
        <row r="13">
          <cell r="F13">
            <v>325.88888888888891</v>
          </cell>
          <cell r="G13">
            <v>-0.31880707310636047</v>
          </cell>
          <cell r="H13" t="str">
            <v>BAJO</v>
          </cell>
        </row>
        <row r="14">
          <cell r="F14">
            <v>2734.7777777777778</v>
          </cell>
          <cell r="G14">
            <v>-0.21705887030891913</v>
          </cell>
          <cell r="H14" t="str">
            <v>BAJO</v>
          </cell>
        </row>
        <row r="15">
          <cell r="F15">
            <v>1864.2222222222222</v>
          </cell>
          <cell r="G15">
            <v>-0.16392365782833429</v>
          </cell>
          <cell r="H15" t="str">
            <v>BAJO</v>
          </cell>
        </row>
        <row r="16">
          <cell r="F16">
            <v>1825.4444444444443</v>
          </cell>
          <cell r="G16">
            <v>-0.2083779586884198</v>
          </cell>
          <cell r="H16" t="str">
            <v>BAJO</v>
          </cell>
        </row>
        <row r="17">
          <cell r="F17">
            <v>2000</v>
          </cell>
          <cell r="G17">
            <v>-0.26150954163239959</v>
          </cell>
          <cell r="H17" t="str">
            <v>BAJO</v>
          </cell>
        </row>
        <row r="18">
          <cell r="F18">
            <v>106.88888888888889</v>
          </cell>
          <cell r="G18">
            <v>-0.3858564754360001</v>
          </cell>
          <cell r="H18" t="str">
            <v>BAJO</v>
          </cell>
        </row>
        <row r="19">
          <cell r="F19">
            <v>165.11111111111111</v>
          </cell>
          <cell r="G19">
            <v>-0.23057732589611424</v>
          </cell>
          <cell r="H19" t="str">
            <v>BAJO</v>
          </cell>
        </row>
        <row r="20">
          <cell r="F20">
            <v>154.22222222222223</v>
          </cell>
          <cell r="G20">
            <v>0.21217895280060328</v>
          </cell>
          <cell r="H20" t="str">
            <v>SUBIÓ</v>
          </cell>
        </row>
        <row r="21">
          <cell r="F21">
            <v>396.66666666666669</v>
          </cell>
          <cell r="G21">
            <v>-0.18074852922768803</v>
          </cell>
          <cell r="H21" t="str">
            <v>BAJO</v>
          </cell>
        </row>
        <row r="22">
          <cell r="F22">
            <v>643.77777777777783</v>
          </cell>
          <cell r="G22">
            <v>-0.17339143742785623</v>
          </cell>
          <cell r="H22" t="str">
            <v>BAJO</v>
          </cell>
        </row>
        <row r="23">
          <cell r="F23">
            <v>11.222222222222221</v>
          </cell>
          <cell r="G23">
            <v>-0.79511295527893044</v>
          </cell>
          <cell r="H23" t="str">
            <v>BAJO</v>
          </cell>
        </row>
        <row r="24">
          <cell r="F24">
            <v>27.777777777777779</v>
          </cell>
          <cell r="G24">
            <v>-0.33211900425015184</v>
          </cell>
          <cell r="H24" t="str">
            <v>BAJO</v>
          </cell>
        </row>
        <row r="25">
          <cell r="F25">
            <v>555.77777777777783</v>
          </cell>
          <cell r="G25">
            <v>-0.35960241391551295</v>
          </cell>
          <cell r="H25" t="str">
            <v>BAJO</v>
          </cell>
        </row>
        <row r="26">
          <cell r="F26">
            <v>944</v>
          </cell>
          <cell r="G26">
            <v>-0.31720147290899525</v>
          </cell>
          <cell r="H26" t="str">
            <v>BAJO</v>
          </cell>
        </row>
        <row r="27">
          <cell r="F27">
            <v>391.33333333333331</v>
          </cell>
          <cell r="G27">
            <v>-0.28273487183759627</v>
          </cell>
          <cell r="H27" t="str">
            <v>BAJO</v>
          </cell>
        </row>
        <row r="28">
          <cell r="F28">
            <v>310.66666666666669</v>
          </cell>
          <cell r="G28">
            <v>-0.3835978835978836</v>
          </cell>
          <cell r="H28" t="str">
            <v>BAJO</v>
          </cell>
        </row>
        <row r="29">
          <cell r="F29">
            <v>99.555555555555557</v>
          </cell>
          <cell r="G29">
            <v>-0.23579126928743122</v>
          </cell>
          <cell r="H29" t="str">
            <v>BAJO</v>
          </cell>
        </row>
        <row r="30">
          <cell r="F30">
            <v>112.88888888888889</v>
          </cell>
          <cell r="G30">
            <v>-0.20931055219498396</v>
          </cell>
          <cell r="H30" t="str">
            <v>BAJO</v>
          </cell>
        </row>
        <row r="31">
          <cell r="F31">
            <v>706.33333333333337</v>
          </cell>
          <cell r="G31">
            <v>-0.17079331198861614</v>
          </cell>
          <cell r="H31" t="str">
            <v>BAJO</v>
          </cell>
        </row>
        <row r="32">
          <cell r="F32">
            <v>586.77777777777783</v>
          </cell>
          <cell r="G32">
            <v>-0.31563849275772082</v>
          </cell>
          <cell r="H32" t="str">
            <v>BAJO</v>
          </cell>
        </row>
        <row r="33">
          <cell r="F33">
            <v>764.11111111111109</v>
          </cell>
          <cell r="G33">
            <v>-0.28435740977248003</v>
          </cell>
          <cell r="H33" t="str">
            <v>BAJO</v>
          </cell>
        </row>
        <row r="34">
          <cell r="F34">
            <v>506.44444444444446</v>
          </cell>
          <cell r="G34">
            <v>-0.2607631516867186</v>
          </cell>
          <cell r="H34" t="str">
            <v>BAJO</v>
          </cell>
        </row>
        <row r="35">
          <cell r="F35">
            <v>188.33333333333334</v>
          </cell>
          <cell r="G35">
            <v>-9.7706155632984792E-2</v>
          </cell>
          <cell r="H35" t="str">
            <v>BAJO</v>
          </cell>
        </row>
        <row r="36">
          <cell r="F36">
            <v>47</v>
          </cell>
          <cell r="G36">
            <v>-0.9079825576221412</v>
          </cell>
          <cell r="H36" t="str">
            <v>BAJO</v>
          </cell>
        </row>
        <row r="37">
          <cell r="F37">
            <v>320.88888888888891</v>
          </cell>
          <cell r="G37">
            <v>-0.29071078513457693</v>
          </cell>
          <cell r="H37" t="str">
            <v>BAJO</v>
          </cell>
        </row>
        <row r="38">
          <cell r="F38">
            <v>224.77777777777777</v>
          </cell>
          <cell r="G38">
            <v>-0.34065185185185187</v>
          </cell>
          <cell r="H38" t="str">
            <v>BAJO</v>
          </cell>
        </row>
        <row r="39">
          <cell r="F39">
            <v>422.22222222222223</v>
          </cell>
          <cell r="G39">
            <v>-0.16616796329543193</v>
          </cell>
          <cell r="H39" t="str">
            <v>BAJO</v>
          </cell>
        </row>
        <row r="40">
          <cell r="F40">
            <v>229.11111111111111</v>
          </cell>
          <cell r="G40">
            <v>-0.17342662439415468</v>
          </cell>
          <cell r="H40" t="str">
            <v>BAJO</v>
          </cell>
        </row>
        <row r="41">
          <cell r="F41">
            <v>276</v>
          </cell>
          <cell r="G41">
            <v>-6.3107545131923959E-2</v>
          </cell>
          <cell r="H41" t="str">
            <v>BAJO</v>
          </cell>
        </row>
        <row r="42">
          <cell r="F42">
            <v>60.333333333333336</v>
          </cell>
          <cell r="G42">
            <v>-0.15564037319762503</v>
          </cell>
          <cell r="H42" t="str">
            <v>BAJO</v>
          </cell>
        </row>
        <row r="43">
          <cell r="F43">
            <v>52.777777777777779</v>
          </cell>
          <cell r="G43">
            <v>-0.49538847843932587</v>
          </cell>
          <cell r="H43" t="str">
            <v>BAJO</v>
          </cell>
        </row>
        <row r="44">
          <cell r="F44">
            <v>43.777777777777779</v>
          </cell>
          <cell r="G44">
            <v>-0.10073659093266929</v>
          </cell>
          <cell r="H44" t="str">
            <v>BAJO</v>
          </cell>
        </row>
        <row r="45">
          <cell r="F45">
            <v>28.888888888888889</v>
          </cell>
          <cell r="G45">
            <v>-0.39355385920271413</v>
          </cell>
          <cell r="H45" t="str">
            <v>BAJO</v>
          </cell>
        </row>
        <row r="46">
          <cell r="F46">
            <v>0.44444444444444442</v>
          </cell>
          <cell r="G46">
            <v>-0.18518518518518512</v>
          </cell>
          <cell r="H46" t="str">
            <v>BAJO</v>
          </cell>
        </row>
        <row r="47">
          <cell r="F47">
            <v>3</v>
          </cell>
          <cell r="G47">
            <v>8.19672131147553E-2</v>
          </cell>
          <cell r="H47" t="str">
            <v>SUBIÓ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J19" sqref="J19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61</v>
      </c>
      <c r="D1" s="4" t="s">
        <v>2</v>
      </c>
      <c r="E1" s="4" t="s">
        <v>3</v>
      </c>
      <c r="F1" s="4" t="s">
        <v>4</v>
      </c>
      <c r="G1" t="s">
        <v>5</v>
      </c>
      <c r="H1" s="4" t="s">
        <v>55</v>
      </c>
    </row>
    <row r="2" spans="1:8" x14ac:dyDescent="0.2">
      <c r="A2">
        <v>110150</v>
      </c>
      <c r="B2" t="s">
        <v>6</v>
      </c>
      <c r="C2" s="4" t="s">
        <v>56</v>
      </c>
      <c r="D2" s="5">
        <v>1045</v>
      </c>
      <c r="E2" s="5">
        <f ca="1">'[1]DESV. VTS BY SKU'!F4</f>
        <v>1047.7777777777778</v>
      </c>
      <c r="F2" s="6">
        <f ca="1">'[1]DESV. VTS BY SKU'!G4</f>
        <v>2.5709425500659577E-3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7</v>
      </c>
      <c r="C3" s="4" t="s">
        <v>56</v>
      </c>
      <c r="D3" s="5">
        <v>76</v>
      </c>
      <c r="E3" s="5">
        <f ca="1">'[1]DESV. VTS BY SKU'!F5</f>
        <v>75</v>
      </c>
      <c r="F3" s="7">
        <f ca="1">'[1]DESV. VTS BY SKU'!G5</f>
        <v>-1.2567324955116699E-2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8</v>
      </c>
      <c r="C4" s="4" t="s">
        <v>56</v>
      </c>
      <c r="D4" s="5">
        <v>489</v>
      </c>
      <c r="E4" s="5">
        <f ca="1">'[1]DESV. VTS BY SKU'!F6</f>
        <v>473.44444444444446</v>
      </c>
      <c r="F4" s="6">
        <f ca="1">'[1]DESV. VTS BY SKU'!G6</f>
        <v>-3.1360757204707657E-2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9</v>
      </c>
      <c r="C5" s="4" t="s">
        <v>56</v>
      </c>
      <c r="D5" s="5">
        <v>91</v>
      </c>
      <c r="E5" s="5">
        <f ca="1">'[1]DESV. VTS BY SKU'!F7</f>
        <v>88.555555555555557</v>
      </c>
      <c r="F5" s="7">
        <f ca="1">'[1]DESV. VTS BY SKU'!G7</f>
        <v>-3.073521282476499E-2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10</v>
      </c>
      <c r="C6" s="4" t="s">
        <v>56</v>
      </c>
      <c r="D6" s="5">
        <v>16</v>
      </c>
      <c r="E6" s="5">
        <f ca="1">'[1]DESV. VTS BY SKU'!F8</f>
        <v>15.444444444444445</v>
      </c>
      <c r="F6" s="6">
        <f ca="1">'[1]DESV. VTS BY SKU'!G8</f>
        <v>-3.1972143083254245E-2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11</v>
      </c>
      <c r="C7" s="4" t="s">
        <v>59</v>
      </c>
      <c r="D7" s="5">
        <v>1441</v>
      </c>
      <c r="E7" s="5">
        <f ca="1">'[1]DESV. VTS BY SKU'!F9</f>
        <v>1142</v>
      </c>
      <c r="F7" s="7">
        <f ca="1">'[1]DESV. VTS BY SKU'!G9</f>
        <v>-0.20771971870959605</v>
      </c>
      <c r="G7" s="8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12</v>
      </c>
      <c r="C8" s="4" t="s">
        <v>59</v>
      </c>
      <c r="D8" s="5">
        <v>133</v>
      </c>
      <c r="E8" s="5">
        <f ca="1">'[1]DESV. VTS BY SKU'!F10</f>
        <v>101.44444444444444</v>
      </c>
      <c r="F8" s="6">
        <f ca="1">'[1]DESV. VTS BY SKU'!G10</f>
        <v>-0.23673810609515122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13</v>
      </c>
      <c r="C9" s="4" t="s">
        <v>59</v>
      </c>
      <c r="D9" s="5">
        <v>333</v>
      </c>
      <c r="E9" s="5">
        <f ca="1">'[1]DESV. VTS BY SKU'!F11</f>
        <v>257.11111111111109</v>
      </c>
      <c r="F9" s="7">
        <f ca="1">'[1]DESV. VTS BY SKU'!G11</f>
        <v>-0.226944862041213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14</v>
      </c>
      <c r="C10" s="4" t="s">
        <v>57</v>
      </c>
      <c r="D10" s="5">
        <v>714</v>
      </c>
      <c r="E10" s="5">
        <f ca="1">'[1]DESV. VTS BY SKU'!F12</f>
        <v>560</v>
      </c>
      <c r="F10" s="6">
        <f ca="1">'[1]DESV. VTS BY SKU'!G12</f>
        <v>-0.21543654078838437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15</v>
      </c>
      <c r="C11" s="4" t="s">
        <v>57</v>
      </c>
      <c r="D11" s="5">
        <v>478</v>
      </c>
      <c r="E11" s="5">
        <f ca="1">'[1]DESV. VTS BY SKU'!F13</f>
        <v>325.88888888888891</v>
      </c>
      <c r="F11" s="7">
        <f ca="1">'[1]DESV. VTS BY SKU'!G13</f>
        <v>-0.31880707310636047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16</v>
      </c>
      <c r="C12" s="4" t="s">
        <v>57</v>
      </c>
      <c r="D12" s="5">
        <v>3493</v>
      </c>
      <c r="E12" s="5">
        <f ca="1">'[1]DESV. VTS BY SKU'!F14</f>
        <v>2734.7777777777778</v>
      </c>
      <c r="F12" s="6">
        <f ca="1">'[1]DESV. VTS BY SKU'!G14</f>
        <v>-0.21705887030891913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17</v>
      </c>
      <c r="C13" s="4" t="s">
        <v>57</v>
      </c>
      <c r="D13" s="5">
        <v>2230</v>
      </c>
      <c r="E13" s="5">
        <f ca="1">'[1]DESV. VTS BY SKU'!F15</f>
        <v>1864.2222222222222</v>
      </c>
      <c r="F13" s="7">
        <f ca="1">'[1]DESV. VTS BY SKU'!G15</f>
        <v>-0.16392365782833429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18</v>
      </c>
      <c r="C14" s="4" t="s">
        <v>57</v>
      </c>
      <c r="D14" s="5">
        <v>2306</v>
      </c>
      <c r="E14" s="5">
        <f ca="1">'[1]DESV. VTS BY SKU'!F16</f>
        <v>1825.4444444444443</v>
      </c>
      <c r="F14" s="6">
        <f ca="1">'[1]DESV. VTS BY SKU'!G16</f>
        <v>-0.2083779586884198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19</v>
      </c>
      <c r="C15" s="4" t="s">
        <v>57</v>
      </c>
      <c r="D15" s="5">
        <v>2708</v>
      </c>
      <c r="E15" s="5">
        <f ca="1">'[1]DESV. VTS BY SKU'!F17</f>
        <v>2000</v>
      </c>
      <c r="F15" s="7">
        <f ca="1">'[1]DESV. VTS BY SKU'!G17</f>
        <v>-0.26150954163239959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20</v>
      </c>
      <c r="C16" s="4" t="s">
        <v>57</v>
      </c>
      <c r="D16" s="5">
        <v>174</v>
      </c>
      <c r="E16" s="5">
        <f ca="1">'[1]DESV. VTS BY SKU'!F18</f>
        <v>106.88888888888889</v>
      </c>
      <c r="F16" s="6">
        <f ca="1">'[1]DESV. VTS BY SKU'!G18</f>
        <v>-0.3858564754360001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21</v>
      </c>
      <c r="C17" s="4" t="s">
        <v>57</v>
      </c>
      <c r="D17" s="5">
        <v>215</v>
      </c>
      <c r="E17" s="5">
        <f ca="1">'[1]DESV. VTS BY SKU'!F19</f>
        <v>165.11111111111111</v>
      </c>
      <c r="F17" s="7">
        <f ca="1">'[1]DESV. VTS BY SKU'!G19</f>
        <v>-0.23057732589611424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22</v>
      </c>
      <c r="C18" s="4" t="s">
        <v>57</v>
      </c>
      <c r="D18" s="5">
        <v>127</v>
      </c>
      <c r="E18" s="5">
        <f ca="1">'[1]DESV. VTS BY SKU'!F20</f>
        <v>154.22222222222223</v>
      </c>
      <c r="F18" s="6">
        <f ca="1">'[1]DESV. VTS BY SKU'!G20</f>
        <v>0.21217895280060328</v>
      </c>
      <c r="G18" s="8" t="str">
        <f ca="1">'[1]DESV. VTS BY SKU'!H20</f>
        <v>SUBIÓ</v>
      </c>
      <c r="H18">
        <v>3.68</v>
      </c>
    </row>
    <row r="19" spans="1:8" x14ac:dyDescent="0.2">
      <c r="A19">
        <v>130702</v>
      </c>
      <c r="B19" t="s">
        <v>23</v>
      </c>
      <c r="C19" s="4" t="s">
        <v>57</v>
      </c>
      <c r="D19" s="5">
        <v>484</v>
      </c>
      <c r="E19" s="5">
        <f ca="1">'[1]DESV. VTS BY SKU'!F21</f>
        <v>396.66666666666669</v>
      </c>
      <c r="F19" s="7">
        <f ca="1">'[1]DESV. VTS BY SKU'!G21</f>
        <v>-0.18074852922768803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24</v>
      </c>
      <c r="C20" s="4" t="s">
        <v>57</v>
      </c>
      <c r="D20" s="5">
        <v>779</v>
      </c>
      <c r="E20" s="5">
        <f ca="1">'[1]DESV. VTS BY SKU'!F22</f>
        <v>643.77777777777783</v>
      </c>
      <c r="F20" s="6">
        <f ca="1">'[1]DESV. VTS BY SKU'!G22</f>
        <v>-0.17339143742785623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25</v>
      </c>
      <c r="C21" s="4" t="s">
        <v>57</v>
      </c>
      <c r="D21" s="5">
        <v>55</v>
      </c>
      <c r="E21" s="5">
        <f ca="1">'[1]DESV. VTS BY SKU'!F23</f>
        <v>11.222222222222221</v>
      </c>
      <c r="F21" s="7">
        <f ca="1">'[1]DESV. VTS BY SKU'!G23</f>
        <v>-0.79511295527893044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26</v>
      </c>
      <c r="C22" s="4" t="s">
        <v>57</v>
      </c>
      <c r="D22" s="5">
        <v>42</v>
      </c>
      <c r="E22" s="5">
        <f ca="1">'[1]DESV. VTS BY SKU'!F24</f>
        <v>27.777777777777779</v>
      </c>
      <c r="F22" s="6">
        <f ca="1">'[1]DESV. VTS BY SKU'!G24</f>
        <v>-0.33211900425015184</v>
      </c>
      <c r="G22" s="8" t="str">
        <f ca="1">'[1]DESV. VTS BY SKU'!H24</f>
        <v>BAJO</v>
      </c>
      <c r="H22">
        <v>4.1500000000000004</v>
      </c>
    </row>
    <row r="23" spans="1:8" x14ac:dyDescent="0.2">
      <c r="A23">
        <v>131150</v>
      </c>
      <c r="B23" t="s">
        <v>27</v>
      </c>
      <c r="C23" s="4" t="s">
        <v>60</v>
      </c>
      <c r="D23" s="5">
        <v>868</v>
      </c>
      <c r="E23" s="5">
        <f ca="1">'[1]DESV. VTS BY SKU'!F25</f>
        <v>555.77777777777783</v>
      </c>
      <c r="F23" s="7">
        <f ca="1">'[1]DESV. VTS BY SKU'!G25</f>
        <v>-0.35960241391551295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28</v>
      </c>
      <c r="C24" s="4" t="s">
        <v>60</v>
      </c>
      <c r="D24" s="5">
        <v>1383</v>
      </c>
      <c r="E24" s="5">
        <f ca="1">'[1]DESV. VTS BY SKU'!F26</f>
        <v>944</v>
      </c>
      <c r="F24" s="6">
        <f ca="1">'[1]DESV. VTS BY SKU'!G26</f>
        <v>-0.31720147290899525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29</v>
      </c>
      <c r="C25" s="4" t="s">
        <v>60</v>
      </c>
      <c r="D25" s="5">
        <v>546</v>
      </c>
      <c r="E25" s="5">
        <f ca="1">'[1]DESV. VTS BY SKU'!F27</f>
        <v>391.33333333333331</v>
      </c>
      <c r="F25" s="7">
        <f ca="1">'[1]DESV. VTS BY SKU'!G27</f>
        <v>-0.28273487183759627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30</v>
      </c>
      <c r="C26" s="4" t="s">
        <v>60</v>
      </c>
      <c r="D26" s="5">
        <v>504</v>
      </c>
      <c r="E26" s="5">
        <f ca="1">'[1]DESV. VTS BY SKU'!F28</f>
        <v>310.66666666666669</v>
      </c>
      <c r="F26" s="6">
        <f ca="1">'[1]DESV. VTS BY SKU'!G28</f>
        <v>-0.3835978835978836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31</v>
      </c>
      <c r="C27" s="4" t="s">
        <v>60</v>
      </c>
      <c r="D27" s="5">
        <v>130</v>
      </c>
      <c r="E27" s="5">
        <f ca="1">'[1]DESV. VTS BY SKU'!F29</f>
        <v>99.555555555555557</v>
      </c>
      <c r="F27" s="7">
        <f ca="1">'[1]DESV. VTS BY SKU'!G29</f>
        <v>-0.23579126928743122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32</v>
      </c>
      <c r="C28" s="4" t="s">
        <v>60</v>
      </c>
      <c r="D28" s="5">
        <v>143</v>
      </c>
      <c r="E28" s="5">
        <f ca="1">'[1]DESV. VTS BY SKU'!F30</f>
        <v>112.88888888888889</v>
      </c>
      <c r="F28" s="6">
        <f ca="1">'[1]DESV. VTS BY SKU'!G30</f>
        <v>-0.20931055219498396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33</v>
      </c>
      <c r="C29" s="4" t="s">
        <v>57</v>
      </c>
      <c r="D29" s="5">
        <v>852</v>
      </c>
      <c r="E29" s="5">
        <f ca="1">'[1]DESV. VTS BY SKU'!F31</f>
        <v>706.33333333333337</v>
      </c>
      <c r="F29" s="7">
        <f ca="1">'[1]DESV. VTS BY SKU'!G31</f>
        <v>-0.17079331198861614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34</v>
      </c>
      <c r="C30" s="4" t="s">
        <v>57</v>
      </c>
      <c r="D30" s="5">
        <v>857</v>
      </c>
      <c r="E30" s="5">
        <f ca="1">'[1]DESV. VTS BY SKU'!F32</f>
        <v>586.77777777777783</v>
      </c>
      <c r="F30" s="6">
        <f ca="1">'[1]DESV. VTS BY SKU'!G32</f>
        <v>-0.31563849275772082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35</v>
      </c>
      <c r="C31" s="4" t="s">
        <v>57</v>
      </c>
      <c r="D31" s="5">
        <v>1068</v>
      </c>
      <c r="E31" s="5">
        <f ca="1">'[1]DESV. VTS BY SKU'!F33</f>
        <v>764.11111111111109</v>
      </c>
      <c r="F31" s="7">
        <f ca="1">'[1]DESV. VTS BY SKU'!G33</f>
        <v>-0.28435740977248003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36</v>
      </c>
      <c r="C32" s="4" t="s">
        <v>57</v>
      </c>
      <c r="D32" s="5">
        <v>685</v>
      </c>
      <c r="E32" s="5">
        <f ca="1">'[1]DESV. VTS BY SKU'!F34</f>
        <v>506.44444444444446</v>
      </c>
      <c r="F32" s="6">
        <f ca="1">'[1]DESV. VTS BY SKU'!G34</f>
        <v>-0.2607631516867186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37</v>
      </c>
      <c r="C33" s="4" t="s">
        <v>57</v>
      </c>
      <c r="D33" s="5">
        <v>209</v>
      </c>
      <c r="E33" s="5">
        <f ca="1">'[1]DESV. VTS BY SKU'!F35</f>
        <v>188.33333333333334</v>
      </c>
      <c r="F33" s="7">
        <f ca="1">'[1]DESV. VTS BY SKU'!G35</f>
        <v>-9.7706155632984792E-2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38</v>
      </c>
      <c r="C34" s="4" t="s">
        <v>57</v>
      </c>
      <c r="D34" s="5">
        <v>511</v>
      </c>
      <c r="E34" s="5">
        <f ca="1">'[1]DESV. VTS BY SKU'!F36</f>
        <v>47</v>
      </c>
      <c r="F34" s="6">
        <f ca="1">'[1]DESV. VTS BY SKU'!G36</f>
        <v>-0.9079825576221412</v>
      </c>
      <c r="G34" s="8" t="str">
        <f ca="1">'[1]DESV. VTS BY SKU'!H36</f>
        <v>BAJO</v>
      </c>
      <c r="H34">
        <v>1.1599999999999999</v>
      </c>
    </row>
    <row r="35" spans="1:8" x14ac:dyDescent="0.2">
      <c r="A35">
        <v>140232</v>
      </c>
      <c r="B35" t="s">
        <v>39</v>
      </c>
      <c r="C35" s="4" t="s">
        <v>57</v>
      </c>
      <c r="D35" s="5">
        <v>452</v>
      </c>
      <c r="E35" s="5">
        <f ca="1">'[1]DESV. VTS BY SKU'!F37</f>
        <v>320.88888888888891</v>
      </c>
      <c r="F35" s="7">
        <f ca="1">'[1]DESV. VTS BY SKU'!G37</f>
        <v>-0.29071078513457693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49</v>
      </c>
      <c r="C36" s="4" t="s">
        <v>58</v>
      </c>
      <c r="D36" s="5">
        <v>341</v>
      </c>
      <c r="E36" s="5">
        <f ca="1">'[1]DESV. VTS BY SKU'!F38</f>
        <v>224.77777777777777</v>
      </c>
      <c r="F36" s="6">
        <f ca="1">'[1]DESV. VTS BY SKU'!G38</f>
        <v>-0.34065185185185187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40</v>
      </c>
      <c r="C37" s="4" t="s">
        <v>58</v>
      </c>
      <c r="D37" s="5">
        <v>506</v>
      </c>
      <c r="E37" s="5">
        <f ca="1">'[1]DESV. VTS BY SKU'!F39</f>
        <v>422.22222222222223</v>
      </c>
      <c r="F37" s="7">
        <f ca="1">'[1]DESV. VTS BY SKU'!G39</f>
        <v>-0.16616796329543193</v>
      </c>
      <c r="G37" s="8" t="str">
        <f ca="1">'[1]DESV. VTS BY SKU'!H39</f>
        <v>BAJO</v>
      </c>
      <c r="H37">
        <v>0.81</v>
      </c>
    </row>
    <row r="38" spans="1:8" x14ac:dyDescent="0.2">
      <c r="A38">
        <v>150362</v>
      </c>
      <c r="B38" t="s">
        <v>41</v>
      </c>
      <c r="C38" s="4" t="s">
        <v>58</v>
      </c>
      <c r="D38" s="5">
        <v>277</v>
      </c>
      <c r="E38" s="5">
        <f ca="1">'[1]DESV. VTS BY SKU'!F40</f>
        <v>229.11111111111111</v>
      </c>
      <c r="F38" s="6">
        <f ca="1">'[1]DESV. VTS BY SKU'!G40</f>
        <v>-0.17342662439415468</v>
      </c>
      <c r="G38" s="8" t="str">
        <f ca="1">'[1]DESV. VTS BY SKU'!H40</f>
        <v>BAJO</v>
      </c>
      <c r="H38">
        <v>0.81</v>
      </c>
    </row>
    <row r="39" spans="1:8" x14ac:dyDescent="0.2">
      <c r="A39">
        <v>150363</v>
      </c>
      <c r="B39" t="s">
        <v>42</v>
      </c>
      <c r="C39" s="4" t="s">
        <v>58</v>
      </c>
      <c r="D39" s="5">
        <v>295</v>
      </c>
      <c r="E39" s="5">
        <f ca="1">'[1]DESV. VTS BY SKU'!F41</f>
        <v>276</v>
      </c>
      <c r="F39" s="7">
        <f ca="1">'[1]DESV. VTS BY SKU'!G41</f>
        <v>-6.3107545131923959E-2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50</v>
      </c>
      <c r="C40" s="4" t="s">
        <v>58</v>
      </c>
      <c r="D40" s="5">
        <v>71</v>
      </c>
      <c r="E40" s="5">
        <f ca="1">'[1]DESV. VTS BY SKU'!F42</f>
        <v>60.333333333333336</v>
      </c>
      <c r="F40" s="6">
        <f ca="1">'[1]DESV. VTS BY SKU'!G42</f>
        <v>-0.15564037319762503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51</v>
      </c>
      <c r="C41" s="4" t="s">
        <v>58</v>
      </c>
      <c r="D41" s="5">
        <v>105</v>
      </c>
      <c r="E41" s="5">
        <f ca="1">'[1]DESV. VTS BY SKU'!F43</f>
        <v>52.777777777777779</v>
      </c>
      <c r="F41" s="7">
        <f ca="1">'[1]DESV. VTS BY SKU'!G43</f>
        <v>-0.49538847843932587</v>
      </c>
      <c r="G41" s="8" t="str">
        <f ca="1">'[1]DESV. VTS BY SKU'!H43</f>
        <v>BAJO</v>
      </c>
      <c r="H41">
        <v>2.62</v>
      </c>
    </row>
    <row r="42" spans="1:8" x14ac:dyDescent="0.2">
      <c r="A42">
        <v>151502</v>
      </c>
      <c r="B42" t="s">
        <v>52</v>
      </c>
      <c r="C42" s="4" t="s">
        <v>58</v>
      </c>
      <c r="D42" s="5">
        <v>49</v>
      </c>
      <c r="E42" s="5">
        <f ca="1">'[1]DESV. VTS BY SKU'!F44</f>
        <v>43.777777777777779</v>
      </c>
      <c r="F42" s="6">
        <f ca="1">'[1]DESV. VTS BY SKU'!G44</f>
        <v>-0.10073659093266929</v>
      </c>
      <c r="G42" s="8" t="str">
        <f ca="1">'[1]DESV. VTS BY SKU'!H44</f>
        <v>BAJO</v>
      </c>
      <c r="H42">
        <v>2.62</v>
      </c>
    </row>
    <row r="43" spans="1:8" x14ac:dyDescent="0.2">
      <c r="A43">
        <v>151503</v>
      </c>
      <c r="B43" t="s">
        <v>53</v>
      </c>
      <c r="C43" s="4" t="s">
        <v>58</v>
      </c>
      <c r="D43" s="5">
        <v>48</v>
      </c>
      <c r="E43" s="5">
        <f ca="1">'[1]DESV. VTS BY SKU'!F45</f>
        <v>28.888888888888889</v>
      </c>
      <c r="F43" s="7">
        <f ca="1">'[1]DESV. VTS BY SKU'!G45</f>
        <v>-0.39355385920271413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54</v>
      </c>
      <c r="B44" t="s">
        <v>43</v>
      </c>
      <c r="C44" s="4" t="s">
        <v>57</v>
      </c>
      <c r="D44" s="5">
        <v>1</v>
      </c>
      <c r="E44" s="5">
        <f ca="1">'[1]DESV. VTS BY SKU'!F46</f>
        <v>0.44444444444444442</v>
      </c>
      <c r="F44" s="6">
        <f ca="1">'[1]DESV. VTS BY SKU'!G46</f>
        <v>-0.18518518518518512</v>
      </c>
      <c r="G44" s="8" t="str">
        <f ca="1">'[1]DESV. VTS BY SKU'!H46</f>
        <v>BAJO</v>
      </c>
      <c r="H44">
        <v>18</v>
      </c>
    </row>
    <row r="45" spans="1:8" x14ac:dyDescent="0.2">
      <c r="A45" s="3" t="s">
        <v>54</v>
      </c>
      <c r="B45" t="s">
        <v>44</v>
      </c>
      <c r="C45" s="4" t="s">
        <v>57</v>
      </c>
      <c r="D45" s="5">
        <v>3</v>
      </c>
      <c r="E45" s="5">
        <f ca="1">'[1]DESV. VTS BY SKU'!F47</f>
        <v>3</v>
      </c>
      <c r="F45" s="7">
        <f ca="1">'[1]DESV. VTS BY SKU'!G47</f>
        <v>8.19672131147553E-2</v>
      </c>
      <c r="G45" s="8" t="str">
        <f ca="1">'[1]DESV. VTS BY SKU'!H47</f>
        <v>SUBIÓ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45</v>
      </c>
      <c r="B1" s="1" t="s">
        <v>46</v>
      </c>
    </row>
    <row r="2" spans="1:2" x14ac:dyDescent="0.2">
      <c r="A2" s="2" t="s">
        <v>47</v>
      </c>
      <c r="B2" s="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2026-07-14T12:19:36Z</dcterms:modified>
</cp:coreProperties>
</file>