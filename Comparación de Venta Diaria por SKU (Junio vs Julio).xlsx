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rbit\Desktop\Mi_Dashboard_Ventas\"/>
    </mc:Choice>
  </mc:AlternateContent>
  <xr:revisionPtr revIDLastSave="0" documentId="13_ncr:1_{7B7FF445-DB7E-4D3F-801E-50BAFA15E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0" i="1"/>
  <c r="E29" i="1"/>
  <c r="E28" i="1"/>
  <c r="E32" i="1"/>
  <c r="E31" i="1"/>
  <c r="E34" i="1"/>
  <c r="E33" i="1"/>
  <c r="E36" i="1"/>
  <c r="E38" i="1"/>
  <c r="E37" i="1"/>
  <c r="E40" i="1"/>
  <c r="E39" i="1"/>
  <c r="E42" i="1"/>
  <c r="E41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44" i="1"/>
  <c r="E35" i="1"/>
  <c r="E3" i="1"/>
  <c r="E43" i="1"/>
  <c r="E45" i="1"/>
  <c r="F30" i="1" l="1"/>
  <c r="F29" i="1"/>
  <c r="F28" i="1"/>
  <c r="F32" i="1"/>
  <c r="F31" i="1"/>
  <c r="F34" i="1"/>
  <c r="F33" i="1"/>
  <c r="F36" i="1"/>
  <c r="F38" i="1"/>
  <c r="F37" i="1"/>
  <c r="F40" i="1"/>
  <c r="F39" i="1"/>
  <c r="F42" i="1"/>
  <c r="F41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44" i="1"/>
  <c r="F35" i="1"/>
  <c r="F3" i="1"/>
  <c r="F2" i="1"/>
  <c r="F43" i="1"/>
  <c r="F45" i="1"/>
  <c r="G30" i="1" l="1"/>
  <c r="G29" i="1"/>
  <c r="G28" i="1"/>
  <c r="G32" i="1"/>
  <c r="G31" i="1"/>
  <c r="G34" i="1"/>
  <c r="G33" i="1"/>
  <c r="G36" i="1"/>
  <c r="G38" i="1"/>
  <c r="G37" i="1"/>
  <c r="G40" i="1"/>
  <c r="G39" i="1"/>
  <c r="G42" i="1"/>
  <c r="G41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44" i="1"/>
  <c r="G35" i="1"/>
  <c r="G3" i="1"/>
  <c r="G2" i="1"/>
  <c r="G43" i="1"/>
  <c r="G45" i="1"/>
</calcChain>
</file>

<file path=xl/sharedStrings.xml><?xml version="1.0" encoding="utf-8"?>
<sst xmlns="http://schemas.openxmlformats.org/spreadsheetml/2006/main" count="102" uniqueCount="62">
  <si>
    <t>REFERENCIA INTERNA</t>
  </si>
  <si>
    <t>PRODUCTO</t>
  </si>
  <si>
    <t>PROMD VTA DIA JUNIO</t>
  </si>
  <si>
    <t>PROMD VTA DIA JULIO</t>
  </si>
  <si>
    <t>Porcentaje de desviación</t>
  </si>
  <si>
    <t>Estado de tendencia</t>
  </si>
  <si>
    <t>Cremosillo Tradicional 150g</t>
  </si>
  <si>
    <t>Cremosillo Coco 150g</t>
  </si>
  <si>
    <t>Cremosillo Tradicional 230g</t>
  </si>
  <si>
    <t>Cremosillo Tradicional 400g</t>
  </si>
  <si>
    <t>Cremosillo Tradicional 1000g</t>
  </si>
  <si>
    <t>Gelatina Saltarina Fresa 130g</t>
  </si>
  <si>
    <t>Gelatina Saltarina Chicle 130g</t>
  </si>
  <si>
    <t>Gelatina Saltarina Kolita 130g</t>
  </si>
  <si>
    <t>Cremigurt Natural 150g</t>
  </si>
  <si>
    <t>Cremigurt Dulce 150g</t>
  </si>
  <si>
    <t>Cremigurt Griego Fresa 150g</t>
  </si>
  <si>
    <t>Cremigurt Griego Durazno 150g</t>
  </si>
  <si>
    <t>Cremigurt Griego Piña 150g</t>
  </si>
  <si>
    <t>Cremigurt Griego 150g</t>
  </si>
  <si>
    <t>Cremigurt Light 150g</t>
  </si>
  <si>
    <t>Cremigurt Natural 700g</t>
  </si>
  <si>
    <t>Cremigurt Dulce 700g</t>
  </si>
  <si>
    <t>Cremigurt Griego Fresa 700g</t>
  </si>
  <si>
    <t>Cremigurt Griego 700g</t>
  </si>
  <si>
    <t>Cremigurt Light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</si>
  <si>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</si>
  <si>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</si>
  <si>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</si>
  <si>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</si>
  <si>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</si>
  <si>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</si>
  <si>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</si>
  <si>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</si>
  <si>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</si>
  <si>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</si>
  <si>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</si>
  <si>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Líquido Dulce 230g</t>
  </si>
  <si>
    <t>Cremigurt Líquido Fresa 230g</t>
  </si>
  <si>
    <t>Cremigurt Líquido Durazno 230g</t>
  </si>
  <si>
    <t>Tevia Durazno 360ml</t>
  </si>
  <si>
    <t>Tevia Blueberry 360ml</t>
  </si>
  <si>
    <t>Tevia Tropical Punch 360ml</t>
  </si>
  <si>
    <t>Cremigurt Griego Dulce 4 Kg</t>
  </si>
  <si>
    <t>Cremigurt Griego Natural 4 Kg</t>
  </si>
  <si>
    <t>Índice</t>
  </si>
  <si>
    <t>Referencia</t>
  </si>
  <si>
    <t>1</t>
  </si>
  <si>
    <t>Ventas Junio y transcurso de ventas Julio.pdf</t>
  </si>
  <si>
    <t>Tevia Limon 360ml</t>
  </si>
  <si>
    <t>Tevia Limon 1.5L</t>
  </si>
  <si>
    <t>Tevia Durazno 1.5 L</t>
  </si>
  <si>
    <t>Tevia Blueberry 1.5 L</t>
  </si>
  <si>
    <t>Tevia Tropical Punch 1.5 L</t>
  </si>
  <si>
    <t>Not in source</t>
  </si>
  <si>
    <t>PRECIO UNITARIO</t>
  </si>
  <si>
    <t>CREMOSILLO</t>
  </si>
  <si>
    <t>CREMIGURT</t>
  </si>
  <si>
    <t>TEVIA</t>
  </si>
  <si>
    <t>SALTARINA</t>
  </si>
  <si>
    <t>CREMIGURT POWER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</si>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</sst>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3" fillId="0" borderId="0" xfId="0" applyFont="1"/>
    <xf numFmtId="1" fontId="0" fillId="0" borderId="0" xfId="0" applyNumberFormat="1"/>
    <xf numFmtId="164" fontId="4" fillId="2" borderId="1" xfId="1" applyNumberFormat="1" applyFont="1" applyFill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  <xf numFmtId="3" fontId="3" fillId="0" borderId="0" xfId="0" applyNumberFormat="1" applyFont="1"/>
  </cellXfs>
  <cellStyles count="2">
    <cellStyle name="Normal" xfId="0" builtinId="0"/>
    <cellStyle name="Normal 2" xfId="1" xr:uid="{6A46E9E3-F881-4AFA-9613-5EAED1E58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LMACEN%202026\Inventario\Julio\Inventario%20Nacional%20Producto%20Terminado\Inventario%20Nacional%20Producto%20Terminado%20JULIO%202026.xlsx" TargetMode="External"/><Relationship Id="rId1" Type="http://schemas.openxmlformats.org/officeDocument/2006/relationships/externalLinkPath" Target="file:///R:\ALMACEN%202026\Inventario\Julio\Inventario%20Nacional%20Producto%20Terminado\Inventario%20Nacional%20Producto%20Terminado%20JUL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NACIONAL 03-07-26"/>
      <sheetName val="VINCULO VTS BY SKU JUNIO"/>
      <sheetName val="VINCULO VTS BY SKU OPEN"/>
      <sheetName val="DESV. VTS BY SKU"/>
      <sheetName val="INVENTARIO NACIONAL 03-07-26-2"/>
      <sheetName val="INVENTARIO NACIONAL 06-07-26"/>
      <sheetName val="INVENTARIO NACIONAL 07-07-26"/>
      <sheetName val="INVENTARIO NACIONAL 08-07-26"/>
      <sheetName val="INVENTARIO NACIONAL 09-07-26"/>
      <sheetName val="INVENTARIO NACIONAL 10-07-26"/>
      <sheetName val="INVENTARIO NACIONAL 13-07-26"/>
      <sheetName val="INVENTARIO NACIONAL 14-07-26"/>
      <sheetName val="INVENTARIO NACIONAL 15-07-26"/>
      <sheetName val="INVENTARIO NACIONAL 16-07-26"/>
      <sheetName val="INVENTARIO NACIONAL 17-07-26"/>
      <sheetName val="INVENTARIO NACIONAL 20-07-26"/>
      <sheetName val="INVENTARIO NACIONAL 21-07-26"/>
      <sheetName val="INVENTARIO NACIONAL 22-07-26"/>
      <sheetName val="INVENTARIO NACIONAL 23-07-26"/>
      <sheetName val="INVENTARIO NACIONAL 27-07-26"/>
      <sheetName val="INVENTARIO NACIONAL 28-07-26"/>
      <sheetName val="INVENTARIO NACIONAL 29-07-26"/>
    </sheetNames>
    <sheetDataSet>
      <sheetData sheetId="0"/>
      <sheetData sheetId="1"/>
      <sheetData sheetId="2"/>
      <sheetData sheetId="3">
        <row r="4">
          <cell r="F4">
            <v>1133.578947368421</v>
          </cell>
          <cell r="G4">
            <v>8.4670182763799007E-2</v>
          </cell>
          <cell r="H4" t="str">
            <v>SUBIÓ</v>
          </cell>
        </row>
        <row r="5">
          <cell r="F5">
            <v>77.15789473684211</v>
          </cell>
          <cell r="G5">
            <v>1.5843018677753617E-2</v>
          </cell>
          <cell r="H5" t="str">
            <v>SUBIÓ</v>
          </cell>
        </row>
        <row r="6">
          <cell r="F6">
            <v>543.84210526315792</v>
          </cell>
          <cell r="G6">
            <v>0.11266867997670182</v>
          </cell>
          <cell r="H6" t="str">
            <v>SUBIÓ</v>
          </cell>
        </row>
        <row r="7">
          <cell r="F7">
            <v>95.15789473684211</v>
          </cell>
          <cell r="G7">
            <v>4.1529196124640011E-2</v>
          </cell>
          <cell r="H7" t="str">
            <v>SUBIÓ</v>
          </cell>
        </row>
        <row r="8">
          <cell r="F8">
            <v>17.315789473684209</v>
          </cell>
          <cell r="G8">
            <v>8.5320137951716779E-2</v>
          </cell>
          <cell r="H8" t="str">
            <v>SUBIÓ</v>
          </cell>
        </row>
        <row r="9">
          <cell r="F9">
            <v>1256.9473684210527</v>
          </cell>
          <cell r="G9">
            <v>-0.12797319210169478</v>
          </cell>
          <cell r="H9" t="str">
            <v>BAJO</v>
          </cell>
        </row>
        <row r="10">
          <cell r="F10">
            <v>121.26315789473684</v>
          </cell>
          <cell r="G10">
            <v>-8.762329901360788E-2</v>
          </cell>
          <cell r="H10" t="str">
            <v>BAJO</v>
          </cell>
        </row>
        <row r="11">
          <cell r="F11">
            <v>287.78947368421052</v>
          </cell>
          <cell r="G11">
            <v>-0.13470432949943534</v>
          </cell>
          <cell r="H11" t="str">
            <v>BAJO</v>
          </cell>
        </row>
        <row r="12">
          <cell r="F12">
            <v>671.10526315789468</v>
          </cell>
          <cell r="G12">
            <v>-5.9777380788786583E-2</v>
          </cell>
          <cell r="H12" t="str">
            <v>BAJO</v>
          </cell>
        </row>
        <row r="13">
          <cell r="F13">
            <v>393.31578947368422</v>
          </cell>
          <cell r="G13">
            <v>-0.17786723340417554</v>
          </cell>
          <cell r="H13" t="str">
            <v>BAJO</v>
          </cell>
        </row>
        <row r="14">
          <cell r="F14">
            <v>3267.8421052631579</v>
          </cell>
          <cell r="G14">
            <v>-6.4447572180500012E-2</v>
          </cell>
          <cell r="H14" t="str">
            <v>BAJO</v>
          </cell>
        </row>
        <row r="15">
          <cell r="F15">
            <v>2184.6842105263158</v>
          </cell>
          <cell r="G15">
            <v>-2.0201153186713561E-2</v>
          </cell>
          <cell r="H15" t="str">
            <v>BAJO</v>
          </cell>
        </row>
        <row r="16">
          <cell r="F16">
            <v>2175.8947368421054</v>
          </cell>
          <cell r="G16">
            <v>-5.6401722604988658E-2</v>
          </cell>
          <cell r="H16" t="str">
            <v>BAJO</v>
          </cell>
        </row>
        <row r="17">
          <cell r="F17">
            <v>2428.3684210526317</v>
          </cell>
          <cell r="G17">
            <v>-0.10333654582571794</v>
          </cell>
          <cell r="H17" t="str">
            <v>BAJO</v>
          </cell>
        </row>
        <row r="18">
          <cell r="F18">
            <v>136.10526315789474</v>
          </cell>
          <cell r="G18">
            <v>-0.21799013071985263</v>
          </cell>
          <cell r="H18" t="str">
            <v>BAJO</v>
          </cell>
        </row>
        <row r="19">
          <cell r="F19">
            <v>224</v>
          </cell>
          <cell r="G19">
            <v>4.384664266045335E-2</v>
          </cell>
          <cell r="H19" t="str">
            <v>SUBIÓ</v>
          </cell>
        </row>
        <row r="20">
          <cell r="F20">
            <v>153.52631578947367</v>
          </cell>
          <cell r="G20">
            <v>0.20670916304695264</v>
          </cell>
          <cell r="H20" t="str">
            <v>SUBIÓ</v>
          </cell>
        </row>
        <row r="21">
          <cell r="F21">
            <v>493.42105263157896</v>
          </cell>
          <cell r="G21">
            <v>1.908215902128596E-2</v>
          </cell>
          <cell r="H21" t="str">
            <v>SUBIÓ</v>
          </cell>
        </row>
        <row r="22">
          <cell r="F22">
            <v>823.63157894736844</v>
          </cell>
          <cell r="G22">
            <v>5.7540255447770861E-2</v>
          </cell>
          <cell r="H22" t="str">
            <v>SUBIÓ</v>
          </cell>
        </row>
        <row r="23">
          <cell r="F23">
            <v>5.7894736842105265</v>
          </cell>
          <cell r="G23">
            <v>-0.89430006551648833</v>
          </cell>
          <cell r="H23" t="str">
            <v>BAJO</v>
          </cell>
        </row>
        <row r="24">
          <cell r="F24">
            <v>53.157894736842103</v>
          </cell>
          <cell r="G24">
            <v>0.2781133160770779</v>
          </cell>
          <cell r="H24" t="str">
            <v>SUBIÓ</v>
          </cell>
        </row>
        <row r="25">
          <cell r="F25">
            <v>688.84210526315792</v>
          </cell>
          <cell r="G25">
            <v>-0.20627841010896797</v>
          </cell>
          <cell r="H25" t="str">
            <v>BAJO</v>
          </cell>
        </row>
        <row r="26">
          <cell r="F26">
            <v>1093.6842105263158</v>
          </cell>
          <cell r="G26">
            <v>-0.20893435587917708</v>
          </cell>
          <cell r="H26" t="str">
            <v>BAJO</v>
          </cell>
        </row>
        <row r="27">
          <cell r="F27">
            <v>476.5263157894737</v>
          </cell>
          <cell r="G27">
            <v>-0.12658677435904186</v>
          </cell>
          <cell r="H27" t="str">
            <v>BAJO</v>
          </cell>
        </row>
        <row r="28">
          <cell r="F28">
            <v>377.68421052631578</v>
          </cell>
          <cell r="G28">
            <v>-0.25062656641604009</v>
          </cell>
          <cell r="H28" t="str">
            <v>BAJO</v>
          </cell>
        </row>
        <row r="29">
          <cell r="F29">
            <v>111.26315789473684</v>
          </cell>
          <cell r="G29">
            <v>-0.14592132809343672</v>
          </cell>
          <cell r="H29" t="str">
            <v>BAJO</v>
          </cell>
        </row>
        <row r="30">
          <cell r="F30">
            <v>124.47368421052632</v>
          </cell>
          <cell r="G30">
            <v>-0.12816903768494781</v>
          </cell>
          <cell r="H30" t="str">
            <v>BAJO</v>
          </cell>
        </row>
        <row r="31">
          <cell r="F31">
            <v>801.31578947368416</v>
          </cell>
          <cell r="G31">
            <v>-5.9287760489805219E-2</v>
          </cell>
          <cell r="H31" t="str">
            <v>BAJO</v>
          </cell>
        </row>
        <row r="32">
          <cell r="F32">
            <v>658.10526315789468</v>
          </cell>
          <cell r="G32">
            <v>-0.23244893232923269</v>
          </cell>
          <cell r="H32" t="str">
            <v>BAJO</v>
          </cell>
        </row>
        <row r="33">
          <cell r="F33">
            <v>841.47368421052636</v>
          </cell>
          <cell r="G33">
            <v>-0.21190204118213796</v>
          </cell>
          <cell r="H33" t="str">
            <v>BAJO</v>
          </cell>
        </row>
        <row r="34">
          <cell r="F34">
            <v>562.0526315789474</v>
          </cell>
          <cell r="G34">
            <v>-0.17959408872499716</v>
          </cell>
          <cell r="H34" t="str">
            <v>BAJO</v>
          </cell>
        </row>
        <row r="35">
          <cell r="F35">
            <v>213.21052631578948</v>
          </cell>
          <cell r="G35">
            <v>2.1479002384008794E-2</v>
          </cell>
          <cell r="H35" t="str">
            <v>SUBIÓ</v>
          </cell>
        </row>
        <row r="36">
          <cell r="F36">
            <v>236.10526315789474</v>
          </cell>
          <cell r="G36">
            <v>-0.53774888409062171</v>
          </cell>
          <cell r="H36" t="str">
            <v>BAJO</v>
          </cell>
        </row>
        <row r="37">
          <cell r="F37">
            <v>364.31578947368422</v>
          </cell>
          <cell r="G37">
            <v>-0.19472044926946119</v>
          </cell>
          <cell r="H37" t="str">
            <v>BAJO</v>
          </cell>
        </row>
        <row r="38">
          <cell r="F38">
            <v>273.94736842105266</v>
          </cell>
          <cell r="G38">
            <v>-0.19642105263157894</v>
          </cell>
          <cell r="H38" t="str">
            <v>BAJO</v>
          </cell>
        </row>
        <row r="39">
          <cell r="F39">
            <v>417.26315789473682</v>
          </cell>
          <cell r="G39">
            <v>-0.17596144760464905</v>
          </cell>
          <cell r="H39" t="str">
            <v>BAJO</v>
          </cell>
        </row>
        <row r="40">
          <cell r="F40">
            <v>243.68421052631578</v>
          </cell>
          <cell r="G40">
            <v>-0.12085066717301618</v>
          </cell>
          <cell r="H40" t="str">
            <v>BAJO</v>
          </cell>
        </row>
        <row r="41">
          <cell r="F41">
            <v>263.68421052631578</v>
          </cell>
          <cell r="G41">
            <v>-0.10491395902191825</v>
          </cell>
          <cell r="H41" t="str">
            <v>BAJO</v>
          </cell>
        </row>
        <row r="42">
          <cell r="F42">
            <v>51.368421052631582</v>
          </cell>
          <cell r="G42">
            <v>-0.28110352216418899</v>
          </cell>
          <cell r="H42" t="str">
            <v>BAJO</v>
          </cell>
        </row>
        <row r="43">
          <cell r="F43">
            <v>85.315789473684205</v>
          </cell>
          <cell r="G43">
            <v>-0.18429058304169821</v>
          </cell>
          <cell r="H43" t="str">
            <v>BAJO</v>
          </cell>
        </row>
        <row r="44">
          <cell r="F44">
            <v>34.421052631578945</v>
          </cell>
          <cell r="G44">
            <v>-0.29293822792274804</v>
          </cell>
          <cell r="H44" t="str">
            <v>BAJO</v>
          </cell>
        </row>
        <row r="45">
          <cell r="F45">
            <v>41.421052631578945</v>
          </cell>
          <cell r="G45">
            <v>-0.13047408597830457</v>
          </cell>
          <cell r="H45" t="str">
            <v>BAJO</v>
          </cell>
        </row>
        <row r="46">
          <cell r="F46">
            <v>0.52631578947368418</v>
          </cell>
          <cell r="G46">
            <v>-3.5087719298245612E-2</v>
          </cell>
          <cell r="H46" t="str">
            <v>BAJO</v>
          </cell>
        </row>
        <row r="47">
          <cell r="F47">
            <v>2.8947368421052633</v>
          </cell>
          <cell r="G47">
            <v>4.4003451251079628E-2</v>
          </cell>
          <cell r="H47" t="str">
            <v>SUBIÓ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H13" sqref="H13"/>
    </sheetView>
  </sheetViews>
  <sheetFormatPr baseColWidth="10" defaultColWidth="9.140625" defaultRowHeight="12.75" x14ac:dyDescent="0.2"/>
  <cols>
    <col min="1" max="1" width="17.7109375" customWidth="1"/>
    <col min="2" max="2" width="38" customWidth="1"/>
    <col min="3" max="8" width="17.7109375" customWidth="1"/>
    <col min="10" max="10" width="17.7109375" customWidth="1"/>
  </cols>
  <sheetData>
    <row r="1" spans="1:8" x14ac:dyDescent="0.2">
      <c r="A1" t="s">
        <v>0</v>
      </c>
      <c r="B1" t="s">
        <v>1</v>
      </c>
      <c r="C1" s="4" t="s">
        <v>61</v>
      </c>
      <c r="D1" s="4" t="s">
        <v>2</v>
      </c>
      <c r="E1" s="4" t="s">
        <v>3</v>
      </c>
      <c r="F1" s="4" t="s">
        <v>4</v>
      </c>
      <c r="G1" t="s">
        <v>5</v>
      </c>
      <c r="H1" s="4" t="s">
        <v>55</v>
      </c>
    </row>
    <row r="2" spans="1:8" x14ac:dyDescent="0.2">
      <c r="A2">
        <v>110150</v>
      </c>
      <c r="B2" t="s">
        <v>6</v>
      </c>
      <c r="C2" s="4" t="s">
        <v>56</v>
      </c>
      <c r="D2" s="5">
        <v>1045</v>
      </c>
      <c r="E2" s="5">
        <f ca="1">'[1]DESV. VTS BY SKU'!$F$4</f>
        <v>1133.578947368421</v>
      </c>
      <c r="F2" s="6">
        <f ca="1">'[1]DESV. VTS BY SKU'!G4</f>
        <v>8.4670182763799007E-2</v>
      </c>
      <c r="G2" s="8" t="str">
        <f ca="1">'[1]DESV. VTS BY SKU'!H4</f>
        <v>SUBIÓ</v>
      </c>
      <c r="H2">
        <v>1.36</v>
      </c>
    </row>
    <row r="3" spans="1:8" x14ac:dyDescent="0.2">
      <c r="A3">
        <v>110151</v>
      </c>
      <c r="B3" t="s">
        <v>7</v>
      </c>
      <c r="C3" s="4" t="s">
        <v>56</v>
      </c>
      <c r="D3" s="5">
        <v>76</v>
      </c>
      <c r="E3" s="5">
        <f ca="1">'[1]DESV. VTS BY SKU'!F5</f>
        <v>77.15789473684211</v>
      </c>
      <c r="F3" s="7">
        <f ca="1">'[1]DESV. VTS BY SKU'!G5</f>
        <v>1.5843018677753617E-2</v>
      </c>
      <c r="G3" s="8" t="str">
        <f ca="1">'[1]DESV. VTS BY SKU'!H5</f>
        <v>SUBIÓ</v>
      </c>
      <c r="H3">
        <v>1.59</v>
      </c>
    </row>
    <row r="4" spans="1:8" x14ac:dyDescent="0.2">
      <c r="A4">
        <v>110230</v>
      </c>
      <c r="B4" t="s">
        <v>8</v>
      </c>
      <c r="C4" s="4" t="s">
        <v>56</v>
      </c>
      <c r="D4" s="5">
        <v>489</v>
      </c>
      <c r="E4" s="5">
        <f ca="1">'[1]DESV. VTS BY SKU'!F6</f>
        <v>543.84210526315792</v>
      </c>
      <c r="F4" s="6">
        <f ca="1">'[1]DESV. VTS BY SKU'!G6</f>
        <v>0.11266867997670182</v>
      </c>
      <c r="G4" s="8" t="str">
        <f ca="1">'[1]DESV. VTS BY SKU'!H6</f>
        <v>SUBIÓ</v>
      </c>
      <c r="H4">
        <v>2.0299999999999998</v>
      </c>
    </row>
    <row r="5" spans="1:8" x14ac:dyDescent="0.2">
      <c r="A5">
        <v>110400</v>
      </c>
      <c r="B5" t="s">
        <v>9</v>
      </c>
      <c r="C5" s="4" t="s">
        <v>56</v>
      </c>
      <c r="D5" s="5">
        <v>91</v>
      </c>
      <c r="E5" s="5">
        <f ca="1">'[1]DESV. VTS BY SKU'!F7</f>
        <v>95.15789473684211</v>
      </c>
      <c r="F5" s="7">
        <f ca="1">'[1]DESV. VTS BY SKU'!G7</f>
        <v>4.1529196124640011E-2</v>
      </c>
      <c r="G5" s="8" t="str">
        <f ca="1">'[1]DESV. VTS BY SKU'!H7</f>
        <v>SUBIÓ</v>
      </c>
      <c r="H5">
        <v>3.61</v>
      </c>
    </row>
    <row r="6" spans="1:8" x14ac:dyDescent="0.2">
      <c r="A6">
        <v>111000</v>
      </c>
      <c r="B6" t="s">
        <v>10</v>
      </c>
      <c r="C6" s="4" t="s">
        <v>56</v>
      </c>
      <c r="D6" s="5">
        <v>16</v>
      </c>
      <c r="E6" s="5">
        <f ca="1">'[1]DESV. VTS BY SKU'!F8</f>
        <v>17.315789473684209</v>
      </c>
      <c r="F6" s="6">
        <f ca="1">'[1]DESV. VTS BY SKU'!G8</f>
        <v>8.5320137951716779E-2</v>
      </c>
      <c r="G6" s="8" t="str">
        <f ca="1">'[1]DESV. VTS BY SKU'!H8</f>
        <v>SUBIÓ</v>
      </c>
      <c r="H6">
        <v>8.7799999999999994</v>
      </c>
    </row>
    <row r="7" spans="1:8" x14ac:dyDescent="0.2">
      <c r="A7">
        <v>120130</v>
      </c>
      <c r="B7" t="s">
        <v>11</v>
      </c>
      <c r="C7" s="4" t="s">
        <v>59</v>
      </c>
      <c r="D7" s="5">
        <v>1441</v>
      </c>
      <c r="E7" s="5">
        <f ca="1">'[1]DESV. VTS BY SKU'!F9</f>
        <v>1256.9473684210527</v>
      </c>
      <c r="F7" s="7">
        <f ca="1">'[1]DESV. VTS BY SKU'!G9</f>
        <v>-0.12797319210169478</v>
      </c>
      <c r="G7" s="8" t="str">
        <f ca="1">'[1]DESV. VTS BY SKU'!H9</f>
        <v>BAJO</v>
      </c>
      <c r="H7">
        <v>0.63</v>
      </c>
    </row>
    <row r="8" spans="1:8" x14ac:dyDescent="0.2">
      <c r="A8">
        <v>120131</v>
      </c>
      <c r="B8" t="s">
        <v>12</v>
      </c>
      <c r="C8" s="4" t="s">
        <v>59</v>
      </c>
      <c r="D8" s="5">
        <v>133</v>
      </c>
      <c r="E8" s="5">
        <f ca="1">'[1]DESV. VTS BY SKU'!F10</f>
        <v>121.26315789473684</v>
      </c>
      <c r="F8" s="6">
        <f ca="1">'[1]DESV. VTS BY SKU'!G10</f>
        <v>-8.762329901360788E-2</v>
      </c>
      <c r="G8" s="8" t="str">
        <f ca="1">'[1]DESV. VTS BY SKU'!H10</f>
        <v>BAJO</v>
      </c>
      <c r="H8">
        <v>0.63</v>
      </c>
    </row>
    <row r="9" spans="1:8" x14ac:dyDescent="0.2">
      <c r="A9">
        <v>120132</v>
      </c>
      <c r="B9" t="s">
        <v>13</v>
      </c>
      <c r="C9" s="4" t="s">
        <v>59</v>
      </c>
      <c r="D9" s="5">
        <v>333</v>
      </c>
      <c r="E9" s="5">
        <f ca="1">'[1]DESV. VTS BY SKU'!F11</f>
        <v>287.78947368421052</v>
      </c>
      <c r="F9" s="7">
        <f ca="1">'[1]DESV. VTS BY SKU'!G11</f>
        <v>-0.13470432949943534</v>
      </c>
      <c r="G9" s="8" t="str">
        <f ca="1">'[1]DESV. VTS BY SKU'!H11</f>
        <v>BAJO</v>
      </c>
      <c r="H9">
        <v>0.63</v>
      </c>
    </row>
    <row r="10" spans="1:8" x14ac:dyDescent="0.2">
      <c r="A10">
        <v>130150</v>
      </c>
      <c r="B10" t="s">
        <v>14</v>
      </c>
      <c r="C10" s="4" t="s">
        <v>57</v>
      </c>
      <c r="D10" s="5">
        <v>714</v>
      </c>
      <c r="E10" s="5">
        <f ca="1">'[1]DESV. VTS BY SKU'!F12</f>
        <v>671.10526315789468</v>
      </c>
      <c r="F10" s="6">
        <f ca="1">'[1]DESV. VTS BY SKU'!G12</f>
        <v>-5.9777380788786583E-2</v>
      </c>
      <c r="G10" s="8" t="str">
        <f ca="1">'[1]DESV. VTS BY SKU'!H12</f>
        <v>BAJO</v>
      </c>
      <c r="H10">
        <v>1.0900000000000001</v>
      </c>
    </row>
    <row r="11" spans="1:8" x14ac:dyDescent="0.2">
      <c r="A11">
        <v>130151</v>
      </c>
      <c r="B11" t="s">
        <v>15</v>
      </c>
      <c r="C11" s="4" t="s">
        <v>57</v>
      </c>
      <c r="D11" s="5">
        <v>478</v>
      </c>
      <c r="E11" s="5">
        <f ca="1">'[1]DESV. VTS BY SKU'!F13</f>
        <v>393.31578947368422</v>
      </c>
      <c r="F11" s="7">
        <f ca="1">'[1]DESV. VTS BY SKU'!G13</f>
        <v>-0.17786723340417554</v>
      </c>
      <c r="G11" s="8" t="str">
        <f ca="1">'[1]DESV. VTS BY SKU'!H13</f>
        <v>BAJO</v>
      </c>
      <c r="H11">
        <v>1.0900000000000001</v>
      </c>
    </row>
    <row r="12" spans="1:8" x14ac:dyDescent="0.2">
      <c r="A12">
        <v>130152</v>
      </c>
      <c r="B12" t="s">
        <v>16</v>
      </c>
      <c r="C12" s="4" t="s">
        <v>57</v>
      </c>
      <c r="D12" s="5">
        <v>3493</v>
      </c>
      <c r="E12" s="5">
        <f ca="1">'[1]DESV. VTS BY SKU'!F14</f>
        <v>3267.8421052631579</v>
      </c>
      <c r="F12" s="6">
        <f ca="1">'[1]DESV. VTS BY SKU'!G14</f>
        <v>-6.4447572180500012E-2</v>
      </c>
      <c r="G12" s="8" t="str">
        <f ca="1">'[1]DESV. VTS BY SKU'!H14</f>
        <v>BAJO</v>
      </c>
      <c r="H12">
        <v>1.1599999999999999</v>
      </c>
    </row>
    <row r="13" spans="1:8" x14ac:dyDescent="0.2">
      <c r="A13">
        <v>130153</v>
      </c>
      <c r="B13" t="s">
        <v>17</v>
      </c>
      <c r="C13" s="4" t="s">
        <v>57</v>
      </c>
      <c r="D13" s="5">
        <v>2230</v>
      </c>
      <c r="E13" s="5">
        <f ca="1">'[1]DESV. VTS BY SKU'!F15</f>
        <v>2184.6842105263158</v>
      </c>
      <c r="F13" s="7">
        <f ca="1">'[1]DESV. VTS BY SKU'!G15</f>
        <v>-2.0201153186713561E-2</v>
      </c>
      <c r="G13" s="8" t="str">
        <f ca="1">'[1]DESV. VTS BY SKU'!H15</f>
        <v>BAJO</v>
      </c>
      <c r="H13">
        <v>1.1599999999999999</v>
      </c>
    </row>
    <row r="14" spans="1:8" x14ac:dyDescent="0.2">
      <c r="A14">
        <v>130154</v>
      </c>
      <c r="B14" t="s">
        <v>18</v>
      </c>
      <c r="C14" s="4" t="s">
        <v>57</v>
      </c>
      <c r="D14" s="5">
        <v>2306</v>
      </c>
      <c r="E14" s="5">
        <f ca="1">'[1]DESV. VTS BY SKU'!F16</f>
        <v>2175.8947368421054</v>
      </c>
      <c r="F14" s="6">
        <f ca="1">'[1]DESV. VTS BY SKU'!G16</f>
        <v>-5.6401722604988658E-2</v>
      </c>
      <c r="G14" s="8" t="str">
        <f ca="1">'[1]DESV. VTS BY SKU'!H16</f>
        <v>BAJO</v>
      </c>
      <c r="H14">
        <v>1.1599999999999999</v>
      </c>
    </row>
    <row r="15" spans="1:8" x14ac:dyDescent="0.2">
      <c r="A15">
        <v>130155</v>
      </c>
      <c r="B15" t="s">
        <v>19</v>
      </c>
      <c r="C15" s="4" t="s">
        <v>57</v>
      </c>
      <c r="D15" s="5">
        <v>2708</v>
      </c>
      <c r="E15" s="5">
        <f ca="1">'[1]DESV. VTS BY SKU'!F17</f>
        <v>2428.3684210526317</v>
      </c>
      <c r="F15" s="7">
        <f ca="1">'[1]DESV. VTS BY SKU'!G17</f>
        <v>-0.10333654582571794</v>
      </c>
      <c r="G15" s="8" t="str">
        <f ca="1">'[1]DESV. VTS BY SKU'!H17</f>
        <v>BAJO</v>
      </c>
      <c r="H15">
        <v>1.1599999999999999</v>
      </c>
    </row>
    <row r="16" spans="1:8" x14ac:dyDescent="0.2">
      <c r="A16">
        <v>130156</v>
      </c>
      <c r="B16" t="s">
        <v>20</v>
      </c>
      <c r="C16" s="4" t="s">
        <v>57</v>
      </c>
      <c r="D16" s="5">
        <v>174</v>
      </c>
      <c r="E16" s="5">
        <f ca="1">'[1]DESV. VTS BY SKU'!F18</f>
        <v>136.10526315789474</v>
      </c>
      <c r="F16" s="6">
        <f ca="1">'[1]DESV. VTS BY SKU'!G18</f>
        <v>-0.21799013071985263</v>
      </c>
      <c r="G16" s="8" t="str">
        <f ca="1">'[1]DESV. VTS BY SKU'!H18</f>
        <v>BAJO</v>
      </c>
      <c r="H16">
        <v>1.1599999999999999</v>
      </c>
    </row>
    <row r="17" spans="1:8" x14ac:dyDescent="0.2">
      <c r="A17">
        <v>130700</v>
      </c>
      <c r="B17" t="s">
        <v>21</v>
      </c>
      <c r="C17" s="4" t="s">
        <v>57</v>
      </c>
      <c r="D17" s="5">
        <v>215</v>
      </c>
      <c r="E17" s="5">
        <f ca="1">'[1]DESV. VTS BY SKU'!F19</f>
        <v>224</v>
      </c>
      <c r="F17" s="7">
        <f ca="1">'[1]DESV. VTS BY SKU'!G19</f>
        <v>4.384664266045335E-2</v>
      </c>
      <c r="G17" s="8" t="str">
        <f ca="1">'[1]DESV. VTS BY SKU'!H19</f>
        <v>SUBIÓ</v>
      </c>
      <c r="H17">
        <v>3.68</v>
      </c>
    </row>
    <row r="18" spans="1:8" x14ac:dyDescent="0.2">
      <c r="A18">
        <v>130701</v>
      </c>
      <c r="B18" t="s">
        <v>22</v>
      </c>
      <c r="C18" s="4" t="s">
        <v>57</v>
      </c>
      <c r="D18" s="5">
        <v>127</v>
      </c>
      <c r="E18" s="5">
        <f ca="1">'[1]DESV. VTS BY SKU'!F20</f>
        <v>153.52631578947367</v>
      </c>
      <c r="F18" s="6">
        <f ca="1">'[1]DESV. VTS BY SKU'!G20</f>
        <v>0.20670916304695264</v>
      </c>
      <c r="G18" s="8" t="str">
        <f ca="1">'[1]DESV. VTS BY SKU'!H20</f>
        <v>SUBIÓ</v>
      </c>
      <c r="H18">
        <v>3.68</v>
      </c>
    </row>
    <row r="19" spans="1:8" x14ac:dyDescent="0.2">
      <c r="A19">
        <v>130702</v>
      </c>
      <c r="B19" t="s">
        <v>23</v>
      </c>
      <c r="C19" s="4" t="s">
        <v>57</v>
      </c>
      <c r="D19" s="5">
        <v>484</v>
      </c>
      <c r="E19" s="5">
        <f ca="1">'[1]DESV. VTS BY SKU'!F21</f>
        <v>493.42105263157896</v>
      </c>
      <c r="F19" s="7">
        <f ca="1">'[1]DESV. VTS BY SKU'!G21</f>
        <v>1.908215902128596E-2</v>
      </c>
      <c r="G19" s="8" t="str">
        <f ca="1">'[1]DESV. VTS BY SKU'!H21</f>
        <v>SUBIÓ</v>
      </c>
      <c r="H19">
        <v>4.1500000000000004</v>
      </c>
    </row>
    <row r="20" spans="1:8" x14ac:dyDescent="0.2">
      <c r="A20">
        <v>130703</v>
      </c>
      <c r="B20" t="s">
        <v>24</v>
      </c>
      <c r="C20" s="4" t="s">
        <v>57</v>
      </c>
      <c r="D20" s="5">
        <v>779</v>
      </c>
      <c r="E20" s="5">
        <f ca="1">'[1]DESV. VTS BY SKU'!F22</f>
        <v>823.63157894736844</v>
      </c>
      <c r="F20" s="6">
        <f ca="1">'[1]DESV. VTS BY SKU'!G22</f>
        <v>5.7540255447770861E-2</v>
      </c>
      <c r="G20" s="8" t="str">
        <f ca="1">'[1]DESV. VTS BY SKU'!H22</f>
        <v>SUBIÓ</v>
      </c>
      <c r="H20">
        <v>4.1500000000000004</v>
      </c>
    </row>
    <row r="21" spans="1:8" x14ac:dyDescent="0.2">
      <c r="A21">
        <v>130704</v>
      </c>
      <c r="B21" t="s">
        <v>25</v>
      </c>
      <c r="C21" s="4" t="s">
        <v>57</v>
      </c>
      <c r="D21" s="5">
        <v>55</v>
      </c>
      <c r="E21" s="5">
        <f ca="1">'[1]DESV. VTS BY SKU'!F23</f>
        <v>5.7894736842105265</v>
      </c>
      <c r="F21" s="7">
        <f ca="1">'[1]DESV. VTS BY SKU'!G23</f>
        <v>-0.89430006551648833</v>
      </c>
      <c r="G21" s="8" t="str">
        <f ca="1">'[1]DESV. VTS BY SKU'!H23</f>
        <v>BAJO</v>
      </c>
      <c r="H21">
        <v>4.1500000000000004</v>
      </c>
    </row>
    <row r="22" spans="1:8" x14ac:dyDescent="0.2">
      <c r="A22">
        <v>130707</v>
      </c>
      <c r="B22" t="s">
        <v>26</v>
      </c>
      <c r="C22" s="4" t="s">
        <v>57</v>
      </c>
      <c r="D22" s="5">
        <v>42</v>
      </c>
      <c r="E22" s="5">
        <f ca="1">'[1]DESV. VTS BY SKU'!F24</f>
        <v>53.157894736842103</v>
      </c>
      <c r="F22" s="6">
        <f ca="1">'[1]DESV. VTS BY SKU'!G24</f>
        <v>0.2781133160770779</v>
      </c>
      <c r="G22" s="8" t="str">
        <f ca="1">'[1]DESV. VTS BY SKU'!H24</f>
        <v>SUBIÓ</v>
      </c>
      <c r="H22">
        <v>4.1500000000000004</v>
      </c>
    </row>
    <row r="23" spans="1:8" x14ac:dyDescent="0.2">
      <c r="A23">
        <v>131150</v>
      </c>
      <c r="B23" t="s">
        <v>27</v>
      </c>
      <c r="C23" s="4" t="s">
        <v>60</v>
      </c>
      <c r="D23" s="5">
        <v>868</v>
      </c>
      <c r="E23" s="5">
        <f ca="1">'[1]DESV. VTS BY SKU'!F25</f>
        <v>688.84210526315792</v>
      </c>
      <c r="F23" s="7">
        <f ca="1">'[1]DESV. VTS BY SKU'!G25</f>
        <v>-0.20627841010896797</v>
      </c>
      <c r="G23" s="8" t="str">
        <f ca="1">'[1]DESV. VTS BY SKU'!H25</f>
        <v>BAJO</v>
      </c>
      <c r="H23">
        <v>1.63</v>
      </c>
    </row>
    <row r="24" spans="1:8" x14ac:dyDescent="0.2">
      <c r="A24">
        <v>131151</v>
      </c>
      <c r="B24" t="s">
        <v>28</v>
      </c>
      <c r="C24" s="4" t="s">
        <v>60</v>
      </c>
      <c r="D24" s="5">
        <v>1383</v>
      </c>
      <c r="E24" s="5">
        <f ca="1">'[1]DESV. VTS BY SKU'!F26</f>
        <v>1093.6842105263158</v>
      </c>
      <c r="F24" s="6">
        <f ca="1">'[1]DESV. VTS BY SKU'!G26</f>
        <v>-0.20893435587917708</v>
      </c>
      <c r="G24" s="8" t="str">
        <f ca="1">'[1]DESV. VTS BY SKU'!H26</f>
        <v>BAJO</v>
      </c>
      <c r="H24">
        <v>1.63</v>
      </c>
    </row>
    <row r="25" spans="1:8" x14ac:dyDescent="0.2">
      <c r="A25">
        <v>131152</v>
      </c>
      <c r="B25" t="s">
        <v>29</v>
      </c>
      <c r="C25" s="4" t="s">
        <v>60</v>
      </c>
      <c r="D25" s="5">
        <v>546</v>
      </c>
      <c r="E25" s="5">
        <f ca="1">'[1]DESV. VTS BY SKU'!F27</f>
        <v>476.5263157894737</v>
      </c>
      <c r="F25" s="7">
        <f ca="1">'[1]DESV. VTS BY SKU'!G27</f>
        <v>-0.12658677435904186</v>
      </c>
      <c r="G25" s="8" t="str">
        <f ca="1">'[1]DESV. VTS BY SKU'!H27</f>
        <v>BAJO</v>
      </c>
      <c r="H25">
        <v>1.63</v>
      </c>
    </row>
    <row r="26" spans="1:8" x14ac:dyDescent="0.2">
      <c r="A26">
        <v>131153</v>
      </c>
      <c r="B26" t="s">
        <v>30</v>
      </c>
      <c r="C26" s="4" t="s">
        <v>60</v>
      </c>
      <c r="D26" s="5">
        <v>504</v>
      </c>
      <c r="E26" s="5">
        <f ca="1">'[1]DESV. VTS BY SKU'!F28</f>
        <v>377.68421052631578</v>
      </c>
      <c r="F26" s="6">
        <f ca="1">'[1]DESV. VTS BY SKU'!G28</f>
        <v>-0.25062656641604009</v>
      </c>
      <c r="G26" s="8" t="str">
        <f ca="1">'[1]DESV. VTS BY SKU'!H28</f>
        <v>BAJO</v>
      </c>
      <c r="H26">
        <v>1.63</v>
      </c>
    </row>
    <row r="27" spans="1:8" x14ac:dyDescent="0.2">
      <c r="A27">
        <v>131700</v>
      </c>
      <c r="B27" t="s">
        <v>31</v>
      </c>
      <c r="C27" s="4" t="s">
        <v>60</v>
      </c>
      <c r="D27" s="5">
        <v>130</v>
      </c>
      <c r="E27" s="5">
        <f ca="1">'[1]DESV. VTS BY SKU'!F29</f>
        <v>111.26315789473684</v>
      </c>
      <c r="F27" s="7">
        <f ca="1">'[1]DESV. VTS BY SKU'!G29</f>
        <v>-0.14592132809343672</v>
      </c>
      <c r="G27" s="8" t="str">
        <f ca="1">'[1]DESV. VTS BY SKU'!H29</f>
        <v>BAJO</v>
      </c>
      <c r="H27">
        <v>6.15</v>
      </c>
    </row>
    <row r="28" spans="1:8" x14ac:dyDescent="0.2">
      <c r="A28">
        <v>131701</v>
      </c>
      <c r="B28" t="s">
        <v>32</v>
      </c>
      <c r="C28" s="4" t="s">
        <v>60</v>
      </c>
      <c r="D28" s="5">
        <v>143</v>
      </c>
      <c r="E28" s="5">
        <f ca="1">'[1]DESV. VTS BY SKU'!F30</f>
        <v>124.47368421052632</v>
      </c>
      <c r="F28" s="6">
        <f ca="1">'[1]DESV. VTS BY SKU'!G30</f>
        <v>-0.12816903768494781</v>
      </c>
      <c r="G28" s="8" t="str">
        <f ca="1">'[1]DESV. VTS BY SKU'!H30</f>
        <v>BAJO</v>
      </c>
      <c r="H28">
        <v>6.15</v>
      </c>
    </row>
    <row r="29" spans="1:8" x14ac:dyDescent="0.2">
      <c r="A29">
        <v>132150</v>
      </c>
      <c r="B29" t="s">
        <v>33</v>
      </c>
      <c r="C29" s="4" t="s">
        <v>57</v>
      </c>
      <c r="D29" s="5">
        <v>852</v>
      </c>
      <c r="E29" s="5">
        <f ca="1">'[1]DESV. VTS BY SKU'!F31</f>
        <v>801.31578947368416</v>
      </c>
      <c r="F29" s="7">
        <f ca="1">'[1]DESV. VTS BY SKU'!G31</f>
        <v>-5.9287760489805219E-2</v>
      </c>
      <c r="G29" s="8" t="str">
        <f ca="1">'[1]DESV. VTS BY SKU'!H31</f>
        <v>BAJO</v>
      </c>
      <c r="H29">
        <v>1.1599999999999999</v>
      </c>
    </row>
    <row r="30" spans="1:8" x14ac:dyDescent="0.2">
      <c r="A30">
        <v>132151</v>
      </c>
      <c r="B30" t="s">
        <v>34</v>
      </c>
      <c r="C30" s="4" t="s">
        <v>57</v>
      </c>
      <c r="D30" s="5">
        <v>857</v>
      </c>
      <c r="E30" s="5">
        <f ca="1">'[1]DESV. VTS BY SKU'!F32</f>
        <v>658.10526315789468</v>
      </c>
      <c r="F30" s="6">
        <f ca="1">'[1]DESV. VTS BY SKU'!G32</f>
        <v>-0.23244893232923269</v>
      </c>
      <c r="G30" s="8" t="str">
        <f ca="1">'[1]DESV. VTS BY SKU'!H32</f>
        <v>BAJO</v>
      </c>
      <c r="H30">
        <v>1.1599999999999999</v>
      </c>
    </row>
    <row r="31" spans="1:8" x14ac:dyDescent="0.2">
      <c r="A31">
        <v>132152</v>
      </c>
      <c r="B31" t="s">
        <v>35</v>
      </c>
      <c r="C31" s="4" t="s">
        <v>57</v>
      </c>
      <c r="D31" s="5">
        <v>1068</v>
      </c>
      <c r="E31" s="5">
        <f ca="1">'[1]DESV. VTS BY SKU'!F33</f>
        <v>841.47368421052636</v>
      </c>
      <c r="F31" s="7">
        <f ca="1">'[1]DESV. VTS BY SKU'!G33</f>
        <v>-0.21190204118213796</v>
      </c>
      <c r="G31" s="8" t="str">
        <f ca="1">'[1]DESV. VTS BY SKU'!H33</f>
        <v>BAJO</v>
      </c>
      <c r="H31">
        <v>1.1599999999999999</v>
      </c>
    </row>
    <row r="32" spans="1:8" x14ac:dyDescent="0.2">
      <c r="A32">
        <v>132153</v>
      </c>
      <c r="B32" t="s">
        <v>36</v>
      </c>
      <c r="C32" s="4" t="s">
        <v>57</v>
      </c>
      <c r="D32" s="5">
        <v>685</v>
      </c>
      <c r="E32" s="5">
        <f ca="1">'[1]DESV. VTS BY SKU'!F34</f>
        <v>562.0526315789474</v>
      </c>
      <c r="F32" s="6">
        <f ca="1">'[1]DESV. VTS BY SKU'!G34</f>
        <v>-0.17959408872499716</v>
      </c>
      <c r="G32" s="8" t="str">
        <f ca="1">'[1]DESV. VTS BY SKU'!H34</f>
        <v>BAJO</v>
      </c>
      <c r="H32">
        <v>1.1599999999999999</v>
      </c>
    </row>
    <row r="33" spans="1:8" x14ac:dyDescent="0.2">
      <c r="A33">
        <v>140230</v>
      </c>
      <c r="B33" t="s">
        <v>37</v>
      </c>
      <c r="C33" s="4" t="s">
        <v>57</v>
      </c>
      <c r="D33" s="5">
        <v>209</v>
      </c>
      <c r="E33" s="5">
        <f ca="1">'[1]DESV. VTS BY SKU'!F35</f>
        <v>213.21052631578948</v>
      </c>
      <c r="F33" s="7">
        <f ca="1">'[1]DESV. VTS BY SKU'!G35</f>
        <v>2.1479002384008794E-2</v>
      </c>
      <c r="G33" s="8" t="str">
        <f ca="1">'[1]DESV. VTS BY SKU'!H35</f>
        <v>SUBIÓ</v>
      </c>
      <c r="H33">
        <v>1.1599999999999999</v>
      </c>
    </row>
    <row r="34" spans="1:8" x14ac:dyDescent="0.2">
      <c r="A34">
        <v>140231</v>
      </c>
      <c r="B34" t="s">
        <v>38</v>
      </c>
      <c r="C34" s="4" t="s">
        <v>57</v>
      </c>
      <c r="D34" s="5">
        <v>511</v>
      </c>
      <c r="E34" s="5">
        <f ca="1">'[1]DESV. VTS BY SKU'!F36</f>
        <v>236.10526315789474</v>
      </c>
      <c r="F34" s="6">
        <f ca="1">'[1]DESV. VTS BY SKU'!G36</f>
        <v>-0.53774888409062171</v>
      </c>
      <c r="G34" s="8" t="str">
        <f ca="1">'[1]DESV. VTS BY SKU'!H36</f>
        <v>BAJO</v>
      </c>
      <c r="H34">
        <v>1.1599999999999999</v>
      </c>
    </row>
    <row r="35" spans="1:8" x14ac:dyDescent="0.2">
      <c r="A35">
        <v>140232</v>
      </c>
      <c r="B35" t="s">
        <v>39</v>
      </c>
      <c r="C35" s="4" t="s">
        <v>57</v>
      </c>
      <c r="D35" s="5">
        <v>452</v>
      </c>
      <c r="E35" s="5">
        <f ca="1">'[1]DESV. VTS BY SKU'!F37</f>
        <v>364.31578947368422</v>
      </c>
      <c r="F35" s="7">
        <f ca="1">'[1]DESV. VTS BY SKU'!G37</f>
        <v>-0.19472044926946119</v>
      </c>
      <c r="G35" s="8" t="str">
        <f ca="1">'[1]DESV. VTS BY SKU'!H37</f>
        <v>BAJO</v>
      </c>
      <c r="H35">
        <v>1.1599999999999999</v>
      </c>
    </row>
    <row r="36" spans="1:8" x14ac:dyDescent="0.2">
      <c r="A36">
        <v>150360</v>
      </c>
      <c r="B36" t="s">
        <v>49</v>
      </c>
      <c r="C36" s="4" t="s">
        <v>58</v>
      </c>
      <c r="D36" s="5">
        <v>341</v>
      </c>
      <c r="E36" s="5">
        <f ca="1">'[1]DESV. VTS BY SKU'!F38</f>
        <v>273.94736842105266</v>
      </c>
      <c r="F36" s="6">
        <f ca="1">'[1]DESV. VTS BY SKU'!G38</f>
        <v>-0.19642105263157894</v>
      </c>
      <c r="G36" s="8" t="str">
        <f ca="1">'[1]DESV. VTS BY SKU'!H38</f>
        <v>BAJO</v>
      </c>
      <c r="H36">
        <v>0.81</v>
      </c>
    </row>
    <row r="37" spans="1:8" x14ac:dyDescent="0.2">
      <c r="A37">
        <v>150361</v>
      </c>
      <c r="B37" t="s">
        <v>40</v>
      </c>
      <c r="C37" s="4" t="s">
        <v>58</v>
      </c>
      <c r="D37" s="5">
        <v>506</v>
      </c>
      <c r="E37" s="5">
        <f ca="1">'[1]DESV. VTS BY SKU'!F39</f>
        <v>417.26315789473682</v>
      </c>
      <c r="F37" s="7">
        <f ca="1">'[1]DESV. VTS BY SKU'!G39</f>
        <v>-0.17596144760464905</v>
      </c>
      <c r="G37" s="8" t="str">
        <f ca="1">'[1]DESV. VTS BY SKU'!H39</f>
        <v>BAJO</v>
      </c>
      <c r="H37">
        <v>0.81</v>
      </c>
    </row>
    <row r="38" spans="1:8" x14ac:dyDescent="0.2">
      <c r="A38">
        <v>150362</v>
      </c>
      <c r="B38" t="s">
        <v>41</v>
      </c>
      <c r="C38" s="4" t="s">
        <v>58</v>
      </c>
      <c r="D38" s="5">
        <v>277</v>
      </c>
      <c r="E38" s="5">
        <f ca="1">'[1]DESV. VTS BY SKU'!F40</f>
        <v>243.68421052631578</v>
      </c>
      <c r="F38" s="6">
        <f ca="1">'[1]DESV. VTS BY SKU'!G40</f>
        <v>-0.12085066717301618</v>
      </c>
      <c r="G38" s="8" t="str">
        <f ca="1">'[1]DESV. VTS BY SKU'!H40</f>
        <v>BAJO</v>
      </c>
      <c r="H38">
        <v>0.81</v>
      </c>
    </row>
    <row r="39" spans="1:8" x14ac:dyDescent="0.2">
      <c r="A39">
        <v>150363</v>
      </c>
      <c r="B39" t="s">
        <v>42</v>
      </c>
      <c r="C39" s="4" t="s">
        <v>58</v>
      </c>
      <c r="D39" s="5">
        <v>295</v>
      </c>
      <c r="E39" s="5">
        <f ca="1">'[1]DESV. VTS BY SKU'!F41</f>
        <v>263.68421052631578</v>
      </c>
      <c r="F39" s="7">
        <f ca="1">'[1]DESV. VTS BY SKU'!G41</f>
        <v>-0.10491395902191825</v>
      </c>
      <c r="G39" s="8" t="str">
        <f ca="1">'[1]DESV. VTS BY SKU'!H41</f>
        <v>BAJO</v>
      </c>
      <c r="H39">
        <v>0.81</v>
      </c>
    </row>
    <row r="40" spans="1:8" x14ac:dyDescent="0.2">
      <c r="A40">
        <v>151500</v>
      </c>
      <c r="B40" t="s">
        <v>50</v>
      </c>
      <c r="C40" s="4" t="s">
        <v>58</v>
      </c>
      <c r="D40" s="5">
        <v>71</v>
      </c>
      <c r="E40" s="5">
        <f ca="1">'[1]DESV. VTS BY SKU'!F42</f>
        <v>51.368421052631582</v>
      </c>
      <c r="F40" s="6">
        <f ca="1">'[1]DESV. VTS BY SKU'!G42</f>
        <v>-0.28110352216418899</v>
      </c>
      <c r="G40" s="8" t="str">
        <f ca="1">'[1]DESV. VTS BY SKU'!H42</f>
        <v>BAJO</v>
      </c>
      <c r="H40">
        <v>2.62</v>
      </c>
    </row>
    <row r="41" spans="1:8" x14ac:dyDescent="0.2">
      <c r="A41">
        <v>151501</v>
      </c>
      <c r="B41" t="s">
        <v>51</v>
      </c>
      <c r="C41" s="4" t="s">
        <v>58</v>
      </c>
      <c r="D41" s="5">
        <v>105</v>
      </c>
      <c r="E41" s="5">
        <f ca="1">'[1]DESV. VTS BY SKU'!F43</f>
        <v>85.315789473684205</v>
      </c>
      <c r="F41" s="7">
        <f ca="1">'[1]DESV. VTS BY SKU'!G43</f>
        <v>-0.18429058304169821</v>
      </c>
      <c r="G41" s="8" t="str">
        <f ca="1">'[1]DESV. VTS BY SKU'!H43</f>
        <v>BAJO</v>
      </c>
      <c r="H41">
        <v>2.62</v>
      </c>
    </row>
    <row r="42" spans="1:8" x14ac:dyDescent="0.2">
      <c r="A42">
        <v>151502</v>
      </c>
      <c r="B42" t="s">
        <v>52</v>
      </c>
      <c r="C42" s="4" t="s">
        <v>58</v>
      </c>
      <c r="D42" s="5">
        <v>49</v>
      </c>
      <c r="E42" s="5">
        <f ca="1">'[1]DESV. VTS BY SKU'!F44</f>
        <v>34.421052631578945</v>
      </c>
      <c r="F42" s="6">
        <f ca="1">'[1]DESV. VTS BY SKU'!G44</f>
        <v>-0.29293822792274804</v>
      </c>
      <c r="G42" s="8" t="str">
        <f ca="1">'[1]DESV. VTS BY SKU'!H44</f>
        <v>BAJO</v>
      </c>
      <c r="H42">
        <v>2.62</v>
      </c>
    </row>
    <row r="43" spans="1:8" x14ac:dyDescent="0.2">
      <c r="A43">
        <v>151503</v>
      </c>
      <c r="B43" t="s">
        <v>53</v>
      </c>
      <c r="C43" s="4" t="s">
        <v>58</v>
      </c>
      <c r="D43" s="5">
        <v>48</v>
      </c>
      <c r="E43" s="5">
        <f ca="1">'[1]DESV. VTS BY SKU'!F45</f>
        <v>41.421052631578945</v>
      </c>
      <c r="F43" s="7">
        <f ca="1">'[1]DESV. VTS BY SKU'!G45</f>
        <v>-0.13047408597830457</v>
      </c>
      <c r="G43" s="8" t="str">
        <f ca="1">'[1]DESV. VTS BY SKU'!H45</f>
        <v>BAJO</v>
      </c>
      <c r="H43">
        <v>2.62</v>
      </c>
    </row>
    <row r="44" spans="1:8" x14ac:dyDescent="0.2">
      <c r="A44" s="3" t="s">
        <v>54</v>
      </c>
      <c r="B44" t="s">
        <v>43</v>
      </c>
      <c r="C44" s="4" t="s">
        <v>57</v>
      </c>
      <c r="D44" s="5">
        <v>1</v>
      </c>
      <c r="E44" s="5">
        <f ca="1">'[1]DESV. VTS BY SKU'!F46</f>
        <v>0.52631578947368418</v>
      </c>
      <c r="F44" s="6">
        <f ca="1">'[1]DESV. VTS BY SKU'!G46</f>
        <v>-3.5087719298245612E-2</v>
      </c>
      <c r="G44" s="8" t="str">
        <f ca="1">'[1]DESV. VTS BY SKU'!H46</f>
        <v>BAJO</v>
      </c>
      <c r="H44">
        <v>18</v>
      </c>
    </row>
    <row r="45" spans="1:8" x14ac:dyDescent="0.2">
      <c r="A45" s="3" t="s">
        <v>54</v>
      </c>
      <c r="B45" t="s">
        <v>44</v>
      </c>
      <c r="C45" s="4" t="s">
        <v>57</v>
      </c>
      <c r="D45" s="5">
        <v>3</v>
      </c>
      <c r="E45" s="5">
        <f ca="1">'[1]DESV. VTS BY SKU'!F47</f>
        <v>2.8947368421052633</v>
      </c>
      <c r="F45" s="7">
        <f ca="1">'[1]DESV. VTS BY SKU'!G47</f>
        <v>4.4003451251079628E-2</v>
      </c>
      <c r="G45" s="8" t="str">
        <f ca="1">'[1]DESV. VTS BY SKU'!H47</f>
        <v>SUBIÓ</v>
      </c>
      <c r="H45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45</v>
      </c>
      <c r="B1" s="1" t="s">
        <v>46</v>
      </c>
    </row>
    <row r="2" spans="1:2" x14ac:dyDescent="0.2">
      <c r="A2" s="2" t="s">
        <v>47</v>
      </c>
      <c r="B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</cp:lastModifiedBy>
  <dcterms:created xsi:type="dcterms:W3CDTF">2026-07-09T19:32:57Z</dcterms:created>
  <dcterms:modified xsi:type="dcterms:W3CDTF">2026-07-29T21:34:36Z</dcterms:modified>
</cp:coreProperties>
</file>