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C176332A-6AFF-4973-A5A3-C5319B8E78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<sst xmlns="http://schemas.openxmlformats.org/spreadsheetml/2006/main" count="102" uniqueCount="62">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</sst>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  <sheetName val="INVENTARIO NACIONAL 29-07-26"/>
      <sheetName val="INVENTARIO NACIONAL 30-07-26"/>
    </sheetNames>
    <sheetDataSet>
      <sheetData sheetId="0"/>
      <sheetData sheetId="1"/>
      <sheetData sheetId="2"/>
      <sheetData sheetId="3">
        <row r="4">
          <cell r="F4">
            <v>1156.3499999999999</v>
          </cell>
          <cell r="G4">
            <v>0.10645876826722334</v>
          </cell>
          <cell r="H4" t="str">
            <v>SUBIÓ</v>
          </cell>
        </row>
        <row r="5">
          <cell r="F5">
            <v>78.45</v>
          </cell>
          <cell r="G5">
            <v>3.2854578096948028E-2</v>
          </cell>
          <cell r="H5" t="str">
            <v>SUBIÓ</v>
          </cell>
        </row>
        <row r="6">
          <cell r="F6">
            <v>572</v>
          </cell>
          <cell r="G6">
            <v>0.17027806193620387</v>
          </cell>
          <cell r="H6" t="str">
            <v>SUBIÓ</v>
          </cell>
        </row>
        <row r="7">
          <cell r="F7">
            <v>97.5</v>
          </cell>
          <cell r="G7">
            <v>6.7164179104477695E-2</v>
          </cell>
          <cell r="H7" t="str">
            <v>SUBIÓ</v>
          </cell>
        </row>
        <row r="8">
          <cell r="F8">
            <v>17.95</v>
          </cell>
          <cell r="G8">
            <v>0.12507122507122492</v>
          </cell>
          <cell r="H8" t="str">
            <v>SUBIÓ</v>
          </cell>
        </row>
        <row r="9">
          <cell r="F9">
            <v>1311.9</v>
          </cell>
          <cell r="G9">
            <v>-8.9848948314464994E-2</v>
          </cell>
          <cell r="H9" t="str">
            <v>BAJO</v>
          </cell>
        </row>
        <row r="10">
          <cell r="F10">
            <v>121.65</v>
          </cell>
          <cell r="G10">
            <v>-8.4712722298221577E-2</v>
          </cell>
          <cell r="H10" t="str">
            <v>BAJO</v>
          </cell>
        </row>
        <row r="11">
          <cell r="F11">
            <v>300.45</v>
          </cell>
          <cell r="G11">
            <v>-9.6637966379663709E-2</v>
          </cell>
          <cell r="H11" t="str">
            <v>BAJO</v>
          </cell>
        </row>
        <row r="12">
          <cell r="F12">
            <v>675.05</v>
          </cell>
          <cell r="G12">
            <v>-5.4250780105712271E-2</v>
          </cell>
          <cell r="H12" t="str">
            <v>BAJO</v>
          </cell>
        </row>
        <row r="13">
          <cell r="F13">
            <v>412.05</v>
          </cell>
          <cell r="G13">
            <v>-0.13870783847981005</v>
          </cell>
          <cell r="H13" t="str">
            <v>BAJO</v>
          </cell>
        </row>
        <row r="14">
          <cell r="F14">
            <v>3326.45</v>
          </cell>
          <cell r="G14">
            <v>-4.7668683713969706E-2</v>
          </cell>
          <cell r="H14" t="str">
            <v>BAJO</v>
          </cell>
        </row>
        <row r="15">
          <cell r="F15">
            <v>2229.5</v>
          </cell>
          <cell r="G15">
            <v>-1.0192848697343493E-4</v>
          </cell>
          <cell r="H15" t="str">
            <v>BAJO</v>
          </cell>
        </row>
        <row r="16">
          <cell r="F16">
            <v>2216.85</v>
          </cell>
          <cell r="G16">
            <v>-3.8641067591807854E-2</v>
          </cell>
          <cell r="H16" t="str">
            <v>BAJO</v>
          </cell>
        </row>
        <row r="17">
          <cell r="F17">
            <v>2466.25</v>
          </cell>
          <cell r="G17">
            <v>-8.934895352545269E-2</v>
          </cell>
          <cell r="H17" t="str">
            <v>BAJO</v>
          </cell>
        </row>
        <row r="18">
          <cell r="F18">
            <v>138.75</v>
          </cell>
          <cell r="G18">
            <v>-0.20279446330634621</v>
          </cell>
          <cell r="H18" t="str">
            <v>BAJO</v>
          </cell>
        </row>
        <row r="19">
          <cell r="F19">
            <v>229.45</v>
          </cell>
          <cell r="G19">
            <v>6.9243804278754428E-2</v>
          </cell>
          <cell r="H19" t="str">
            <v>SUBIÓ</v>
          </cell>
        </row>
        <row r="20">
          <cell r="F20">
            <v>154.4</v>
          </cell>
          <cell r="G20">
            <v>0.21357627724187211</v>
          </cell>
          <cell r="H20" t="str">
            <v>SUBIÓ</v>
          </cell>
        </row>
        <row r="21">
          <cell r="F21">
            <v>497.65</v>
          </cell>
          <cell r="G21">
            <v>2.7816372512204257E-2</v>
          </cell>
          <cell r="H21" t="str">
            <v>SUBIÓ</v>
          </cell>
        </row>
        <row r="22">
          <cell r="F22">
            <v>821.9</v>
          </cell>
          <cell r="G22">
            <v>5.5316913738765017E-2</v>
          </cell>
          <cell r="H22" t="str">
            <v>SUBIÓ</v>
          </cell>
        </row>
        <row r="23">
          <cell r="F23">
            <v>5.5</v>
          </cell>
          <cell r="G23">
            <v>-0.89958506224066392</v>
          </cell>
          <cell r="H23" t="str">
            <v>BAJO</v>
          </cell>
        </row>
        <row r="24">
          <cell r="F24">
            <v>53.6</v>
          </cell>
          <cell r="G24">
            <v>0.2887431693989071</v>
          </cell>
          <cell r="H24" t="str">
            <v>SUBIÓ</v>
          </cell>
        </row>
        <row r="25">
          <cell r="F25">
            <v>695.3</v>
          </cell>
          <cell r="G25">
            <v>-0.19883727020373965</v>
          </cell>
          <cell r="H25" t="str">
            <v>BAJO</v>
          </cell>
        </row>
        <row r="26">
          <cell r="F26">
            <v>1122.5999999999999</v>
          </cell>
          <cell r="G26">
            <v>-0.18801946344029463</v>
          </cell>
          <cell r="H26" t="str">
            <v>BAJO</v>
          </cell>
        </row>
        <row r="27">
          <cell r="F27">
            <v>483.4</v>
          </cell>
          <cell r="G27">
            <v>-0.11398816962426073</v>
          </cell>
          <cell r="H27" t="str">
            <v>BAJO</v>
          </cell>
        </row>
        <row r="28">
          <cell r="F28">
            <v>377.05</v>
          </cell>
          <cell r="G28">
            <v>-0.25188492063492063</v>
          </cell>
          <cell r="H28" t="str">
            <v>BAJO</v>
          </cell>
        </row>
        <row r="29">
          <cell r="F29">
            <v>111.35</v>
          </cell>
          <cell r="G29">
            <v>-0.14525471039776705</v>
          </cell>
          <cell r="H29" t="str">
            <v>BAJO</v>
          </cell>
        </row>
        <row r="30">
          <cell r="F30">
            <v>125</v>
          </cell>
          <cell r="G30">
            <v>-0.12448264883794979</v>
          </cell>
          <cell r="H30" t="str">
            <v>BAJO</v>
          </cell>
        </row>
        <row r="31">
          <cell r="F31">
            <v>806.7</v>
          </cell>
          <cell r="G31">
            <v>-5.2966915688367089E-2</v>
          </cell>
          <cell r="H31" t="str">
            <v>BAJO</v>
          </cell>
        </row>
        <row r="32">
          <cell r="F32">
            <v>657.95</v>
          </cell>
          <cell r="G32">
            <v>-0.23263001643428927</v>
          </cell>
          <cell r="H32" t="str">
            <v>BAJO</v>
          </cell>
        </row>
        <row r="33">
          <cell r="F33">
            <v>845.65</v>
          </cell>
          <cell r="G33">
            <v>-0.20799063431247344</v>
          </cell>
          <cell r="H33" t="str">
            <v>BAJO</v>
          </cell>
        </row>
        <row r="34">
          <cell r="F34">
            <v>573.95000000000005</v>
          </cell>
          <cell r="G34">
            <v>-0.16222797239915077</v>
          </cell>
          <cell r="H34" t="str">
            <v>BAJO</v>
          </cell>
        </row>
        <row r="35">
          <cell r="F35">
            <v>216.95</v>
          </cell>
          <cell r="G35">
            <v>3.9394599303135935E-2</v>
          </cell>
          <cell r="H35" t="str">
            <v>SUBIÓ</v>
          </cell>
        </row>
        <row r="36">
          <cell r="F36">
            <v>273.75</v>
          </cell>
          <cell r="G36">
            <v>-0.46404734359704547</v>
          </cell>
          <cell r="H36" t="str">
            <v>BAJO</v>
          </cell>
        </row>
        <row r="37">
          <cell r="F37">
            <v>380.05</v>
          </cell>
          <cell r="G37">
            <v>-0.15994172611272983</v>
          </cell>
          <cell r="H37" t="str">
            <v>BAJO</v>
          </cell>
        </row>
        <row r="38">
          <cell r="F38">
            <v>277.89999999999998</v>
          </cell>
          <cell r="G38">
            <v>-0.18482666666666681</v>
          </cell>
          <cell r="H38" t="str">
            <v>BAJO</v>
          </cell>
        </row>
        <row r="39">
          <cell r="F39">
            <v>428.65</v>
          </cell>
          <cell r="G39">
            <v>-0.15347396768402166</v>
          </cell>
          <cell r="H39" t="str">
            <v>BAJO</v>
          </cell>
        </row>
        <row r="40">
          <cell r="F40">
            <v>245.9</v>
          </cell>
          <cell r="G40">
            <v>-0.11285667431944901</v>
          </cell>
          <cell r="H40" t="str">
            <v>BAJO</v>
          </cell>
        </row>
        <row r="41">
          <cell r="F41">
            <v>269</v>
          </cell>
          <cell r="G41">
            <v>-8.6869310291621593E-2</v>
          </cell>
          <cell r="H41" t="str">
            <v>BAJO</v>
          </cell>
        </row>
        <row r="42">
          <cell r="F42">
            <v>50.65</v>
          </cell>
          <cell r="G42">
            <v>-0.29115776081424938</v>
          </cell>
          <cell r="H42" t="str">
            <v>BAJO</v>
          </cell>
        </row>
        <row r="43">
          <cell r="F43">
            <v>83.35</v>
          </cell>
          <cell r="G43">
            <v>-0.20308561495002175</v>
          </cell>
          <cell r="H43" t="str">
            <v>BAJO</v>
          </cell>
        </row>
        <row r="44">
          <cell r="F44">
            <v>34.4</v>
          </cell>
          <cell r="G44">
            <v>-0.29337068160597568</v>
          </cell>
          <cell r="H44" t="str">
            <v>BAJO</v>
          </cell>
        </row>
        <row r="45">
          <cell r="F45">
            <v>39.75</v>
          </cell>
          <cell r="G45">
            <v>-0.16555343511450371</v>
          </cell>
          <cell r="H45" t="str">
            <v>BAJO</v>
          </cell>
        </row>
        <row r="46">
          <cell r="F46">
            <v>0.9</v>
          </cell>
          <cell r="G46">
            <v>0.65000000000000013</v>
          </cell>
          <cell r="H46" t="str">
            <v>SUBIÓ</v>
          </cell>
        </row>
        <row r="47">
          <cell r="F47">
            <v>3.45</v>
          </cell>
          <cell r="G47">
            <v>0.24426229508196862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H11" sqref="H11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1156.3499999999999</v>
      </c>
      <c r="F2" s="6">
        <f ca="1">'[1]DESV. VTS BY SKU'!G4</f>
        <v>0.10645876826722334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78.45</v>
      </c>
      <c r="F3" s="7">
        <f ca="1">'[1]DESV. VTS BY SKU'!G5</f>
        <v>3.2854578096948028E-2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572</v>
      </c>
      <c r="F4" s="6">
        <f ca="1">'[1]DESV. VTS BY SKU'!G6</f>
        <v>0.17027806193620387</v>
      </c>
      <c r="G4" s="8" t="str">
        <f ca="1">'[1]DESV. VTS BY SKU'!H6</f>
        <v>SUBIÓ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97.5</v>
      </c>
      <c r="F5" s="7">
        <f ca="1">'[1]DESV. VTS BY SKU'!G7</f>
        <v>6.7164179104477695E-2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17.95</v>
      </c>
      <c r="F6" s="6">
        <f ca="1">'[1]DESV. VTS BY SKU'!G8</f>
        <v>0.12507122507122492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1311.9</v>
      </c>
      <c r="F7" s="7">
        <f ca="1">'[1]DESV. VTS BY SKU'!G9</f>
        <v>-8.9848948314464994E-2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121.65</v>
      </c>
      <c r="F8" s="6">
        <f ca="1">'[1]DESV. VTS BY SKU'!G10</f>
        <v>-8.4712722298221577E-2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300.45</v>
      </c>
      <c r="F9" s="7">
        <f ca="1">'[1]DESV. VTS BY SKU'!G11</f>
        <v>-9.6637966379663709E-2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675.05</v>
      </c>
      <c r="F10" s="6">
        <f ca="1">'[1]DESV. VTS BY SKU'!G12</f>
        <v>-5.4250780105712271E-2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412.05</v>
      </c>
      <c r="F11" s="7">
        <f ca="1">'[1]DESV. VTS BY SKU'!G13</f>
        <v>-0.13870783847981005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3326.45</v>
      </c>
      <c r="F12" s="6">
        <f ca="1">'[1]DESV. VTS BY SKU'!G14</f>
        <v>-4.7668683713969706E-2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2229.5</v>
      </c>
      <c r="F13" s="7">
        <f ca="1">'[1]DESV. VTS BY SKU'!G15</f>
        <v>-1.0192848697343493E-4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2216.85</v>
      </c>
      <c r="F14" s="6">
        <f ca="1">'[1]DESV. VTS BY SKU'!G16</f>
        <v>-3.8641067591807854E-2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2466.25</v>
      </c>
      <c r="F15" s="7">
        <f ca="1">'[1]DESV. VTS BY SKU'!G17</f>
        <v>-8.934895352545269E-2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138.75</v>
      </c>
      <c r="F16" s="6">
        <f ca="1">'[1]DESV. VTS BY SKU'!G18</f>
        <v>-0.20279446330634621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229.45</v>
      </c>
      <c r="F17" s="7">
        <f ca="1">'[1]DESV. VTS BY SKU'!G19</f>
        <v>6.9243804278754428E-2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154.4</v>
      </c>
      <c r="F18" s="6">
        <f ca="1">'[1]DESV. VTS BY SKU'!G20</f>
        <v>0.21357627724187211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497.65</v>
      </c>
      <c r="F19" s="7">
        <f ca="1">'[1]DESV. VTS BY SKU'!G21</f>
        <v>2.7816372512204257E-2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821.9</v>
      </c>
      <c r="F20" s="6">
        <f ca="1">'[1]DESV. VTS BY SKU'!G22</f>
        <v>5.5316913738765017E-2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5.5</v>
      </c>
      <c r="F21" s="7">
        <f ca="1">'[1]DESV. VTS BY SKU'!G23</f>
        <v>-0.89958506224066392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53.6</v>
      </c>
      <c r="F22" s="6">
        <f ca="1">'[1]DESV. VTS BY SKU'!G24</f>
        <v>0.2887431693989071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695.3</v>
      </c>
      <c r="F23" s="7">
        <f ca="1">'[1]DESV. VTS BY SKU'!G25</f>
        <v>-0.19883727020373965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1122.5999999999999</v>
      </c>
      <c r="F24" s="6">
        <f ca="1">'[1]DESV. VTS BY SKU'!G26</f>
        <v>-0.18801946344029463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483.4</v>
      </c>
      <c r="F25" s="7">
        <f ca="1">'[1]DESV. VTS BY SKU'!G27</f>
        <v>-0.11398816962426073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377.05</v>
      </c>
      <c r="F26" s="6">
        <f ca="1">'[1]DESV. VTS BY SKU'!G28</f>
        <v>-0.25188492063492063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111.35</v>
      </c>
      <c r="F27" s="7">
        <f ca="1">'[1]DESV. VTS BY SKU'!G29</f>
        <v>-0.14525471039776705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125</v>
      </c>
      <c r="F28" s="6">
        <f ca="1">'[1]DESV. VTS BY SKU'!G30</f>
        <v>-0.12448264883794979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806.7</v>
      </c>
      <c r="F29" s="7">
        <f ca="1">'[1]DESV. VTS BY SKU'!G31</f>
        <v>-5.2966915688367089E-2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657.95</v>
      </c>
      <c r="F30" s="6">
        <f ca="1">'[1]DESV. VTS BY SKU'!G32</f>
        <v>-0.23263001643428927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845.65</v>
      </c>
      <c r="F31" s="7">
        <f ca="1">'[1]DESV. VTS BY SKU'!G33</f>
        <v>-0.20799063431247344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573.95000000000005</v>
      </c>
      <c r="F32" s="6">
        <f ca="1">'[1]DESV. VTS BY SKU'!G34</f>
        <v>-0.16222797239915077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216.95</v>
      </c>
      <c r="F33" s="7">
        <f ca="1">'[1]DESV. VTS BY SKU'!G35</f>
        <v>3.9394599303135935E-2</v>
      </c>
      <c r="G33" s="8" t="str">
        <f ca="1">'[1]DESV. VTS BY SKU'!H35</f>
        <v>SUBIÓ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273.75</v>
      </c>
      <c r="F34" s="6">
        <f ca="1">'[1]DESV. VTS BY SKU'!G36</f>
        <v>-0.46404734359704547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380.05</v>
      </c>
      <c r="F35" s="7">
        <f ca="1">'[1]DESV. VTS BY SKU'!G37</f>
        <v>-0.15994172611272983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277.89999999999998</v>
      </c>
      <c r="F36" s="6">
        <f ca="1">'[1]DESV. VTS BY SKU'!G38</f>
        <v>-0.18482666666666681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428.65</v>
      </c>
      <c r="F37" s="7">
        <f ca="1">'[1]DESV. VTS BY SKU'!G39</f>
        <v>-0.15347396768402166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245.9</v>
      </c>
      <c r="F38" s="6">
        <f ca="1">'[1]DESV. VTS BY SKU'!G40</f>
        <v>-0.11285667431944901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269</v>
      </c>
      <c r="F39" s="7">
        <f ca="1">'[1]DESV. VTS BY SKU'!G41</f>
        <v>-8.6869310291621593E-2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50.65</v>
      </c>
      <c r="F40" s="6">
        <f ca="1">'[1]DESV. VTS BY SKU'!G42</f>
        <v>-0.29115776081424938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83.35</v>
      </c>
      <c r="F41" s="7">
        <f ca="1">'[1]DESV. VTS BY SKU'!G43</f>
        <v>-0.20308561495002175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34.4</v>
      </c>
      <c r="F42" s="6">
        <f ca="1">'[1]DESV. VTS BY SKU'!G44</f>
        <v>-0.29337068160597568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39.75</v>
      </c>
      <c r="F43" s="7">
        <f ca="1">'[1]DESV. VTS BY SKU'!G45</f>
        <v>-0.16555343511450371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0.9</v>
      </c>
      <c r="F44" s="6">
        <f ca="1">'[1]DESV. VTS BY SKU'!G46</f>
        <v>0.65000000000000013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3.45</v>
      </c>
      <c r="F45" s="7">
        <f ca="1">'[1]DESV. VTS BY SKU'!G47</f>
        <v>0.24426229508196862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2026-07-30T13:48:56Z</dcterms:modified>
</cp:coreProperties>
</file>