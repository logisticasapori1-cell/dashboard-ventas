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39404E47-9101-4E74-B923-CEB4BDF8C7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<sst xmlns="http://schemas.openxmlformats.org/spreadsheetml/2006/main" count="102" uniqueCount="62">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</sst>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  <sheetName val="INVENTARIO NACIONAL 30-07-26"/>
      <sheetName val="INVENTARIO NACIONAL 31-07-26"/>
    </sheetNames>
    <sheetDataSet>
      <sheetData sheetId="0"/>
      <sheetData sheetId="1"/>
      <sheetData sheetId="2"/>
      <sheetData sheetId="3">
        <row r="4">
          <cell r="F4">
            <v>1051.2272727272727</v>
          </cell>
          <cell r="G4">
            <v>5.8716075156577396E-3</v>
          </cell>
          <cell r="H4" t="str">
            <v>SUBIÓ</v>
          </cell>
        </row>
        <row r="5">
          <cell r="F5">
            <v>71.318181818181813</v>
          </cell>
          <cell r="G5">
            <v>-6.1041292639138267E-2</v>
          </cell>
          <cell r="H5" t="str">
            <v>BAJO</v>
          </cell>
        </row>
        <row r="6">
          <cell r="F6">
            <v>520</v>
          </cell>
          <cell r="G6">
            <v>6.3889147214730713E-2</v>
          </cell>
          <cell r="H6" t="str">
            <v>SUBIÓ</v>
          </cell>
        </row>
        <row r="7">
          <cell r="F7">
            <v>88.63636363636364</v>
          </cell>
          <cell r="G7">
            <v>-2.9850746268656581E-2</v>
          </cell>
          <cell r="H7" t="str">
            <v>BAJO</v>
          </cell>
        </row>
        <row r="8">
          <cell r="F8">
            <v>16.318181818181817</v>
          </cell>
          <cell r="G8">
            <v>2.2792022792022637E-2</v>
          </cell>
          <cell r="H8" t="str">
            <v>SUBIÓ</v>
          </cell>
        </row>
        <row r="9">
          <cell r="F9">
            <v>1192.6363636363637</v>
          </cell>
          <cell r="G9">
            <v>-0.17258995301314994</v>
          </cell>
          <cell r="H9" t="str">
            <v>BAJO</v>
          </cell>
        </row>
        <row r="10">
          <cell r="F10">
            <v>110.59090909090909</v>
          </cell>
          <cell r="G10">
            <v>-0.16792065663474687</v>
          </cell>
          <cell r="H10" t="str">
            <v>BAJO</v>
          </cell>
        </row>
        <row r="11">
          <cell r="F11">
            <v>273.13636363636363</v>
          </cell>
          <cell r="G11">
            <v>-0.1787617876178762</v>
          </cell>
          <cell r="H11" t="str">
            <v>BAJO</v>
          </cell>
        </row>
        <row r="12">
          <cell r="F12">
            <v>613.68181818181813</v>
          </cell>
          <cell r="G12">
            <v>-0.14022798191428398</v>
          </cell>
          <cell r="H12" t="str">
            <v>BAJO</v>
          </cell>
        </row>
        <row r="13">
          <cell r="F13">
            <v>374.59090909090907</v>
          </cell>
          <cell r="G13">
            <v>-0.21700712589073645</v>
          </cell>
          <cell r="H13" t="str">
            <v>BAJO</v>
          </cell>
        </row>
        <row r="14">
          <cell r="F14">
            <v>3024.0454545454545</v>
          </cell>
          <cell r="G14">
            <v>-0.13424425792179062</v>
          </cell>
          <cell r="H14" t="str">
            <v>BAJO</v>
          </cell>
        </row>
        <row r="15">
          <cell r="F15">
            <v>2026.8181818181818</v>
          </cell>
          <cell r="G15">
            <v>-9.1001753169975941E-2</v>
          </cell>
          <cell r="H15" t="str">
            <v>BAJO</v>
          </cell>
        </row>
        <row r="16">
          <cell r="F16">
            <v>2015.3181818181818</v>
          </cell>
          <cell r="G16">
            <v>-0.1260373341743708</v>
          </cell>
          <cell r="H16" t="str">
            <v>BAJO</v>
          </cell>
        </row>
        <row r="17">
          <cell r="F17">
            <v>2242.0454545454545</v>
          </cell>
          <cell r="G17">
            <v>-0.17213541229586604</v>
          </cell>
          <cell r="H17" t="str">
            <v>BAJO</v>
          </cell>
        </row>
        <row r="18">
          <cell r="F18">
            <v>126.13636363636364</v>
          </cell>
          <cell r="G18">
            <v>-0.27526769391486017</v>
          </cell>
          <cell r="H18" t="str">
            <v>BAJO</v>
          </cell>
        </row>
        <row r="19">
          <cell r="F19">
            <v>208.59090909090909</v>
          </cell>
          <cell r="G19">
            <v>-2.7960177928404994E-2</v>
          </cell>
          <cell r="H19" t="str">
            <v>BAJO</v>
          </cell>
        </row>
        <row r="20">
          <cell r="F20">
            <v>140.36363636363637</v>
          </cell>
          <cell r="G20">
            <v>0.10325116112897459</v>
          </cell>
          <cell r="H20" t="str">
            <v>SUBIÓ</v>
          </cell>
        </row>
        <row r="21">
          <cell r="F21">
            <v>452.40909090909093</v>
          </cell>
          <cell r="G21">
            <v>-6.5621479534359706E-2</v>
          </cell>
          <cell r="H21" t="str">
            <v>BAJO</v>
          </cell>
        </row>
        <row r="22">
          <cell r="F22">
            <v>747.18181818181813</v>
          </cell>
          <cell r="G22">
            <v>-4.0620987510213702E-2</v>
          </cell>
          <cell r="H22" t="str">
            <v>BAJO</v>
          </cell>
        </row>
        <row r="23">
          <cell r="F23">
            <v>5</v>
          </cell>
          <cell r="G23">
            <v>-0.90871369294605808</v>
          </cell>
          <cell r="H23" t="str">
            <v>BAJO</v>
          </cell>
        </row>
        <row r="24">
          <cell r="F24">
            <v>48.727272727272727</v>
          </cell>
          <cell r="G24">
            <v>0.17158469945355193</v>
          </cell>
          <cell r="H24" t="str">
            <v>SUBIÓ</v>
          </cell>
        </row>
        <row r="25">
          <cell r="F25">
            <v>632.09090909090912</v>
          </cell>
          <cell r="G25">
            <v>-0.27167024563976327</v>
          </cell>
          <cell r="H25" t="str">
            <v>BAJO</v>
          </cell>
        </row>
        <row r="26">
          <cell r="F26">
            <v>1020.5454545454545</v>
          </cell>
          <cell r="G26">
            <v>-0.26183587585481327</v>
          </cell>
          <cell r="H26" t="str">
            <v>BAJO</v>
          </cell>
        </row>
        <row r="27">
          <cell r="F27">
            <v>439.45454545454544</v>
          </cell>
          <cell r="G27">
            <v>-0.19453469965841885</v>
          </cell>
          <cell r="H27" t="str">
            <v>BAJO</v>
          </cell>
        </row>
        <row r="28">
          <cell r="F28">
            <v>342.77272727272725</v>
          </cell>
          <cell r="G28">
            <v>-0.3198953823953824</v>
          </cell>
          <cell r="H28" t="str">
            <v>BAJO</v>
          </cell>
        </row>
        <row r="29">
          <cell r="F29">
            <v>101.22727272727273</v>
          </cell>
          <cell r="G29">
            <v>-0.22295882763433361</v>
          </cell>
          <cell r="H29" t="str">
            <v>BAJO</v>
          </cell>
        </row>
        <row r="30">
          <cell r="F30">
            <v>113.63636363636364</v>
          </cell>
          <cell r="G30">
            <v>-0.20407513530722698</v>
          </cell>
          <cell r="H30" t="str">
            <v>BAJO</v>
          </cell>
        </row>
        <row r="31">
          <cell r="F31">
            <v>733.36363636363637</v>
          </cell>
          <cell r="G31">
            <v>-0.13906083244397016</v>
          </cell>
          <cell r="H31" t="str">
            <v>BAJO</v>
          </cell>
        </row>
        <row r="32">
          <cell r="F32">
            <v>598.13636363636363</v>
          </cell>
          <cell r="G32">
            <v>-0.30239092403117207</v>
          </cell>
          <cell r="H32" t="str">
            <v>BAJO</v>
          </cell>
        </row>
        <row r="33">
          <cell r="F33">
            <v>768.77272727272725</v>
          </cell>
          <cell r="G33">
            <v>-0.27999148573861221</v>
          </cell>
          <cell r="H33" t="str">
            <v>BAJO</v>
          </cell>
        </row>
        <row r="34">
          <cell r="F34">
            <v>521.77272727272725</v>
          </cell>
          <cell r="G34">
            <v>-0.23838906581740982</v>
          </cell>
          <cell r="H34" t="str">
            <v>BAJO</v>
          </cell>
        </row>
        <row r="35">
          <cell r="F35">
            <v>197.22727272727272</v>
          </cell>
          <cell r="G35">
            <v>-5.5095818815330988E-2</v>
          </cell>
          <cell r="H35" t="str">
            <v>BAJO</v>
          </cell>
        </row>
        <row r="36">
          <cell r="F36">
            <v>248.86363636363637</v>
          </cell>
          <cell r="G36">
            <v>-0.51277031236095039</v>
          </cell>
          <cell r="H36" t="str">
            <v>BAJO</v>
          </cell>
        </row>
        <row r="37">
          <cell r="F37">
            <v>345.5</v>
          </cell>
          <cell r="G37">
            <v>-0.2363106601024817</v>
          </cell>
          <cell r="H37" t="str">
            <v>BAJO</v>
          </cell>
        </row>
        <row r="38">
          <cell r="F38">
            <v>252.63636363636363</v>
          </cell>
          <cell r="G38">
            <v>-0.25893333333333346</v>
          </cell>
          <cell r="H38" t="str">
            <v>BAJO</v>
          </cell>
        </row>
        <row r="39">
          <cell r="F39">
            <v>389.68181818181819</v>
          </cell>
          <cell r="G39">
            <v>-0.23043087971274689</v>
          </cell>
          <cell r="H39" t="str">
            <v>BAJO</v>
          </cell>
        </row>
        <row r="40">
          <cell r="F40">
            <v>223.54545454545453</v>
          </cell>
          <cell r="G40">
            <v>-0.19350606756313549</v>
          </cell>
          <cell r="H40" t="str">
            <v>BAJO</v>
          </cell>
        </row>
        <row r="41">
          <cell r="F41">
            <v>244.54545454545453</v>
          </cell>
          <cell r="G41">
            <v>-0.16988119117420153</v>
          </cell>
          <cell r="H41" t="str">
            <v>BAJO</v>
          </cell>
        </row>
        <row r="42">
          <cell r="F42">
            <v>46.045454545454547</v>
          </cell>
          <cell r="G42">
            <v>-0.3555979643765903</v>
          </cell>
          <cell r="H42" t="str">
            <v>BAJO</v>
          </cell>
        </row>
        <row r="43">
          <cell r="F43">
            <v>75.772727272727266</v>
          </cell>
          <cell r="G43">
            <v>-0.27553237722729251</v>
          </cell>
          <cell r="H43" t="str">
            <v>BAJO</v>
          </cell>
        </row>
        <row r="44">
          <cell r="F44">
            <v>31.272727272727273</v>
          </cell>
          <cell r="G44">
            <v>-0.35760971055088697</v>
          </cell>
          <cell r="H44" t="str">
            <v>BAJO</v>
          </cell>
        </row>
        <row r="45">
          <cell r="F45">
            <v>36.136363636363633</v>
          </cell>
          <cell r="G45">
            <v>-0.24141221374045807</v>
          </cell>
          <cell r="H45" t="str">
            <v>BAJO</v>
          </cell>
        </row>
        <row r="46">
          <cell r="F46">
            <v>0.81818181818181823</v>
          </cell>
          <cell r="G46">
            <v>0.50000000000000022</v>
          </cell>
          <cell r="H46" t="str">
            <v>SUBIÓ</v>
          </cell>
        </row>
        <row r="47">
          <cell r="F47">
            <v>3.1363636363636362</v>
          </cell>
          <cell r="G47">
            <v>0.13114754098360759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3" sqref="G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1051.2272727272727</v>
      </c>
      <c r="F2" s="6">
        <f ca="1">'[1]DESV. VTS BY SKU'!G4</f>
        <v>5.8716075156577396E-3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71.318181818181813</v>
      </c>
      <c r="F3" s="7">
        <f ca="1">'[1]DESV. VTS BY SKU'!G5</f>
        <v>-6.1041292639138267E-2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520</v>
      </c>
      <c r="F4" s="6">
        <f ca="1">'[1]DESV. VTS BY SKU'!G6</f>
        <v>6.3889147214730713E-2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88.63636363636364</v>
      </c>
      <c r="F5" s="7">
        <f ca="1">'[1]DESV. VTS BY SKU'!G7</f>
        <v>-2.9850746268656581E-2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16.318181818181817</v>
      </c>
      <c r="F6" s="6">
        <f ca="1">'[1]DESV. VTS BY SKU'!G8</f>
        <v>2.2792022792022637E-2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1192.6363636363637</v>
      </c>
      <c r="F7" s="7">
        <f ca="1">'[1]DESV. VTS BY SKU'!G9</f>
        <v>-0.17258995301314994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110.59090909090909</v>
      </c>
      <c r="F8" s="6">
        <f ca="1">'[1]DESV. VTS BY SKU'!G10</f>
        <v>-0.16792065663474687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273.13636363636363</v>
      </c>
      <c r="F9" s="7">
        <f ca="1">'[1]DESV. VTS BY SKU'!G11</f>
        <v>-0.1787617876178762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613.68181818181813</v>
      </c>
      <c r="F10" s="6">
        <f ca="1">'[1]DESV. VTS BY SKU'!G12</f>
        <v>-0.14022798191428398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374.59090909090907</v>
      </c>
      <c r="F11" s="7">
        <f ca="1">'[1]DESV. VTS BY SKU'!G13</f>
        <v>-0.21700712589073645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3024.0454545454545</v>
      </c>
      <c r="F12" s="6">
        <f ca="1">'[1]DESV. VTS BY SKU'!G14</f>
        <v>-0.13424425792179062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2026.8181818181818</v>
      </c>
      <c r="F13" s="7">
        <f ca="1">'[1]DESV. VTS BY SKU'!G15</f>
        <v>-9.1001753169975941E-2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2015.3181818181818</v>
      </c>
      <c r="F14" s="6">
        <f ca="1">'[1]DESV. VTS BY SKU'!G16</f>
        <v>-0.1260373341743708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2242.0454545454545</v>
      </c>
      <c r="F15" s="7">
        <f ca="1">'[1]DESV. VTS BY SKU'!G17</f>
        <v>-0.17213541229586604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126.13636363636364</v>
      </c>
      <c r="F16" s="6">
        <f ca="1">'[1]DESV. VTS BY SKU'!G18</f>
        <v>-0.27526769391486017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208.59090909090909</v>
      </c>
      <c r="F17" s="7">
        <f ca="1">'[1]DESV. VTS BY SKU'!G19</f>
        <v>-2.7960177928404994E-2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140.36363636363637</v>
      </c>
      <c r="F18" s="6">
        <f ca="1">'[1]DESV. VTS BY SKU'!G20</f>
        <v>0.10325116112897459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452.40909090909093</v>
      </c>
      <c r="F19" s="7">
        <f ca="1">'[1]DESV. VTS BY SKU'!G21</f>
        <v>-6.5621479534359706E-2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747.18181818181813</v>
      </c>
      <c r="F20" s="6">
        <f ca="1">'[1]DESV. VTS BY SKU'!G22</f>
        <v>-4.0620987510213702E-2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5</v>
      </c>
      <c r="F21" s="7">
        <f ca="1">'[1]DESV. VTS BY SKU'!G23</f>
        <v>-0.90871369294605808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48.727272727272727</v>
      </c>
      <c r="F22" s="6">
        <f ca="1">'[1]DESV. VTS BY SKU'!G24</f>
        <v>0.17158469945355193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632.09090909090912</v>
      </c>
      <c r="F23" s="7">
        <f ca="1">'[1]DESV. VTS BY SKU'!G25</f>
        <v>-0.27167024563976327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1020.5454545454545</v>
      </c>
      <c r="F24" s="6">
        <f ca="1">'[1]DESV. VTS BY SKU'!G26</f>
        <v>-0.26183587585481327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439.45454545454544</v>
      </c>
      <c r="F25" s="7">
        <f ca="1">'[1]DESV. VTS BY SKU'!G27</f>
        <v>-0.19453469965841885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342.77272727272725</v>
      </c>
      <c r="F26" s="6">
        <f ca="1">'[1]DESV. VTS BY SKU'!G28</f>
        <v>-0.3198953823953824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101.22727272727273</v>
      </c>
      <c r="F27" s="7">
        <f ca="1">'[1]DESV. VTS BY SKU'!G29</f>
        <v>-0.22295882763433361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113.63636363636364</v>
      </c>
      <c r="F28" s="6">
        <f ca="1">'[1]DESV. VTS BY SKU'!G30</f>
        <v>-0.20407513530722698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733.36363636363637</v>
      </c>
      <c r="F29" s="7">
        <f ca="1">'[1]DESV. VTS BY SKU'!G31</f>
        <v>-0.13906083244397016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598.13636363636363</v>
      </c>
      <c r="F30" s="6">
        <f ca="1">'[1]DESV. VTS BY SKU'!G32</f>
        <v>-0.30239092403117207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768.77272727272725</v>
      </c>
      <c r="F31" s="7">
        <f ca="1">'[1]DESV. VTS BY SKU'!G33</f>
        <v>-0.27999148573861221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521.77272727272725</v>
      </c>
      <c r="F32" s="6">
        <f ca="1">'[1]DESV. VTS BY SKU'!G34</f>
        <v>-0.23838906581740982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197.22727272727272</v>
      </c>
      <c r="F33" s="7">
        <f ca="1">'[1]DESV. VTS BY SKU'!G35</f>
        <v>-5.5095818815330988E-2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248.86363636363637</v>
      </c>
      <c r="F34" s="6">
        <f ca="1">'[1]DESV. VTS BY SKU'!G36</f>
        <v>-0.51277031236095039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345.5</v>
      </c>
      <c r="F35" s="7">
        <f ca="1">'[1]DESV. VTS BY SKU'!G37</f>
        <v>-0.2363106601024817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252.63636363636363</v>
      </c>
      <c r="F36" s="6">
        <f ca="1">'[1]DESV. VTS BY SKU'!G38</f>
        <v>-0.25893333333333346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389.68181818181819</v>
      </c>
      <c r="F37" s="7">
        <f ca="1">'[1]DESV. VTS BY SKU'!G39</f>
        <v>-0.23043087971274689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223.54545454545453</v>
      </c>
      <c r="F38" s="6">
        <f ca="1">'[1]DESV. VTS BY SKU'!G40</f>
        <v>-0.19350606756313549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244.54545454545453</v>
      </c>
      <c r="F39" s="7">
        <f ca="1">'[1]DESV. VTS BY SKU'!G41</f>
        <v>-0.16988119117420153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46.045454545454547</v>
      </c>
      <c r="F40" s="6">
        <f ca="1">'[1]DESV. VTS BY SKU'!G42</f>
        <v>-0.3555979643765903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75.772727272727266</v>
      </c>
      <c r="F41" s="7">
        <f ca="1">'[1]DESV. VTS BY SKU'!G43</f>
        <v>-0.27553237722729251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31.272727272727273</v>
      </c>
      <c r="F42" s="6">
        <f ca="1">'[1]DESV. VTS BY SKU'!G44</f>
        <v>-0.35760971055088697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36.136363636363633</v>
      </c>
      <c r="F43" s="7">
        <f ca="1">'[1]DESV. VTS BY SKU'!G45</f>
        <v>-0.24141221374045807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0.81818181818181823</v>
      </c>
      <c r="F44" s="6">
        <f ca="1">'[1]DESV. VTS BY SKU'!G46</f>
        <v>0.50000000000000022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3.1363636363636362</v>
      </c>
      <c r="F45" s="7">
        <f ca="1">'[1]DESV. VTS BY SKU'!G47</f>
        <v>0.13114754098360759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2026-08-03T15:17:41Z</dcterms:modified>
</cp:coreProperties>
</file>