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27AD9A4E-A97A-494F-88A6-0E22C0CB77D7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1" i="1" l="1"/>
  <c r="G27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H28" i="1"/>
  <c r="I28" i="1"/>
  <c r="J28" i="1"/>
  <c r="K28" i="1"/>
  <c r="O28" i="1"/>
  <c r="P28" i="1"/>
  <c r="R28" i="1"/>
  <c r="S28" i="1"/>
  <c r="T28" i="1"/>
  <c r="U28" i="1"/>
  <c r="W28" i="1"/>
  <c r="X28" i="1"/>
  <c r="Y28" i="1"/>
  <c r="Z28" i="1"/>
  <c r="AG28" i="1"/>
  <c r="D29" i="1"/>
  <c r="E29" i="1"/>
  <c r="F29" i="1"/>
  <c r="H29" i="1"/>
  <c r="I29" i="1"/>
  <c r="J29" i="1"/>
  <c r="K29" i="1"/>
  <c r="O29" i="1"/>
  <c r="P29" i="1"/>
  <c r="R29" i="1"/>
  <c r="S29" i="1"/>
  <c r="T29" i="1"/>
  <c r="U29" i="1"/>
  <c r="W29" i="1"/>
  <c r="X29" i="1"/>
  <c r="Y29" i="1"/>
  <c r="Z29" i="1"/>
  <c r="AG29" i="1"/>
  <c r="D30" i="1"/>
  <c r="E30" i="1"/>
  <c r="F30" i="1"/>
  <c r="H30" i="1"/>
  <c r="I30" i="1"/>
  <c r="J30" i="1"/>
  <c r="K30" i="1"/>
  <c r="O30" i="1"/>
  <c r="P30" i="1"/>
  <c r="R30" i="1"/>
  <c r="S30" i="1"/>
  <c r="T30" i="1"/>
  <c r="U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O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J47" i="1"/>
  <c r="K47" i="1"/>
  <c r="L47" i="1"/>
  <c r="M47" i="1"/>
  <c r="N47" i="1"/>
  <c r="O47" i="1"/>
  <c r="R47" i="1"/>
  <c r="S47" i="1"/>
  <c r="T47" i="1"/>
  <c r="V47" i="1"/>
  <c r="W47" i="1"/>
  <c r="X47" i="1"/>
  <c r="Y47" i="1"/>
  <c r="Z47" i="1"/>
  <c r="AG47" i="1"/>
  <c r="D48" i="1"/>
  <c r="E48" i="1"/>
  <c r="J48" i="1"/>
  <c r="K48" i="1"/>
  <c r="L48" i="1"/>
  <c r="M48" i="1"/>
  <c r="N48" i="1"/>
  <c r="O48" i="1"/>
  <c r="R48" i="1"/>
  <c r="S48" i="1"/>
  <c r="T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72" i="1" l="1"/>
  <c r="D69" i="1"/>
  <c r="D70" i="1"/>
  <c r="D71" i="1"/>
  <c r="D65" i="1"/>
  <c r="D62" i="1"/>
  <c r="D63" i="1"/>
  <c r="D64" i="1"/>
  <c r="D66" i="1" l="1"/>
  <c r="D73" i="1"/>
  <c r="E64" i="1" l="1"/>
  <c r="E62" i="1"/>
  <c r="E63" i="1"/>
  <c r="E65" i="1"/>
  <c r="E66" i="1"/>
  <c r="E69" i="1"/>
  <c r="E70" i="1"/>
  <c r="E71" i="1"/>
  <c r="E72" i="1"/>
  <c r="E73" i="1"/>
  <c r="AA28" i="1"/>
  <c r="AA29" i="1"/>
  <c r="AA30" i="1"/>
  <c r="AA13" i="1"/>
  <c r="AA48" i="1"/>
  <c r="AA59" i="1"/>
  <c r="AA57" i="1"/>
  <c r="AA56" i="1"/>
  <c r="AA55" i="1"/>
  <c r="AA54" i="1"/>
  <c r="AA53" i="1"/>
  <c r="AA52" i="1"/>
  <c r="AA51" i="1"/>
  <c r="AA49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47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58" i="1"/>
  <c r="M30" i="1"/>
  <c r="M29" i="1"/>
  <c r="M28" i="1"/>
  <c r="AE58" i="1" l="1"/>
  <c r="AB28" i="1"/>
  <c r="AC28" i="1"/>
  <c r="AD28" i="1"/>
  <c r="AD29" i="1"/>
  <c r="AE29" i="1"/>
  <c r="AB29" i="1"/>
  <c r="AC29" i="1"/>
  <c r="AB30" i="1"/>
  <c r="AC30" i="1"/>
  <c r="AD30" i="1"/>
  <c r="AE30" i="1"/>
  <c r="AB13" i="1"/>
  <c r="AD13" i="1"/>
  <c r="AE13" i="1"/>
  <c r="AC13" i="1"/>
  <c r="AE48" i="1"/>
  <c r="AD48" i="1"/>
  <c r="AC59" i="1"/>
  <c r="AD59" i="1"/>
  <c r="AB59" i="1"/>
  <c r="AE59" i="1"/>
  <c r="AC57" i="1"/>
  <c r="AD57" i="1"/>
  <c r="AB57" i="1"/>
  <c r="AE57" i="1"/>
  <c r="AD56" i="1"/>
  <c r="AC56" i="1"/>
  <c r="AB56" i="1"/>
  <c r="AE56" i="1"/>
  <c r="AB55" i="1"/>
  <c r="AE55" i="1"/>
  <c r="AC55" i="1"/>
  <c r="AD55" i="1"/>
  <c r="AE54" i="1"/>
  <c r="AD54" i="1"/>
  <c r="AB54" i="1"/>
  <c r="AC54" i="1"/>
  <c r="AD53" i="1"/>
  <c r="AE53" i="1"/>
  <c r="AC53" i="1"/>
  <c r="AB53" i="1"/>
  <c r="AD52" i="1"/>
  <c r="AE52" i="1"/>
  <c r="AC52" i="1"/>
  <c r="AB52" i="1"/>
  <c r="AB51" i="1"/>
  <c r="AE51" i="1"/>
  <c r="AC51" i="1"/>
  <c r="AD51" i="1"/>
  <c r="AD49" i="1"/>
  <c r="AC49" i="1"/>
  <c r="AB49" i="1"/>
  <c r="AE49" i="1"/>
  <c r="AC46" i="1"/>
  <c r="AB46" i="1"/>
  <c r="AE46" i="1"/>
  <c r="AD46" i="1"/>
  <c r="AC45" i="1"/>
  <c r="AB45" i="1"/>
  <c r="AD45" i="1"/>
  <c r="AE45" i="1"/>
  <c r="AD44" i="1"/>
  <c r="AB44" i="1"/>
  <c r="AE44" i="1"/>
  <c r="AC44" i="1"/>
  <c r="AC43" i="1"/>
  <c r="AE43" i="1"/>
  <c r="AB43" i="1"/>
  <c r="AD43" i="1"/>
  <c r="AC42" i="1"/>
  <c r="AD42" i="1"/>
  <c r="AE42" i="1"/>
  <c r="AB42" i="1"/>
  <c r="AC41" i="1"/>
  <c r="AB41" i="1"/>
  <c r="AD41" i="1"/>
  <c r="AE41" i="1"/>
  <c r="AB40" i="1"/>
  <c r="AD40" i="1"/>
  <c r="AE40" i="1"/>
  <c r="AC40" i="1"/>
  <c r="AC39" i="1"/>
  <c r="AB39" i="1"/>
  <c r="AE39" i="1"/>
  <c r="AD39" i="1"/>
  <c r="AD38" i="1"/>
  <c r="AE38" i="1"/>
  <c r="AC38" i="1"/>
  <c r="AB38" i="1"/>
  <c r="AE37" i="1"/>
  <c r="AC37" i="1"/>
  <c r="AD37" i="1"/>
  <c r="AB37" i="1"/>
  <c r="AC36" i="1"/>
  <c r="AE36" i="1"/>
  <c r="AD36" i="1"/>
  <c r="AB36" i="1"/>
  <c r="AD35" i="1"/>
  <c r="AE35" i="1"/>
  <c r="AB34" i="1"/>
  <c r="AE34" i="1"/>
  <c r="AC34" i="1"/>
  <c r="AD34" i="1"/>
  <c r="AE33" i="1"/>
  <c r="AD33" i="1"/>
  <c r="AC32" i="1"/>
  <c r="AB32" i="1"/>
  <c r="AE32" i="1"/>
  <c r="AD32" i="1"/>
  <c r="AB47" i="1"/>
  <c r="AE47" i="1"/>
  <c r="AD47" i="1"/>
  <c r="AC47" i="1"/>
  <c r="AE31" i="1"/>
  <c r="AB31" i="1"/>
  <c r="AB27" i="1"/>
  <c r="AE27" i="1"/>
  <c r="AC27" i="1"/>
  <c r="AD27" i="1"/>
  <c r="AE26" i="1"/>
  <c r="AC26" i="1"/>
  <c r="AB26" i="1"/>
  <c r="AD26" i="1"/>
  <c r="AE25" i="1"/>
  <c r="AB25" i="1"/>
  <c r="AC25" i="1"/>
  <c r="AD25" i="1"/>
  <c r="AB24" i="1"/>
  <c r="AD24" i="1"/>
  <c r="AE24" i="1"/>
  <c r="AC24" i="1"/>
  <c r="AE23" i="1"/>
  <c r="AB23" i="1"/>
  <c r="AD23" i="1"/>
  <c r="AC23" i="1"/>
  <c r="AD22" i="1"/>
  <c r="AB22" i="1"/>
  <c r="AC22" i="1"/>
  <c r="AE22" i="1"/>
  <c r="AC21" i="1"/>
  <c r="AB21" i="1"/>
  <c r="AD21" i="1"/>
  <c r="AE21" i="1"/>
  <c r="AE20" i="1"/>
  <c r="AD20" i="1"/>
  <c r="AB20" i="1"/>
  <c r="AC20" i="1"/>
  <c r="AC19" i="1"/>
  <c r="AD19" i="1"/>
  <c r="AE19" i="1"/>
  <c r="AB19" i="1"/>
  <c r="AD18" i="1"/>
  <c r="AC18" i="1"/>
  <c r="AB18" i="1"/>
  <c r="AE18" i="1"/>
  <c r="AE17" i="1"/>
  <c r="AB17" i="1"/>
  <c r="AC17" i="1"/>
  <c r="AD17" i="1"/>
  <c r="AE16" i="1"/>
  <c r="AC16" i="1"/>
  <c r="AB15" i="1"/>
  <c r="AC15" i="1"/>
  <c r="AE15" i="1"/>
  <c r="AD15" i="1"/>
  <c r="AB33" i="1"/>
  <c r="AC33" i="1"/>
  <c r="AD31" i="1"/>
  <c r="AC31" i="1"/>
  <c r="AD16" i="1"/>
  <c r="AB16" i="1"/>
  <c r="AD14" i="1"/>
  <c r="AB14" i="1"/>
  <c r="AC14" i="1"/>
  <c r="AE14" i="1"/>
  <c r="AB58" i="1"/>
  <c r="AD58" i="1"/>
  <c r="AC58" i="1"/>
  <c r="L30" i="1"/>
  <c r="N30" i="1"/>
  <c r="L29" i="1"/>
  <c r="N29" i="1"/>
  <c r="L28" i="1"/>
  <c r="N28" i="1"/>
  <c r="AE28" i="1" l="1"/>
  <c r="AF34" i="1"/>
  <c r="AF33" i="1"/>
  <c r="AF32" i="1"/>
  <c r="AF47" i="1"/>
  <c r="AF27" i="1"/>
  <c r="AF25" i="1"/>
  <c r="AF23" i="1"/>
  <c r="AF17" i="1"/>
  <c r="AF15" i="1"/>
  <c r="AF55" i="1"/>
  <c r="AF54" i="1"/>
  <c r="AF51" i="1"/>
  <c r="AF20" i="1"/>
  <c r="AF28" i="1"/>
  <c r="AF29" i="1"/>
  <c r="AF30" i="1"/>
  <c r="AF13" i="1"/>
  <c r="AF59" i="1"/>
  <c r="AF57" i="1"/>
  <c r="AF56" i="1"/>
  <c r="AF53" i="1"/>
  <c r="AF49" i="1"/>
  <c r="AF44" i="1"/>
  <c r="AF40" i="1"/>
  <c r="AF38" i="1"/>
  <c r="AF35" i="1"/>
  <c r="AF22" i="1"/>
  <c r="AF21" i="1"/>
  <c r="AF19" i="1"/>
  <c r="AF18" i="1"/>
  <c r="AF31" i="1"/>
  <c r="AF16" i="1"/>
  <c r="AF14" i="1"/>
  <c r="AF58" i="1"/>
  <c r="AF26" i="1"/>
  <c r="AF52" i="1"/>
  <c r="AF42" i="1"/>
  <c r="AF45" i="1"/>
  <c r="AF24" i="1"/>
  <c r="AF41" i="1"/>
  <c r="AF48" i="1"/>
  <c r="AF46" i="1"/>
  <c r="AF43" i="1"/>
  <c r="AF39" i="1"/>
  <c r="AF37" i="1"/>
  <c r="AF36" i="1"/>
  <c r="AF60" i="1" l="1"/>
</calcChain>
</file>

<file path=xl/sharedStrings.xml><?xml version="1.0" encoding="utf-8"?>
<sst xmlns="http://schemas.openxmlformats.org/spreadsheetml/2006/main" count="110" uniqueCount="100">
  <si>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</si>
  <si>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</si>
  <si>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</si>
  <si>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</si>
  <si>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</si>
  <si>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</si>
  <si>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</si>
  <si>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</si>
  <si>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</si>
  <si>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</si>
  <si>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</si>
  <si>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</si>
  <si>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</si>
  <si>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</si>
  <si>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</si>
  <si>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</si>
  <si>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</si>
  <si>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</si>
  <si>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</si>
  <si>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</si>
  <si>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</si>
  <si>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</si>
  <si>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</si>
  <si>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</si>
  <si>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</si>
  <si>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</si>
  <si>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</si>
  <si>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</si>
  <si>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</si>
  <si>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</si>
  <si>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</si>
  <si>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</si>
  <si>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</si>
  <si>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</si>
  <si>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</si>
  <si>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</si>
  <si>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</si>
  <si>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</si>
  <si>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</si>
  <si>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</si>
  <si>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</si>
  <si>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</si>
  <si>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</si>
  <si>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</si>
  <si>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</si>
  <si>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</si>
  <si>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</si>
  <si>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</si>
  <si>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</si>
  <si>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</si>
  <si>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</si>
  <si>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</si>
  <si>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</si>
  <si>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</si>
  <si>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</si>
  <si>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</si>
  <si>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</si>
  <si>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</si>
  <si>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</si>
  <si>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</si>
  <si>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</si>
  <si>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</si>
  <si>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</si>
  <si>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</si>
  <si>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</si>
  <si>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</si>
  <si>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</si>
  <si>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</si>
  <si>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</si>
  <si>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</si>
  <si>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</si>
  <si>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</si>
  <si>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</si>
  <si>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</si>
  <si>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</si>
  <si>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</si>
  <si>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</si>
  <si>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</si>
  <si>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</si>
  <si>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</si>
  <si>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</si>
  <si>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</si>
  <si>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</si>
  <si>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</si>
  <si>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</si>
  <si>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</si>
  <si>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Units Produce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</si>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</sst>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60</xdr:row>
      <xdr:rowOff>69273</xdr:rowOff>
    </xdr:from>
    <xdr:to>
      <xdr:col>24</xdr:col>
      <xdr:colOff>727365</xdr:colOff>
      <xdr:row>66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67</xdr:row>
      <xdr:rowOff>152402</xdr:rowOff>
    </xdr:from>
    <xdr:to>
      <xdr:col>24</xdr:col>
      <xdr:colOff>710046</xdr:colOff>
      <xdr:row>73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60</xdr:row>
      <xdr:rowOff>69273</xdr:rowOff>
    </xdr:from>
    <xdr:to>
      <xdr:col>14</xdr:col>
      <xdr:colOff>727365</xdr:colOff>
      <xdr:row>66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67</xdr:row>
      <xdr:rowOff>152402</xdr:rowOff>
    </xdr:from>
    <xdr:to>
      <xdr:col>14</xdr:col>
      <xdr:colOff>710046</xdr:colOff>
      <xdr:row>73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3">
          <cell r="D13">
            <v>1.36</v>
          </cell>
          <cell r="E13">
            <v>4362</v>
          </cell>
          <cell r="F13">
            <v>5932.3200000000006</v>
          </cell>
          <cell r="G13">
            <v>5.4131317689530682</v>
          </cell>
          <cell r="H13">
            <v>17728</v>
          </cell>
          <cell r="I13">
            <v>-7725.2727272727279</v>
          </cell>
          <cell r="J13">
            <v>6529</v>
          </cell>
          <cell r="K13">
            <v>8879.44</v>
          </cell>
          <cell r="L13">
            <v>24.782263630089719</v>
          </cell>
          <cell r="M13">
            <v>5796</v>
          </cell>
          <cell r="N13">
            <v>3894.4545454545455</v>
          </cell>
          <cell r="O13">
            <v>569</v>
          </cell>
          <cell r="P13">
            <v>773.84</v>
          </cell>
          <cell r="Q13">
            <v>16.580132450331124</v>
          </cell>
          <cell r="R13">
            <v>755</v>
          </cell>
          <cell r="S13">
            <v>54.227272727272748</v>
          </cell>
          <cell r="T13">
            <v>436</v>
          </cell>
          <cell r="U13">
            <v>592.96</v>
          </cell>
          <cell r="V13">
            <v>7.7479806138933762</v>
          </cell>
          <cell r="W13">
            <v>1238</v>
          </cell>
          <cell r="X13">
            <v>-408.09090909090912</v>
          </cell>
          <cell r="Y13">
            <v>11896</v>
          </cell>
          <cell r="Z13">
            <v>16178.560000000001</v>
          </cell>
          <cell r="AA13">
            <v>11756</v>
          </cell>
          <cell r="AB13">
            <v>10.119088125212658</v>
          </cell>
          <cell r="AC13">
            <v>1.0119088125212656</v>
          </cell>
          <cell r="AD13">
            <v>140</v>
          </cell>
          <cell r="AE13">
            <v>5878</v>
          </cell>
          <cell r="AF13">
            <v>5738</v>
          </cell>
          <cell r="AG13">
            <v>148.69999999999999</v>
          </cell>
        </row>
        <row r="14">
          <cell r="D14">
            <v>1.59</v>
          </cell>
          <cell r="E14">
            <v>80</v>
          </cell>
          <cell r="F14">
            <v>127.2</v>
          </cell>
          <cell r="G14">
            <v>2.0229885057471262</v>
          </cell>
          <cell r="H14">
            <v>870</v>
          </cell>
          <cell r="I14">
            <v>-513.18181818181824</v>
          </cell>
          <cell r="J14">
            <v>469</v>
          </cell>
          <cell r="K14">
            <v>745.71</v>
          </cell>
          <cell r="L14">
            <v>18.00698080279232</v>
          </cell>
          <cell r="M14">
            <v>573</v>
          </cell>
          <cell r="N14">
            <v>208.5454545454545</v>
          </cell>
          <cell r="O14">
            <v>94</v>
          </cell>
          <cell r="P14">
            <v>149.46</v>
          </cell>
          <cell r="Q14">
            <v>42.204081632653065</v>
          </cell>
          <cell r="R14">
            <v>49</v>
          </cell>
          <cell r="S14">
            <v>60.590909090909093</v>
          </cell>
          <cell r="T14">
            <v>89</v>
          </cell>
          <cell r="U14">
            <v>141.51000000000002</v>
          </cell>
          <cell r="V14">
            <v>17.482142857142858</v>
          </cell>
          <cell r="W14">
            <v>112</v>
          </cell>
          <cell r="X14">
            <v>12.63636363636364</v>
          </cell>
          <cell r="Y14">
            <v>732</v>
          </cell>
          <cell r="Z14">
            <v>1163.8800000000001</v>
          </cell>
          <cell r="AA14">
            <v>823</v>
          </cell>
          <cell r="AB14">
            <v>8.8942891859052242</v>
          </cell>
          <cell r="AC14">
            <v>0.88942891859052253</v>
          </cell>
          <cell r="AD14">
            <v>-91</v>
          </cell>
          <cell r="AE14">
            <v>411.5</v>
          </cell>
          <cell r="AF14">
            <v>502.5</v>
          </cell>
          <cell r="AG14">
            <v>9.15</v>
          </cell>
        </row>
        <row r="15">
          <cell r="D15">
            <v>2.0299999999999998</v>
          </cell>
          <cell r="E15">
            <v>1209</v>
          </cell>
          <cell r="F15">
            <v>2454.27</v>
          </cell>
          <cell r="G15">
            <v>3.0820393974507532</v>
          </cell>
          <cell r="H15">
            <v>8630</v>
          </cell>
          <cell r="I15">
            <v>-4675.090909090909</v>
          </cell>
          <cell r="J15">
            <v>2472</v>
          </cell>
          <cell r="K15">
            <v>5018.16</v>
          </cell>
          <cell r="L15">
            <v>17.942593203563181</v>
          </cell>
          <cell r="M15">
            <v>3031</v>
          </cell>
          <cell r="N15">
            <v>1094.2727272727273</v>
          </cell>
          <cell r="O15">
            <v>241</v>
          </cell>
          <cell r="P15">
            <v>489.22999999999996</v>
          </cell>
          <cell r="Q15">
            <v>21.123505976095618</v>
          </cell>
          <cell r="R15">
            <v>251</v>
          </cell>
          <cell r="S15">
            <v>69.863636363636374</v>
          </cell>
          <cell r="T15">
            <v>298</v>
          </cell>
          <cell r="U15">
            <v>604.93999999999994</v>
          </cell>
          <cell r="V15">
            <v>14.345733041575492</v>
          </cell>
          <cell r="W15">
            <v>457</v>
          </cell>
          <cell r="X15">
            <v>-13.590909090909122</v>
          </cell>
          <cell r="Y15">
            <v>4220</v>
          </cell>
          <cell r="Z15">
            <v>8566.5999999999985</v>
          </cell>
          <cell r="AA15">
            <v>4634</v>
          </cell>
          <cell r="AB15">
            <v>9.1066033664220978</v>
          </cell>
          <cell r="AC15">
            <v>0.9106603366422098</v>
          </cell>
          <cell r="AD15">
            <v>-414</v>
          </cell>
          <cell r="AE15">
            <v>2317</v>
          </cell>
          <cell r="AF15">
            <v>2731</v>
          </cell>
          <cell r="AG15">
            <v>70.333333333333329</v>
          </cell>
        </row>
        <row r="16">
          <cell r="D16">
            <v>3.61</v>
          </cell>
          <cell r="E16">
            <v>129</v>
          </cell>
          <cell r="F16">
            <v>465.69</v>
          </cell>
          <cell r="G16">
            <v>1.6235697940503433</v>
          </cell>
          <cell r="H16">
            <v>1748</v>
          </cell>
          <cell r="I16">
            <v>-1062.8181818181818</v>
          </cell>
          <cell r="J16">
            <v>177</v>
          </cell>
          <cell r="K16">
            <v>638.97</v>
          </cell>
          <cell r="L16">
            <v>8.1294363256784958</v>
          </cell>
          <cell r="M16">
            <v>479</v>
          </cell>
          <cell r="N16">
            <v>-40.727272727272748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372</v>
          </cell>
          <cell r="Z16">
            <v>1342.9199999999998</v>
          </cell>
          <cell r="AA16">
            <v>1004</v>
          </cell>
          <cell r="AB16">
            <v>3.7051792828685257</v>
          </cell>
          <cell r="AC16">
            <v>0.37051792828685259</v>
          </cell>
          <cell r="AD16">
            <v>-632</v>
          </cell>
          <cell r="AE16">
            <v>502</v>
          </cell>
          <cell r="AF16">
            <v>1134</v>
          </cell>
          <cell r="AG16">
            <v>13.285714285714286</v>
          </cell>
        </row>
        <row r="17">
          <cell r="D17">
            <v>8.7799999999999994</v>
          </cell>
          <cell r="E17">
            <v>1</v>
          </cell>
          <cell r="F17">
            <v>8.7799999999999994</v>
          </cell>
          <cell r="G17">
            <v>7.3578595317725745E-2</v>
          </cell>
          <cell r="H17">
            <v>299</v>
          </cell>
          <cell r="I17">
            <v>-202.86363636363637</v>
          </cell>
          <cell r="J17">
            <v>174</v>
          </cell>
          <cell r="K17">
            <v>1527.7199999999998</v>
          </cell>
          <cell r="L17">
            <v>24.857142857142858</v>
          </cell>
          <cell r="M17">
            <v>154</v>
          </cell>
          <cell r="N17">
            <v>104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229</v>
          </cell>
          <cell r="Z17">
            <v>2010.62</v>
          </cell>
          <cell r="AA17">
            <v>90</v>
          </cell>
          <cell r="AB17">
            <v>25.444444444444443</v>
          </cell>
          <cell r="AC17">
            <v>2.5444444444444443</v>
          </cell>
          <cell r="AD17">
            <v>139</v>
          </cell>
          <cell r="AE17">
            <v>45</v>
          </cell>
          <cell r="AF17">
            <v>-94</v>
          </cell>
          <cell r="AG17">
            <v>19.083333333333332</v>
          </cell>
        </row>
        <row r="18">
          <cell r="D18">
            <v>0.63</v>
          </cell>
          <cell r="E18">
            <v>1229</v>
          </cell>
          <cell r="F18">
            <v>774.27</v>
          </cell>
          <cell r="G18">
            <v>1.5379102440134236</v>
          </cell>
          <cell r="H18">
            <v>17581</v>
          </cell>
          <cell r="I18">
            <v>-10758.045454545454</v>
          </cell>
          <cell r="J18">
            <v>2658</v>
          </cell>
          <cell r="K18">
            <v>1674.54</v>
          </cell>
          <cell r="L18">
            <v>8.7867768595041316</v>
          </cell>
          <cell r="M18">
            <v>6655</v>
          </cell>
          <cell r="N18">
            <v>-367</v>
          </cell>
          <cell r="O18">
            <v>812</v>
          </cell>
          <cell r="P18">
            <v>511.56</v>
          </cell>
          <cell r="Q18">
            <v>14.166534496431403</v>
          </cell>
          <cell r="R18">
            <v>1261</v>
          </cell>
          <cell r="S18">
            <v>-47.772727272727252</v>
          </cell>
          <cell r="T18">
            <v>1773</v>
          </cell>
          <cell r="U18">
            <v>1116.99</v>
          </cell>
          <cell r="V18">
            <v>10.115663900414937</v>
          </cell>
          <cell r="W18">
            <v>3856</v>
          </cell>
          <cell r="X18">
            <v>-856.09090909090901</v>
          </cell>
          <cell r="Y18">
            <v>6472</v>
          </cell>
          <cell r="Z18">
            <v>4077.36</v>
          </cell>
          <cell r="AA18">
            <v>14437</v>
          </cell>
          <cell r="AB18">
            <v>4.4829258156126617</v>
          </cell>
          <cell r="AC18">
            <v>0.44829258156126617</v>
          </cell>
          <cell r="AD18">
            <v>-7965</v>
          </cell>
          <cell r="AE18">
            <v>7218.5</v>
          </cell>
          <cell r="AF18">
            <v>15183.5</v>
          </cell>
          <cell r="AG18">
            <v>107.86666666666666</v>
          </cell>
        </row>
        <row r="19">
          <cell r="D19">
            <v>0.63</v>
          </cell>
          <cell r="E19">
            <v>602</v>
          </cell>
          <cell r="F19">
            <v>379.26</v>
          </cell>
          <cell r="G19">
            <v>10.511111111111111</v>
          </cell>
          <cell r="H19">
            <v>1260</v>
          </cell>
          <cell r="I19">
            <v>-257.09090909090912</v>
          </cell>
          <cell r="J19">
            <v>765</v>
          </cell>
          <cell r="K19">
            <v>481.95</v>
          </cell>
          <cell r="L19">
            <v>14.409246575342465</v>
          </cell>
          <cell r="M19">
            <v>1168</v>
          </cell>
          <cell r="N19">
            <v>234.09090909090901</v>
          </cell>
          <cell r="O19">
            <v>107</v>
          </cell>
          <cell r="P19">
            <v>67.41</v>
          </cell>
          <cell r="Q19">
            <v>42.8</v>
          </cell>
          <cell r="R19">
            <v>55</v>
          </cell>
          <cell r="S19">
            <v>69.5</v>
          </cell>
          <cell r="T19">
            <v>380</v>
          </cell>
          <cell r="U19">
            <v>239.4</v>
          </cell>
          <cell r="V19">
            <v>17.711864406779661</v>
          </cell>
          <cell r="W19">
            <v>472</v>
          </cell>
          <cell r="X19">
            <v>58.181818181818187</v>
          </cell>
          <cell r="Y19">
            <v>1854</v>
          </cell>
          <cell r="Z19">
            <v>1168.02</v>
          </cell>
          <cell r="AA19">
            <v>1441</v>
          </cell>
          <cell r="AB19">
            <v>12.866065232477446</v>
          </cell>
          <cell r="AC19">
            <v>1.2866065232477446</v>
          </cell>
          <cell r="AD19">
            <v>413</v>
          </cell>
          <cell r="AE19">
            <v>720.5</v>
          </cell>
          <cell r="AF19">
            <v>307.5</v>
          </cell>
          <cell r="AG19">
            <v>30.9</v>
          </cell>
        </row>
        <row r="20">
          <cell r="D20">
            <v>0.63</v>
          </cell>
          <cell r="E20">
            <v>0</v>
          </cell>
          <cell r="F20">
            <v>0</v>
          </cell>
          <cell r="G20">
            <v>0</v>
          </cell>
          <cell r="H20">
            <v>3400</v>
          </cell>
          <cell r="I20">
            <v>-2318.181818181818</v>
          </cell>
          <cell r="J20">
            <v>3786</v>
          </cell>
          <cell r="K20">
            <v>2385.1799999999998</v>
          </cell>
          <cell r="L20">
            <v>42.582822085889575</v>
          </cell>
          <cell r="M20">
            <v>1956</v>
          </cell>
          <cell r="N20">
            <v>2896.909090909091</v>
          </cell>
          <cell r="O20">
            <v>245</v>
          </cell>
          <cell r="P20">
            <v>154.35</v>
          </cell>
          <cell r="Q20">
            <v>22.936170212765958</v>
          </cell>
          <cell r="R20">
            <v>235</v>
          </cell>
          <cell r="S20">
            <v>84.77272727272728</v>
          </cell>
          <cell r="T20">
            <v>303</v>
          </cell>
          <cell r="U20">
            <v>190.89000000000001</v>
          </cell>
          <cell r="V20">
            <v>4.9709172259507834</v>
          </cell>
          <cell r="W20">
            <v>1341</v>
          </cell>
          <cell r="X20">
            <v>-611.31818181818176</v>
          </cell>
          <cell r="Y20">
            <v>4334</v>
          </cell>
          <cell r="Z20">
            <v>2730.42</v>
          </cell>
          <cell r="AA20">
            <v>3157</v>
          </cell>
          <cell r="AB20">
            <v>13.728222996515679</v>
          </cell>
          <cell r="AC20">
            <v>1.372822299651568</v>
          </cell>
          <cell r="AD20">
            <v>1177</v>
          </cell>
          <cell r="AE20">
            <v>1578.5</v>
          </cell>
          <cell r="AF20">
            <v>401.5</v>
          </cell>
          <cell r="AG20">
            <v>72.233333333333334</v>
          </cell>
        </row>
        <row r="21">
          <cell r="D21">
            <v>1.0900000000000001</v>
          </cell>
          <cell r="E21">
            <v>1789</v>
          </cell>
          <cell r="F21">
            <v>1950.0100000000002</v>
          </cell>
          <cell r="G21">
            <v>6.5237858445217967</v>
          </cell>
          <cell r="H21">
            <v>6033</v>
          </cell>
          <cell r="I21">
            <v>-2324.409090909091</v>
          </cell>
          <cell r="J21">
            <v>5494</v>
          </cell>
          <cell r="K21">
            <v>5988.46</v>
          </cell>
          <cell r="L21">
            <v>18.681298299845441</v>
          </cell>
          <cell r="M21">
            <v>6470</v>
          </cell>
          <cell r="N21">
            <v>2553.0909090909095</v>
          </cell>
          <cell r="O21">
            <v>551</v>
          </cell>
          <cell r="P21">
            <v>600.59</v>
          </cell>
          <cell r="Q21">
            <v>20.721367521367522</v>
          </cell>
          <cell r="R21">
            <v>585</v>
          </cell>
          <cell r="S21">
            <v>152.13636363636363</v>
          </cell>
          <cell r="T21">
            <v>1423</v>
          </cell>
          <cell r="U21">
            <v>1551.0700000000002</v>
          </cell>
          <cell r="V21">
            <v>14.184866334390577</v>
          </cell>
          <cell r="W21">
            <v>2207</v>
          </cell>
          <cell r="X21">
            <v>-81.772727272727252</v>
          </cell>
          <cell r="Y21">
            <v>9257</v>
          </cell>
          <cell r="Z21">
            <v>10090.130000000001</v>
          </cell>
          <cell r="AA21">
            <v>7180</v>
          </cell>
          <cell r="AB21">
            <v>12.892757660167131</v>
          </cell>
          <cell r="AC21">
            <v>1.2892757660167131</v>
          </cell>
          <cell r="AD21">
            <v>2077</v>
          </cell>
          <cell r="AE21">
            <v>3590</v>
          </cell>
          <cell r="AF21">
            <v>1513</v>
          </cell>
          <cell r="AG21">
            <v>171.42592592592592</v>
          </cell>
        </row>
        <row r="22">
          <cell r="D22">
            <v>1.0900000000000001</v>
          </cell>
          <cell r="E22">
            <v>3872</v>
          </cell>
          <cell r="F22">
            <v>4220.4800000000005</v>
          </cell>
          <cell r="G22">
            <v>19.408521303258144</v>
          </cell>
          <cell r="H22">
            <v>4389</v>
          </cell>
          <cell r="I22">
            <v>879.5</v>
          </cell>
          <cell r="J22">
            <v>39</v>
          </cell>
          <cell r="K22">
            <v>42.510000000000005</v>
          </cell>
          <cell r="L22">
            <v>0.21546961325966851</v>
          </cell>
          <cell r="M22">
            <v>3982</v>
          </cell>
          <cell r="N22">
            <v>-1771</v>
          </cell>
          <cell r="O22">
            <v>71</v>
          </cell>
          <cell r="P22">
            <v>77.39</v>
          </cell>
          <cell r="Q22">
            <v>8.8248587570621471</v>
          </cell>
          <cell r="R22">
            <v>177</v>
          </cell>
          <cell r="S22">
            <v>-49.681818181818173</v>
          </cell>
          <cell r="T22">
            <v>393</v>
          </cell>
          <cell r="U22">
            <v>428.37</v>
          </cell>
          <cell r="V22">
            <v>8.5944333996023854</v>
          </cell>
          <cell r="W22">
            <v>1006</v>
          </cell>
          <cell r="X22">
            <v>-292.90909090909088</v>
          </cell>
          <cell r="Y22">
            <v>4375</v>
          </cell>
          <cell r="Z22">
            <v>4768.75</v>
          </cell>
          <cell r="AA22">
            <v>3422</v>
          </cell>
          <cell r="AB22">
            <v>12.784921098772648</v>
          </cell>
          <cell r="AC22">
            <v>1.2784921098772648</v>
          </cell>
          <cell r="AD22">
            <v>953</v>
          </cell>
          <cell r="AE22">
            <v>1711</v>
          </cell>
          <cell r="AF22">
            <v>758</v>
          </cell>
          <cell r="AG22">
            <v>81.018518518518519</v>
          </cell>
        </row>
        <row r="23">
          <cell r="D23">
            <v>1.1599999999999999</v>
          </cell>
          <cell r="E23">
            <v>13370</v>
          </cell>
          <cell r="F23">
            <v>15509.199999999999</v>
          </cell>
          <cell r="G23">
            <v>7.9255247487403331</v>
          </cell>
          <cell r="H23">
            <v>37113</v>
          </cell>
          <cell r="I23">
            <v>-11934.318181818184</v>
          </cell>
          <cell r="J23">
            <v>13361</v>
          </cell>
          <cell r="K23">
            <v>15498.759999999998</v>
          </cell>
          <cell r="L23">
            <v>15.051564340211993</v>
          </cell>
          <cell r="M23">
            <v>19529</v>
          </cell>
          <cell r="N23">
            <v>4484.181818181818</v>
          </cell>
          <cell r="O23">
            <v>2041</v>
          </cell>
          <cell r="P23">
            <v>2367.56</v>
          </cell>
          <cell r="Q23">
            <v>13.79054054054054</v>
          </cell>
          <cell r="R23">
            <v>3256</v>
          </cell>
          <cell r="S23">
            <v>-179</v>
          </cell>
          <cell r="T23">
            <v>8052</v>
          </cell>
          <cell r="U23">
            <v>9340.32</v>
          </cell>
          <cell r="V23">
            <v>12.933051033072935</v>
          </cell>
          <cell r="W23">
            <v>13697</v>
          </cell>
          <cell r="X23">
            <v>-1286.863636363636</v>
          </cell>
          <cell r="Y23">
            <v>36824</v>
          </cell>
          <cell r="Z23">
            <v>42715.839999999997</v>
          </cell>
          <cell r="AA23">
            <v>36510</v>
          </cell>
          <cell r="AB23">
            <v>10.086003834565872</v>
          </cell>
          <cell r="AC23">
            <v>1.0086003834565873</v>
          </cell>
          <cell r="AD23">
            <v>314</v>
          </cell>
          <cell r="AE23">
            <v>18255</v>
          </cell>
          <cell r="AF23">
            <v>17941</v>
          </cell>
          <cell r="AG23">
            <v>681.92592592592598</v>
          </cell>
        </row>
        <row r="24">
          <cell r="D24">
            <v>1.1599999999999999</v>
          </cell>
          <cell r="E24">
            <v>7451</v>
          </cell>
          <cell r="F24">
            <v>8643.16</v>
          </cell>
          <cell r="G24">
            <v>6.2014148980441117</v>
          </cell>
          <cell r="H24">
            <v>26433</v>
          </cell>
          <cell r="I24">
            <v>-10571.5</v>
          </cell>
          <cell r="J24">
            <v>9045</v>
          </cell>
          <cell r="K24">
            <v>10492.199999999999</v>
          </cell>
          <cell r="L24">
            <v>15.135772419563398</v>
          </cell>
          <cell r="M24">
            <v>13147</v>
          </cell>
          <cell r="N24">
            <v>3069.090909090909</v>
          </cell>
          <cell r="O24">
            <v>1495</v>
          </cell>
          <cell r="P24">
            <v>1734.1999999999998</v>
          </cell>
          <cell r="Q24">
            <v>16.737913486005091</v>
          </cell>
          <cell r="R24">
            <v>1965</v>
          </cell>
          <cell r="S24">
            <v>155.22727272727275</v>
          </cell>
          <cell r="T24">
            <v>5337</v>
          </cell>
          <cell r="U24">
            <v>6190.9199999999992</v>
          </cell>
          <cell r="V24">
            <v>14.761629368871008</v>
          </cell>
          <cell r="W24">
            <v>7954</v>
          </cell>
          <cell r="X24">
            <v>-86.181818181818016</v>
          </cell>
          <cell r="Y24">
            <v>23328</v>
          </cell>
          <cell r="Z24">
            <v>27060.48</v>
          </cell>
          <cell r="AA24">
            <v>24080</v>
          </cell>
          <cell r="AB24">
            <v>9.6877076411960132</v>
          </cell>
          <cell r="AC24">
            <v>0.96877076411960128</v>
          </cell>
          <cell r="AD24">
            <v>-752</v>
          </cell>
          <cell r="AE24">
            <v>12040</v>
          </cell>
          <cell r="AF24">
            <v>12792</v>
          </cell>
          <cell r="AG24">
            <v>432</v>
          </cell>
        </row>
        <row r="25">
          <cell r="D25">
            <v>1.1599999999999999</v>
          </cell>
          <cell r="E25">
            <v>9717</v>
          </cell>
          <cell r="F25">
            <v>11271.72</v>
          </cell>
          <cell r="G25">
            <v>8.2328429484710774</v>
          </cell>
          <cell r="H25">
            <v>25966</v>
          </cell>
          <cell r="I25">
            <v>-7987.0909090909081</v>
          </cell>
          <cell r="J25">
            <v>9886</v>
          </cell>
          <cell r="K25">
            <v>11467.759999999998</v>
          </cell>
          <cell r="L25">
            <v>16.768851195065537</v>
          </cell>
          <cell r="M25">
            <v>12970</v>
          </cell>
          <cell r="N25">
            <v>3990.545454545455</v>
          </cell>
          <cell r="O25">
            <v>1621</v>
          </cell>
          <cell r="P25">
            <v>1880.36</v>
          </cell>
          <cell r="Q25">
            <v>14.815953469048608</v>
          </cell>
          <cell r="R25">
            <v>2407</v>
          </cell>
          <cell r="S25">
            <v>-20.136363636363512</v>
          </cell>
          <cell r="T25">
            <v>5547</v>
          </cell>
          <cell r="U25">
            <v>6434.5199999999995</v>
          </cell>
          <cell r="V25">
            <v>15.875374008065563</v>
          </cell>
          <cell r="W25">
            <v>7687</v>
          </cell>
          <cell r="X25">
            <v>305.86363636363603</v>
          </cell>
          <cell r="Y25">
            <v>26771</v>
          </cell>
          <cell r="Z25">
            <v>31054.359999999997</v>
          </cell>
          <cell r="AA25">
            <v>23292</v>
          </cell>
          <cell r="AB25">
            <v>11.493645886999829</v>
          </cell>
          <cell r="AC25">
            <v>1.1493645886999828</v>
          </cell>
          <cell r="AD25">
            <v>3479</v>
          </cell>
          <cell r="AE25">
            <v>11646</v>
          </cell>
          <cell r="AF25">
            <v>8167</v>
          </cell>
          <cell r="AG25">
            <v>495.75925925925924</v>
          </cell>
        </row>
        <row r="26">
          <cell r="D26">
            <v>1.1599999999999999</v>
          </cell>
          <cell r="E26">
            <v>16373</v>
          </cell>
          <cell r="F26">
            <v>18992.68</v>
          </cell>
          <cell r="G26">
            <v>12.587133522032358</v>
          </cell>
          <cell r="H26">
            <v>28617</v>
          </cell>
          <cell r="I26">
            <v>-3138.5909090909081</v>
          </cell>
          <cell r="J26">
            <v>12895</v>
          </cell>
          <cell r="K26">
            <v>14958.199999999999</v>
          </cell>
          <cell r="L26">
            <v>18.768772742308965</v>
          </cell>
          <cell r="M26">
            <v>15115</v>
          </cell>
          <cell r="N26">
            <v>6024.545454545455</v>
          </cell>
          <cell r="O26">
            <v>1699</v>
          </cell>
          <cell r="P26">
            <v>1970.84</v>
          </cell>
          <cell r="Q26">
            <v>16.487869430966033</v>
          </cell>
          <cell r="R26">
            <v>2267</v>
          </cell>
          <cell r="S26">
            <v>153.31818181818176</v>
          </cell>
          <cell r="T26">
            <v>6226</v>
          </cell>
          <cell r="U26">
            <v>7222.16</v>
          </cell>
          <cell r="V26">
            <v>15.090007711799053</v>
          </cell>
          <cell r="W26">
            <v>9077</v>
          </cell>
          <cell r="X26">
            <v>37.136363636363967</v>
          </cell>
          <cell r="Y26">
            <v>37193</v>
          </cell>
          <cell r="Z26">
            <v>43143.88</v>
          </cell>
          <cell r="AA26">
            <v>27946</v>
          </cell>
          <cell r="AB26">
            <v>13.308881414155872</v>
          </cell>
          <cell r="AC26">
            <v>1.3308881414155873</v>
          </cell>
          <cell r="AD26">
            <v>9247</v>
          </cell>
          <cell r="AE26">
            <v>13973</v>
          </cell>
          <cell r="AF26">
            <v>4726</v>
          </cell>
          <cell r="AG26">
            <v>688.75925925925924</v>
          </cell>
        </row>
        <row r="27">
          <cell r="D27">
            <v>1.1599999999999999</v>
          </cell>
          <cell r="E27">
            <v>3037</v>
          </cell>
          <cell r="F27">
            <v>3522.9199999999996</v>
          </cell>
          <cell r="G27">
            <v>56.193439865433135</v>
          </cell>
          <cell r="H27">
            <v>1189</v>
          </cell>
          <cell r="I27">
            <v>2226.318181818182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-654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5</v>
          </cell>
          <cell r="U27">
            <v>5.8</v>
          </cell>
          <cell r="V27">
            <v>0.29972752043596729</v>
          </cell>
          <cell r="W27">
            <v>367</v>
          </cell>
          <cell r="X27">
            <v>-245.22727272727275</v>
          </cell>
          <cell r="Y27">
            <v>3043</v>
          </cell>
          <cell r="Z27">
            <v>3529.8799999999997</v>
          </cell>
          <cell r="AA27">
            <v>355</v>
          </cell>
          <cell r="AB27">
            <v>85.718309859154928</v>
          </cell>
          <cell r="AC27">
            <v>8.5718309859154935</v>
          </cell>
          <cell r="AD27">
            <v>2688</v>
          </cell>
          <cell r="AE27">
            <v>177.5</v>
          </cell>
          <cell r="AF27">
            <v>-2510.5</v>
          </cell>
          <cell r="AG27">
            <v>56.351851851851855</v>
          </cell>
        </row>
        <row r="28">
          <cell r="D28">
            <v>1.1599999999999999</v>
          </cell>
          <cell r="E28">
            <v>1998</v>
          </cell>
          <cell r="F28">
            <v>2317.6799999999998</v>
          </cell>
          <cell r="H28">
            <v>0</v>
          </cell>
          <cell r="I28">
            <v>1998</v>
          </cell>
          <cell r="J28">
            <v>3186</v>
          </cell>
          <cell r="K28">
            <v>3695.7599999999998</v>
          </cell>
          <cell r="L28">
            <v>29.971777986829728</v>
          </cell>
          <cell r="M28">
            <v>2338.6</v>
          </cell>
          <cell r="N28">
            <v>2123</v>
          </cell>
          <cell r="O28">
            <v>324</v>
          </cell>
          <cell r="P28">
            <v>375.84</v>
          </cell>
          <cell r="R28">
            <v>0</v>
          </cell>
          <cell r="S28">
            <v>324</v>
          </cell>
          <cell r="T28">
            <v>0</v>
          </cell>
          <cell r="U28">
            <v>0</v>
          </cell>
          <cell r="W28">
            <v>0</v>
          </cell>
          <cell r="X28">
            <v>0</v>
          </cell>
          <cell r="Y28">
            <v>5508</v>
          </cell>
          <cell r="Z28">
            <v>6389.28</v>
          </cell>
          <cell r="AA28">
            <v>1063</v>
          </cell>
          <cell r="AB28">
            <v>51.815616180620886</v>
          </cell>
          <cell r="AC28">
            <v>5.181561618062088</v>
          </cell>
          <cell r="AD28">
            <v>4445</v>
          </cell>
          <cell r="AE28">
            <v>531.5</v>
          </cell>
          <cell r="AF28">
            <v>-3913.5</v>
          </cell>
          <cell r="AG28">
            <v>102</v>
          </cell>
        </row>
        <row r="29">
          <cell r="D29">
            <v>1.1599999999999999</v>
          </cell>
          <cell r="E29">
            <v>1998</v>
          </cell>
          <cell r="F29">
            <v>2317.6799999999998</v>
          </cell>
          <cell r="H29">
            <v>0</v>
          </cell>
          <cell r="I29">
            <v>1998</v>
          </cell>
          <cell r="J29">
            <v>3154</v>
          </cell>
          <cell r="K29">
            <v>3658.64</v>
          </cell>
          <cell r="L29">
            <v>21.872399445214981</v>
          </cell>
          <cell r="M29">
            <v>3172.3999999999996</v>
          </cell>
          <cell r="N29">
            <v>1712</v>
          </cell>
          <cell r="O29">
            <v>324</v>
          </cell>
          <cell r="P29">
            <v>375.84</v>
          </cell>
          <cell r="R29">
            <v>0</v>
          </cell>
          <cell r="S29">
            <v>324</v>
          </cell>
          <cell r="T29">
            <v>0</v>
          </cell>
          <cell r="U29">
            <v>0</v>
          </cell>
          <cell r="W29">
            <v>0</v>
          </cell>
          <cell r="X29">
            <v>0</v>
          </cell>
          <cell r="Y29">
            <v>5476</v>
          </cell>
          <cell r="Z29">
            <v>6352.16</v>
          </cell>
          <cell r="AA29">
            <v>1442</v>
          </cell>
          <cell r="AB29">
            <v>37.975034674063807</v>
          </cell>
          <cell r="AC29">
            <v>3.7975034674063801</v>
          </cell>
          <cell r="AD29">
            <v>4034</v>
          </cell>
          <cell r="AE29">
            <v>721</v>
          </cell>
          <cell r="AF29">
            <v>-3313</v>
          </cell>
          <cell r="AG29">
            <v>101.4074074074074</v>
          </cell>
        </row>
        <row r="30">
          <cell r="D30">
            <v>1.1599999999999999</v>
          </cell>
          <cell r="E30">
            <v>1998</v>
          </cell>
          <cell r="F30">
            <v>2317.6799999999998</v>
          </cell>
          <cell r="H30">
            <v>0</v>
          </cell>
          <cell r="I30">
            <v>1998</v>
          </cell>
          <cell r="J30">
            <v>3051</v>
          </cell>
          <cell r="K30">
            <v>3539.16</v>
          </cell>
          <cell r="L30">
            <v>23.272311212814646</v>
          </cell>
          <cell r="M30">
            <v>2884.2</v>
          </cell>
          <cell r="N30">
            <v>1740</v>
          </cell>
          <cell r="O30">
            <v>324</v>
          </cell>
          <cell r="P30">
            <v>375.84</v>
          </cell>
          <cell r="R30">
            <v>0</v>
          </cell>
          <cell r="S30">
            <v>324</v>
          </cell>
          <cell r="T30">
            <v>0</v>
          </cell>
          <cell r="U30">
            <v>0</v>
          </cell>
          <cell r="W30">
            <v>0</v>
          </cell>
          <cell r="X30">
            <v>0</v>
          </cell>
          <cell r="Y30">
            <v>5373</v>
          </cell>
          <cell r="Z30">
            <v>6232.6799999999994</v>
          </cell>
          <cell r="AA30">
            <v>1311</v>
          </cell>
          <cell r="AB30">
            <v>40.983981693363845</v>
          </cell>
          <cell r="AC30">
            <v>4.0983981693363845</v>
          </cell>
          <cell r="AD30">
            <v>4062</v>
          </cell>
          <cell r="AE30">
            <v>655.5</v>
          </cell>
          <cell r="AF30">
            <v>-3406.5</v>
          </cell>
          <cell r="AG30">
            <v>99.5</v>
          </cell>
        </row>
        <row r="31">
          <cell r="D31">
            <v>3.68</v>
          </cell>
          <cell r="E31">
            <v>504</v>
          </cell>
          <cell r="F31">
            <v>1854.72</v>
          </cell>
          <cell r="G31">
            <v>5.398247322297955</v>
          </cell>
          <cell r="H31">
            <v>2054</v>
          </cell>
          <cell r="I31">
            <v>-896.4545454545455</v>
          </cell>
          <cell r="J31">
            <v>954</v>
          </cell>
          <cell r="K31">
            <v>3510.7200000000003</v>
          </cell>
          <cell r="L31">
            <v>8.4086538461538467</v>
          </cell>
          <cell r="M31">
            <v>2496</v>
          </cell>
          <cell r="N31">
            <v>-180.5454545454545</v>
          </cell>
          <cell r="O31">
            <v>59</v>
          </cell>
          <cell r="P31">
            <v>217.12</v>
          </cell>
          <cell r="Q31">
            <v>14.263736263736263</v>
          </cell>
          <cell r="R31">
            <v>91</v>
          </cell>
          <cell r="S31">
            <v>-3.0454545454545467</v>
          </cell>
          <cell r="T31">
            <v>429</v>
          </cell>
          <cell r="U31">
            <v>1578.72</v>
          </cell>
          <cell r="V31">
            <v>12.517241379310345</v>
          </cell>
          <cell r="W31">
            <v>754</v>
          </cell>
          <cell r="X31">
            <v>-85.090909090909122</v>
          </cell>
          <cell r="Y31">
            <v>1946</v>
          </cell>
          <cell r="Z31">
            <v>7161.2800000000007</v>
          </cell>
          <cell r="AA31">
            <v>2384</v>
          </cell>
          <cell r="AB31">
            <v>8.1627516778523486</v>
          </cell>
          <cell r="AC31">
            <v>0.8162751677852349</v>
          </cell>
          <cell r="AD31">
            <v>-438</v>
          </cell>
          <cell r="AE31">
            <v>1192</v>
          </cell>
          <cell r="AF31">
            <v>1630</v>
          </cell>
          <cell r="AG31">
            <v>121.625</v>
          </cell>
        </row>
        <row r="32">
          <cell r="D32">
            <v>3.68</v>
          </cell>
          <cell r="E32">
            <v>696</v>
          </cell>
          <cell r="F32">
            <v>2561.2800000000002</v>
          </cell>
          <cell r="G32">
            <v>10.992103374012922</v>
          </cell>
          <cell r="H32">
            <v>1393</v>
          </cell>
          <cell r="I32">
            <v>-253.77272727272725</v>
          </cell>
          <cell r="J32">
            <v>413</v>
          </cell>
          <cell r="K32">
            <v>1519.8400000000001</v>
          </cell>
          <cell r="L32">
            <v>6.661290322580645</v>
          </cell>
          <cell r="M32">
            <v>1364</v>
          </cell>
          <cell r="N32">
            <v>-207</v>
          </cell>
          <cell r="O32">
            <v>36</v>
          </cell>
          <cell r="P32">
            <v>132.48000000000002</v>
          </cell>
          <cell r="Q32">
            <v>16.163265306122451</v>
          </cell>
          <cell r="R32">
            <v>49</v>
          </cell>
          <cell r="S32">
            <v>2.5909090909090935</v>
          </cell>
          <cell r="T32">
            <v>157</v>
          </cell>
          <cell r="U32">
            <v>577.76</v>
          </cell>
          <cell r="V32">
            <v>11.141935483870967</v>
          </cell>
          <cell r="W32">
            <v>310</v>
          </cell>
          <cell r="X32">
            <v>-54.363636363636374</v>
          </cell>
          <cell r="Y32">
            <v>1302</v>
          </cell>
          <cell r="Z32">
            <v>4791.3600000000006</v>
          </cell>
          <cell r="AA32">
            <v>1298</v>
          </cell>
          <cell r="AB32">
            <v>10.030816640986131</v>
          </cell>
          <cell r="AC32">
            <v>1.0030816640986133</v>
          </cell>
          <cell r="AD32">
            <v>4</v>
          </cell>
          <cell r="AE32">
            <v>649</v>
          </cell>
          <cell r="AF32">
            <v>645</v>
          </cell>
          <cell r="AG32">
            <v>81.375</v>
          </cell>
        </row>
        <row r="33">
          <cell r="D33">
            <v>4.1500000000000004</v>
          </cell>
          <cell r="E33">
            <v>1717</v>
          </cell>
          <cell r="F33">
            <v>7125.55</v>
          </cell>
          <cell r="G33">
            <v>7.8630308076602828</v>
          </cell>
          <cell r="H33">
            <v>4804</v>
          </cell>
          <cell r="I33">
            <v>-1558.4545454545455</v>
          </cell>
          <cell r="J33">
            <v>110</v>
          </cell>
          <cell r="K33">
            <v>456.50000000000006</v>
          </cell>
          <cell r="L33">
            <v>0.58952496954933009</v>
          </cell>
          <cell r="M33">
            <v>4105</v>
          </cell>
          <cell r="N33">
            <v>-1755.909090909091</v>
          </cell>
          <cell r="O33">
            <v>150</v>
          </cell>
          <cell r="P33">
            <v>622.5</v>
          </cell>
          <cell r="Q33">
            <v>13.095238095238095</v>
          </cell>
          <cell r="R33">
            <v>252</v>
          </cell>
          <cell r="S33">
            <v>-21.818181818181813</v>
          </cell>
          <cell r="T33">
            <v>983</v>
          </cell>
          <cell r="U33">
            <v>4079.4500000000003</v>
          </cell>
          <cell r="V33">
            <v>11.430232558139535</v>
          </cell>
          <cell r="W33">
            <v>1892</v>
          </cell>
          <cell r="X33">
            <v>-307</v>
          </cell>
          <cell r="Y33">
            <v>2960</v>
          </cell>
          <cell r="Z33">
            <v>12284.000000000002</v>
          </cell>
          <cell r="AA33">
            <v>5003</v>
          </cell>
          <cell r="AB33">
            <v>5.9164501299220467</v>
          </cell>
          <cell r="AC33">
            <v>0.59164501299220462</v>
          </cell>
          <cell r="AD33">
            <v>-2043</v>
          </cell>
          <cell r="AE33">
            <v>2501.5</v>
          </cell>
          <cell r="AF33">
            <v>4544.5</v>
          </cell>
          <cell r="AG33">
            <v>185</v>
          </cell>
        </row>
        <row r="34">
          <cell r="D34">
            <v>4.1500000000000004</v>
          </cell>
          <cell r="E34">
            <v>3695</v>
          </cell>
          <cell r="F34">
            <v>15334.250000000002</v>
          </cell>
          <cell r="G34">
            <v>9.7587034813925566</v>
          </cell>
          <cell r="H34">
            <v>8330</v>
          </cell>
          <cell r="I34">
            <v>-1984.545454545454</v>
          </cell>
          <cell r="J34">
            <v>2292</v>
          </cell>
          <cell r="K34">
            <v>9511.8000000000011</v>
          </cell>
          <cell r="L34">
            <v>9.6969230769230759</v>
          </cell>
          <cell r="M34">
            <v>5200</v>
          </cell>
          <cell r="N34">
            <v>-71.636363636363967</v>
          </cell>
          <cell r="O34">
            <v>194</v>
          </cell>
          <cell r="P34">
            <v>805.1</v>
          </cell>
          <cell r="Q34">
            <v>12.229226361031518</v>
          </cell>
          <cell r="R34">
            <v>349</v>
          </cell>
          <cell r="S34">
            <v>-43.954545454545439</v>
          </cell>
          <cell r="T34">
            <v>1216</v>
          </cell>
          <cell r="U34">
            <v>5046.4000000000005</v>
          </cell>
          <cell r="V34">
            <v>10.393162393162394</v>
          </cell>
          <cell r="W34">
            <v>2574</v>
          </cell>
          <cell r="X34">
            <v>-539</v>
          </cell>
          <cell r="Y34">
            <v>7397</v>
          </cell>
          <cell r="Z34">
            <v>30697.550000000003</v>
          </cell>
          <cell r="AA34">
            <v>7763</v>
          </cell>
          <cell r="AB34">
            <v>9.528532783717635</v>
          </cell>
          <cell r="AC34">
            <v>0.95285327837176348</v>
          </cell>
          <cell r="AD34">
            <v>-366</v>
          </cell>
          <cell r="AE34">
            <v>3881.5</v>
          </cell>
          <cell r="AF34">
            <v>4247.5</v>
          </cell>
          <cell r="AG34">
            <v>462.3125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-226.36363636363637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100</v>
          </cell>
          <cell r="AD35">
            <v>-100</v>
          </cell>
          <cell r="AE35">
            <v>50</v>
          </cell>
          <cell r="AF35">
            <v>150</v>
          </cell>
          <cell r="AG35">
            <v>0</v>
          </cell>
        </row>
        <row r="36">
          <cell r="D36">
            <v>4.1500000000000004</v>
          </cell>
          <cell r="E36">
            <v>220</v>
          </cell>
          <cell r="F36">
            <v>913.00000000000011</v>
          </cell>
          <cell r="G36">
            <v>5.2608695652173907</v>
          </cell>
          <cell r="H36">
            <v>920</v>
          </cell>
          <cell r="I36">
            <v>-407.27272727272725</v>
          </cell>
          <cell r="J36">
            <v>34</v>
          </cell>
          <cell r="K36">
            <v>141.10000000000002</v>
          </cell>
          <cell r="O36">
            <v>0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277</v>
          </cell>
          <cell r="Z36">
            <v>1149.5500000000002</v>
          </cell>
          <cell r="AA36">
            <v>1500</v>
          </cell>
          <cell r="AB36">
            <v>1.8466666666666667</v>
          </cell>
          <cell r="AC36">
            <v>0.18466666666666667</v>
          </cell>
          <cell r="AD36">
            <v>-1223</v>
          </cell>
          <cell r="AE36">
            <v>750</v>
          </cell>
          <cell r="AF36">
            <v>1973</v>
          </cell>
          <cell r="AG36">
            <v>17.3125</v>
          </cell>
        </row>
        <row r="37">
          <cell r="D37">
            <v>1.63</v>
          </cell>
          <cell r="E37">
            <v>5706</v>
          </cell>
          <cell r="F37">
            <v>9300.7799999999988</v>
          </cell>
          <cell r="G37">
            <v>12.766398860978338</v>
          </cell>
          <cell r="H37">
            <v>9833</v>
          </cell>
          <cell r="I37">
            <v>-998.31818181818198</v>
          </cell>
          <cell r="J37">
            <v>3230</v>
          </cell>
          <cell r="K37">
            <v>5264.9</v>
          </cell>
          <cell r="L37">
            <v>20.331902718168813</v>
          </cell>
          <cell r="M37">
            <v>3495</v>
          </cell>
          <cell r="N37">
            <v>1641.3636363636363</v>
          </cell>
          <cell r="O37">
            <v>703</v>
          </cell>
          <cell r="P37">
            <v>1145.8899999999999</v>
          </cell>
          <cell r="Q37">
            <v>16.010351966873706</v>
          </cell>
          <cell r="R37">
            <v>966</v>
          </cell>
          <cell r="S37">
            <v>44.363636363636374</v>
          </cell>
          <cell r="T37">
            <v>623</v>
          </cell>
          <cell r="U37">
            <v>1015.4899999999999</v>
          </cell>
          <cell r="V37">
            <v>9.6182456140350894</v>
          </cell>
          <cell r="W37">
            <v>1425</v>
          </cell>
          <cell r="X37">
            <v>-348.59090909090901</v>
          </cell>
          <cell r="Y37">
            <v>10262</v>
          </cell>
          <cell r="Z37">
            <v>16727.059999999998</v>
          </cell>
          <cell r="AA37">
            <v>6782</v>
          </cell>
          <cell r="AB37">
            <v>15.131229725744618</v>
          </cell>
          <cell r="AC37">
            <v>1.5131229725744617</v>
          </cell>
          <cell r="AD37">
            <v>3480</v>
          </cell>
          <cell r="AE37">
            <v>3391</v>
          </cell>
          <cell r="AF37">
            <v>-89</v>
          </cell>
          <cell r="AG37">
            <v>190.03703703703704</v>
          </cell>
        </row>
        <row r="38">
          <cell r="D38">
            <v>1.63</v>
          </cell>
          <cell r="E38">
            <v>1161</v>
          </cell>
          <cell r="F38">
            <v>1892.4299999999998</v>
          </cell>
          <cell r="G38">
            <v>1.7282630759861968</v>
          </cell>
          <cell r="H38">
            <v>14779</v>
          </cell>
          <cell r="I38">
            <v>-8915.5909090909081</v>
          </cell>
          <cell r="J38">
            <v>3745</v>
          </cell>
          <cell r="K38">
            <v>6104.3499999999995</v>
          </cell>
          <cell r="L38">
            <v>15.371268656716419</v>
          </cell>
          <cell r="M38">
            <v>5360</v>
          </cell>
          <cell r="N38">
            <v>1308.636363636364</v>
          </cell>
          <cell r="O38">
            <v>1462</v>
          </cell>
          <cell r="P38">
            <v>2383.06</v>
          </cell>
          <cell r="Q38">
            <v>17.117615753060139</v>
          </cell>
          <cell r="R38">
            <v>1879</v>
          </cell>
          <cell r="S38">
            <v>180.86363636363649</v>
          </cell>
          <cell r="T38">
            <v>1724</v>
          </cell>
          <cell r="U38">
            <v>2810.12</v>
          </cell>
          <cell r="V38">
            <v>12.791905564924114</v>
          </cell>
          <cell r="W38">
            <v>2965</v>
          </cell>
          <cell r="X38">
            <v>-297.59090909090924</v>
          </cell>
          <cell r="Y38">
            <v>8092</v>
          </cell>
          <cell r="Z38">
            <v>13189.96</v>
          </cell>
          <cell r="AA38">
            <v>11052</v>
          </cell>
          <cell r="AB38">
            <v>7.3217517191458557</v>
          </cell>
          <cell r="AC38">
            <v>0.73217517191458559</v>
          </cell>
          <cell r="AD38">
            <v>-2960</v>
          </cell>
          <cell r="AE38">
            <v>5526</v>
          </cell>
          <cell r="AF38">
            <v>8486</v>
          </cell>
          <cell r="AG38">
            <v>149.85185185185185</v>
          </cell>
        </row>
        <row r="39">
          <cell r="D39">
            <v>1.63</v>
          </cell>
          <cell r="E39">
            <v>1262</v>
          </cell>
          <cell r="F39">
            <v>2057.06</v>
          </cell>
          <cell r="G39">
            <v>5.3577769201080665</v>
          </cell>
          <cell r="H39">
            <v>5182</v>
          </cell>
          <cell r="I39">
            <v>-2271.181818181818</v>
          </cell>
          <cell r="J39">
            <v>132</v>
          </cell>
          <cell r="K39">
            <v>215.16</v>
          </cell>
          <cell r="L39">
            <v>0.90892018779342731</v>
          </cell>
          <cell r="M39">
            <v>3195</v>
          </cell>
          <cell r="N39">
            <v>-1320.2727272727273</v>
          </cell>
          <cell r="O39">
            <v>351</v>
          </cell>
          <cell r="P39">
            <v>572.13</v>
          </cell>
          <cell r="Q39">
            <v>8.25</v>
          </cell>
          <cell r="R39">
            <v>936</v>
          </cell>
          <cell r="S39">
            <v>-287.18181818181824</v>
          </cell>
          <cell r="T39">
            <v>1253</v>
          </cell>
          <cell r="U39">
            <v>2042.3899999999999</v>
          </cell>
          <cell r="V39">
            <v>15.357103064066852</v>
          </cell>
          <cell r="W39">
            <v>1795</v>
          </cell>
          <cell r="X39">
            <v>29.136363636363512</v>
          </cell>
          <cell r="Y39">
            <v>2998</v>
          </cell>
          <cell r="Z39">
            <v>4886.74</v>
          </cell>
          <cell r="AA39">
            <v>4932</v>
          </cell>
          <cell r="AB39">
            <v>6.078669910786699</v>
          </cell>
          <cell r="AC39">
            <v>0.60786699107866993</v>
          </cell>
          <cell r="AD39">
            <v>-1934</v>
          </cell>
          <cell r="AE39">
            <v>2466</v>
          </cell>
          <cell r="AF39">
            <v>4400</v>
          </cell>
          <cell r="AG39">
            <v>55.518518518518519</v>
          </cell>
        </row>
        <row r="40">
          <cell r="D40">
            <v>1.63</v>
          </cell>
          <cell r="E40">
            <v>324</v>
          </cell>
          <cell r="F40">
            <v>528.12</v>
          </cell>
          <cell r="G40">
            <v>1.7887076537013802</v>
          </cell>
          <cell r="H40">
            <v>3985</v>
          </cell>
          <cell r="I40">
            <v>-2393.0454545454545</v>
          </cell>
          <cell r="J40">
            <v>0</v>
          </cell>
          <cell r="K40">
            <v>0</v>
          </cell>
          <cell r="L40">
            <v>0</v>
          </cell>
          <cell r="M40">
            <v>2448</v>
          </cell>
          <cell r="N40">
            <v>-1112.7272727272727</v>
          </cell>
          <cell r="O40">
            <v>810</v>
          </cell>
          <cell r="P40">
            <v>1320.3</v>
          </cell>
          <cell r="Q40">
            <v>17.927565392354126</v>
          </cell>
          <cell r="R40">
            <v>994</v>
          </cell>
          <cell r="S40">
            <v>132.27272727272725</v>
          </cell>
          <cell r="T40">
            <v>666</v>
          </cell>
          <cell r="U40">
            <v>1085.58</v>
          </cell>
          <cell r="V40">
            <v>12.886543535620053</v>
          </cell>
          <cell r="W40">
            <v>1137</v>
          </cell>
          <cell r="X40">
            <v>-109.22727272727275</v>
          </cell>
          <cell r="Y40">
            <v>1800</v>
          </cell>
          <cell r="Z40">
            <v>2934</v>
          </cell>
          <cell r="AA40">
            <v>3391</v>
          </cell>
          <cell r="AB40">
            <v>5.3081686818047773</v>
          </cell>
          <cell r="AC40">
            <v>0.53081686818047769</v>
          </cell>
          <cell r="AD40">
            <v>-1591</v>
          </cell>
          <cell r="AE40">
            <v>1695.5</v>
          </cell>
          <cell r="AF40">
            <v>3286.5</v>
          </cell>
          <cell r="AG40">
            <v>33.333333333333336</v>
          </cell>
        </row>
        <row r="41">
          <cell r="D41">
            <v>6.15</v>
          </cell>
          <cell r="E41">
            <v>608</v>
          </cell>
          <cell r="F41">
            <v>3739.2000000000003</v>
          </cell>
          <cell r="G41">
            <v>9.6299496040316779</v>
          </cell>
          <cell r="H41">
            <v>1389</v>
          </cell>
          <cell r="I41">
            <v>-339.0454545454545</v>
          </cell>
          <cell r="J41">
            <v>206</v>
          </cell>
          <cell r="K41">
            <v>1266.9000000000001</v>
          </cell>
          <cell r="L41">
            <v>6.7946026986506753</v>
          </cell>
          <cell r="M41">
            <v>667</v>
          </cell>
          <cell r="N41">
            <v>-97.181818181818187</v>
          </cell>
          <cell r="O41">
            <v>80</v>
          </cell>
          <cell r="P41">
            <v>492</v>
          </cell>
          <cell r="Q41">
            <v>23.466666666666665</v>
          </cell>
          <cell r="R41">
            <v>75</v>
          </cell>
          <cell r="S41">
            <v>28.86363636363636</v>
          </cell>
          <cell r="T41">
            <v>222</v>
          </cell>
          <cell r="U41">
            <v>1365.3000000000002</v>
          </cell>
          <cell r="V41">
            <v>14.074927953890489</v>
          </cell>
          <cell r="W41">
            <v>347</v>
          </cell>
          <cell r="X41">
            <v>-14.590909090909093</v>
          </cell>
          <cell r="Y41">
            <v>1116</v>
          </cell>
          <cell r="Z41">
            <v>6863.4000000000005</v>
          </cell>
          <cell r="AA41">
            <v>1326</v>
          </cell>
          <cell r="AB41">
            <v>8.4162895927601813</v>
          </cell>
          <cell r="AC41">
            <v>0.84162895927601811</v>
          </cell>
          <cell r="AD41">
            <v>-210</v>
          </cell>
          <cell r="AE41">
            <v>663</v>
          </cell>
          <cell r="AF41">
            <v>873</v>
          </cell>
          <cell r="AG41">
            <v>20.666666666666668</v>
          </cell>
        </row>
        <row r="42">
          <cell r="D42">
            <v>6.15</v>
          </cell>
          <cell r="E42">
            <v>627</v>
          </cell>
          <cell r="F42">
            <v>3856.05</v>
          </cell>
          <cell r="G42">
            <v>8.8764478764478767</v>
          </cell>
          <cell r="H42">
            <v>1554</v>
          </cell>
          <cell r="I42">
            <v>-432.5454545454545</v>
          </cell>
          <cell r="J42">
            <v>613</v>
          </cell>
          <cell r="K42">
            <v>3769.9500000000003</v>
          </cell>
          <cell r="L42">
            <v>15.828638497652582</v>
          </cell>
          <cell r="M42">
            <v>852</v>
          </cell>
          <cell r="N42">
            <v>225.72727272727275</v>
          </cell>
          <cell r="O42">
            <v>37</v>
          </cell>
          <cell r="P42">
            <v>227.55</v>
          </cell>
          <cell r="Q42">
            <v>10.175000000000001</v>
          </cell>
          <cell r="R42">
            <v>80</v>
          </cell>
          <cell r="S42">
            <v>-17.545454545454547</v>
          </cell>
          <cell r="T42">
            <v>228</v>
          </cell>
          <cell r="U42">
            <v>1402.2</v>
          </cell>
          <cell r="V42">
            <v>11.914489311163896</v>
          </cell>
          <cell r="W42">
            <v>421</v>
          </cell>
          <cell r="X42">
            <v>-59.045454545454561</v>
          </cell>
          <cell r="Y42">
            <v>1505</v>
          </cell>
          <cell r="Z42">
            <v>9255.75</v>
          </cell>
          <cell r="AA42">
            <v>1192</v>
          </cell>
          <cell r="AB42">
            <v>12.625838926174497</v>
          </cell>
          <cell r="AC42">
            <v>1.2625838926174497</v>
          </cell>
          <cell r="AD42">
            <v>313</v>
          </cell>
          <cell r="AE42">
            <v>596</v>
          </cell>
          <cell r="AF42">
            <v>283</v>
          </cell>
          <cell r="AG42">
            <v>27.87037037037037</v>
          </cell>
        </row>
        <row r="43">
          <cell r="D43">
            <v>1.1599999999999999</v>
          </cell>
          <cell r="E43">
            <v>3934</v>
          </cell>
          <cell r="F43">
            <v>4563.4399999999996</v>
          </cell>
          <cell r="G43">
            <v>11.670442286947143</v>
          </cell>
          <cell r="H43">
            <v>7416</v>
          </cell>
          <cell r="I43">
            <v>-1122.363636363636</v>
          </cell>
          <cell r="J43">
            <v>0</v>
          </cell>
          <cell r="K43">
            <v>0</v>
          </cell>
          <cell r="L43">
            <v>0</v>
          </cell>
          <cell r="M43">
            <v>6211</v>
          </cell>
          <cell r="N43">
            <v>-2823.181818181818</v>
          </cell>
          <cell r="O43">
            <v>585</v>
          </cell>
          <cell r="P43">
            <v>678.59999999999991</v>
          </cell>
          <cell r="Q43">
            <v>10.480456026058631</v>
          </cell>
          <cell r="R43">
            <v>1228</v>
          </cell>
          <cell r="S43">
            <v>-252.27272727272725</v>
          </cell>
          <cell r="T43">
            <v>1092</v>
          </cell>
          <cell r="U43">
            <v>1266.7199999999998</v>
          </cell>
          <cell r="V43">
            <v>7.3422982885085579</v>
          </cell>
          <cell r="W43">
            <v>3272</v>
          </cell>
          <cell r="X43">
            <v>-1138.909090909091</v>
          </cell>
          <cell r="Y43">
            <v>5611</v>
          </cell>
          <cell r="Z43">
            <v>6508.7599999999993</v>
          </cell>
          <cell r="AA43">
            <v>6145</v>
          </cell>
          <cell r="AB43">
            <v>9.131000813669651</v>
          </cell>
          <cell r="AC43">
            <v>0.91310008136696497</v>
          </cell>
          <cell r="AD43">
            <v>-534</v>
          </cell>
          <cell r="AE43">
            <v>3072.5</v>
          </cell>
          <cell r="AF43">
            <v>3606.5</v>
          </cell>
          <cell r="AG43">
            <v>103.9074074074074</v>
          </cell>
        </row>
        <row r="44">
          <cell r="D44">
            <v>1.1599999999999999</v>
          </cell>
          <cell r="E44">
            <v>4546</v>
          </cell>
          <cell r="F44">
            <v>5273.36</v>
          </cell>
          <cell r="G44">
            <v>14.638758782201405</v>
          </cell>
          <cell r="H44">
            <v>6832</v>
          </cell>
          <cell r="I44">
            <v>-112.18181818181802</v>
          </cell>
          <cell r="J44">
            <v>4450</v>
          </cell>
          <cell r="K44">
            <v>5162</v>
          </cell>
          <cell r="L44">
            <v>18.580375782881003</v>
          </cell>
          <cell r="M44">
            <v>5269</v>
          </cell>
          <cell r="N44">
            <v>2055</v>
          </cell>
          <cell r="O44">
            <v>749</v>
          </cell>
          <cell r="P44">
            <v>868.83999999999992</v>
          </cell>
          <cell r="Q44">
            <v>19.477541371158392</v>
          </cell>
          <cell r="R44">
            <v>846</v>
          </cell>
          <cell r="S44">
            <v>172.18181818181824</v>
          </cell>
          <cell r="T44">
            <v>405</v>
          </cell>
          <cell r="U44">
            <v>469.79999999999995</v>
          </cell>
          <cell r="V44">
            <v>3.9130434782608696</v>
          </cell>
          <cell r="W44">
            <v>2277</v>
          </cell>
          <cell r="X44">
            <v>-1147.5</v>
          </cell>
          <cell r="Y44">
            <v>10150</v>
          </cell>
          <cell r="Z44">
            <v>11774</v>
          </cell>
          <cell r="AA44">
            <v>6715</v>
          </cell>
          <cell r="AB44">
            <v>15.115413253909159</v>
          </cell>
          <cell r="AC44">
            <v>1.5115413253909158</v>
          </cell>
          <cell r="AD44">
            <v>3435</v>
          </cell>
          <cell r="AE44">
            <v>3357.5</v>
          </cell>
          <cell r="AF44">
            <v>-77.5</v>
          </cell>
          <cell r="AG44">
            <v>187.96296296296296</v>
          </cell>
        </row>
        <row r="45">
          <cell r="D45">
            <v>1.1599999999999999</v>
          </cell>
          <cell r="E45">
            <v>610</v>
          </cell>
          <cell r="F45">
            <v>707.59999999999991</v>
          </cell>
          <cell r="G45">
            <v>1.3957358294331772</v>
          </cell>
          <cell r="H45">
            <v>9615</v>
          </cell>
          <cell r="I45">
            <v>-5945.681818181818</v>
          </cell>
          <cell r="J45">
            <v>5118</v>
          </cell>
          <cell r="K45">
            <v>5936.8799999999992</v>
          </cell>
          <cell r="L45">
            <v>18.093524023782741</v>
          </cell>
          <cell r="M45">
            <v>6223</v>
          </cell>
          <cell r="N45">
            <v>2289.363636363636</v>
          </cell>
          <cell r="O45">
            <v>746</v>
          </cell>
          <cell r="P45">
            <v>865.3599999999999</v>
          </cell>
          <cell r="Q45">
            <v>14.472663139329805</v>
          </cell>
          <cell r="R45">
            <v>1134</v>
          </cell>
          <cell r="S45">
            <v>-27.181818181818244</v>
          </cell>
          <cell r="T45">
            <v>1744</v>
          </cell>
          <cell r="U45">
            <v>2023.04</v>
          </cell>
          <cell r="V45">
            <v>10.981110475100172</v>
          </cell>
          <cell r="W45">
            <v>3494</v>
          </cell>
          <cell r="X45">
            <v>-638.27272727272702</v>
          </cell>
          <cell r="Y45">
            <v>8218</v>
          </cell>
          <cell r="Z45">
            <v>9532.8799999999992</v>
          </cell>
          <cell r="AA45">
            <v>8316</v>
          </cell>
          <cell r="AB45">
            <v>9.8821548821548824</v>
          </cell>
          <cell r="AC45">
            <v>0.98821548821548821</v>
          </cell>
          <cell r="AD45">
            <v>-98</v>
          </cell>
          <cell r="AE45">
            <v>4158</v>
          </cell>
          <cell r="AF45">
            <v>4256</v>
          </cell>
          <cell r="AG45">
            <v>152.18518518518519</v>
          </cell>
        </row>
        <row r="46">
          <cell r="D46">
            <v>1.1599999999999999</v>
          </cell>
          <cell r="E46">
            <v>2970</v>
          </cell>
          <cell r="F46">
            <v>3445.2</v>
          </cell>
          <cell r="G46">
            <v>11.62426614481409</v>
          </cell>
          <cell r="H46">
            <v>5621</v>
          </cell>
          <cell r="I46">
            <v>-862.5</v>
          </cell>
          <cell r="J46">
            <v>2417</v>
          </cell>
          <cell r="K46">
            <v>2803.72</v>
          </cell>
          <cell r="L46">
            <v>11.435268817204301</v>
          </cell>
          <cell r="M46">
            <v>4650</v>
          </cell>
          <cell r="N46">
            <v>303.36363636363603</v>
          </cell>
          <cell r="O46">
            <v>540</v>
          </cell>
          <cell r="P46">
            <v>626.4</v>
          </cell>
          <cell r="Q46">
            <v>16.251709986320108</v>
          </cell>
          <cell r="R46">
            <v>731</v>
          </cell>
          <cell r="S46">
            <v>41.590909090909122</v>
          </cell>
          <cell r="T46">
            <v>789</v>
          </cell>
          <cell r="U46">
            <v>915.2399999999999</v>
          </cell>
          <cell r="V46">
            <v>15.595687331536388</v>
          </cell>
          <cell r="W46">
            <v>1113</v>
          </cell>
          <cell r="X46">
            <v>30.136363636363626</v>
          </cell>
          <cell r="Y46">
            <v>6716</v>
          </cell>
          <cell r="Z46">
            <v>7790.5599999999995</v>
          </cell>
          <cell r="AA46">
            <v>5818</v>
          </cell>
          <cell r="AB46">
            <v>11.543485733929186</v>
          </cell>
          <cell r="AC46">
            <v>1.1543485733929186</v>
          </cell>
          <cell r="AD46">
            <v>898</v>
          </cell>
          <cell r="AE46">
            <v>2909</v>
          </cell>
          <cell r="AF46">
            <v>2011</v>
          </cell>
          <cell r="AG46">
            <v>124.37037037037037</v>
          </cell>
        </row>
        <row r="47">
          <cell r="D47">
            <v>18</v>
          </cell>
          <cell r="E47">
            <v>0</v>
          </cell>
          <cell r="J47">
            <v>16</v>
          </cell>
          <cell r="K47">
            <v>288</v>
          </cell>
          <cell r="L47">
            <v>5.7704918032786878</v>
          </cell>
          <cell r="M47">
            <v>61</v>
          </cell>
          <cell r="N47">
            <v>-11.72727272727273</v>
          </cell>
          <cell r="O47">
            <v>0</v>
          </cell>
          <cell r="R47">
            <v>0</v>
          </cell>
          <cell r="S47">
            <v>0</v>
          </cell>
          <cell r="T47">
            <v>8</v>
          </cell>
          <cell r="V47">
            <v>10.352941176470589</v>
          </cell>
          <cell r="W47">
            <v>17</v>
          </cell>
          <cell r="X47">
            <v>-3.5909090909090899</v>
          </cell>
          <cell r="Y47">
            <v>16</v>
          </cell>
          <cell r="Z47">
            <v>288</v>
          </cell>
          <cell r="AA47">
            <v>24</v>
          </cell>
          <cell r="AB47">
            <v>6.666666666666667</v>
          </cell>
          <cell r="AC47">
            <v>0.66666666666666663</v>
          </cell>
          <cell r="AD47">
            <v>-8</v>
          </cell>
          <cell r="AE47">
            <v>12</v>
          </cell>
          <cell r="AF47">
            <v>20</v>
          </cell>
          <cell r="AG47">
            <v>8</v>
          </cell>
        </row>
        <row r="48">
          <cell r="D48">
            <v>18</v>
          </cell>
          <cell r="E48">
            <v>0</v>
          </cell>
          <cell r="J48">
            <v>11</v>
          </cell>
          <cell r="K48">
            <v>198</v>
          </cell>
          <cell r="L48">
            <v>13.444444444444443</v>
          </cell>
          <cell r="M48">
            <v>18</v>
          </cell>
          <cell r="N48">
            <v>2.8181818181818183</v>
          </cell>
          <cell r="O48">
            <v>0</v>
          </cell>
          <cell r="R48">
            <v>0</v>
          </cell>
          <cell r="S48">
            <v>0</v>
          </cell>
          <cell r="T48">
            <v>0</v>
          </cell>
          <cell r="Y48">
            <v>11</v>
          </cell>
          <cell r="Z48">
            <v>198</v>
          </cell>
          <cell r="AA48">
            <v>0</v>
          </cell>
          <cell r="AD48">
            <v>11</v>
          </cell>
          <cell r="AE48">
            <v>0</v>
          </cell>
          <cell r="AF48">
            <v>-11</v>
          </cell>
          <cell r="AG48">
            <v>5.5</v>
          </cell>
        </row>
        <row r="49">
          <cell r="D49">
            <v>1.1599999999999999</v>
          </cell>
          <cell r="E49">
            <v>0</v>
          </cell>
          <cell r="F49">
            <v>0</v>
          </cell>
          <cell r="G49">
            <v>0</v>
          </cell>
          <cell r="H49">
            <v>1948</v>
          </cell>
          <cell r="I49">
            <v>-1328.1818181818182</v>
          </cell>
          <cell r="J49">
            <v>3</v>
          </cell>
          <cell r="K49">
            <v>3.4799999999999995</v>
          </cell>
          <cell r="L49">
            <v>2.7227722772277228E-2</v>
          </cell>
          <cell r="M49">
            <v>2424</v>
          </cell>
          <cell r="N49">
            <v>-1098.818181818182</v>
          </cell>
          <cell r="O49">
            <v>100</v>
          </cell>
          <cell r="P49">
            <v>115.99999999999999</v>
          </cell>
          <cell r="Q49">
            <v>12.222222222222223</v>
          </cell>
          <cell r="R49">
            <v>180</v>
          </cell>
          <cell r="S49">
            <v>-22.72727272727272</v>
          </cell>
          <cell r="T49">
            <v>6</v>
          </cell>
          <cell r="U49">
            <v>6.9599999999999991</v>
          </cell>
          <cell r="V49">
            <v>0.32917705735660852</v>
          </cell>
          <cell r="W49">
            <v>401</v>
          </cell>
          <cell r="X49">
            <v>-267.40909090909088</v>
          </cell>
          <cell r="Y49">
            <v>109</v>
          </cell>
          <cell r="Z49">
            <v>126.44</v>
          </cell>
          <cell r="AA49">
            <v>175</v>
          </cell>
          <cell r="AB49">
            <v>6.2285714285714286</v>
          </cell>
          <cell r="AC49">
            <v>0.62285714285714289</v>
          </cell>
          <cell r="AD49">
            <v>-66</v>
          </cell>
          <cell r="AE49">
            <v>87.5</v>
          </cell>
          <cell r="AF49">
            <v>153.5</v>
          </cell>
          <cell r="AG49">
            <v>2.7250000000000001</v>
          </cell>
        </row>
        <row r="50">
          <cell r="D50">
            <v>1.1599999999999999</v>
          </cell>
          <cell r="E50">
            <v>2125</v>
          </cell>
          <cell r="F50">
            <v>2465</v>
          </cell>
          <cell r="G50">
            <v>15.252854812398043</v>
          </cell>
          <cell r="H50">
            <v>3065</v>
          </cell>
          <cell r="I50">
            <v>35.227272727272975</v>
          </cell>
          <cell r="J50">
            <v>92</v>
          </cell>
          <cell r="K50">
            <v>106.72</v>
          </cell>
          <cell r="L50">
            <v>0.6699768288646144</v>
          </cell>
          <cell r="M50">
            <v>3021</v>
          </cell>
          <cell r="N50">
            <v>-1281.181818181818</v>
          </cell>
          <cell r="O50">
            <v>17</v>
          </cell>
          <cell r="P50">
            <v>19.72</v>
          </cell>
          <cell r="Q50">
            <v>0.57984496124031015</v>
          </cell>
          <cell r="R50">
            <v>645</v>
          </cell>
          <cell r="S50">
            <v>-422.77272727272725</v>
          </cell>
          <cell r="T50">
            <v>654</v>
          </cell>
          <cell r="U50">
            <v>758.64</v>
          </cell>
          <cell r="V50">
            <v>7.4781704781704779</v>
          </cell>
          <cell r="W50">
            <v>1924</v>
          </cell>
          <cell r="X50">
            <v>-657.81818181818176</v>
          </cell>
          <cell r="Y50">
            <v>2888</v>
          </cell>
          <cell r="Z50">
            <v>3350.08</v>
          </cell>
          <cell r="AA50">
            <v>4682</v>
          </cell>
          <cell r="AB50">
            <v>6.1683041435284069</v>
          </cell>
          <cell r="AC50">
            <v>0.61683041435284069</v>
          </cell>
          <cell r="AD50">
            <v>-1794</v>
          </cell>
          <cell r="AE50">
            <v>2341</v>
          </cell>
          <cell r="AF50">
            <v>4135</v>
          </cell>
          <cell r="AG50">
            <v>72.2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3593</v>
          </cell>
          <cell r="I51">
            <v>-2449.772727272727</v>
          </cell>
          <cell r="J51">
            <v>3</v>
          </cell>
          <cell r="K51">
            <v>3.4799999999999995</v>
          </cell>
          <cell r="L51">
            <v>1.7661225582017659E-2</v>
          </cell>
          <cell r="M51">
            <v>3737</v>
          </cell>
          <cell r="N51">
            <v>-1695.6363636363637</v>
          </cell>
          <cell r="O51">
            <v>1</v>
          </cell>
          <cell r="P51">
            <v>1.1599999999999999</v>
          </cell>
          <cell r="Q51">
            <v>4.8997772828507792E-2</v>
          </cell>
          <cell r="R51">
            <v>449</v>
          </cell>
          <cell r="S51">
            <v>-305.13636363636363</v>
          </cell>
          <cell r="T51">
            <v>13</v>
          </cell>
          <cell r="U51">
            <v>15.079999999999998</v>
          </cell>
          <cell r="V51">
            <v>0.27902439024390241</v>
          </cell>
          <cell r="W51">
            <v>1025</v>
          </cell>
          <cell r="X51">
            <v>-685.86363636363637</v>
          </cell>
          <cell r="Y51">
            <v>17</v>
          </cell>
          <cell r="Z51">
            <v>19.72</v>
          </cell>
          <cell r="AA51">
            <v>709</v>
          </cell>
          <cell r="AB51">
            <v>0.23977433004231311</v>
          </cell>
          <cell r="AC51">
            <v>2.3977433004231313E-2</v>
          </cell>
          <cell r="AD51">
            <v>-692</v>
          </cell>
          <cell r="AE51">
            <v>354.5</v>
          </cell>
          <cell r="AF51">
            <v>1046.5</v>
          </cell>
          <cell r="AG51">
            <v>0.42499999999999999</v>
          </cell>
        </row>
        <row r="52">
          <cell r="D52">
            <v>0.81</v>
          </cell>
          <cell r="E52">
            <v>6632</v>
          </cell>
          <cell r="F52">
            <v>5371.92</v>
          </cell>
          <cell r="G52">
            <v>52.332855093256811</v>
          </cell>
          <cell r="H52">
            <v>2788</v>
          </cell>
          <cell r="I52">
            <v>4731.090909090909</v>
          </cell>
          <cell r="K52">
            <v>0</v>
          </cell>
          <cell r="L52">
            <v>0</v>
          </cell>
          <cell r="M52">
            <v>2329</v>
          </cell>
          <cell r="N52">
            <v>-1058.6363636363635</v>
          </cell>
          <cell r="O52">
            <v>519</v>
          </cell>
          <cell r="P52">
            <v>420.39000000000004</v>
          </cell>
          <cell r="Q52">
            <v>47.18181818181818</v>
          </cell>
          <cell r="R52">
            <v>242</v>
          </cell>
          <cell r="S52">
            <v>354</v>
          </cell>
          <cell r="T52">
            <v>857</v>
          </cell>
          <cell r="U52">
            <v>694.17000000000007</v>
          </cell>
          <cell r="V52">
            <v>20.294940796555437</v>
          </cell>
          <cell r="W52">
            <v>929</v>
          </cell>
          <cell r="X52">
            <v>223.59090909090912</v>
          </cell>
          <cell r="Y52">
            <v>8008</v>
          </cell>
          <cell r="Z52">
            <v>6486.4800000000005</v>
          </cell>
          <cell r="AA52">
            <v>3036</v>
          </cell>
          <cell r="AB52">
            <v>26.376811594202895</v>
          </cell>
          <cell r="AC52">
            <v>2.63768115942029</v>
          </cell>
          <cell r="AD52">
            <v>4972</v>
          </cell>
          <cell r="AE52">
            <v>1518</v>
          </cell>
          <cell r="AF52">
            <v>-3454</v>
          </cell>
          <cell r="AG52">
            <v>667.33333333333337</v>
          </cell>
        </row>
        <row r="53">
          <cell r="D53">
            <v>0.81</v>
          </cell>
          <cell r="E53">
            <v>5091</v>
          </cell>
          <cell r="F53">
            <v>4123.71</v>
          </cell>
          <cell r="G53">
            <v>28.304776345716451</v>
          </cell>
          <cell r="H53">
            <v>3957</v>
          </cell>
          <cell r="I53">
            <v>2393.0454545454545</v>
          </cell>
          <cell r="K53">
            <v>0</v>
          </cell>
          <cell r="L53">
            <v>0</v>
          </cell>
          <cell r="M53">
            <v>3726</v>
          </cell>
          <cell r="N53">
            <v>-1693.6363636363637</v>
          </cell>
          <cell r="O53">
            <v>803</v>
          </cell>
          <cell r="P53">
            <v>650.43000000000006</v>
          </cell>
          <cell r="Q53">
            <v>35.68888888888889</v>
          </cell>
          <cell r="R53">
            <v>495</v>
          </cell>
          <cell r="S53">
            <v>465.5</v>
          </cell>
          <cell r="T53">
            <v>1460</v>
          </cell>
          <cell r="U53">
            <v>1182.6000000000001</v>
          </cell>
          <cell r="V53">
            <v>21.271523178807946</v>
          </cell>
          <cell r="W53">
            <v>1510</v>
          </cell>
          <cell r="X53">
            <v>430.4545454545455</v>
          </cell>
          <cell r="Y53">
            <v>7354</v>
          </cell>
          <cell r="Z53">
            <v>5956.7400000000007</v>
          </cell>
          <cell r="AA53">
            <v>5285</v>
          </cell>
          <cell r="AB53">
            <v>13.914853358561968</v>
          </cell>
          <cell r="AC53">
            <v>1.3914853358561967</v>
          </cell>
          <cell r="AD53">
            <v>2069</v>
          </cell>
          <cell r="AE53">
            <v>2642.5</v>
          </cell>
          <cell r="AF53">
            <v>573.5</v>
          </cell>
          <cell r="AG53">
            <v>612.83333333333337</v>
          </cell>
        </row>
        <row r="54">
          <cell r="D54">
            <v>0.81</v>
          </cell>
          <cell r="E54">
            <v>5898</v>
          </cell>
          <cell r="F54">
            <v>4777.38</v>
          </cell>
          <cell r="G54">
            <v>46.524202223019003</v>
          </cell>
          <cell r="H54">
            <v>2789</v>
          </cell>
          <cell r="I54">
            <v>3996.409090909091</v>
          </cell>
          <cell r="K54">
            <v>0</v>
          </cell>
          <cell r="L54">
            <v>0</v>
          </cell>
          <cell r="M54">
            <v>1914</v>
          </cell>
          <cell r="N54">
            <v>-870</v>
          </cell>
          <cell r="O54">
            <v>592</v>
          </cell>
          <cell r="P54">
            <v>479.52000000000004</v>
          </cell>
          <cell r="Q54">
            <v>54.493723849372387</v>
          </cell>
          <cell r="R54">
            <v>239</v>
          </cell>
          <cell r="S54">
            <v>429.04545454545456</v>
          </cell>
          <cell r="T54">
            <v>676</v>
          </cell>
          <cell r="U54">
            <v>547.56000000000006</v>
          </cell>
          <cell r="V54">
            <v>21.935103244837759</v>
          </cell>
          <cell r="W54">
            <v>678</v>
          </cell>
          <cell r="X54">
            <v>213.72727272727275</v>
          </cell>
          <cell r="Y54">
            <v>7166</v>
          </cell>
          <cell r="Z54">
            <v>5804.46</v>
          </cell>
          <cell r="AA54">
            <v>3223</v>
          </cell>
          <cell r="AB54">
            <v>22.233943530871858</v>
          </cell>
          <cell r="AC54">
            <v>2.223394353087186</v>
          </cell>
          <cell r="AD54">
            <v>3943</v>
          </cell>
          <cell r="AE54">
            <v>1611.5</v>
          </cell>
          <cell r="AF54">
            <v>-2331.5</v>
          </cell>
          <cell r="AG54">
            <v>597.16666666666663</v>
          </cell>
        </row>
        <row r="55">
          <cell r="D55">
            <v>0.81</v>
          </cell>
          <cell r="E55">
            <v>7564</v>
          </cell>
          <cell r="F55">
            <v>6126.84</v>
          </cell>
          <cell r="G55">
            <v>57.382068965517242</v>
          </cell>
          <cell r="H55">
            <v>2900</v>
          </cell>
          <cell r="I55">
            <v>5586.727272727273</v>
          </cell>
          <cell r="K55">
            <v>0</v>
          </cell>
          <cell r="L55">
            <v>0</v>
          </cell>
          <cell r="M55">
            <v>2091</v>
          </cell>
          <cell r="N55">
            <v>-950.4545454545455</v>
          </cell>
          <cell r="O55">
            <v>348</v>
          </cell>
          <cell r="P55">
            <v>281.88</v>
          </cell>
          <cell r="Q55">
            <v>25.019607843137255</v>
          </cell>
          <cell r="R55">
            <v>306</v>
          </cell>
          <cell r="S55">
            <v>139.36363636363637</v>
          </cell>
          <cell r="T55">
            <v>789</v>
          </cell>
          <cell r="U55">
            <v>639.09</v>
          </cell>
          <cell r="V55">
            <v>25.601769911504427</v>
          </cell>
          <cell r="W55">
            <v>678</v>
          </cell>
          <cell r="X55">
            <v>326.72727272727275</v>
          </cell>
          <cell r="Y55">
            <v>8701</v>
          </cell>
          <cell r="Z55">
            <v>7047.81</v>
          </cell>
          <cell r="AA55">
            <v>2734</v>
          </cell>
          <cell r="AB55">
            <v>31.825164594001464</v>
          </cell>
          <cell r="AC55">
            <v>3.1825164594001465</v>
          </cell>
          <cell r="AD55">
            <v>5967</v>
          </cell>
          <cell r="AE55">
            <v>1367</v>
          </cell>
          <cell r="AF55">
            <v>-4600</v>
          </cell>
          <cell r="AG55">
            <v>725.08333333333337</v>
          </cell>
        </row>
        <row r="56">
          <cell r="D56">
            <v>2.62</v>
          </cell>
          <cell r="E56">
            <v>395</v>
          </cell>
          <cell r="F56">
            <v>1034.9000000000001</v>
          </cell>
          <cell r="G56">
            <v>13.067669172932332</v>
          </cell>
          <cell r="H56">
            <v>665</v>
          </cell>
          <cell r="I56">
            <v>-58.409090909090878</v>
          </cell>
          <cell r="K56">
            <v>0</v>
          </cell>
          <cell r="L56">
            <v>0</v>
          </cell>
          <cell r="M56">
            <v>320</v>
          </cell>
          <cell r="N56">
            <v>-145.45454545454544</v>
          </cell>
          <cell r="O56">
            <v>35</v>
          </cell>
          <cell r="P56">
            <v>91.7</v>
          </cell>
          <cell r="Q56">
            <v>42.777777777777779</v>
          </cell>
          <cell r="R56">
            <v>18</v>
          </cell>
          <cell r="S56">
            <v>22.727272727272727</v>
          </cell>
          <cell r="T56">
            <v>117</v>
          </cell>
          <cell r="U56">
            <v>306.54000000000002</v>
          </cell>
          <cell r="V56">
            <v>13.406250000000002</v>
          </cell>
          <cell r="W56">
            <v>192</v>
          </cell>
          <cell r="X56">
            <v>-13.909090909090907</v>
          </cell>
          <cell r="Y56">
            <v>547</v>
          </cell>
          <cell r="Z56">
            <v>1433.14</v>
          </cell>
          <cell r="AA56">
            <v>446</v>
          </cell>
          <cell r="AB56">
            <v>12.264573991031389</v>
          </cell>
          <cell r="AC56">
            <v>1.2264573991031391</v>
          </cell>
          <cell r="AD56">
            <v>101</v>
          </cell>
          <cell r="AE56">
            <v>223</v>
          </cell>
          <cell r="AF56">
            <v>122</v>
          </cell>
          <cell r="AG56">
            <v>91.166666666666671</v>
          </cell>
        </row>
        <row r="57">
          <cell r="D57">
            <v>2.62</v>
          </cell>
          <cell r="E57">
            <v>247</v>
          </cell>
          <cell r="F57">
            <v>647.14</v>
          </cell>
          <cell r="G57">
            <v>6.4690476190476192</v>
          </cell>
          <cell r="H57">
            <v>840</v>
          </cell>
          <cell r="I57">
            <v>-325.72727272727275</v>
          </cell>
          <cell r="K57">
            <v>0</v>
          </cell>
          <cell r="L57">
            <v>0</v>
          </cell>
          <cell r="M57">
            <v>629</v>
          </cell>
          <cell r="N57">
            <v>-285.90909090909088</v>
          </cell>
          <cell r="O57">
            <v>44</v>
          </cell>
          <cell r="P57">
            <v>115.28</v>
          </cell>
          <cell r="Q57">
            <v>26.888888888888886</v>
          </cell>
          <cell r="R57">
            <v>36</v>
          </cell>
          <cell r="S57">
            <v>19.454545454545453</v>
          </cell>
          <cell r="T57">
            <v>51</v>
          </cell>
          <cell r="U57">
            <v>133.62</v>
          </cell>
          <cell r="V57">
            <v>3.666666666666667</v>
          </cell>
          <cell r="W57">
            <v>306</v>
          </cell>
          <cell r="X57">
            <v>-157.63636363636363</v>
          </cell>
          <cell r="Y57">
            <v>342</v>
          </cell>
          <cell r="Z57">
            <v>896.04000000000008</v>
          </cell>
          <cell r="AA57">
            <v>933</v>
          </cell>
          <cell r="AB57">
            <v>3.6655948553054665</v>
          </cell>
          <cell r="AC57">
            <v>0.36655948553054662</v>
          </cell>
          <cell r="AD57">
            <v>-591</v>
          </cell>
          <cell r="AE57">
            <v>466.5</v>
          </cell>
          <cell r="AF57">
            <v>1057.5</v>
          </cell>
          <cell r="AG57">
            <v>57</v>
          </cell>
        </row>
        <row r="58">
          <cell r="D58">
            <v>2.62</v>
          </cell>
          <cell r="E58">
            <v>75</v>
          </cell>
          <cell r="F58">
            <v>196.5</v>
          </cell>
          <cell r="G58">
            <v>4.1457286432160805</v>
          </cell>
          <cell r="H58">
            <v>398</v>
          </cell>
          <cell r="I58">
            <v>-196.36363636363637</v>
          </cell>
          <cell r="K58">
            <v>0</v>
          </cell>
          <cell r="L58">
            <v>0</v>
          </cell>
          <cell r="M58">
            <v>242</v>
          </cell>
          <cell r="N58">
            <v>-110</v>
          </cell>
          <cell r="O58">
            <v>61</v>
          </cell>
          <cell r="P58">
            <v>159.82</v>
          </cell>
          <cell r="Q58">
            <v>223.66666666666669</v>
          </cell>
          <cell r="R58">
            <v>6</v>
          </cell>
          <cell r="S58">
            <v>56.909090909090907</v>
          </cell>
          <cell r="T58">
            <v>90</v>
          </cell>
          <cell r="U58">
            <v>235.8</v>
          </cell>
          <cell r="V58">
            <v>15.46875</v>
          </cell>
          <cell r="W58">
            <v>128</v>
          </cell>
          <cell r="X58">
            <v>2.7272727272727195</v>
          </cell>
          <cell r="Y58">
            <v>226</v>
          </cell>
          <cell r="Z58">
            <v>592.12</v>
          </cell>
          <cell r="AA58">
            <v>546</v>
          </cell>
          <cell r="AB58">
            <v>4.1391941391941387</v>
          </cell>
          <cell r="AC58">
            <v>0.41391941391941389</v>
          </cell>
          <cell r="AD58">
            <v>-320</v>
          </cell>
          <cell r="AE58">
            <v>273</v>
          </cell>
          <cell r="AF58">
            <v>593</v>
          </cell>
          <cell r="AG58">
            <v>37.666666666666664</v>
          </cell>
        </row>
        <row r="59">
          <cell r="D59">
            <v>2.62</v>
          </cell>
          <cell r="E59">
            <v>103</v>
          </cell>
          <cell r="F59">
            <v>269.86</v>
          </cell>
          <cell r="G59">
            <v>5.3952380952380956</v>
          </cell>
          <cell r="H59">
            <v>420</v>
          </cell>
          <cell r="I59">
            <v>-183.36363636363637</v>
          </cell>
          <cell r="K59">
            <v>0</v>
          </cell>
          <cell r="L59">
            <v>0</v>
          </cell>
          <cell r="M59">
            <v>282</v>
          </cell>
          <cell r="N59">
            <v>-128.18181818181819</v>
          </cell>
          <cell r="O59">
            <v>26</v>
          </cell>
          <cell r="P59">
            <v>68.12</v>
          </cell>
          <cell r="Q59">
            <v>30.105263157894736</v>
          </cell>
          <cell r="R59">
            <v>19</v>
          </cell>
          <cell r="S59">
            <v>13.045454545454545</v>
          </cell>
          <cell r="T59">
            <v>63</v>
          </cell>
          <cell r="U59">
            <v>165.06</v>
          </cell>
          <cell r="V59">
            <v>10.744186046511629</v>
          </cell>
          <cell r="W59">
            <v>129</v>
          </cell>
          <cell r="X59">
            <v>-24.954545454545453</v>
          </cell>
          <cell r="Y59">
            <v>192</v>
          </cell>
          <cell r="Z59">
            <v>503.04</v>
          </cell>
          <cell r="AA59">
            <v>467</v>
          </cell>
          <cell r="AB59">
            <v>4.1113490364025695</v>
          </cell>
          <cell r="AC59">
            <v>0.41113490364025695</v>
          </cell>
          <cell r="AD59">
            <v>-275</v>
          </cell>
          <cell r="AE59">
            <v>233.5</v>
          </cell>
          <cell r="AF59">
            <v>508.5</v>
          </cell>
          <cell r="AG59">
            <v>32</v>
          </cell>
        </row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1"/>
  <sheetViews>
    <sheetView tabSelected="1" topLeftCell="A45" workbookViewId="0">
      <selection activeCell="G25" sqref="G25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6" t="s">
        <v>1</v>
      </c>
      <c r="AB1" s="66"/>
      <c r="AC1" s="66"/>
      <c r="AD1" s="66"/>
      <c r="AE1" s="66"/>
      <c r="AF1" s="66"/>
      <c r="AG1" s="66"/>
    </row>
    <row r="2" spans="2:33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/>
      <c r="AB2" s="66"/>
      <c r="AC2" s="66"/>
      <c r="AD2" s="66"/>
      <c r="AE2" s="66"/>
      <c r="AF2" s="66"/>
      <c r="AG2" s="66"/>
    </row>
    <row r="3" spans="2:33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</row>
    <row r="4" spans="2:33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6"/>
      <c r="AB4" s="66"/>
      <c r="AC4" s="66"/>
      <c r="AD4" s="66"/>
      <c r="AE4" s="66"/>
      <c r="AF4" s="66"/>
      <c r="AG4" s="66"/>
    </row>
    <row r="5" spans="2:33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6"/>
      <c r="AB5" s="66"/>
      <c r="AC5" s="66"/>
      <c r="AD5" s="66"/>
      <c r="AE5" s="66"/>
      <c r="AF5" s="66"/>
      <c r="AG5" s="66"/>
    </row>
    <row r="6" spans="2:33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66"/>
      <c r="AG6" s="66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13-08-26'!D13</f>
        <v>1.36</v>
      </c>
      <c r="E13" s="16">
        <f>'[1]INVENTARIO NACIONAL 13-08-26'!E13</f>
        <v>4362</v>
      </c>
      <c r="F13" s="17">
        <f>'[1]INVENTARIO NACIONAL 13-08-26'!F13</f>
        <v>5932.3200000000006</v>
      </c>
      <c r="G13" s="17">
        <f>'[1]INVENTARIO NACIONAL 13-08-26'!G13</f>
        <v>5.4131317689530682</v>
      </c>
      <c r="H13" s="16">
        <f>'[1]INVENTARIO NACIONAL 13-08-26'!H13</f>
        <v>17728</v>
      </c>
      <c r="I13" s="18">
        <f>'[1]INVENTARIO NACIONAL 13-08-26'!I13</f>
        <v>-7725.2727272727279</v>
      </c>
      <c r="J13" s="19">
        <f>'[1]INVENTARIO NACIONAL 13-08-26'!J13</f>
        <v>6529</v>
      </c>
      <c r="K13" s="16">
        <f>'[1]INVENTARIO NACIONAL 13-08-26'!K13</f>
        <v>8879.44</v>
      </c>
      <c r="L13" s="17">
        <f>'[1]INVENTARIO NACIONAL 13-08-26'!L13</f>
        <v>24.782263630089719</v>
      </c>
      <c r="M13" s="16">
        <f>'[1]INVENTARIO NACIONAL 13-08-26'!M13</f>
        <v>5796</v>
      </c>
      <c r="N13" s="18">
        <f>'[1]INVENTARIO NACIONAL 13-08-26'!N13</f>
        <v>3894.4545454545455</v>
      </c>
      <c r="O13" s="19">
        <f>'[1]INVENTARIO NACIONAL 13-08-26'!O13</f>
        <v>569</v>
      </c>
      <c r="P13" s="20">
        <f>'[1]INVENTARIO NACIONAL 13-08-26'!P13</f>
        <v>773.84</v>
      </c>
      <c r="Q13" s="17">
        <f>'[1]INVENTARIO NACIONAL 13-08-26'!Q13</f>
        <v>16.580132450331124</v>
      </c>
      <c r="R13" s="20">
        <f>'[1]INVENTARIO NACIONAL 13-08-26'!R13</f>
        <v>755</v>
      </c>
      <c r="S13" s="18">
        <f>'[1]INVENTARIO NACIONAL 13-08-26'!S13</f>
        <v>54.227272727272748</v>
      </c>
      <c r="T13" s="21">
        <f>'[1]INVENTARIO NACIONAL 13-08-26'!T13</f>
        <v>436</v>
      </c>
      <c r="U13" s="20">
        <f>'[1]INVENTARIO NACIONAL 13-08-26'!U13</f>
        <v>592.96</v>
      </c>
      <c r="V13" s="17">
        <f>'[1]INVENTARIO NACIONAL 13-08-26'!V13</f>
        <v>7.7479806138933762</v>
      </c>
      <c r="W13" s="19">
        <f>'[1]INVENTARIO NACIONAL 13-08-26'!W13</f>
        <v>1238</v>
      </c>
      <c r="X13" s="18">
        <f>'[1]INVENTARIO NACIONAL 13-08-26'!X13</f>
        <v>-408.09090909090912</v>
      </c>
      <c r="Y13" s="22">
        <f>'[1]INVENTARIO NACIONAL 13-08-26'!Y13</f>
        <v>11896</v>
      </c>
      <c r="Z13" s="23">
        <f>'[1]INVENTARIO NACIONAL 13-08-26'!Z13</f>
        <v>16178.560000000001</v>
      </c>
      <c r="AA13" s="24">
        <f ca="1">'[1]INVENTARIO NACIONAL 13-08-26'!AA13</f>
        <v>11756</v>
      </c>
      <c r="AB13" s="25">
        <f ca="1">'[1]INVENTARIO NACIONAL 13-08-26'!AB13</f>
        <v>10.119088125212658</v>
      </c>
      <c r="AC13" s="26">
        <f ca="1">'[1]INVENTARIO NACIONAL 13-08-26'!AC13</f>
        <v>1.0119088125212656</v>
      </c>
      <c r="AD13" s="27">
        <f ca="1">'[1]INVENTARIO NACIONAL 13-08-26'!AD13</f>
        <v>140</v>
      </c>
      <c r="AE13" s="27">
        <f ca="1">'[1]INVENTARIO NACIONAL 13-08-26'!AE13</f>
        <v>5878</v>
      </c>
      <c r="AF13" s="28">
        <f ca="1">'[1]INVENTARIO NACIONAL 13-08-26'!AF13</f>
        <v>5738</v>
      </c>
      <c r="AG13" s="27">
        <f>'[1]INVENTARIO NACIONAL 13-08-26'!AG13</f>
        <v>148.69999999999999</v>
      </c>
    </row>
    <row r="14" spans="2:33" x14ac:dyDescent="0.25">
      <c r="B14" s="13" t="s">
        <v>26</v>
      </c>
      <c r="C14" s="14" t="s">
        <v>27</v>
      </c>
      <c r="D14" s="15">
        <f>'[1]INVENTARIO NACIONAL 13-08-26'!D14</f>
        <v>1.59</v>
      </c>
      <c r="E14" s="16">
        <f>'[1]INVENTARIO NACIONAL 13-08-26'!E14</f>
        <v>80</v>
      </c>
      <c r="F14" s="17">
        <f>'[1]INVENTARIO NACIONAL 13-08-26'!F14</f>
        <v>127.2</v>
      </c>
      <c r="G14" s="17">
        <f>'[1]INVENTARIO NACIONAL 13-08-26'!G14</f>
        <v>2.0229885057471262</v>
      </c>
      <c r="H14" s="16">
        <f>'[1]INVENTARIO NACIONAL 13-08-26'!H14</f>
        <v>870</v>
      </c>
      <c r="I14" s="18">
        <f>'[1]INVENTARIO NACIONAL 13-08-26'!I14</f>
        <v>-513.18181818181824</v>
      </c>
      <c r="J14" s="19">
        <f>'[1]INVENTARIO NACIONAL 13-08-26'!J14</f>
        <v>469</v>
      </c>
      <c r="K14" s="16">
        <f>'[1]INVENTARIO NACIONAL 13-08-26'!K14</f>
        <v>745.71</v>
      </c>
      <c r="L14" s="17">
        <f>'[1]INVENTARIO NACIONAL 13-08-26'!L14</f>
        <v>18.00698080279232</v>
      </c>
      <c r="M14" s="16">
        <f>'[1]INVENTARIO NACIONAL 13-08-26'!M14</f>
        <v>573</v>
      </c>
      <c r="N14" s="18">
        <f>'[1]INVENTARIO NACIONAL 13-08-26'!N14</f>
        <v>208.5454545454545</v>
      </c>
      <c r="O14" s="19">
        <f>'[1]INVENTARIO NACIONAL 13-08-26'!O14</f>
        <v>94</v>
      </c>
      <c r="P14" s="20">
        <f>'[1]INVENTARIO NACIONAL 13-08-26'!P14</f>
        <v>149.46</v>
      </c>
      <c r="Q14" s="17">
        <f>'[1]INVENTARIO NACIONAL 13-08-26'!Q14</f>
        <v>42.204081632653065</v>
      </c>
      <c r="R14" s="20">
        <f>'[1]INVENTARIO NACIONAL 13-08-26'!R14</f>
        <v>49</v>
      </c>
      <c r="S14" s="18">
        <f>'[1]INVENTARIO NACIONAL 13-08-26'!S14</f>
        <v>60.590909090909093</v>
      </c>
      <c r="T14" s="21">
        <f>'[1]INVENTARIO NACIONAL 13-08-26'!T14</f>
        <v>89</v>
      </c>
      <c r="U14" s="20">
        <f>'[1]INVENTARIO NACIONAL 13-08-26'!U14</f>
        <v>141.51000000000002</v>
      </c>
      <c r="V14" s="17">
        <f>'[1]INVENTARIO NACIONAL 13-08-26'!V14</f>
        <v>17.482142857142858</v>
      </c>
      <c r="W14" s="19">
        <f>'[1]INVENTARIO NACIONAL 13-08-26'!W14</f>
        <v>112</v>
      </c>
      <c r="X14" s="18">
        <f>'[1]INVENTARIO NACIONAL 13-08-26'!X14</f>
        <v>12.63636363636364</v>
      </c>
      <c r="Y14" s="22">
        <f>'[1]INVENTARIO NACIONAL 13-08-26'!Y14</f>
        <v>732</v>
      </c>
      <c r="Z14" s="23">
        <f>'[1]INVENTARIO NACIONAL 13-08-26'!Z14</f>
        <v>1163.8800000000001</v>
      </c>
      <c r="AA14" s="24">
        <f ca="1">'[1]INVENTARIO NACIONAL 13-08-26'!AA14</f>
        <v>823</v>
      </c>
      <c r="AB14" s="25">
        <f ca="1">'[1]INVENTARIO NACIONAL 13-08-26'!AB14</f>
        <v>8.8942891859052242</v>
      </c>
      <c r="AC14" s="26">
        <f ca="1">'[1]INVENTARIO NACIONAL 13-08-26'!AC14</f>
        <v>0.88942891859052253</v>
      </c>
      <c r="AD14" s="29">
        <f ca="1">'[1]INVENTARIO NACIONAL 13-08-26'!AD14</f>
        <v>-91</v>
      </c>
      <c r="AE14" s="30">
        <f ca="1">'[1]INVENTARIO NACIONAL 13-08-26'!AE14</f>
        <v>411.5</v>
      </c>
      <c r="AF14" s="28">
        <f ca="1">'[1]INVENTARIO NACIONAL 13-08-26'!AF14</f>
        <v>502.5</v>
      </c>
      <c r="AG14" s="31">
        <f>'[1]INVENTARIO NACIONAL 13-08-26'!AG14</f>
        <v>9.15</v>
      </c>
    </row>
    <row r="15" spans="2:33" x14ac:dyDescent="0.25">
      <c r="B15" s="13" t="s">
        <v>28</v>
      </c>
      <c r="C15" s="14" t="s">
        <v>29</v>
      </c>
      <c r="D15" s="15">
        <f>'[1]INVENTARIO NACIONAL 13-08-26'!D15</f>
        <v>2.0299999999999998</v>
      </c>
      <c r="E15" s="16">
        <f>'[1]INVENTARIO NACIONAL 13-08-26'!E15</f>
        <v>1209</v>
      </c>
      <c r="F15" s="17">
        <f>'[1]INVENTARIO NACIONAL 13-08-26'!F15</f>
        <v>2454.27</v>
      </c>
      <c r="G15" s="17">
        <f>'[1]INVENTARIO NACIONAL 13-08-26'!G15</f>
        <v>3.0820393974507532</v>
      </c>
      <c r="H15" s="16">
        <f>'[1]INVENTARIO NACIONAL 13-08-26'!H15</f>
        <v>8630</v>
      </c>
      <c r="I15" s="18">
        <f>'[1]INVENTARIO NACIONAL 13-08-26'!I15</f>
        <v>-4675.090909090909</v>
      </c>
      <c r="J15" s="19">
        <f>'[1]INVENTARIO NACIONAL 13-08-26'!J15</f>
        <v>2472</v>
      </c>
      <c r="K15" s="16">
        <f>'[1]INVENTARIO NACIONAL 13-08-26'!K15</f>
        <v>5018.16</v>
      </c>
      <c r="L15" s="17">
        <f>'[1]INVENTARIO NACIONAL 13-08-26'!L15</f>
        <v>17.942593203563181</v>
      </c>
      <c r="M15" s="16">
        <f>'[1]INVENTARIO NACIONAL 13-08-26'!M15</f>
        <v>3031</v>
      </c>
      <c r="N15" s="18">
        <f>'[1]INVENTARIO NACIONAL 13-08-26'!N15</f>
        <v>1094.2727272727273</v>
      </c>
      <c r="O15" s="19">
        <f>'[1]INVENTARIO NACIONAL 13-08-26'!O15</f>
        <v>241</v>
      </c>
      <c r="P15" s="20">
        <f>'[1]INVENTARIO NACIONAL 13-08-26'!P15</f>
        <v>489.22999999999996</v>
      </c>
      <c r="Q15" s="17">
        <f>'[1]INVENTARIO NACIONAL 13-08-26'!Q15</f>
        <v>21.123505976095618</v>
      </c>
      <c r="R15" s="20">
        <f>'[1]INVENTARIO NACIONAL 13-08-26'!R15</f>
        <v>251</v>
      </c>
      <c r="S15" s="18">
        <f>'[1]INVENTARIO NACIONAL 13-08-26'!S15</f>
        <v>69.863636363636374</v>
      </c>
      <c r="T15" s="21">
        <f>'[1]INVENTARIO NACIONAL 13-08-26'!T15</f>
        <v>298</v>
      </c>
      <c r="U15" s="20">
        <f>'[1]INVENTARIO NACIONAL 13-08-26'!U15</f>
        <v>604.93999999999994</v>
      </c>
      <c r="V15" s="17">
        <f>'[1]INVENTARIO NACIONAL 13-08-26'!V15</f>
        <v>14.345733041575492</v>
      </c>
      <c r="W15" s="19">
        <f>'[1]INVENTARIO NACIONAL 13-08-26'!W15</f>
        <v>457</v>
      </c>
      <c r="X15" s="18">
        <f>'[1]INVENTARIO NACIONAL 13-08-26'!X15</f>
        <v>-13.590909090909122</v>
      </c>
      <c r="Y15" s="22">
        <f>'[1]INVENTARIO NACIONAL 13-08-26'!Y15</f>
        <v>4220</v>
      </c>
      <c r="Z15" s="23">
        <f>'[1]INVENTARIO NACIONAL 13-08-26'!Z15</f>
        <v>8566.5999999999985</v>
      </c>
      <c r="AA15" s="24">
        <f ca="1">'[1]INVENTARIO NACIONAL 13-08-26'!AA15</f>
        <v>4634</v>
      </c>
      <c r="AB15" s="25">
        <f ca="1">'[1]INVENTARIO NACIONAL 13-08-26'!AB15</f>
        <v>9.1066033664220978</v>
      </c>
      <c r="AC15" s="26">
        <f ca="1">'[1]INVENTARIO NACIONAL 13-08-26'!AC15</f>
        <v>0.9106603366422098</v>
      </c>
      <c r="AD15" s="29">
        <f ca="1">'[1]INVENTARIO NACIONAL 13-08-26'!AD15</f>
        <v>-414</v>
      </c>
      <c r="AE15" s="30">
        <f ca="1">'[1]INVENTARIO NACIONAL 13-08-26'!AE15</f>
        <v>2317</v>
      </c>
      <c r="AF15" s="28">
        <f ca="1">'[1]INVENTARIO NACIONAL 13-08-26'!AF15</f>
        <v>2731</v>
      </c>
      <c r="AG15" s="31">
        <f>'[1]INVENTARIO NACIONAL 13-08-26'!AG15</f>
        <v>70.333333333333329</v>
      </c>
    </row>
    <row r="16" spans="2:33" x14ac:dyDescent="0.25">
      <c r="B16" s="13" t="s">
        <v>30</v>
      </c>
      <c r="C16" s="14" t="s">
        <v>31</v>
      </c>
      <c r="D16" s="15">
        <f>'[1]INVENTARIO NACIONAL 13-08-26'!D16</f>
        <v>3.61</v>
      </c>
      <c r="E16" s="16">
        <f>'[1]INVENTARIO NACIONAL 13-08-26'!E16</f>
        <v>129</v>
      </c>
      <c r="F16" s="17">
        <f>'[1]INVENTARIO NACIONAL 13-08-26'!F16</f>
        <v>465.69</v>
      </c>
      <c r="G16" s="17">
        <f>'[1]INVENTARIO NACIONAL 13-08-26'!G16</f>
        <v>1.6235697940503433</v>
      </c>
      <c r="H16" s="16">
        <f>'[1]INVENTARIO NACIONAL 13-08-26'!H16</f>
        <v>1748</v>
      </c>
      <c r="I16" s="18">
        <f>'[1]INVENTARIO NACIONAL 13-08-26'!I16</f>
        <v>-1062.8181818181818</v>
      </c>
      <c r="J16" s="19">
        <f>'[1]INVENTARIO NACIONAL 13-08-26'!J16</f>
        <v>177</v>
      </c>
      <c r="K16" s="16">
        <f>'[1]INVENTARIO NACIONAL 13-08-26'!K16</f>
        <v>638.97</v>
      </c>
      <c r="L16" s="17">
        <f>'[1]INVENTARIO NACIONAL 13-08-26'!L16</f>
        <v>8.1294363256784958</v>
      </c>
      <c r="M16" s="16">
        <f>'[1]INVENTARIO NACIONAL 13-08-26'!M16</f>
        <v>479</v>
      </c>
      <c r="N16" s="18">
        <f>'[1]INVENTARIO NACIONAL 13-08-26'!N16</f>
        <v>-40.727272727272748</v>
      </c>
      <c r="O16" s="19">
        <f>'[1]INVENTARIO NACIONAL 13-08-26'!O16</f>
        <v>28</v>
      </c>
      <c r="P16" s="20">
        <f>'[1]INVENTARIO NACIONAL 13-08-26'!P16</f>
        <v>101.08</v>
      </c>
      <c r="Q16" s="17">
        <f>'[1]INVENTARIO NACIONAL 13-08-26'!Q16</f>
        <v>47.38461538461538</v>
      </c>
      <c r="R16" s="20">
        <f>'[1]INVENTARIO NACIONAL 13-08-26'!R16</f>
        <v>13</v>
      </c>
      <c r="S16" s="18">
        <f>'[1]INVENTARIO NACIONAL 13-08-26'!S16</f>
        <v>19.136363636363637</v>
      </c>
      <c r="T16" s="21">
        <f>'[1]INVENTARIO NACIONAL 13-08-26'!T16</f>
        <v>38</v>
      </c>
      <c r="U16" s="20">
        <f>'[1]INVENTARIO NACIONAL 13-08-26'!U16</f>
        <v>137.18</v>
      </c>
      <c r="V16" s="17">
        <f>'[1]INVENTARIO NACIONAL 13-08-26'!V16</f>
        <v>20.900000000000002</v>
      </c>
      <c r="W16" s="19">
        <f>'[1]INVENTARIO NACIONAL 13-08-26'!W16</f>
        <v>40</v>
      </c>
      <c r="X16" s="18">
        <f>'[1]INVENTARIO NACIONAL 13-08-26'!X16</f>
        <v>10.727272727272727</v>
      </c>
      <c r="Y16" s="22">
        <f>'[1]INVENTARIO NACIONAL 13-08-26'!Y16</f>
        <v>372</v>
      </c>
      <c r="Z16" s="23">
        <f>'[1]INVENTARIO NACIONAL 13-08-26'!Z16</f>
        <v>1342.9199999999998</v>
      </c>
      <c r="AA16" s="24">
        <f ca="1">'[1]INVENTARIO NACIONAL 13-08-26'!AA16</f>
        <v>1004</v>
      </c>
      <c r="AB16" s="25">
        <f ca="1">'[1]INVENTARIO NACIONAL 13-08-26'!AB16</f>
        <v>3.7051792828685257</v>
      </c>
      <c r="AC16" s="26">
        <f ca="1">'[1]INVENTARIO NACIONAL 13-08-26'!AC16</f>
        <v>0.37051792828685259</v>
      </c>
      <c r="AD16" s="29">
        <f ca="1">'[1]INVENTARIO NACIONAL 13-08-26'!AD16</f>
        <v>-632</v>
      </c>
      <c r="AE16" s="30">
        <f ca="1">'[1]INVENTARIO NACIONAL 13-08-26'!AE16</f>
        <v>502</v>
      </c>
      <c r="AF16" s="28">
        <f ca="1">'[1]INVENTARIO NACIONAL 13-08-26'!AF16</f>
        <v>1134</v>
      </c>
      <c r="AG16" s="31">
        <f>'[1]INVENTARIO NACIONAL 13-08-26'!AG16</f>
        <v>13.285714285714286</v>
      </c>
    </row>
    <row r="17" spans="2:33" x14ac:dyDescent="0.25">
      <c r="B17" s="13" t="s">
        <v>32</v>
      </c>
      <c r="C17" s="32" t="s">
        <v>33</v>
      </c>
      <c r="D17" s="15">
        <f>'[1]INVENTARIO NACIONAL 13-08-26'!D17</f>
        <v>8.7799999999999994</v>
      </c>
      <c r="E17" s="16">
        <f>'[1]INVENTARIO NACIONAL 13-08-26'!E17</f>
        <v>1</v>
      </c>
      <c r="F17" s="17">
        <f>'[1]INVENTARIO NACIONAL 13-08-26'!F17</f>
        <v>8.7799999999999994</v>
      </c>
      <c r="G17" s="17">
        <f>'[1]INVENTARIO NACIONAL 13-08-26'!G17</f>
        <v>7.3578595317725745E-2</v>
      </c>
      <c r="H17" s="16">
        <f>'[1]INVENTARIO NACIONAL 13-08-26'!H17</f>
        <v>299</v>
      </c>
      <c r="I17" s="18">
        <f>'[1]INVENTARIO NACIONAL 13-08-26'!I17</f>
        <v>-202.86363636363637</v>
      </c>
      <c r="J17" s="19">
        <f>'[1]INVENTARIO NACIONAL 13-08-26'!J17</f>
        <v>174</v>
      </c>
      <c r="K17" s="16">
        <f>'[1]INVENTARIO NACIONAL 13-08-26'!K17</f>
        <v>1527.7199999999998</v>
      </c>
      <c r="L17" s="17">
        <f>'[1]INVENTARIO NACIONAL 13-08-26'!L17</f>
        <v>24.857142857142858</v>
      </c>
      <c r="M17" s="16">
        <f>'[1]INVENTARIO NACIONAL 13-08-26'!M17</f>
        <v>154</v>
      </c>
      <c r="N17" s="18">
        <f>'[1]INVENTARIO NACIONAL 13-08-26'!N17</f>
        <v>104</v>
      </c>
      <c r="O17" s="19">
        <f>'[1]INVENTARIO NACIONAL 13-08-26'!O17</f>
        <v>18</v>
      </c>
      <c r="P17" s="20">
        <f>'[1]INVENTARIO NACIONAL 13-08-26'!P17</f>
        <v>158.04</v>
      </c>
      <c r="Q17" s="17">
        <f>'[1]INVENTARIO NACIONAL 13-08-26'!Q17</f>
        <v>66</v>
      </c>
      <c r="R17" s="20">
        <f>'[1]INVENTARIO NACIONAL 13-08-26'!R17</f>
        <v>6</v>
      </c>
      <c r="S17" s="18">
        <f>'[1]INVENTARIO NACIONAL 13-08-26'!S17</f>
        <v>13.90909090909091</v>
      </c>
      <c r="T17" s="21">
        <f>'[1]INVENTARIO NACIONAL 13-08-26'!T17</f>
        <v>36</v>
      </c>
      <c r="U17" s="20">
        <f>'[1]INVENTARIO NACIONAL 13-08-26'!U17</f>
        <v>316.08</v>
      </c>
      <c r="V17" s="17">
        <f>'[1]INVENTARIO NACIONAL 13-08-26'!V17</f>
        <v>113.14285714285714</v>
      </c>
      <c r="W17" s="19">
        <f>'[1]INVENTARIO NACIONAL 13-08-26'!W17</f>
        <v>7</v>
      </c>
      <c r="X17" s="18">
        <f>'[1]INVENTARIO NACIONAL 13-08-26'!X17</f>
        <v>31.227272727272727</v>
      </c>
      <c r="Y17" s="22">
        <f>'[1]INVENTARIO NACIONAL 13-08-26'!Y17</f>
        <v>229</v>
      </c>
      <c r="Z17" s="23">
        <f>'[1]INVENTARIO NACIONAL 13-08-26'!Z17</f>
        <v>2010.62</v>
      </c>
      <c r="AA17" s="24">
        <f ca="1">'[1]INVENTARIO NACIONAL 13-08-26'!AA17</f>
        <v>90</v>
      </c>
      <c r="AB17" s="25">
        <f ca="1">'[1]INVENTARIO NACIONAL 13-08-26'!AB17</f>
        <v>25.444444444444443</v>
      </c>
      <c r="AC17" s="26">
        <f ca="1">'[1]INVENTARIO NACIONAL 13-08-26'!AC17</f>
        <v>2.5444444444444443</v>
      </c>
      <c r="AD17" s="29">
        <f ca="1">'[1]INVENTARIO NACIONAL 13-08-26'!AD17</f>
        <v>139</v>
      </c>
      <c r="AE17" s="30">
        <f ca="1">'[1]INVENTARIO NACIONAL 13-08-26'!AE17</f>
        <v>45</v>
      </c>
      <c r="AF17" s="28">
        <f ca="1">'[1]INVENTARIO NACIONAL 13-08-26'!AF17</f>
        <v>-94</v>
      </c>
      <c r="AG17" s="31">
        <f>'[1]INVENTARIO NACIONAL 13-08-26'!AG17</f>
        <v>19.083333333333332</v>
      </c>
    </row>
    <row r="18" spans="2:33" x14ac:dyDescent="0.25">
      <c r="B18" s="13" t="s">
        <v>34</v>
      </c>
      <c r="C18" s="32" t="s">
        <v>35</v>
      </c>
      <c r="D18" s="15">
        <f>'[1]INVENTARIO NACIONAL 13-08-26'!D18</f>
        <v>0.63</v>
      </c>
      <c r="E18" s="16">
        <f>'[1]INVENTARIO NACIONAL 13-08-26'!E18</f>
        <v>1229</v>
      </c>
      <c r="F18" s="17">
        <f>'[1]INVENTARIO NACIONAL 13-08-26'!F18</f>
        <v>774.27</v>
      </c>
      <c r="G18" s="17">
        <f>'[1]INVENTARIO NACIONAL 13-08-26'!G18</f>
        <v>1.5379102440134236</v>
      </c>
      <c r="H18" s="16">
        <f>'[1]INVENTARIO NACIONAL 13-08-26'!H18</f>
        <v>17581</v>
      </c>
      <c r="I18" s="18">
        <f>'[1]INVENTARIO NACIONAL 13-08-26'!I18</f>
        <v>-10758.045454545454</v>
      </c>
      <c r="J18" s="19">
        <f>'[1]INVENTARIO NACIONAL 13-08-26'!J18</f>
        <v>2658</v>
      </c>
      <c r="K18" s="16">
        <f>'[1]INVENTARIO NACIONAL 13-08-26'!K18</f>
        <v>1674.54</v>
      </c>
      <c r="L18" s="17">
        <f>'[1]INVENTARIO NACIONAL 13-08-26'!L18</f>
        <v>8.7867768595041316</v>
      </c>
      <c r="M18" s="16">
        <f>'[1]INVENTARIO NACIONAL 13-08-26'!M18</f>
        <v>6655</v>
      </c>
      <c r="N18" s="18">
        <f>'[1]INVENTARIO NACIONAL 13-08-26'!N18</f>
        <v>-367</v>
      </c>
      <c r="O18" s="19">
        <f>'[1]INVENTARIO NACIONAL 13-08-26'!O18</f>
        <v>812</v>
      </c>
      <c r="P18" s="20">
        <f>'[1]INVENTARIO NACIONAL 13-08-26'!P18</f>
        <v>511.56</v>
      </c>
      <c r="Q18" s="17">
        <f>'[1]INVENTARIO NACIONAL 13-08-26'!Q18</f>
        <v>14.166534496431403</v>
      </c>
      <c r="R18" s="20">
        <f>'[1]INVENTARIO NACIONAL 13-08-26'!R18</f>
        <v>1261</v>
      </c>
      <c r="S18" s="18">
        <f>'[1]INVENTARIO NACIONAL 13-08-26'!S18</f>
        <v>-47.772727272727252</v>
      </c>
      <c r="T18" s="21">
        <f>'[1]INVENTARIO NACIONAL 13-08-26'!T18</f>
        <v>1773</v>
      </c>
      <c r="U18" s="20">
        <f>'[1]INVENTARIO NACIONAL 13-08-26'!U18</f>
        <v>1116.99</v>
      </c>
      <c r="V18" s="17">
        <f>'[1]INVENTARIO NACIONAL 13-08-26'!V18</f>
        <v>10.115663900414937</v>
      </c>
      <c r="W18" s="19">
        <f>'[1]INVENTARIO NACIONAL 13-08-26'!W18</f>
        <v>3856</v>
      </c>
      <c r="X18" s="18">
        <f>'[1]INVENTARIO NACIONAL 13-08-26'!X18</f>
        <v>-856.09090909090901</v>
      </c>
      <c r="Y18" s="22">
        <f>'[1]INVENTARIO NACIONAL 13-08-26'!Y18</f>
        <v>6472</v>
      </c>
      <c r="Z18" s="23">
        <f>'[1]INVENTARIO NACIONAL 13-08-26'!Z18</f>
        <v>4077.36</v>
      </c>
      <c r="AA18" s="24">
        <f ca="1">'[1]INVENTARIO NACIONAL 13-08-26'!AA18</f>
        <v>14437</v>
      </c>
      <c r="AB18" s="25">
        <f ca="1">'[1]INVENTARIO NACIONAL 13-08-26'!AB18</f>
        <v>4.4829258156126617</v>
      </c>
      <c r="AC18" s="26">
        <f ca="1">'[1]INVENTARIO NACIONAL 13-08-26'!AC18</f>
        <v>0.44829258156126617</v>
      </c>
      <c r="AD18" s="29">
        <f ca="1">'[1]INVENTARIO NACIONAL 13-08-26'!AD18</f>
        <v>-7965</v>
      </c>
      <c r="AE18" s="30">
        <f ca="1">'[1]INVENTARIO NACIONAL 13-08-26'!AE18</f>
        <v>7218.5</v>
      </c>
      <c r="AF18" s="28">
        <f ca="1">'[1]INVENTARIO NACIONAL 13-08-26'!AF18</f>
        <v>15183.5</v>
      </c>
      <c r="AG18" s="31">
        <f>'[1]INVENTARIO NACIONAL 13-08-26'!AG18</f>
        <v>107.86666666666666</v>
      </c>
    </row>
    <row r="19" spans="2:33" x14ac:dyDescent="0.25">
      <c r="B19" s="13" t="s">
        <v>36</v>
      </c>
      <c r="C19" s="32" t="s">
        <v>37</v>
      </c>
      <c r="D19" s="15">
        <f>'[1]INVENTARIO NACIONAL 13-08-26'!D19</f>
        <v>0.63</v>
      </c>
      <c r="E19" s="16">
        <f>'[1]INVENTARIO NACIONAL 13-08-26'!E19</f>
        <v>602</v>
      </c>
      <c r="F19" s="17">
        <f>'[1]INVENTARIO NACIONAL 13-08-26'!F19</f>
        <v>379.26</v>
      </c>
      <c r="G19" s="17">
        <f>'[1]INVENTARIO NACIONAL 13-08-26'!G19</f>
        <v>10.511111111111111</v>
      </c>
      <c r="H19" s="16">
        <f>'[1]INVENTARIO NACIONAL 13-08-26'!H19</f>
        <v>1260</v>
      </c>
      <c r="I19" s="18">
        <f>'[1]INVENTARIO NACIONAL 13-08-26'!I19</f>
        <v>-257.09090909090912</v>
      </c>
      <c r="J19" s="19">
        <f>'[1]INVENTARIO NACIONAL 13-08-26'!J19</f>
        <v>765</v>
      </c>
      <c r="K19" s="16">
        <f>'[1]INVENTARIO NACIONAL 13-08-26'!K19</f>
        <v>481.95</v>
      </c>
      <c r="L19" s="17">
        <f>'[1]INVENTARIO NACIONAL 13-08-26'!L19</f>
        <v>14.409246575342465</v>
      </c>
      <c r="M19" s="16">
        <f>'[1]INVENTARIO NACIONAL 13-08-26'!M19</f>
        <v>1168</v>
      </c>
      <c r="N19" s="18">
        <f>'[1]INVENTARIO NACIONAL 13-08-26'!N19</f>
        <v>234.09090909090901</v>
      </c>
      <c r="O19" s="19">
        <f>'[1]INVENTARIO NACIONAL 13-08-26'!O19</f>
        <v>107</v>
      </c>
      <c r="P19" s="20">
        <f>'[1]INVENTARIO NACIONAL 13-08-26'!P19</f>
        <v>67.41</v>
      </c>
      <c r="Q19" s="17">
        <f>'[1]INVENTARIO NACIONAL 13-08-26'!Q19</f>
        <v>42.8</v>
      </c>
      <c r="R19" s="20">
        <f>'[1]INVENTARIO NACIONAL 13-08-26'!R19</f>
        <v>55</v>
      </c>
      <c r="S19" s="18">
        <f>'[1]INVENTARIO NACIONAL 13-08-26'!S19</f>
        <v>69.5</v>
      </c>
      <c r="T19" s="21">
        <f>'[1]INVENTARIO NACIONAL 13-08-26'!T19</f>
        <v>380</v>
      </c>
      <c r="U19" s="20">
        <f>'[1]INVENTARIO NACIONAL 13-08-26'!U19</f>
        <v>239.4</v>
      </c>
      <c r="V19" s="17">
        <f>'[1]INVENTARIO NACIONAL 13-08-26'!V19</f>
        <v>17.711864406779661</v>
      </c>
      <c r="W19" s="19">
        <f>'[1]INVENTARIO NACIONAL 13-08-26'!W19</f>
        <v>472</v>
      </c>
      <c r="X19" s="18">
        <f>'[1]INVENTARIO NACIONAL 13-08-26'!X19</f>
        <v>58.181818181818187</v>
      </c>
      <c r="Y19" s="22">
        <f>'[1]INVENTARIO NACIONAL 13-08-26'!Y19</f>
        <v>1854</v>
      </c>
      <c r="Z19" s="23">
        <f>'[1]INVENTARIO NACIONAL 13-08-26'!Z19</f>
        <v>1168.02</v>
      </c>
      <c r="AA19" s="24">
        <f ca="1">'[1]INVENTARIO NACIONAL 13-08-26'!AA19</f>
        <v>1441</v>
      </c>
      <c r="AB19" s="25">
        <f ca="1">'[1]INVENTARIO NACIONAL 13-08-26'!AB19</f>
        <v>12.866065232477446</v>
      </c>
      <c r="AC19" s="26">
        <f ca="1">'[1]INVENTARIO NACIONAL 13-08-26'!AC19</f>
        <v>1.2866065232477446</v>
      </c>
      <c r="AD19" s="29">
        <f ca="1">'[1]INVENTARIO NACIONAL 13-08-26'!AD19</f>
        <v>413</v>
      </c>
      <c r="AE19" s="30">
        <f ca="1">'[1]INVENTARIO NACIONAL 13-08-26'!AE19</f>
        <v>720.5</v>
      </c>
      <c r="AF19" s="28">
        <f ca="1">'[1]INVENTARIO NACIONAL 13-08-26'!AF19</f>
        <v>307.5</v>
      </c>
      <c r="AG19" s="31">
        <f>'[1]INVENTARIO NACIONAL 13-08-26'!AG19</f>
        <v>30.9</v>
      </c>
    </row>
    <row r="20" spans="2:33" x14ac:dyDescent="0.25">
      <c r="B20" s="13" t="s">
        <v>38</v>
      </c>
      <c r="C20" s="32" t="s">
        <v>39</v>
      </c>
      <c r="D20" s="15">
        <f>'[1]INVENTARIO NACIONAL 13-08-26'!D20</f>
        <v>0.63</v>
      </c>
      <c r="E20" s="16">
        <f>'[1]INVENTARIO NACIONAL 13-08-26'!E20</f>
        <v>0</v>
      </c>
      <c r="F20" s="17">
        <f>'[1]INVENTARIO NACIONAL 13-08-26'!F20</f>
        <v>0</v>
      </c>
      <c r="G20" s="17">
        <f>'[1]INVENTARIO NACIONAL 13-08-26'!G20</f>
        <v>0</v>
      </c>
      <c r="H20" s="16">
        <f>'[1]INVENTARIO NACIONAL 13-08-26'!H20</f>
        <v>3400</v>
      </c>
      <c r="I20" s="18">
        <f>'[1]INVENTARIO NACIONAL 13-08-26'!I20</f>
        <v>-2318.181818181818</v>
      </c>
      <c r="J20" s="19">
        <f>'[1]INVENTARIO NACIONAL 13-08-26'!J20</f>
        <v>3786</v>
      </c>
      <c r="K20" s="16">
        <f>'[1]INVENTARIO NACIONAL 13-08-26'!K20</f>
        <v>2385.1799999999998</v>
      </c>
      <c r="L20" s="17">
        <f>'[1]INVENTARIO NACIONAL 13-08-26'!L20</f>
        <v>42.582822085889575</v>
      </c>
      <c r="M20" s="16">
        <f>'[1]INVENTARIO NACIONAL 13-08-26'!M20</f>
        <v>1956</v>
      </c>
      <c r="N20" s="18">
        <f>'[1]INVENTARIO NACIONAL 13-08-26'!N20</f>
        <v>2896.909090909091</v>
      </c>
      <c r="O20" s="19">
        <f>'[1]INVENTARIO NACIONAL 13-08-26'!O20</f>
        <v>245</v>
      </c>
      <c r="P20" s="20">
        <f>'[1]INVENTARIO NACIONAL 13-08-26'!P20</f>
        <v>154.35</v>
      </c>
      <c r="Q20" s="17">
        <f>'[1]INVENTARIO NACIONAL 13-08-26'!Q20</f>
        <v>22.936170212765958</v>
      </c>
      <c r="R20" s="20">
        <f>'[1]INVENTARIO NACIONAL 13-08-26'!R20</f>
        <v>235</v>
      </c>
      <c r="S20" s="18">
        <f>'[1]INVENTARIO NACIONAL 13-08-26'!S20</f>
        <v>84.77272727272728</v>
      </c>
      <c r="T20" s="21">
        <f>'[1]INVENTARIO NACIONAL 13-08-26'!T20</f>
        <v>303</v>
      </c>
      <c r="U20" s="20">
        <f>'[1]INVENTARIO NACIONAL 13-08-26'!U20</f>
        <v>190.89000000000001</v>
      </c>
      <c r="V20" s="17">
        <f>'[1]INVENTARIO NACIONAL 13-08-26'!V20</f>
        <v>4.9709172259507834</v>
      </c>
      <c r="W20" s="19">
        <f>'[1]INVENTARIO NACIONAL 13-08-26'!W20</f>
        <v>1341</v>
      </c>
      <c r="X20" s="18">
        <f>'[1]INVENTARIO NACIONAL 13-08-26'!X20</f>
        <v>-611.31818181818176</v>
      </c>
      <c r="Y20" s="22">
        <f>'[1]INVENTARIO NACIONAL 13-08-26'!Y20</f>
        <v>4334</v>
      </c>
      <c r="Z20" s="23">
        <f>'[1]INVENTARIO NACIONAL 13-08-26'!Z20</f>
        <v>2730.42</v>
      </c>
      <c r="AA20" s="24">
        <f ca="1">'[1]INVENTARIO NACIONAL 13-08-26'!AA20</f>
        <v>3157</v>
      </c>
      <c r="AB20" s="25">
        <f ca="1">'[1]INVENTARIO NACIONAL 13-08-26'!AB20</f>
        <v>13.728222996515679</v>
      </c>
      <c r="AC20" s="26">
        <f ca="1">'[1]INVENTARIO NACIONAL 13-08-26'!AC20</f>
        <v>1.372822299651568</v>
      </c>
      <c r="AD20" s="29">
        <f ca="1">'[1]INVENTARIO NACIONAL 13-08-26'!AD20</f>
        <v>1177</v>
      </c>
      <c r="AE20" s="30">
        <f ca="1">'[1]INVENTARIO NACIONAL 13-08-26'!AE20</f>
        <v>1578.5</v>
      </c>
      <c r="AF20" s="28">
        <f ca="1">'[1]INVENTARIO NACIONAL 13-08-26'!AF20</f>
        <v>401.5</v>
      </c>
      <c r="AG20" s="31">
        <f>'[1]INVENTARIO NACIONAL 13-08-26'!AG20</f>
        <v>72.233333333333334</v>
      </c>
    </row>
    <row r="21" spans="2:33" x14ac:dyDescent="0.25">
      <c r="B21" s="13" t="s">
        <v>40</v>
      </c>
      <c r="C21" s="32" t="s">
        <v>41</v>
      </c>
      <c r="D21" s="15">
        <f>'[1]INVENTARIO NACIONAL 13-08-26'!D21</f>
        <v>1.0900000000000001</v>
      </c>
      <c r="E21" s="16">
        <f>'[1]INVENTARIO NACIONAL 13-08-26'!E21</f>
        <v>1789</v>
      </c>
      <c r="F21" s="17">
        <f>'[1]INVENTARIO NACIONAL 13-08-26'!F21</f>
        <v>1950.0100000000002</v>
      </c>
      <c r="G21" s="17">
        <f>'[1]INVENTARIO NACIONAL 13-08-26'!G21</f>
        <v>6.5237858445217967</v>
      </c>
      <c r="H21" s="16">
        <f>'[1]INVENTARIO NACIONAL 13-08-26'!H21</f>
        <v>6033</v>
      </c>
      <c r="I21" s="18">
        <f>'[1]INVENTARIO NACIONAL 13-08-26'!I21</f>
        <v>-2324.409090909091</v>
      </c>
      <c r="J21" s="19">
        <f>'[1]INVENTARIO NACIONAL 13-08-26'!J21</f>
        <v>5494</v>
      </c>
      <c r="K21" s="16">
        <f>'[1]INVENTARIO NACIONAL 13-08-26'!K21</f>
        <v>5988.46</v>
      </c>
      <c r="L21" s="17">
        <f>'[1]INVENTARIO NACIONAL 13-08-26'!L21</f>
        <v>18.681298299845441</v>
      </c>
      <c r="M21" s="16">
        <f>'[1]INVENTARIO NACIONAL 13-08-26'!M21</f>
        <v>6470</v>
      </c>
      <c r="N21" s="18">
        <f>'[1]INVENTARIO NACIONAL 13-08-26'!N21</f>
        <v>2553.0909090909095</v>
      </c>
      <c r="O21" s="19">
        <f>'[1]INVENTARIO NACIONAL 13-08-26'!O21</f>
        <v>551</v>
      </c>
      <c r="P21" s="20">
        <f>'[1]INVENTARIO NACIONAL 13-08-26'!P21</f>
        <v>600.59</v>
      </c>
      <c r="Q21" s="17">
        <f>'[1]INVENTARIO NACIONAL 13-08-26'!Q21</f>
        <v>20.721367521367522</v>
      </c>
      <c r="R21" s="20">
        <f>'[1]INVENTARIO NACIONAL 13-08-26'!R21</f>
        <v>585</v>
      </c>
      <c r="S21" s="18">
        <f>'[1]INVENTARIO NACIONAL 13-08-26'!S21</f>
        <v>152.13636363636363</v>
      </c>
      <c r="T21" s="21">
        <f>'[1]INVENTARIO NACIONAL 13-08-26'!T21</f>
        <v>1423</v>
      </c>
      <c r="U21" s="20">
        <f>'[1]INVENTARIO NACIONAL 13-08-26'!U21</f>
        <v>1551.0700000000002</v>
      </c>
      <c r="V21" s="17">
        <f>'[1]INVENTARIO NACIONAL 13-08-26'!V21</f>
        <v>14.184866334390577</v>
      </c>
      <c r="W21" s="19">
        <f>'[1]INVENTARIO NACIONAL 13-08-26'!W21</f>
        <v>2207</v>
      </c>
      <c r="X21" s="18">
        <f>'[1]INVENTARIO NACIONAL 13-08-26'!X21</f>
        <v>-81.772727272727252</v>
      </c>
      <c r="Y21" s="22">
        <f>'[1]INVENTARIO NACIONAL 13-08-26'!Y21</f>
        <v>9257</v>
      </c>
      <c r="Z21" s="23">
        <f>'[1]INVENTARIO NACIONAL 13-08-26'!Z21</f>
        <v>10090.130000000001</v>
      </c>
      <c r="AA21" s="24">
        <f ca="1">'[1]INVENTARIO NACIONAL 13-08-26'!AA21</f>
        <v>7180</v>
      </c>
      <c r="AB21" s="25">
        <f ca="1">'[1]INVENTARIO NACIONAL 13-08-26'!AB21</f>
        <v>12.892757660167131</v>
      </c>
      <c r="AC21" s="26">
        <f ca="1">'[1]INVENTARIO NACIONAL 13-08-26'!AC21</f>
        <v>1.2892757660167131</v>
      </c>
      <c r="AD21" s="29">
        <f ca="1">'[1]INVENTARIO NACIONAL 13-08-26'!AD21</f>
        <v>2077</v>
      </c>
      <c r="AE21" s="30">
        <f ca="1">'[1]INVENTARIO NACIONAL 13-08-26'!AE21</f>
        <v>3590</v>
      </c>
      <c r="AF21" s="28">
        <f ca="1">'[1]INVENTARIO NACIONAL 13-08-26'!AF21</f>
        <v>1513</v>
      </c>
      <c r="AG21" s="31">
        <f>'[1]INVENTARIO NACIONAL 13-08-26'!AG21</f>
        <v>171.42592592592592</v>
      </c>
    </row>
    <row r="22" spans="2:33" x14ac:dyDescent="0.25">
      <c r="B22" s="13" t="s">
        <v>42</v>
      </c>
      <c r="C22" s="32" t="s">
        <v>43</v>
      </c>
      <c r="D22" s="15">
        <f>'[1]INVENTARIO NACIONAL 13-08-26'!D22</f>
        <v>1.0900000000000001</v>
      </c>
      <c r="E22" s="16">
        <f>'[1]INVENTARIO NACIONAL 13-08-26'!E22</f>
        <v>3872</v>
      </c>
      <c r="F22" s="17">
        <f>'[1]INVENTARIO NACIONAL 13-08-26'!F22</f>
        <v>4220.4800000000005</v>
      </c>
      <c r="G22" s="17">
        <f>'[1]INVENTARIO NACIONAL 13-08-26'!G22</f>
        <v>19.408521303258144</v>
      </c>
      <c r="H22" s="16">
        <f>'[1]INVENTARIO NACIONAL 13-08-26'!H22</f>
        <v>4389</v>
      </c>
      <c r="I22" s="18">
        <f>'[1]INVENTARIO NACIONAL 13-08-26'!I22</f>
        <v>879.5</v>
      </c>
      <c r="J22" s="19">
        <f>'[1]INVENTARIO NACIONAL 13-08-26'!J22</f>
        <v>39</v>
      </c>
      <c r="K22" s="16">
        <f>'[1]INVENTARIO NACIONAL 13-08-26'!K22</f>
        <v>42.510000000000005</v>
      </c>
      <c r="L22" s="17">
        <f>'[1]INVENTARIO NACIONAL 13-08-26'!L22</f>
        <v>0.21546961325966851</v>
      </c>
      <c r="M22" s="16">
        <f>'[1]INVENTARIO NACIONAL 13-08-26'!M22</f>
        <v>3982</v>
      </c>
      <c r="N22" s="18">
        <f>'[1]INVENTARIO NACIONAL 13-08-26'!N22</f>
        <v>-1771</v>
      </c>
      <c r="O22" s="19">
        <f>'[1]INVENTARIO NACIONAL 13-08-26'!O22</f>
        <v>71</v>
      </c>
      <c r="P22" s="20">
        <f>'[1]INVENTARIO NACIONAL 13-08-26'!P22</f>
        <v>77.39</v>
      </c>
      <c r="Q22" s="17">
        <f>'[1]INVENTARIO NACIONAL 13-08-26'!Q22</f>
        <v>8.8248587570621471</v>
      </c>
      <c r="R22" s="20">
        <f>'[1]INVENTARIO NACIONAL 13-08-26'!R22</f>
        <v>177</v>
      </c>
      <c r="S22" s="18">
        <f>'[1]INVENTARIO NACIONAL 13-08-26'!S22</f>
        <v>-49.681818181818173</v>
      </c>
      <c r="T22" s="21">
        <f>'[1]INVENTARIO NACIONAL 13-08-26'!T22</f>
        <v>393</v>
      </c>
      <c r="U22" s="20">
        <f>'[1]INVENTARIO NACIONAL 13-08-26'!U22</f>
        <v>428.37</v>
      </c>
      <c r="V22" s="17">
        <f>'[1]INVENTARIO NACIONAL 13-08-26'!V22</f>
        <v>8.5944333996023854</v>
      </c>
      <c r="W22" s="19">
        <f>'[1]INVENTARIO NACIONAL 13-08-26'!W22</f>
        <v>1006</v>
      </c>
      <c r="X22" s="18">
        <f>'[1]INVENTARIO NACIONAL 13-08-26'!X22</f>
        <v>-292.90909090909088</v>
      </c>
      <c r="Y22" s="22">
        <f>'[1]INVENTARIO NACIONAL 13-08-26'!Y22</f>
        <v>4375</v>
      </c>
      <c r="Z22" s="23">
        <f>'[1]INVENTARIO NACIONAL 13-08-26'!Z22</f>
        <v>4768.75</v>
      </c>
      <c r="AA22" s="24">
        <f ca="1">'[1]INVENTARIO NACIONAL 13-08-26'!AA22</f>
        <v>3422</v>
      </c>
      <c r="AB22" s="25">
        <f ca="1">'[1]INVENTARIO NACIONAL 13-08-26'!AB22</f>
        <v>12.784921098772648</v>
      </c>
      <c r="AC22" s="26">
        <f ca="1">'[1]INVENTARIO NACIONAL 13-08-26'!AC22</f>
        <v>1.2784921098772648</v>
      </c>
      <c r="AD22" s="29">
        <f ca="1">'[1]INVENTARIO NACIONAL 13-08-26'!AD22</f>
        <v>953</v>
      </c>
      <c r="AE22" s="30">
        <f ca="1">'[1]INVENTARIO NACIONAL 13-08-26'!AE22</f>
        <v>1711</v>
      </c>
      <c r="AF22" s="28">
        <f ca="1">'[1]INVENTARIO NACIONAL 13-08-26'!AF22</f>
        <v>758</v>
      </c>
      <c r="AG22" s="31">
        <f>'[1]INVENTARIO NACIONAL 13-08-26'!AG22</f>
        <v>81.018518518518519</v>
      </c>
    </row>
    <row r="23" spans="2:33" x14ac:dyDescent="0.25">
      <c r="B23" s="13" t="s">
        <v>44</v>
      </c>
      <c r="C23" s="32" t="s">
        <v>45</v>
      </c>
      <c r="D23" s="15">
        <f>'[1]INVENTARIO NACIONAL 13-08-26'!D23</f>
        <v>1.1599999999999999</v>
      </c>
      <c r="E23" s="16">
        <f>'[1]INVENTARIO NACIONAL 13-08-26'!E23</f>
        <v>13370</v>
      </c>
      <c r="F23" s="17">
        <f>'[1]INVENTARIO NACIONAL 13-08-26'!F23</f>
        <v>15509.199999999999</v>
      </c>
      <c r="G23" s="17">
        <f>'[1]INVENTARIO NACIONAL 13-08-26'!G23</f>
        <v>7.9255247487403331</v>
      </c>
      <c r="H23" s="16">
        <f>'[1]INVENTARIO NACIONAL 13-08-26'!H23</f>
        <v>37113</v>
      </c>
      <c r="I23" s="18">
        <f>'[1]INVENTARIO NACIONAL 13-08-26'!I23</f>
        <v>-11934.318181818184</v>
      </c>
      <c r="J23" s="19">
        <f>'[1]INVENTARIO NACIONAL 13-08-26'!J23</f>
        <v>13361</v>
      </c>
      <c r="K23" s="16">
        <f>'[1]INVENTARIO NACIONAL 13-08-26'!K23</f>
        <v>15498.759999999998</v>
      </c>
      <c r="L23" s="17">
        <f>'[1]INVENTARIO NACIONAL 13-08-26'!L23</f>
        <v>15.051564340211993</v>
      </c>
      <c r="M23" s="16">
        <f>'[1]INVENTARIO NACIONAL 13-08-26'!M23</f>
        <v>19529</v>
      </c>
      <c r="N23" s="18">
        <f>'[1]INVENTARIO NACIONAL 13-08-26'!N23</f>
        <v>4484.181818181818</v>
      </c>
      <c r="O23" s="19">
        <f>'[1]INVENTARIO NACIONAL 13-08-26'!O23</f>
        <v>2041</v>
      </c>
      <c r="P23" s="20">
        <f>'[1]INVENTARIO NACIONAL 13-08-26'!P23</f>
        <v>2367.56</v>
      </c>
      <c r="Q23" s="17">
        <f>'[1]INVENTARIO NACIONAL 13-08-26'!Q23</f>
        <v>13.79054054054054</v>
      </c>
      <c r="R23" s="20">
        <f>'[1]INVENTARIO NACIONAL 13-08-26'!R23</f>
        <v>3256</v>
      </c>
      <c r="S23" s="18">
        <f>'[1]INVENTARIO NACIONAL 13-08-26'!S23</f>
        <v>-179</v>
      </c>
      <c r="T23" s="21">
        <f>'[1]INVENTARIO NACIONAL 13-08-26'!T23</f>
        <v>8052</v>
      </c>
      <c r="U23" s="20">
        <f>'[1]INVENTARIO NACIONAL 13-08-26'!U23</f>
        <v>9340.32</v>
      </c>
      <c r="V23" s="17">
        <f>'[1]INVENTARIO NACIONAL 13-08-26'!V23</f>
        <v>12.933051033072935</v>
      </c>
      <c r="W23" s="19">
        <f>'[1]INVENTARIO NACIONAL 13-08-26'!W23</f>
        <v>13697</v>
      </c>
      <c r="X23" s="18">
        <f>'[1]INVENTARIO NACIONAL 13-08-26'!X23</f>
        <v>-1286.863636363636</v>
      </c>
      <c r="Y23" s="22">
        <f>'[1]INVENTARIO NACIONAL 13-08-26'!Y23</f>
        <v>36824</v>
      </c>
      <c r="Z23" s="23">
        <f>'[1]INVENTARIO NACIONAL 13-08-26'!Z23</f>
        <v>42715.839999999997</v>
      </c>
      <c r="AA23" s="24">
        <f ca="1">'[1]INVENTARIO NACIONAL 13-08-26'!AA23</f>
        <v>36510</v>
      </c>
      <c r="AB23" s="25">
        <f ca="1">'[1]INVENTARIO NACIONAL 13-08-26'!AB23</f>
        <v>10.086003834565872</v>
      </c>
      <c r="AC23" s="26">
        <f ca="1">'[1]INVENTARIO NACIONAL 13-08-26'!AC23</f>
        <v>1.0086003834565873</v>
      </c>
      <c r="AD23" s="29">
        <f ca="1">'[1]INVENTARIO NACIONAL 13-08-26'!AD23</f>
        <v>314</v>
      </c>
      <c r="AE23" s="30">
        <f ca="1">'[1]INVENTARIO NACIONAL 13-08-26'!AE23</f>
        <v>18255</v>
      </c>
      <c r="AF23" s="28">
        <f ca="1">'[1]INVENTARIO NACIONAL 13-08-26'!AF23</f>
        <v>17941</v>
      </c>
      <c r="AG23" s="31">
        <f>'[1]INVENTARIO NACIONAL 13-08-26'!AG23</f>
        <v>681.92592592592598</v>
      </c>
    </row>
    <row r="24" spans="2:33" x14ac:dyDescent="0.25">
      <c r="B24" s="13" t="s">
        <v>46</v>
      </c>
      <c r="C24" s="32" t="s">
        <v>47</v>
      </c>
      <c r="D24" s="15">
        <f>'[1]INVENTARIO NACIONAL 13-08-26'!D24</f>
        <v>1.1599999999999999</v>
      </c>
      <c r="E24" s="16">
        <f>'[1]INVENTARIO NACIONAL 13-08-26'!E24</f>
        <v>7451</v>
      </c>
      <c r="F24" s="17">
        <f>'[1]INVENTARIO NACIONAL 13-08-26'!F24</f>
        <v>8643.16</v>
      </c>
      <c r="G24" s="17">
        <f>'[1]INVENTARIO NACIONAL 13-08-26'!G24</f>
        <v>6.2014148980441117</v>
      </c>
      <c r="H24" s="16">
        <f>'[1]INVENTARIO NACIONAL 13-08-26'!H24</f>
        <v>26433</v>
      </c>
      <c r="I24" s="18">
        <f>'[1]INVENTARIO NACIONAL 13-08-26'!I24</f>
        <v>-10571.5</v>
      </c>
      <c r="J24" s="19">
        <f>'[1]INVENTARIO NACIONAL 13-08-26'!J24</f>
        <v>9045</v>
      </c>
      <c r="K24" s="16">
        <f>'[1]INVENTARIO NACIONAL 13-08-26'!K24</f>
        <v>10492.199999999999</v>
      </c>
      <c r="L24" s="17">
        <f>'[1]INVENTARIO NACIONAL 13-08-26'!L24</f>
        <v>15.135772419563398</v>
      </c>
      <c r="M24" s="16">
        <f>'[1]INVENTARIO NACIONAL 13-08-26'!M24</f>
        <v>13147</v>
      </c>
      <c r="N24" s="18">
        <f>'[1]INVENTARIO NACIONAL 13-08-26'!N24</f>
        <v>3069.090909090909</v>
      </c>
      <c r="O24" s="19">
        <f>'[1]INVENTARIO NACIONAL 13-08-26'!O24</f>
        <v>1495</v>
      </c>
      <c r="P24" s="20">
        <f>'[1]INVENTARIO NACIONAL 13-08-26'!P24</f>
        <v>1734.1999999999998</v>
      </c>
      <c r="Q24" s="17">
        <f>'[1]INVENTARIO NACIONAL 13-08-26'!Q24</f>
        <v>16.737913486005091</v>
      </c>
      <c r="R24" s="20">
        <f>'[1]INVENTARIO NACIONAL 13-08-26'!R24</f>
        <v>1965</v>
      </c>
      <c r="S24" s="18">
        <f>'[1]INVENTARIO NACIONAL 13-08-26'!S24</f>
        <v>155.22727272727275</v>
      </c>
      <c r="T24" s="21">
        <f>'[1]INVENTARIO NACIONAL 13-08-26'!T24</f>
        <v>5337</v>
      </c>
      <c r="U24" s="20">
        <f>'[1]INVENTARIO NACIONAL 13-08-26'!U24</f>
        <v>6190.9199999999992</v>
      </c>
      <c r="V24" s="17">
        <f>'[1]INVENTARIO NACIONAL 13-08-26'!V24</f>
        <v>14.761629368871008</v>
      </c>
      <c r="W24" s="19">
        <f>'[1]INVENTARIO NACIONAL 13-08-26'!W24</f>
        <v>7954</v>
      </c>
      <c r="X24" s="18">
        <f>'[1]INVENTARIO NACIONAL 13-08-26'!X24</f>
        <v>-86.181818181818016</v>
      </c>
      <c r="Y24" s="22">
        <f>'[1]INVENTARIO NACIONAL 13-08-26'!Y24</f>
        <v>23328</v>
      </c>
      <c r="Z24" s="23">
        <f>'[1]INVENTARIO NACIONAL 13-08-26'!Z24</f>
        <v>27060.48</v>
      </c>
      <c r="AA24" s="24">
        <f ca="1">'[1]INVENTARIO NACIONAL 13-08-26'!AA24</f>
        <v>24080</v>
      </c>
      <c r="AB24" s="25">
        <f ca="1">'[1]INVENTARIO NACIONAL 13-08-26'!AB24</f>
        <v>9.6877076411960132</v>
      </c>
      <c r="AC24" s="26">
        <f ca="1">'[1]INVENTARIO NACIONAL 13-08-26'!AC24</f>
        <v>0.96877076411960128</v>
      </c>
      <c r="AD24" s="29">
        <f ca="1">'[1]INVENTARIO NACIONAL 13-08-26'!AD24</f>
        <v>-752</v>
      </c>
      <c r="AE24" s="30">
        <f ca="1">'[1]INVENTARIO NACIONAL 13-08-26'!AE24</f>
        <v>12040</v>
      </c>
      <c r="AF24" s="28">
        <f ca="1">'[1]INVENTARIO NACIONAL 13-08-26'!AF24</f>
        <v>12792</v>
      </c>
      <c r="AG24" s="31">
        <f>'[1]INVENTARIO NACIONAL 13-08-26'!AG24</f>
        <v>432</v>
      </c>
    </row>
    <row r="25" spans="2:33" x14ac:dyDescent="0.25">
      <c r="B25" s="13" t="s">
        <v>48</v>
      </c>
      <c r="C25" s="32" t="s">
        <v>49</v>
      </c>
      <c r="D25" s="15">
        <f>'[1]INVENTARIO NACIONAL 13-08-26'!D25</f>
        <v>1.1599999999999999</v>
      </c>
      <c r="E25" s="16">
        <f>'[1]INVENTARIO NACIONAL 13-08-26'!E25</f>
        <v>9717</v>
      </c>
      <c r="F25" s="17">
        <f>'[1]INVENTARIO NACIONAL 13-08-26'!F25</f>
        <v>11271.72</v>
      </c>
      <c r="G25" s="17">
        <f>'[1]INVENTARIO NACIONAL 13-08-26'!G25</f>
        <v>8.2328429484710774</v>
      </c>
      <c r="H25" s="16">
        <f>'[1]INVENTARIO NACIONAL 13-08-26'!H25</f>
        <v>25966</v>
      </c>
      <c r="I25" s="18">
        <f>'[1]INVENTARIO NACIONAL 13-08-26'!I25</f>
        <v>-7987.0909090909081</v>
      </c>
      <c r="J25" s="19">
        <f>'[1]INVENTARIO NACIONAL 13-08-26'!J25</f>
        <v>9886</v>
      </c>
      <c r="K25" s="16">
        <f>'[1]INVENTARIO NACIONAL 13-08-26'!K25</f>
        <v>11467.759999999998</v>
      </c>
      <c r="L25" s="17">
        <f>'[1]INVENTARIO NACIONAL 13-08-26'!L25</f>
        <v>16.768851195065537</v>
      </c>
      <c r="M25" s="16">
        <f>'[1]INVENTARIO NACIONAL 13-08-26'!M25</f>
        <v>12970</v>
      </c>
      <c r="N25" s="18">
        <f>'[1]INVENTARIO NACIONAL 13-08-26'!N25</f>
        <v>3990.545454545455</v>
      </c>
      <c r="O25" s="19">
        <f>'[1]INVENTARIO NACIONAL 13-08-26'!O25</f>
        <v>1621</v>
      </c>
      <c r="P25" s="20">
        <f>'[1]INVENTARIO NACIONAL 13-08-26'!P25</f>
        <v>1880.36</v>
      </c>
      <c r="Q25" s="17">
        <f>'[1]INVENTARIO NACIONAL 13-08-26'!Q25</f>
        <v>14.815953469048608</v>
      </c>
      <c r="R25" s="20">
        <f>'[1]INVENTARIO NACIONAL 13-08-26'!R25</f>
        <v>2407</v>
      </c>
      <c r="S25" s="18">
        <f>'[1]INVENTARIO NACIONAL 13-08-26'!S25</f>
        <v>-20.136363636363512</v>
      </c>
      <c r="T25" s="21">
        <f>'[1]INVENTARIO NACIONAL 13-08-26'!T25</f>
        <v>5547</v>
      </c>
      <c r="U25" s="20">
        <f>'[1]INVENTARIO NACIONAL 13-08-26'!U25</f>
        <v>6434.5199999999995</v>
      </c>
      <c r="V25" s="17">
        <f>'[1]INVENTARIO NACIONAL 13-08-26'!V25</f>
        <v>15.875374008065563</v>
      </c>
      <c r="W25" s="19">
        <f>'[1]INVENTARIO NACIONAL 13-08-26'!W25</f>
        <v>7687</v>
      </c>
      <c r="X25" s="18">
        <f>'[1]INVENTARIO NACIONAL 13-08-26'!X25</f>
        <v>305.86363636363603</v>
      </c>
      <c r="Y25" s="22">
        <f>'[1]INVENTARIO NACIONAL 13-08-26'!Y25</f>
        <v>26771</v>
      </c>
      <c r="Z25" s="23">
        <f>'[1]INVENTARIO NACIONAL 13-08-26'!Z25</f>
        <v>31054.359999999997</v>
      </c>
      <c r="AA25" s="24">
        <f ca="1">'[1]INVENTARIO NACIONAL 13-08-26'!AA25</f>
        <v>23292</v>
      </c>
      <c r="AB25" s="25">
        <f ca="1">'[1]INVENTARIO NACIONAL 13-08-26'!AB25</f>
        <v>11.493645886999829</v>
      </c>
      <c r="AC25" s="26">
        <f ca="1">'[1]INVENTARIO NACIONAL 13-08-26'!AC25</f>
        <v>1.1493645886999828</v>
      </c>
      <c r="AD25" s="29">
        <f ca="1">'[1]INVENTARIO NACIONAL 13-08-26'!AD25</f>
        <v>3479</v>
      </c>
      <c r="AE25" s="30">
        <f ca="1">'[1]INVENTARIO NACIONAL 13-08-26'!AE25</f>
        <v>11646</v>
      </c>
      <c r="AF25" s="28">
        <f ca="1">'[1]INVENTARIO NACIONAL 13-08-26'!AF25</f>
        <v>8167</v>
      </c>
      <c r="AG25" s="31">
        <f>'[1]INVENTARIO NACIONAL 13-08-26'!AG25</f>
        <v>495.75925925925924</v>
      </c>
    </row>
    <row r="26" spans="2:33" x14ac:dyDescent="0.25">
      <c r="B26" s="13" t="s">
        <v>50</v>
      </c>
      <c r="C26" s="32" t="s">
        <v>51</v>
      </c>
      <c r="D26" s="15">
        <f>'[1]INVENTARIO NACIONAL 13-08-26'!D26</f>
        <v>1.1599999999999999</v>
      </c>
      <c r="E26" s="16">
        <f>'[1]INVENTARIO NACIONAL 13-08-26'!E26</f>
        <v>16373</v>
      </c>
      <c r="F26" s="17">
        <f>'[1]INVENTARIO NACIONAL 13-08-26'!F26</f>
        <v>18992.68</v>
      </c>
      <c r="G26" s="17">
        <f>'[1]INVENTARIO NACIONAL 13-08-26'!G26</f>
        <v>12.587133522032358</v>
      </c>
      <c r="H26" s="16">
        <f>'[1]INVENTARIO NACIONAL 13-08-26'!H26</f>
        <v>28617</v>
      </c>
      <c r="I26" s="18">
        <f>'[1]INVENTARIO NACIONAL 13-08-26'!I26</f>
        <v>-3138.5909090909081</v>
      </c>
      <c r="J26" s="19">
        <f>'[1]INVENTARIO NACIONAL 13-08-26'!J26</f>
        <v>12895</v>
      </c>
      <c r="K26" s="16">
        <f>'[1]INVENTARIO NACIONAL 13-08-26'!K26</f>
        <v>14958.199999999999</v>
      </c>
      <c r="L26" s="17">
        <f>'[1]INVENTARIO NACIONAL 13-08-26'!L26</f>
        <v>18.768772742308965</v>
      </c>
      <c r="M26" s="16">
        <f>'[1]INVENTARIO NACIONAL 13-08-26'!M26</f>
        <v>15115</v>
      </c>
      <c r="N26" s="18">
        <f>'[1]INVENTARIO NACIONAL 13-08-26'!N26</f>
        <v>6024.545454545455</v>
      </c>
      <c r="O26" s="19">
        <f>'[1]INVENTARIO NACIONAL 13-08-26'!O26</f>
        <v>1699</v>
      </c>
      <c r="P26" s="20">
        <f>'[1]INVENTARIO NACIONAL 13-08-26'!P26</f>
        <v>1970.84</v>
      </c>
      <c r="Q26" s="17">
        <f>'[1]INVENTARIO NACIONAL 13-08-26'!Q26</f>
        <v>16.487869430966033</v>
      </c>
      <c r="R26" s="20">
        <f>'[1]INVENTARIO NACIONAL 13-08-26'!R26</f>
        <v>2267</v>
      </c>
      <c r="S26" s="18">
        <f>'[1]INVENTARIO NACIONAL 13-08-26'!S26</f>
        <v>153.31818181818176</v>
      </c>
      <c r="T26" s="21">
        <f>'[1]INVENTARIO NACIONAL 13-08-26'!T26</f>
        <v>6226</v>
      </c>
      <c r="U26" s="20">
        <f>'[1]INVENTARIO NACIONAL 13-08-26'!U26</f>
        <v>7222.16</v>
      </c>
      <c r="V26" s="17">
        <f>'[1]INVENTARIO NACIONAL 13-08-26'!V26</f>
        <v>15.090007711799053</v>
      </c>
      <c r="W26" s="19">
        <f>'[1]INVENTARIO NACIONAL 13-08-26'!W26</f>
        <v>9077</v>
      </c>
      <c r="X26" s="18">
        <f>'[1]INVENTARIO NACIONAL 13-08-26'!X26</f>
        <v>37.136363636363967</v>
      </c>
      <c r="Y26" s="22">
        <f>'[1]INVENTARIO NACIONAL 13-08-26'!Y26</f>
        <v>37193</v>
      </c>
      <c r="Z26" s="23">
        <f>'[1]INVENTARIO NACIONAL 13-08-26'!Z26</f>
        <v>43143.88</v>
      </c>
      <c r="AA26" s="24">
        <f ca="1">'[1]INVENTARIO NACIONAL 13-08-26'!AA26</f>
        <v>27946</v>
      </c>
      <c r="AB26" s="25">
        <f ca="1">'[1]INVENTARIO NACIONAL 13-08-26'!AB26</f>
        <v>13.308881414155872</v>
      </c>
      <c r="AC26" s="26">
        <f ca="1">'[1]INVENTARIO NACIONAL 13-08-26'!AC26</f>
        <v>1.3308881414155873</v>
      </c>
      <c r="AD26" s="29">
        <f ca="1">'[1]INVENTARIO NACIONAL 13-08-26'!AD26</f>
        <v>9247</v>
      </c>
      <c r="AE26" s="30">
        <f ca="1">'[1]INVENTARIO NACIONAL 13-08-26'!AE26</f>
        <v>13973</v>
      </c>
      <c r="AF26" s="28">
        <f ca="1">'[1]INVENTARIO NACIONAL 13-08-26'!AF26</f>
        <v>4726</v>
      </c>
      <c r="AG26" s="31">
        <f>'[1]INVENTARIO NACIONAL 13-08-26'!AG26</f>
        <v>688.75925925925924</v>
      </c>
    </row>
    <row r="27" spans="2:33" x14ac:dyDescent="0.25">
      <c r="B27" s="13" t="s">
        <v>52</v>
      </c>
      <c r="C27" s="32" t="s">
        <v>53</v>
      </c>
      <c r="D27" s="15">
        <f>'[1]INVENTARIO NACIONAL 13-08-26'!D27</f>
        <v>1.1599999999999999</v>
      </c>
      <c r="E27" s="16">
        <f>'[1]INVENTARIO NACIONAL 13-08-26'!E27</f>
        <v>3037</v>
      </c>
      <c r="F27" s="17">
        <f>'[1]INVENTARIO NACIONAL 13-08-26'!F27</f>
        <v>3522.9199999999996</v>
      </c>
      <c r="G27" s="17">
        <f>'[1]INVENTARIO NACIONAL 13-08-26'!G27</f>
        <v>56.193439865433135</v>
      </c>
      <c r="H27" s="16">
        <f>'[1]INVENTARIO NACIONAL 13-08-26'!H27</f>
        <v>1189</v>
      </c>
      <c r="I27" s="18">
        <f>'[1]INVENTARIO NACIONAL 13-08-26'!I27</f>
        <v>2226.318181818182</v>
      </c>
      <c r="J27" s="19">
        <f>'[1]INVENTARIO NACIONAL 13-08-26'!J27</f>
        <v>1</v>
      </c>
      <c r="K27" s="16">
        <f>'[1]INVENTARIO NACIONAL 13-08-26'!K27</f>
        <v>1.1599999999999999</v>
      </c>
      <c r="L27" s="17">
        <f>'[1]INVENTARIO NACIONAL 13-08-26'!L27</f>
        <v>1.5267175572519083E-2</v>
      </c>
      <c r="M27" s="16">
        <f>'[1]INVENTARIO NACIONAL 13-08-26'!M27</f>
        <v>1441</v>
      </c>
      <c r="N27" s="18">
        <f>'[1]INVENTARIO NACIONAL 13-08-26'!N27</f>
        <v>-654</v>
      </c>
      <c r="O27" s="19">
        <f>'[1]INVENTARIO NACIONAL 13-08-26'!O27</f>
        <v>0</v>
      </c>
      <c r="P27" s="20">
        <f>'[1]INVENTARIO NACIONAL 13-08-26'!P27</f>
        <v>0</v>
      </c>
      <c r="Q27" s="17">
        <f>'[1]INVENTARIO NACIONAL 13-08-26'!Q27</f>
        <v>0</v>
      </c>
      <c r="R27" s="20">
        <f>'[1]INVENTARIO NACIONAL 13-08-26'!R27</f>
        <v>138</v>
      </c>
      <c r="S27" s="18">
        <f>'[1]INVENTARIO NACIONAL 13-08-26'!S27</f>
        <v>-94.090909090909093</v>
      </c>
      <c r="T27" s="21">
        <f>'[1]INVENTARIO NACIONAL 13-08-26'!T27</f>
        <v>5</v>
      </c>
      <c r="U27" s="20">
        <f>'[1]INVENTARIO NACIONAL 13-08-26'!U27</f>
        <v>5.8</v>
      </c>
      <c r="V27" s="17">
        <f>'[1]INVENTARIO NACIONAL 13-08-26'!V27</f>
        <v>0.29972752043596729</v>
      </c>
      <c r="W27" s="19">
        <f>'[1]INVENTARIO NACIONAL 13-08-26'!W27</f>
        <v>367</v>
      </c>
      <c r="X27" s="18">
        <f>'[1]INVENTARIO NACIONAL 13-08-26'!X27</f>
        <v>-245.22727272727275</v>
      </c>
      <c r="Y27" s="22">
        <f>'[1]INVENTARIO NACIONAL 13-08-26'!Y27</f>
        <v>3043</v>
      </c>
      <c r="Z27" s="23">
        <f>'[1]INVENTARIO NACIONAL 13-08-26'!Z27</f>
        <v>3529.8799999999997</v>
      </c>
      <c r="AA27" s="24">
        <f ca="1">'[1]INVENTARIO NACIONAL 13-08-26'!AA27</f>
        <v>355</v>
      </c>
      <c r="AB27" s="25">
        <f ca="1">'[1]INVENTARIO NACIONAL 13-08-26'!AB27</f>
        <v>85.718309859154928</v>
      </c>
      <c r="AC27" s="26">
        <f ca="1">'[1]INVENTARIO NACIONAL 13-08-26'!AC27</f>
        <v>8.5718309859154935</v>
      </c>
      <c r="AD27" s="29">
        <f ca="1">'[1]INVENTARIO NACIONAL 13-08-26'!AD27</f>
        <v>2688</v>
      </c>
      <c r="AE27" s="30">
        <f ca="1">'[1]INVENTARIO NACIONAL 13-08-26'!AE27</f>
        <v>177.5</v>
      </c>
      <c r="AF27" s="28">
        <f ca="1">'[1]INVENTARIO NACIONAL 13-08-26'!AF27</f>
        <v>-2510.5</v>
      </c>
      <c r="AG27" s="31">
        <f>'[1]INVENTARIO NACIONAL 13-08-26'!AG27</f>
        <v>56.351851851851855</v>
      </c>
    </row>
    <row r="28" spans="2:33" x14ac:dyDescent="0.25">
      <c r="B28" s="13">
        <v>130157</v>
      </c>
      <c r="C28" s="32" t="s">
        <v>54</v>
      </c>
      <c r="D28" s="15">
        <f>'[1]INVENTARIO NACIONAL 13-08-26'!D28</f>
        <v>1.1599999999999999</v>
      </c>
      <c r="E28" s="16">
        <f>'[1]INVENTARIO NACIONAL 13-08-26'!E28</f>
        <v>1998</v>
      </c>
      <c r="F28" s="17">
        <f>'[1]INVENTARIO NACIONAL 13-08-26'!F28</f>
        <v>2317.6799999999998</v>
      </c>
      <c r="G28" s="17">
        <v>0</v>
      </c>
      <c r="H28" s="33">
        <f>'[1]INVENTARIO NACIONAL 13-08-26'!H28</f>
        <v>0</v>
      </c>
      <c r="I28" s="18">
        <f>'[1]INVENTARIO NACIONAL 13-08-26'!I28</f>
        <v>1998</v>
      </c>
      <c r="J28" s="19">
        <f>'[1]INVENTARIO NACIONAL 13-08-26'!J28</f>
        <v>3186</v>
      </c>
      <c r="K28" s="16">
        <f>'[1]INVENTARIO NACIONAL 13-08-26'!K28</f>
        <v>3695.7599999999998</v>
      </c>
      <c r="L28" s="17">
        <f ca="1">'[1]INVENTARIO NACIONAL 13-08-26'!L28</f>
        <v>29.971777986829728</v>
      </c>
      <c r="M28" s="33">
        <f ca="1">'[1]INVENTARIO NACIONAL 13-08-26'!M28</f>
        <v>2338.6</v>
      </c>
      <c r="N28" s="18">
        <f ca="1">'[1]INVENTARIO NACIONAL 13-08-26'!N28</f>
        <v>2123</v>
      </c>
      <c r="O28" s="19">
        <f>'[1]INVENTARIO NACIONAL 13-08-26'!O28</f>
        <v>324</v>
      </c>
      <c r="P28" s="20">
        <f>'[1]INVENTARIO NACIONAL 13-08-26'!P28</f>
        <v>375.84</v>
      </c>
      <c r="Q28" s="17">
        <v>0</v>
      </c>
      <c r="R28" s="20">
        <f>'[1]INVENTARIO NACIONAL 13-08-26'!R28</f>
        <v>0</v>
      </c>
      <c r="S28" s="18">
        <f>'[1]INVENTARIO NACIONAL 13-08-26'!S28</f>
        <v>324</v>
      </c>
      <c r="T28" s="21">
        <f>'[1]INVENTARIO NACIONAL 13-08-26'!T28</f>
        <v>0</v>
      </c>
      <c r="U28" s="20">
        <f>'[1]INVENTARIO NACIONAL 13-08-26'!U28</f>
        <v>0</v>
      </c>
      <c r="V28" s="17">
        <v>0</v>
      </c>
      <c r="W28" s="19">
        <f>'[1]INVENTARIO NACIONAL 13-08-26'!W28</f>
        <v>0</v>
      </c>
      <c r="X28" s="18">
        <f>'[1]INVENTARIO NACIONAL 13-08-26'!X28</f>
        <v>0</v>
      </c>
      <c r="Y28" s="22">
        <f>'[1]INVENTARIO NACIONAL 13-08-26'!Y28</f>
        <v>5508</v>
      </c>
      <c r="Z28" s="23">
        <f>'[1]INVENTARIO NACIONAL 13-08-26'!Z28</f>
        <v>6389.28</v>
      </c>
      <c r="AA28" s="24">
        <f ca="1">'[1]INVENTARIO NACIONAL 13-08-26'!AA28</f>
        <v>1063</v>
      </c>
      <c r="AB28" s="25">
        <f ca="1">'[1]INVENTARIO NACIONAL 13-08-26'!AB28</f>
        <v>51.815616180620886</v>
      </c>
      <c r="AC28" s="26">
        <f ca="1">'[1]INVENTARIO NACIONAL 13-08-26'!AC28</f>
        <v>5.181561618062088</v>
      </c>
      <c r="AD28" s="29">
        <f ca="1">'[1]INVENTARIO NACIONAL 13-08-26'!AD28</f>
        <v>4445</v>
      </c>
      <c r="AE28" s="30">
        <f ca="1">'[1]INVENTARIO NACIONAL 13-08-26'!AE28</f>
        <v>531.5</v>
      </c>
      <c r="AF28" s="28">
        <f ca="1">'[1]INVENTARIO NACIONAL 13-08-26'!AF28</f>
        <v>-3913.5</v>
      </c>
      <c r="AG28" s="31">
        <f>'[1]INVENTARIO NACIONAL 13-08-26'!AG28</f>
        <v>102</v>
      </c>
    </row>
    <row r="29" spans="2:33" x14ac:dyDescent="0.25">
      <c r="B29" s="13">
        <v>130158</v>
      </c>
      <c r="C29" s="32" t="s">
        <v>55</v>
      </c>
      <c r="D29" s="15">
        <f>'[1]INVENTARIO NACIONAL 13-08-26'!D29</f>
        <v>1.1599999999999999</v>
      </c>
      <c r="E29" s="16">
        <f>'[1]INVENTARIO NACIONAL 13-08-26'!E29</f>
        <v>1998</v>
      </c>
      <c r="F29" s="17">
        <f>'[1]INVENTARIO NACIONAL 13-08-26'!F29</f>
        <v>2317.6799999999998</v>
      </c>
      <c r="G29" s="17">
        <v>0</v>
      </c>
      <c r="H29" s="33">
        <f>'[1]INVENTARIO NACIONAL 13-08-26'!H29</f>
        <v>0</v>
      </c>
      <c r="I29" s="18">
        <f>'[1]INVENTARIO NACIONAL 13-08-26'!I29</f>
        <v>1998</v>
      </c>
      <c r="J29" s="19">
        <f>'[1]INVENTARIO NACIONAL 13-08-26'!J29</f>
        <v>3154</v>
      </c>
      <c r="K29" s="16">
        <f>'[1]INVENTARIO NACIONAL 13-08-26'!K29</f>
        <v>3658.64</v>
      </c>
      <c r="L29" s="17">
        <f ca="1">'[1]INVENTARIO NACIONAL 13-08-26'!L29</f>
        <v>21.872399445214981</v>
      </c>
      <c r="M29" s="33">
        <f ca="1">'[1]INVENTARIO NACIONAL 13-08-26'!M29</f>
        <v>3172.3999999999996</v>
      </c>
      <c r="N29" s="18">
        <f ca="1">'[1]INVENTARIO NACIONAL 13-08-26'!N29</f>
        <v>1712</v>
      </c>
      <c r="O29" s="19">
        <f>'[1]INVENTARIO NACIONAL 13-08-26'!O29</f>
        <v>324</v>
      </c>
      <c r="P29" s="20">
        <f>'[1]INVENTARIO NACIONAL 13-08-26'!P29</f>
        <v>375.84</v>
      </c>
      <c r="Q29" s="17">
        <v>0</v>
      </c>
      <c r="R29" s="20">
        <f>'[1]INVENTARIO NACIONAL 13-08-26'!R29</f>
        <v>0</v>
      </c>
      <c r="S29" s="18">
        <f>'[1]INVENTARIO NACIONAL 13-08-26'!S29</f>
        <v>324</v>
      </c>
      <c r="T29" s="21">
        <f>'[1]INVENTARIO NACIONAL 13-08-26'!T29</f>
        <v>0</v>
      </c>
      <c r="U29" s="20">
        <f>'[1]INVENTARIO NACIONAL 13-08-26'!U29</f>
        <v>0</v>
      </c>
      <c r="V29" s="17">
        <v>0</v>
      </c>
      <c r="W29" s="19">
        <f>'[1]INVENTARIO NACIONAL 13-08-26'!W29</f>
        <v>0</v>
      </c>
      <c r="X29" s="18">
        <f>'[1]INVENTARIO NACIONAL 13-08-26'!X29</f>
        <v>0</v>
      </c>
      <c r="Y29" s="22">
        <f>'[1]INVENTARIO NACIONAL 13-08-26'!Y29</f>
        <v>5476</v>
      </c>
      <c r="Z29" s="23">
        <f>'[1]INVENTARIO NACIONAL 13-08-26'!Z29</f>
        <v>6352.16</v>
      </c>
      <c r="AA29" s="24">
        <f ca="1">'[1]INVENTARIO NACIONAL 13-08-26'!AA29</f>
        <v>1442</v>
      </c>
      <c r="AB29" s="25">
        <f ca="1">'[1]INVENTARIO NACIONAL 13-08-26'!AB29</f>
        <v>37.975034674063807</v>
      </c>
      <c r="AC29" s="26">
        <f ca="1">'[1]INVENTARIO NACIONAL 13-08-26'!AC29</f>
        <v>3.7975034674063801</v>
      </c>
      <c r="AD29" s="29">
        <f ca="1">'[1]INVENTARIO NACIONAL 13-08-26'!AD29</f>
        <v>4034</v>
      </c>
      <c r="AE29" s="30">
        <f ca="1">'[1]INVENTARIO NACIONAL 13-08-26'!AE29</f>
        <v>721</v>
      </c>
      <c r="AF29" s="28">
        <f ca="1">'[1]INVENTARIO NACIONAL 13-08-26'!AF29</f>
        <v>-3313</v>
      </c>
      <c r="AG29" s="31">
        <f>'[1]INVENTARIO NACIONAL 13-08-26'!AG29</f>
        <v>101.4074074074074</v>
      </c>
    </row>
    <row r="30" spans="2:33" x14ac:dyDescent="0.25">
      <c r="B30" s="13">
        <v>130159</v>
      </c>
      <c r="C30" s="32" t="s">
        <v>56</v>
      </c>
      <c r="D30" s="15">
        <f>'[1]INVENTARIO NACIONAL 13-08-26'!D30</f>
        <v>1.1599999999999999</v>
      </c>
      <c r="E30" s="16">
        <f>'[1]INVENTARIO NACIONAL 13-08-26'!E30</f>
        <v>1998</v>
      </c>
      <c r="F30" s="17">
        <f>'[1]INVENTARIO NACIONAL 13-08-26'!F30</f>
        <v>2317.6799999999998</v>
      </c>
      <c r="G30" s="17">
        <v>0</v>
      </c>
      <c r="H30" s="33">
        <f>'[1]INVENTARIO NACIONAL 13-08-26'!H30</f>
        <v>0</v>
      </c>
      <c r="I30" s="18">
        <f>'[1]INVENTARIO NACIONAL 13-08-26'!I30</f>
        <v>1998</v>
      </c>
      <c r="J30" s="19">
        <f>'[1]INVENTARIO NACIONAL 13-08-26'!J30</f>
        <v>3051</v>
      </c>
      <c r="K30" s="16">
        <f>'[1]INVENTARIO NACIONAL 13-08-26'!K30</f>
        <v>3539.16</v>
      </c>
      <c r="L30" s="17">
        <f ca="1">'[1]INVENTARIO NACIONAL 13-08-26'!L30</f>
        <v>23.272311212814646</v>
      </c>
      <c r="M30" s="33">
        <f ca="1">'[1]INVENTARIO NACIONAL 13-08-26'!M30</f>
        <v>2884.2</v>
      </c>
      <c r="N30" s="18">
        <f ca="1">'[1]INVENTARIO NACIONAL 13-08-26'!N30</f>
        <v>1740</v>
      </c>
      <c r="O30" s="19">
        <f>'[1]INVENTARIO NACIONAL 13-08-26'!O30</f>
        <v>324</v>
      </c>
      <c r="P30" s="20">
        <f>'[1]INVENTARIO NACIONAL 13-08-26'!P30</f>
        <v>375.84</v>
      </c>
      <c r="Q30" s="17">
        <v>0</v>
      </c>
      <c r="R30" s="20">
        <f>'[1]INVENTARIO NACIONAL 13-08-26'!R30</f>
        <v>0</v>
      </c>
      <c r="S30" s="18">
        <f>'[1]INVENTARIO NACIONAL 13-08-26'!S30</f>
        <v>324</v>
      </c>
      <c r="T30" s="21">
        <f>'[1]INVENTARIO NACIONAL 13-08-26'!T30</f>
        <v>0</v>
      </c>
      <c r="U30" s="20">
        <f>'[1]INVENTARIO NACIONAL 13-08-26'!U30</f>
        <v>0</v>
      </c>
      <c r="V30" s="17">
        <v>0</v>
      </c>
      <c r="W30" s="19">
        <f>'[1]INVENTARIO NACIONAL 13-08-26'!W30</f>
        <v>0</v>
      </c>
      <c r="X30" s="18">
        <f>'[1]INVENTARIO NACIONAL 13-08-26'!X30</f>
        <v>0</v>
      </c>
      <c r="Y30" s="22">
        <f>'[1]INVENTARIO NACIONAL 13-08-26'!Y30</f>
        <v>5373</v>
      </c>
      <c r="Z30" s="23">
        <f>'[1]INVENTARIO NACIONAL 13-08-26'!Z30</f>
        <v>6232.6799999999994</v>
      </c>
      <c r="AA30" s="24">
        <f ca="1">'[1]INVENTARIO NACIONAL 13-08-26'!AA30</f>
        <v>1311</v>
      </c>
      <c r="AB30" s="25">
        <f ca="1">'[1]INVENTARIO NACIONAL 13-08-26'!AB30</f>
        <v>40.983981693363845</v>
      </c>
      <c r="AC30" s="26">
        <f ca="1">'[1]INVENTARIO NACIONAL 13-08-26'!AC30</f>
        <v>4.0983981693363845</v>
      </c>
      <c r="AD30" s="29">
        <f ca="1">'[1]INVENTARIO NACIONAL 13-08-26'!AD30</f>
        <v>4062</v>
      </c>
      <c r="AE30" s="30">
        <f ca="1">'[1]INVENTARIO NACIONAL 13-08-26'!AE30</f>
        <v>655.5</v>
      </c>
      <c r="AF30" s="28">
        <f ca="1">'[1]INVENTARIO NACIONAL 13-08-26'!AF30</f>
        <v>-3406.5</v>
      </c>
      <c r="AG30" s="31">
        <f>'[1]INVENTARIO NACIONAL 13-08-26'!AG30</f>
        <v>99.5</v>
      </c>
    </row>
    <row r="31" spans="2:33" x14ac:dyDescent="0.25">
      <c r="B31" s="13">
        <v>130700</v>
      </c>
      <c r="C31" s="32" t="s">
        <v>57</v>
      </c>
      <c r="D31" s="15">
        <f>'[1]INVENTARIO NACIONAL 13-08-26'!D31</f>
        <v>3.68</v>
      </c>
      <c r="E31" s="16">
        <f>'[1]INVENTARIO NACIONAL 13-08-26'!E31</f>
        <v>504</v>
      </c>
      <c r="F31" s="17">
        <f>'[1]INVENTARIO NACIONAL 13-08-26'!F31</f>
        <v>1854.72</v>
      </c>
      <c r="G31" s="17">
        <f>'[1]INVENTARIO NACIONAL 13-08-26'!G31</f>
        <v>5.398247322297955</v>
      </c>
      <c r="H31" s="16">
        <f>'[1]INVENTARIO NACIONAL 13-08-26'!H31</f>
        <v>2054</v>
      </c>
      <c r="I31" s="18">
        <f>'[1]INVENTARIO NACIONAL 13-08-26'!I31</f>
        <v>-896.4545454545455</v>
      </c>
      <c r="J31" s="19">
        <f>'[1]INVENTARIO NACIONAL 13-08-26'!J31</f>
        <v>954</v>
      </c>
      <c r="K31" s="16">
        <f>'[1]INVENTARIO NACIONAL 13-08-26'!K31</f>
        <v>3510.7200000000003</v>
      </c>
      <c r="L31" s="17">
        <f>'[1]INVENTARIO NACIONAL 13-08-26'!L31</f>
        <v>8.4086538461538467</v>
      </c>
      <c r="M31" s="16">
        <f>'[1]INVENTARIO NACIONAL 13-08-26'!M31</f>
        <v>2496</v>
      </c>
      <c r="N31" s="18">
        <f>'[1]INVENTARIO NACIONAL 13-08-26'!N31</f>
        <v>-180.5454545454545</v>
      </c>
      <c r="O31" s="19">
        <f>'[1]INVENTARIO NACIONAL 13-08-26'!O31</f>
        <v>59</v>
      </c>
      <c r="P31" s="20">
        <f>'[1]INVENTARIO NACIONAL 13-08-26'!P31</f>
        <v>217.12</v>
      </c>
      <c r="Q31" s="17">
        <f>'[1]INVENTARIO NACIONAL 13-08-26'!Q31</f>
        <v>14.263736263736263</v>
      </c>
      <c r="R31" s="20">
        <f>'[1]INVENTARIO NACIONAL 13-08-26'!R31</f>
        <v>91</v>
      </c>
      <c r="S31" s="18">
        <f>'[1]INVENTARIO NACIONAL 13-08-26'!S31</f>
        <v>-3.0454545454545467</v>
      </c>
      <c r="T31" s="21">
        <f>'[1]INVENTARIO NACIONAL 13-08-26'!T31</f>
        <v>429</v>
      </c>
      <c r="U31" s="20">
        <f>'[1]INVENTARIO NACIONAL 13-08-26'!U31</f>
        <v>1578.72</v>
      </c>
      <c r="V31" s="17">
        <f>'[1]INVENTARIO NACIONAL 13-08-26'!V31</f>
        <v>12.517241379310345</v>
      </c>
      <c r="W31" s="19">
        <f>'[1]INVENTARIO NACIONAL 13-08-26'!W31</f>
        <v>754</v>
      </c>
      <c r="X31" s="18">
        <f>'[1]INVENTARIO NACIONAL 13-08-26'!X31</f>
        <v>-85.090909090909122</v>
      </c>
      <c r="Y31" s="22">
        <f>'[1]INVENTARIO NACIONAL 13-08-26'!Y31</f>
        <v>1946</v>
      </c>
      <c r="Z31" s="23">
        <f>'[1]INVENTARIO NACIONAL 13-08-26'!Z31</f>
        <v>7161.2800000000007</v>
      </c>
      <c r="AA31" s="24">
        <f ca="1">'[1]INVENTARIO NACIONAL 13-08-26'!AA31</f>
        <v>2384</v>
      </c>
      <c r="AB31" s="25">
        <f ca="1">'[1]INVENTARIO NACIONAL 13-08-26'!AB31</f>
        <v>8.1627516778523486</v>
      </c>
      <c r="AC31" s="26">
        <f ca="1">'[1]INVENTARIO NACIONAL 13-08-26'!AC31</f>
        <v>0.8162751677852349</v>
      </c>
      <c r="AD31" s="29">
        <f ca="1">'[1]INVENTARIO NACIONAL 13-08-26'!AD31</f>
        <v>-438</v>
      </c>
      <c r="AE31" s="30">
        <f ca="1">'[1]INVENTARIO NACIONAL 13-08-26'!AE31</f>
        <v>1192</v>
      </c>
      <c r="AF31" s="28">
        <f ca="1">'[1]INVENTARIO NACIONAL 13-08-26'!AF31</f>
        <v>1630</v>
      </c>
      <c r="AG31" s="31">
        <f>'[1]INVENTARIO NACIONAL 13-08-26'!AG31</f>
        <v>121.625</v>
      </c>
    </row>
    <row r="32" spans="2:33" x14ac:dyDescent="0.25">
      <c r="B32" s="13">
        <v>130701</v>
      </c>
      <c r="C32" s="32" t="s">
        <v>58</v>
      </c>
      <c r="D32" s="15">
        <f>'[1]INVENTARIO NACIONAL 13-08-26'!D32</f>
        <v>3.68</v>
      </c>
      <c r="E32" s="16">
        <f>'[1]INVENTARIO NACIONAL 13-08-26'!E32</f>
        <v>696</v>
      </c>
      <c r="F32" s="17">
        <f>'[1]INVENTARIO NACIONAL 13-08-26'!F32</f>
        <v>2561.2800000000002</v>
      </c>
      <c r="G32" s="17">
        <f>'[1]INVENTARIO NACIONAL 13-08-26'!G32</f>
        <v>10.992103374012922</v>
      </c>
      <c r="H32" s="16">
        <f>'[1]INVENTARIO NACIONAL 13-08-26'!H32</f>
        <v>1393</v>
      </c>
      <c r="I32" s="18">
        <f>'[1]INVENTARIO NACIONAL 13-08-26'!I32</f>
        <v>-253.77272727272725</v>
      </c>
      <c r="J32" s="19">
        <f>'[1]INVENTARIO NACIONAL 13-08-26'!J32</f>
        <v>413</v>
      </c>
      <c r="K32" s="16">
        <f>'[1]INVENTARIO NACIONAL 13-08-26'!K32</f>
        <v>1519.8400000000001</v>
      </c>
      <c r="L32" s="17">
        <f>'[1]INVENTARIO NACIONAL 13-08-26'!L32</f>
        <v>6.661290322580645</v>
      </c>
      <c r="M32" s="16">
        <f>'[1]INVENTARIO NACIONAL 13-08-26'!M32</f>
        <v>1364</v>
      </c>
      <c r="N32" s="18">
        <f>'[1]INVENTARIO NACIONAL 13-08-26'!N32</f>
        <v>-207</v>
      </c>
      <c r="O32" s="19">
        <f>'[1]INVENTARIO NACIONAL 13-08-26'!O32</f>
        <v>36</v>
      </c>
      <c r="P32" s="20">
        <f>'[1]INVENTARIO NACIONAL 13-08-26'!P32</f>
        <v>132.48000000000002</v>
      </c>
      <c r="Q32" s="17">
        <f>'[1]INVENTARIO NACIONAL 13-08-26'!Q32</f>
        <v>16.163265306122451</v>
      </c>
      <c r="R32" s="20">
        <f>'[1]INVENTARIO NACIONAL 13-08-26'!R32</f>
        <v>49</v>
      </c>
      <c r="S32" s="18">
        <f>'[1]INVENTARIO NACIONAL 13-08-26'!S32</f>
        <v>2.5909090909090935</v>
      </c>
      <c r="T32" s="21">
        <f>'[1]INVENTARIO NACIONAL 13-08-26'!T32</f>
        <v>157</v>
      </c>
      <c r="U32" s="20">
        <f>'[1]INVENTARIO NACIONAL 13-08-26'!U32</f>
        <v>577.76</v>
      </c>
      <c r="V32" s="17">
        <f>'[1]INVENTARIO NACIONAL 13-08-26'!V32</f>
        <v>11.141935483870967</v>
      </c>
      <c r="W32" s="19">
        <f>'[1]INVENTARIO NACIONAL 13-08-26'!W32</f>
        <v>310</v>
      </c>
      <c r="X32" s="18">
        <f>'[1]INVENTARIO NACIONAL 13-08-26'!X32</f>
        <v>-54.363636363636374</v>
      </c>
      <c r="Y32" s="22">
        <f>'[1]INVENTARIO NACIONAL 13-08-26'!Y32</f>
        <v>1302</v>
      </c>
      <c r="Z32" s="23">
        <f>'[1]INVENTARIO NACIONAL 13-08-26'!Z32</f>
        <v>4791.3600000000006</v>
      </c>
      <c r="AA32" s="24">
        <f ca="1">'[1]INVENTARIO NACIONAL 13-08-26'!AA32</f>
        <v>1298</v>
      </c>
      <c r="AB32" s="25">
        <f ca="1">'[1]INVENTARIO NACIONAL 13-08-26'!AB32</f>
        <v>10.030816640986131</v>
      </c>
      <c r="AC32" s="26">
        <f ca="1">'[1]INVENTARIO NACIONAL 13-08-26'!AC32</f>
        <v>1.0030816640986133</v>
      </c>
      <c r="AD32" s="29">
        <f ca="1">'[1]INVENTARIO NACIONAL 13-08-26'!AD32</f>
        <v>4</v>
      </c>
      <c r="AE32" s="30">
        <f ca="1">'[1]INVENTARIO NACIONAL 13-08-26'!AE32</f>
        <v>649</v>
      </c>
      <c r="AF32" s="28">
        <f ca="1">'[1]INVENTARIO NACIONAL 13-08-26'!AF32</f>
        <v>645</v>
      </c>
      <c r="AG32" s="31">
        <f>'[1]INVENTARIO NACIONAL 13-08-26'!AG32</f>
        <v>81.375</v>
      </c>
    </row>
    <row r="33" spans="2:33" x14ac:dyDescent="0.25">
      <c r="B33" s="13">
        <v>130702</v>
      </c>
      <c r="C33" s="32" t="s">
        <v>59</v>
      </c>
      <c r="D33" s="15">
        <f>'[1]INVENTARIO NACIONAL 13-08-26'!D33</f>
        <v>4.1500000000000004</v>
      </c>
      <c r="E33" s="16">
        <f>'[1]INVENTARIO NACIONAL 13-08-26'!E33</f>
        <v>1717</v>
      </c>
      <c r="F33" s="17">
        <f>'[1]INVENTARIO NACIONAL 13-08-26'!F33</f>
        <v>7125.55</v>
      </c>
      <c r="G33" s="17">
        <f>'[1]INVENTARIO NACIONAL 13-08-26'!G33</f>
        <v>7.8630308076602828</v>
      </c>
      <c r="H33" s="16">
        <f>'[1]INVENTARIO NACIONAL 13-08-26'!H33</f>
        <v>4804</v>
      </c>
      <c r="I33" s="18">
        <f>'[1]INVENTARIO NACIONAL 13-08-26'!I33</f>
        <v>-1558.4545454545455</v>
      </c>
      <c r="J33" s="19">
        <f>'[1]INVENTARIO NACIONAL 13-08-26'!J33</f>
        <v>110</v>
      </c>
      <c r="K33" s="16">
        <f>'[1]INVENTARIO NACIONAL 13-08-26'!K33</f>
        <v>456.50000000000006</v>
      </c>
      <c r="L33" s="17">
        <f>'[1]INVENTARIO NACIONAL 13-08-26'!L33</f>
        <v>0.58952496954933009</v>
      </c>
      <c r="M33" s="16">
        <f>'[1]INVENTARIO NACIONAL 13-08-26'!M33</f>
        <v>4105</v>
      </c>
      <c r="N33" s="18">
        <f>'[1]INVENTARIO NACIONAL 13-08-26'!N33</f>
        <v>-1755.909090909091</v>
      </c>
      <c r="O33" s="19">
        <f>'[1]INVENTARIO NACIONAL 13-08-26'!O33</f>
        <v>150</v>
      </c>
      <c r="P33" s="20">
        <f>'[1]INVENTARIO NACIONAL 13-08-26'!P33</f>
        <v>622.5</v>
      </c>
      <c r="Q33" s="17">
        <f>'[1]INVENTARIO NACIONAL 13-08-26'!Q33</f>
        <v>13.095238095238095</v>
      </c>
      <c r="R33" s="20">
        <f>'[1]INVENTARIO NACIONAL 13-08-26'!R33</f>
        <v>252</v>
      </c>
      <c r="S33" s="18">
        <f>'[1]INVENTARIO NACIONAL 13-08-26'!S33</f>
        <v>-21.818181818181813</v>
      </c>
      <c r="T33" s="21">
        <f>'[1]INVENTARIO NACIONAL 13-08-26'!T33</f>
        <v>983</v>
      </c>
      <c r="U33" s="20">
        <f>'[1]INVENTARIO NACIONAL 13-08-26'!U33</f>
        <v>4079.4500000000003</v>
      </c>
      <c r="V33" s="17">
        <f>'[1]INVENTARIO NACIONAL 13-08-26'!V33</f>
        <v>11.430232558139535</v>
      </c>
      <c r="W33" s="19">
        <f>'[1]INVENTARIO NACIONAL 13-08-26'!W33</f>
        <v>1892</v>
      </c>
      <c r="X33" s="18">
        <f>'[1]INVENTARIO NACIONAL 13-08-26'!X33</f>
        <v>-307</v>
      </c>
      <c r="Y33" s="22">
        <f>'[1]INVENTARIO NACIONAL 13-08-26'!Y33</f>
        <v>2960</v>
      </c>
      <c r="Z33" s="23">
        <f>'[1]INVENTARIO NACIONAL 13-08-26'!Z33</f>
        <v>12284.000000000002</v>
      </c>
      <c r="AA33" s="24">
        <f ca="1">'[1]INVENTARIO NACIONAL 13-08-26'!AA33</f>
        <v>5003</v>
      </c>
      <c r="AB33" s="25">
        <f ca="1">'[1]INVENTARIO NACIONAL 13-08-26'!AB33</f>
        <v>5.9164501299220467</v>
      </c>
      <c r="AC33" s="26">
        <f ca="1">'[1]INVENTARIO NACIONAL 13-08-26'!AC33</f>
        <v>0.59164501299220462</v>
      </c>
      <c r="AD33" s="29">
        <f ca="1">'[1]INVENTARIO NACIONAL 13-08-26'!AD33</f>
        <v>-2043</v>
      </c>
      <c r="AE33" s="30">
        <f ca="1">'[1]INVENTARIO NACIONAL 13-08-26'!AE33</f>
        <v>2501.5</v>
      </c>
      <c r="AF33" s="28">
        <f ca="1">'[1]INVENTARIO NACIONAL 13-08-26'!AF33</f>
        <v>4544.5</v>
      </c>
      <c r="AG33" s="31">
        <f>'[1]INVENTARIO NACIONAL 13-08-26'!AG33</f>
        <v>185</v>
      </c>
    </row>
    <row r="34" spans="2:33" x14ac:dyDescent="0.25">
      <c r="B34" s="13">
        <v>130703</v>
      </c>
      <c r="C34" s="32" t="s">
        <v>60</v>
      </c>
      <c r="D34" s="15">
        <f>'[1]INVENTARIO NACIONAL 13-08-26'!D34</f>
        <v>4.1500000000000004</v>
      </c>
      <c r="E34" s="16">
        <f>'[1]INVENTARIO NACIONAL 13-08-26'!E34</f>
        <v>3695</v>
      </c>
      <c r="F34" s="17">
        <f>'[1]INVENTARIO NACIONAL 13-08-26'!F34</f>
        <v>15334.250000000002</v>
      </c>
      <c r="G34" s="17">
        <f>'[1]INVENTARIO NACIONAL 13-08-26'!G34</f>
        <v>9.7587034813925566</v>
      </c>
      <c r="H34" s="16">
        <f>'[1]INVENTARIO NACIONAL 13-08-26'!H34</f>
        <v>8330</v>
      </c>
      <c r="I34" s="18">
        <f>'[1]INVENTARIO NACIONAL 13-08-26'!I34</f>
        <v>-1984.545454545454</v>
      </c>
      <c r="J34" s="19">
        <f>'[1]INVENTARIO NACIONAL 13-08-26'!J34</f>
        <v>2292</v>
      </c>
      <c r="K34" s="16">
        <f>'[1]INVENTARIO NACIONAL 13-08-26'!K34</f>
        <v>9511.8000000000011</v>
      </c>
      <c r="L34" s="17">
        <f>'[1]INVENTARIO NACIONAL 13-08-26'!L34</f>
        <v>9.6969230769230759</v>
      </c>
      <c r="M34" s="16">
        <f>'[1]INVENTARIO NACIONAL 13-08-26'!M34</f>
        <v>5200</v>
      </c>
      <c r="N34" s="18">
        <f>'[1]INVENTARIO NACIONAL 13-08-26'!N34</f>
        <v>-71.636363636363967</v>
      </c>
      <c r="O34" s="19">
        <f>'[1]INVENTARIO NACIONAL 13-08-26'!O34</f>
        <v>194</v>
      </c>
      <c r="P34" s="20">
        <f>'[1]INVENTARIO NACIONAL 13-08-26'!P34</f>
        <v>805.1</v>
      </c>
      <c r="Q34" s="17">
        <f>'[1]INVENTARIO NACIONAL 13-08-26'!Q34</f>
        <v>12.229226361031518</v>
      </c>
      <c r="R34" s="20">
        <f>'[1]INVENTARIO NACIONAL 13-08-26'!R34</f>
        <v>349</v>
      </c>
      <c r="S34" s="18">
        <f>'[1]INVENTARIO NACIONAL 13-08-26'!S34</f>
        <v>-43.954545454545439</v>
      </c>
      <c r="T34" s="21">
        <f>'[1]INVENTARIO NACIONAL 13-08-26'!T34</f>
        <v>1216</v>
      </c>
      <c r="U34" s="20">
        <f>'[1]INVENTARIO NACIONAL 13-08-26'!U34</f>
        <v>5046.4000000000005</v>
      </c>
      <c r="V34" s="17">
        <f>'[1]INVENTARIO NACIONAL 13-08-26'!V34</f>
        <v>10.393162393162394</v>
      </c>
      <c r="W34" s="19">
        <f>'[1]INVENTARIO NACIONAL 13-08-26'!W34</f>
        <v>2574</v>
      </c>
      <c r="X34" s="18">
        <f>'[1]INVENTARIO NACIONAL 13-08-26'!X34</f>
        <v>-539</v>
      </c>
      <c r="Y34" s="22">
        <f>'[1]INVENTARIO NACIONAL 13-08-26'!Y34</f>
        <v>7397</v>
      </c>
      <c r="Z34" s="23">
        <f>'[1]INVENTARIO NACIONAL 13-08-26'!Z34</f>
        <v>30697.550000000003</v>
      </c>
      <c r="AA34" s="24">
        <f ca="1">'[1]INVENTARIO NACIONAL 13-08-26'!AA34</f>
        <v>7763</v>
      </c>
      <c r="AB34" s="25">
        <f ca="1">'[1]INVENTARIO NACIONAL 13-08-26'!AB34</f>
        <v>9.528532783717635</v>
      </c>
      <c r="AC34" s="26">
        <f ca="1">'[1]INVENTARIO NACIONAL 13-08-26'!AC34</f>
        <v>0.95285327837176348</v>
      </c>
      <c r="AD34" s="29">
        <f ca="1">'[1]INVENTARIO NACIONAL 13-08-26'!AD34</f>
        <v>-366</v>
      </c>
      <c r="AE34" s="30">
        <f ca="1">'[1]INVENTARIO NACIONAL 13-08-26'!AE34</f>
        <v>3881.5</v>
      </c>
      <c r="AF34" s="28">
        <f ca="1">'[1]INVENTARIO NACIONAL 13-08-26'!AF34</f>
        <v>4247.5</v>
      </c>
      <c r="AG34" s="31">
        <f>'[1]INVENTARIO NACIONAL 13-08-26'!AG34</f>
        <v>462.3125</v>
      </c>
    </row>
    <row r="35" spans="2:33" x14ac:dyDescent="0.25">
      <c r="B35" s="13">
        <v>130704</v>
      </c>
      <c r="C35" s="32" t="s">
        <v>61</v>
      </c>
      <c r="D35" s="15">
        <f>'[1]INVENTARIO NACIONAL 13-08-26'!D35</f>
        <v>4.1500000000000004</v>
      </c>
      <c r="E35" s="16">
        <f>'[1]INVENTARIO NACIONAL 13-08-26'!E35</f>
        <v>0</v>
      </c>
      <c r="F35" s="17">
        <f>'[1]INVENTARIO NACIONAL 13-08-26'!F35</f>
        <v>0</v>
      </c>
      <c r="G35" s="17">
        <f>'[1]INVENTARIO NACIONAL 13-08-26'!G35</f>
        <v>0</v>
      </c>
      <c r="H35" s="16">
        <f>'[1]INVENTARIO NACIONAL 13-08-26'!H35</f>
        <v>94</v>
      </c>
      <c r="I35" s="18">
        <f>'[1]INVENTARIO NACIONAL 13-08-26'!I35</f>
        <v>-64.090909090909093</v>
      </c>
      <c r="J35" s="19">
        <f>'[1]INVENTARIO NACIONAL 13-08-26'!J35</f>
        <v>0</v>
      </c>
      <c r="K35" s="16">
        <f>'[1]INVENTARIO NACIONAL 13-08-26'!K35</f>
        <v>0</v>
      </c>
      <c r="L35" s="17">
        <f>'[1]INVENTARIO NACIONAL 13-08-26'!L35</f>
        <v>0</v>
      </c>
      <c r="M35" s="16">
        <f>'[1]INVENTARIO NACIONAL 13-08-26'!M35</f>
        <v>498</v>
      </c>
      <c r="N35" s="18">
        <f>'[1]INVENTARIO NACIONAL 13-08-26'!N35</f>
        <v>-226.36363636363637</v>
      </c>
      <c r="O35" s="19">
        <f>'[1]INVENTARIO NACIONAL 13-08-26'!O35</f>
        <v>0</v>
      </c>
      <c r="P35" s="20">
        <f>'[1]INVENTARIO NACIONAL 13-08-26'!P35</f>
        <v>0</v>
      </c>
      <c r="Q35" s="17">
        <f>'[1]INVENTARIO NACIONAL 13-08-26'!Q35</f>
        <v>0</v>
      </c>
      <c r="R35" s="20">
        <f>'[1]INVENTARIO NACIONAL 13-08-26'!R35</f>
        <v>7</v>
      </c>
      <c r="S35" s="18">
        <f>'[1]INVENTARIO NACIONAL 13-08-26'!S35</f>
        <v>-4.7727272727272725</v>
      </c>
      <c r="T35" s="21">
        <f>'[1]INVENTARIO NACIONAL 13-08-26'!T35</f>
        <v>0</v>
      </c>
      <c r="U35" s="20">
        <f>'[1]INVENTARIO NACIONAL 13-08-26'!U35</f>
        <v>0</v>
      </c>
      <c r="V35" s="17">
        <f>'[1]INVENTARIO NACIONAL 13-08-26'!V35</f>
        <v>0</v>
      </c>
      <c r="W35" s="19">
        <f>'[1]INVENTARIO NACIONAL 13-08-26'!W35</f>
        <v>29</v>
      </c>
      <c r="X35" s="18">
        <f>'[1]INVENTARIO NACIONAL 13-08-26'!X35</f>
        <v>-19.772727272727273</v>
      </c>
      <c r="Y35" s="22">
        <f>'[1]INVENTARIO NACIONAL 13-08-26'!Y35</f>
        <v>0</v>
      </c>
      <c r="Z35" s="23">
        <f>'[1]INVENTARIO NACIONAL 13-08-26'!Z35</f>
        <v>0</v>
      </c>
      <c r="AA35" s="24">
        <f ca="1">'[1]INVENTARIO NACIONAL 13-08-26'!AA35</f>
        <v>100</v>
      </c>
      <c r="AB35" s="34">
        <v>0</v>
      </c>
      <c r="AC35" s="35">
        <v>0</v>
      </c>
      <c r="AD35" s="29">
        <f ca="1">'[1]INVENTARIO NACIONAL 13-08-26'!AD35</f>
        <v>-100</v>
      </c>
      <c r="AE35" s="30">
        <f ca="1">'[1]INVENTARIO NACIONAL 13-08-26'!AE35</f>
        <v>50</v>
      </c>
      <c r="AF35" s="28">
        <f ca="1">'[1]INVENTARIO NACIONAL 13-08-26'!AF35</f>
        <v>150</v>
      </c>
      <c r="AG35" s="31">
        <f>'[1]INVENTARIO NACIONAL 13-08-26'!AG35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13-08-26'!D36</f>
        <v>4.1500000000000004</v>
      </c>
      <c r="E36" s="16">
        <f>'[1]INVENTARIO NACIONAL 13-08-26'!E36</f>
        <v>220</v>
      </c>
      <c r="F36" s="17">
        <f>'[1]INVENTARIO NACIONAL 13-08-26'!F36</f>
        <v>913.00000000000011</v>
      </c>
      <c r="G36" s="17">
        <f>'[1]INVENTARIO NACIONAL 13-08-26'!G36</f>
        <v>5.2608695652173907</v>
      </c>
      <c r="H36" s="16">
        <f>'[1]INVENTARIO NACIONAL 13-08-26'!H36</f>
        <v>920</v>
      </c>
      <c r="I36" s="18">
        <f>'[1]INVENTARIO NACIONAL 13-08-26'!I36</f>
        <v>-407.27272727272725</v>
      </c>
      <c r="J36" s="19">
        <f>'[1]INVENTARIO NACIONAL 13-08-26'!J36</f>
        <v>34</v>
      </c>
      <c r="K36" s="16">
        <f>'[1]INVENTARIO NACIONAL 13-08-26'!K36</f>
        <v>141.10000000000002</v>
      </c>
      <c r="L36" s="17">
        <v>0</v>
      </c>
      <c r="M36" s="16">
        <v>0</v>
      </c>
      <c r="N36" s="18">
        <v>0</v>
      </c>
      <c r="O36" s="19">
        <f>'[1]INVENTARIO NACIONAL 13-08-26'!O36</f>
        <v>0</v>
      </c>
      <c r="P36" s="20">
        <v>0</v>
      </c>
      <c r="Q36" s="17">
        <v>0</v>
      </c>
      <c r="R36" s="20">
        <v>0</v>
      </c>
      <c r="S36" s="18">
        <v>0</v>
      </c>
      <c r="T36" s="21">
        <f>'[1]INVENTARIO NACIONAL 13-08-26'!T36</f>
        <v>23</v>
      </c>
      <c r="U36" s="20">
        <f>'[1]INVENTARIO NACIONAL 13-08-26'!U36</f>
        <v>95.45</v>
      </c>
      <c r="V36" s="17">
        <f>'[1]INVENTARIO NACIONAL 13-08-26'!V36</f>
        <v>3.8923076923076922</v>
      </c>
      <c r="W36" s="19">
        <f>'[1]INVENTARIO NACIONAL 13-08-26'!W36</f>
        <v>130</v>
      </c>
      <c r="X36" s="18">
        <f>'[1]INVENTARIO NACIONAL 13-08-26'!X36</f>
        <v>-65.63636363636364</v>
      </c>
      <c r="Y36" s="22">
        <f>'[1]INVENTARIO NACIONAL 13-08-26'!Y36</f>
        <v>277</v>
      </c>
      <c r="Z36" s="23">
        <f>'[1]INVENTARIO NACIONAL 13-08-26'!Z36</f>
        <v>1149.5500000000002</v>
      </c>
      <c r="AA36" s="36">
        <f ca="1">'[1]INVENTARIO NACIONAL 13-08-26'!AA36</f>
        <v>1500</v>
      </c>
      <c r="AB36" s="25">
        <f ca="1">'[1]INVENTARIO NACIONAL 13-08-26'!AB36</f>
        <v>1.8466666666666667</v>
      </c>
      <c r="AC36" s="26">
        <f ca="1">'[1]INVENTARIO NACIONAL 13-08-26'!AC36</f>
        <v>0.18466666666666667</v>
      </c>
      <c r="AD36" s="29">
        <f ca="1">'[1]INVENTARIO NACIONAL 13-08-26'!AD36</f>
        <v>-1223</v>
      </c>
      <c r="AE36" s="30">
        <f ca="1">'[1]INVENTARIO NACIONAL 13-08-26'!AE36</f>
        <v>750</v>
      </c>
      <c r="AF36" s="28">
        <f ca="1">'[1]INVENTARIO NACIONAL 13-08-26'!AF36</f>
        <v>1973</v>
      </c>
      <c r="AG36" s="31">
        <f>'[1]INVENTARIO NACIONAL 13-08-26'!AG36</f>
        <v>17.3125</v>
      </c>
    </row>
    <row r="37" spans="2:33" x14ac:dyDescent="0.25">
      <c r="B37" s="13">
        <v>131150</v>
      </c>
      <c r="C37" s="32" t="s">
        <v>63</v>
      </c>
      <c r="D37" s="15">
        <f>'[1]INVENTARIO NACIONAL 13-08-26'!D37</f>
        <v>1.63</v>
      </c>
      <c r="E37" s="16">
        <f>'[1]INVENTARIO NACIONAL 13-08-26'!E37</f>
        <v>5706</v>
      </c>
      <c r="F37" s="17">
        <f>'[1]INVENTARIO NACIONAL 13-08-26'!F37</f>
        <v>9300.7799999999988</v>
      </c>
      <c r="G37" s="17">
        <f>'[1]INVENTARIO NACIONAL 13-08-26'!G37</f>
        <v>12.766398860978338</v>
      </c>
      <c r="H37" s="16">
        <f>'[1]INVENTARIO NACIONAL 13-08-26'!H37</f>
        <v>9833</v>
      </c>
      <c r="I37" s="18">
        <f>'[1]INVENTARIO NACIONAL 13-08-26'!I37</f>
        <v>-998.31818181818198</v>
      </c>
      <c r="J37" s="19">
        <f>'[1]INVENTARIO NACIONAL 13-08-26'!J37</f>
        <v>3230</v>
      </c>
      <c r="K37" s="16">
        <f>'[1]INVENTARIO NACIONAL 13-08-26'!K37</f>
        <v>5264.9</v>
      </c>
      <c r="L37" s="17">
        <f>'[1]INVENTARIO NACIONAL 13-08-26'!L37</f>
        <v>20.331902718168813</v>
      </c>
      <c r="M37" s="16">
        <f>'[1]INVENTARIO NACIONAL 13-08-26'!M37</f>
        <v>3495</v>
      </c>
      <c r="N37" s="18">
        <f>'[1]INVENTARIO NACIONAL 13-08-26'!N37</f>
        <v>1641.3636363636363</v>
      </c>
      <c r="O37" s="19">
        <f>'[1]INVENTARIO NACIONAL 13-08-26'!O37</f>
        <v>703</v>
      </c>
      <c r="P37" s="20">
        <f>'[1]INVENTARIO NACIONAL 13-08-26'!P37</f>
        <v>1145.8899999999999</v>
      </c>
      <c r="Q37" s="17">
        <f>'[1]INVENTARIO NACIONAL 13-08-26'!Q37</f>
        <v>16.010351966873706</v>
      </c>
      <c r="R37" s="20">
        <f>'[1]INVENTARIO NACIONAL 13-08-26'!R37</f>
        <v>966</v>
      </c>
      <c r="S37" s="18">
        <f>'[1]INVENTARIO NACIONAL 13-08-26'!S37</f>
        <v>44.363636363636374</v>
      </c>
      <c r="T37" s="21">
        <f>'[1]INVENTARIO NACIONAL 13-08-26'!T37</f>
        <v>623</v>
      </c>
      <c r="U37" s="20">
        <f>'[1]INVENTARIO NACIONAL 13-08-26'!U37</f>
        <v>1015.4899999999999</v>
      </c>
      <c r="V37" s="17">
        <f>'[1]INVENTARIO NACIONAL 13-08-26'!V37</f>
        <v>9.6182456140350894</v>
      </c>
      <c r="W37" s="19">
        <f>'[1]INVENTARIO NACIONAL 13-08-26'!W37</f>
        <v>1425</v>
      </c>
      <c r="X37" s="18">
        <f>'[1]INVENTARIO NACIONAL 13-08-26'!X37</f>
        <v>-348.59090909090901</v>
      </c>
      <c r="Y37" s="22">
        <f>'[1]INVENTARIO NACIONAL 13-08-26'!Y37</f>
        <v>10262</v>
      </c>
      <c r="Z37" s="23">
        <f>'[1]INVENTARIO NACIONAL 13-08-26'!Z37</f>
        <v>16727.059999999998</v>
      </c>
      <c r="AA37" s="24">
        <f ca="1">'[1]INVENTARIO NACIONAL 13-08-26'!AA37</f>
        <v>6782</v>
      </c>
      <c r="AB37" s="25">
        <f ca="1">'[1]INVENTARIO NACIONAL 13-08-26'!AB37</f>
        <v>15.131229725744618</v>
      </c>
      <c r="AC37" s="26">
        <f ca="1">'[1]INVENTARIO NACIONAL 13-08-26'!AC37</f>
        <v>1.5131229725744617</v>
      </c>
      <c r="AD37" s="29">
        <f ca="1">'[1]INVENTARIO NACIONAL 13-08-26'!AD37</f>
        <v>3480</v>
      </c>
      <c r="AE37" s="30">
        <f ca="1">'[1]INVENTARIO NACIONAL 13-08-26'!AE37</f>
        <v>3391</v>
      </c>
      <c r="AF37" s="28">
        <f ca="1">'[1]INVENTARIO NACIONAL 13-08-26'!AF37</f>
        <v>-89</v>
      </c>
      <c r="AG37" s="31">
        <f>'[1]INVENTARIO NACIONAL 13-08-26'!AG37</f>
        <v>190.03703703703704</v>
      </c>
    </row>
    <row r="38" spans="2:33" x14ac:dyDescent="0.25">
      <c r="B38" s="13">
        <v>131151</v>
      </c>
      <c r="C38" s="32" t="s">
        <v>64</v>
      </c>
      <c r="D38" s="15">
        <f>'[1]INVENTARIO NACIONAL 13-08-26'!D38</f>
        <v>1.63</v>
      </c>
      <c r="E38" s="16">
        <f>'[1]INVENTARIO NACIONAL 13-08-26'!E38</f>
        <v>1161</v>
      </c>
      <c r="F38" s="17">
        <f>'[1]INVENTARIO NACIONAL 13-08-26'!F38</f>
        <v>1892.4299999999998</v>
      </c>
      <c r="G38" s="17">
        <f>'[1]INVENTARIO NACIONAL 13-08-26'!G38</f>
        <v>1.7282630759861968</v>
      </c>
      <c r="H38" s="16">
        <f>'[1]INVENTARIO NACIONAL 13-08-26'!H38</f>
        <v>14779</v>
      </c>
      <c r="I38" s="18">
        <f>'[1]INVENTARIO NACIONAL 13-08-26'!I38</f>
        <v>-8915.5909090909081</v>
      </c>
      <c r="J38" s="19">
        <f>'[1]INVENTARIO NACIONAL 13-08-26'!J38</f>
        <v>3745</v>
      </c>
      <c r="K38" s="16">
        <f>'[1]INVENTARIO NACIONAL 13-08-26'!K38</f>
        <v>6104.3499999999995</v>
      </c>
      <c r="L38" s="17">
        <f>'[1]INVENTARIO NACIONAL 13-08-26'!L38</f>
        <v>15.371268656716419</v>
      </c>
      <c r="M38" s="16">
        <f>'[1]INVENTARIO NACIONAL 13-08-26'!M38</f>
        <v>5360</v>
      </c>
      <c r="N38" s="18">
        <f>'[1]INVENTARIO NACIONAL 13-08-26'!N38</f>
        <v>1308.636363636364</v>
      </c>
      <c r="O38" s="19">
        <f>'[1]INVENTARIO NACIONAL 13-08-26'!O38</f>
        <v>1462</v>
      </c>
      <c r="P38" s="20">
        <f>'[1]INVENTARIO NACIONAL 13-08-26'!P38</f>
        <v>2383.06</v>
      </c>
      <c r="Q38" s="17">
        <f>'[1]INVENTARIO NACIONAL 13-08-26'!Q38</f>
        <v>17.117615753060139</v>
      </c>
      <c r="R38" s="20">
        <f>'[1]INVENTARIO NACIONAL 13-08-26'!R38</f>
        <v>1879</v>
      </c>
      <c r="S38" s="18">
        <f>'[1]INVENTARIO NACIONAL 13-08-26'!S38</f>
        <v>180.86363636363649</v>
      </c>
      <c r="T38" s="21">
        <f>'[1]INVENTARIO NACIONAL 13-08-26'!T38</f>
        <v>1724</v>
      </c>
      <c r="U38" s="20">
        <f>'[1]INVENTARIO NACIONAL 13-08-26'!U38</f>
        <v>2810.12</v>
      </c>
      <c r="V38" s="17">
        <f>'[1]INVENTARIO NACIONAL 13-08-26'!V38</f>
        <v>12.791905564924114</v>
      </c>
      <c r="W38" s="19">
        <f>'[1]INVENTARIO NACIONAL 13-08-26'!W38</f>
        <v>2965</v>
      </c>
      <c r="X38" s="18">
        <f>'[1]INVENTARIO NACIONAL 13-08-26'!X38</f>
        <v>-297.59090909090924</v>
      </c>
      <c r="Y38" s="22">
        <f>'[1]INVENTARIO NACIONAL 13-08-26'!Y38</f>
        <v>8092</v>
      </c>
      <c r="Z38" s="23">
        <f>'[1]INVENTARIO NACIONAL 13-08-26'!Z38</f>
        <v>13189.96</v>
      </c>
      <c r="AA38" s="24">
        <f ca="1">'[1]INVENTARIO NACIONAL 13-08-26'!AA38</f>
        <v>11052</v>
      </c>
      <c r="AB38" s="25">
        <f ca="1">'[1]INVENTARIO NACIONAL 13-08-26'!AB38</f>
        <v>7.3217517191458557</v>
      </c>
      <c r="AC38" s="26">
        <f ca="1">'[1]INVENTARIO NACIONAL 13-08-26'!AC38</f>
        <v>0.73217517191458559</v>
      </c>
      <c r="AD38" s="29">
        <f ca="1">'[1]INVENTARIO NACIONAL 13-08-26'!AD38</f>
        <v>-2960</v>
      </c>
      <c r="AE38" s="30">
        <f ca="1">'[1]INVENTARIO NACIONAL 13-08-26'!AE38</f>
        <v>5526</v>
      </c>
      <c r="AF38" s="28">
        <f ca="1">'[1]INVENTARIO NACIONAL 13-08-26'!AF38</f>
        <v>8486</v>
      </c>
      <c r="AG38" s="31">
        <f>'[1]INVENTARIO NACIONAL 13-08-26'!AG38</f>
        <v>149.85185185185185</v>
      </c>
    </row>
    <row r="39" spans="2:33" x14ac:dyDescent="0.25">
      <c r="B39" s="13">
        <v>131152</v>
      </c>
      <c r="C39" s="32" t="s">
        <v>65</v>
      </c>
      <c r="D39" s="15">
        <f>'[1]INVENTARIO NACIONAL 13-08-26'!D39</f>
        <v>1.63</v>
      </c>
      <c r="E39" s="16">
        <f>'[1]INVENTARIO NACIONAL 13-08-26'!E39</f>
        <v>1262</v>
      </c>
      <c r="F39" s="17">
        <f>'[1]INVENTARIO NACIONAL 13-08-26'!F39</f>
        <v>2057.06</v>
      </c>
      <c r="G39" s="17">
        <f>'[1]INVENTARIO NACIONAL 13-08-26'!G39</f>
        <v>5.3577769201080665</v>
      </c>
      <c r="H39" s="16">
        <f>'[1]INVENTARIO NACIONAL 13-08-26'!H39</f>
        <v>5182</v>
      </c>
      <c r="I39" s="18">
        <f>'[1]INVENTARIO NACIONAL 13-08-26'!I39</f>
        <v>-2271.181818181818</v>
      </c>
      <c r="J39" s="19">
        <f>'[1]INVENTARIO NACIONAL 13-08-26'!J39</f>
        <v>132</v>
      </c>
      <c r="K39" s="16">
        <f>'[1]INVENTARIO NACIONAL 13-08-26'!K39</f>
        <v>215.16</v>
      </c>
      <c r="L39" s="17">
        <f>'[1]INVENTARIO NACIONAL 13-08-26'!L39</f>
        <v>0.90892018779342731</v>
      </c>
      <c r="M39" s="16">
        <f>'[1]INVENTARIO NACIONAL 13-08-26'!M39</f>
        <v>3195</v>
      </c>
      <c r="N39" s="18">
        <f>'[1]INVENTARIO NACIONAL 13-08-26'!N39</f>
        <v>-1320.2727272727273</v>
      </c>
      <c r="O39" s="19">
        <f>'[1]INVENTARIO NACIONAL 13-08-26'!O39</f>
        <v>351</v>
      </c>
      <c r="P39" s="20">
        <f>'[1]INVENTARIO NACIONAL 13-08-26'!P39</f>
        <v>572.13</v>
      </c>
      <c r="Q39" s="17">
        <f>'[1]INVENTARIO NACIONAL 13-08-26'!Q39</f>
        <v>8.25</v>
      </c>
      <c r="R39" s="20">
        <f>'[1]INVENTARIO NACIONAL 13-08-26'!R39</f>
        <v>936</v>
      </c>
      <c r="S39" s="18">
        <f>'[1]INVENTARIO NACIONAL 13-08-26'!S39</f>
        <v>-287.18181818181824</v>
      </c>
      <c r="T39" s="21">
        <f>'[1]INVENTARIO NACIONAL 13-08-26'!T39</f>
        <v>1253</v>
      </c>
      <c r="U39" s="20">
        <f>'[1]INVENTARIO NACIONAL 13-08-26'!U39</f>
        <v>2042.3899999999999</v>
      </c>
      <c r="V39" s="17">
        <f>'[1]INVENTARIO NACIONAL 13-08-26'!V39</f>
        <v>15.357103064066852</v>
      </c>
      <c r="W39" s="19">
        <f>'[1]INVENTARIO NACIONAL 13-08-26'!W39</f>
        <v>1795</v>
      </c>
      <c r="X39" s="18">
        <f>'[1]INVENTARIO NACIONAL 13-08-26'!X39</f>
        <v>29.136363636363512</v>
      </c>
      <c r="Y39" s="22">
        <f>'[1]INVENTARIO NACIONAL 13-08-26'!Y39</f>
        <v>2998</v>
      </c>
      <c r="Z39" s="23">
        <f>'[1]INVENTARIO NACIONAL 13-08-26'!Z39</f>
        <v>4886.74</v>
      </c>
      <c r="AA39" s="24">
        <f ca="1">'[1]INVENTARIO NACIONAL 13-08-26'!AA39</f>
        <v>4932</v>
      </c>
      <c r="AB39" s="25">
        <f ca="1">'[1]INVENTARIO NACIONAL 13-08-26'!AB39</f>
        <v>6.078669910786699</v>
      </c>
      <c r="AC39" s="26">
        <f ca="1">'[1]INVENTARIO NACIONAL 13-08-26'!AC39</f>
        <v>0.60786699107866993</v>
      </c>
      <c r="AD39" s="29">
        <f ca="1">'[1]INVENTARIO NACIONAL 13-08-26'!AD39</f>
        <v>-1934</v>
      </c>
      <c r="AE39" s="30">
        <f ca="1">'[1]INVENTARIO NACIONAL 13-08-26'!AE39</f>
        <v>2466</v>
      </c>
      <c r="AF39" s="28">
        <f ca="1">'[1]INVENTARIO NACIONAL 13-08-26'!AF39</f>
        <v>4400</v>
      </c>
      <c r="AG39" s="31">
        <f>'[1]INVENTARIO NACIONAL 13-08-26'!AG39</f>
        <v>55.518518518518519</v>
      </c>
    </row>
    <row r="40" spans="2:33" x14ac:dyDescent="0.25">
      <c r="B40" s="13">
        <v>131153</v>
      </c>
      <c r="C40" s="32" t="s">
        <v>66</v>
      </c>
      <c r="D40" s="15">
        <f>'[1]INVENTARIO NACIONAL 13-08-26'!D40</f>
        <v>1.63</v>
      </c>
      <c r="E40" s="16">
        <f>'[1]INVENTARIO NACIONAL 13-08-26'!E40</f>
        <v>324</v>
      </c>
      <c r="F40" s="17">
        <f>'[1]INVENTARIO NACIONAL 13-08-26'!F40</f>
        <v>528.12</v>
      </c>
      <c r="G40" s="17">
        <f>'[1]INVENTARIO NACIONAL 13-08-26'!G40</f>
        <v>1.7887076537013802</v>
      </c>
      <c r="H40" s="16">
        <f>'[1]INVENTARIO NACIONAL 13-08-26'!H40</f>
        <v>3985</v>
      </c>
      <c r="I40" s="18">
        <f>'[1]INVENTARIO NACIONAL 13-08-26'!I40</f>
        <v>-2393.0454545454545</v>
      </c>
      <c r="J40" s="19">
        <f>'[1]INVENTARIO NACIONAL 13-08-26'!J40</f>
        <v>0</v>
      </c>
      <c r="K40" s="16">
        <f>'[1]INVENTARIO NACIONAL 13-08-26'!K40</f>
        <v>0</v>
      </c>
      <c r="L40" s="17">
        <f>'[1]INVENTARIO NACIONAL 13-08-26'!L40</f>
        <v>0</v>
      </c>
      <c r="M40" s="16">
        <f>'[1]INVENTARIO NACIONAL 13-08-26'!M40</f>
        <v>2448</v>
      </c>
      <c r="N40" s="18">
        <f>'[1]INVENTARIO NACIONAL 13-08-26'!N40</f>
        <v>-1112.7272727272727</v>
      </c>
      <c r="O40" s="19">
        <f>'[1]INVENTARIO NACIONAL 13-08-26'!O40</f>
        <v>810</v>
      </c>
      <c r="P40" s="20">
        <f>'[1]INVENTARIO NACIONAL 13-08-26'!P40</f>
        <v>1320.3</v>
      </c>
      <c r="Q40" s="17">
        <f>'[1]INVENTARIO NACIONAL 13-08-26'!Q40</f>
        <v>17.927565392354126</v>
      </c>
      <c r="R40" s="20">
        <f>'[1]INVENTARIO NACIONAL 13-08-26'!R40</f>
        <v>994</v>
      </c>
      <c r="S40" s="18">
        <f>'[1]INVENTARIO NACIONAL 13-08-26'!S40</f>
        <v>132.27272727272725</v>
      </c>
      <c r="T40" s="21">
        <f>'[1]INVENTARIO NACIONAL 13-08-26'!T40</f>
        <v>666</v>
      </c>
      <c r="U40" s="20">
        <f>'[1]INVENTARIO NACIONAL 13-08-26'!U40</f>
        <v>1085.58</v>
      </c>
      <c r="V40" s="17">
        <f>'[1]INVENTARIO NACIONAL 13-08-26'!V40</f>
        <v>12.886543535620053</v>
      </c>
      <c r="W40" s="19">
        <f>'[1]INVENTARIO NACIONAL 13-08-26'!W40</f>
        <v>1137</v>
      </c>
      <c r="X40" s="18">
        <f>'[1]INVENTARIO NACIONAL 13-08-26'!X40</f>
        <v>-109.22727272727275</v>
      </c>
      <c r="Y40" s="22">
        <f>'[1]INVENTARIO NACIONAL 13-08-26'!Y40</f>
        <v>1800</v>
      </c>
      <c r="Z40" s="23">
        <f>'[1]INVENTARIO NACIONAL 13-08-26'!Z40</f>
        <v>2934</v>
      </c>
      <c r="AA40" s="24">
        <f ca="1">'[1]INVENTARIO NACIONAL 13-08-26'!AA40</f>
        <v>3391</v>
      </c>
      <c r="AB40" s="25">
        <f ca="1">'[1]INVENTARIO NACIONAL 13-08-26'!AB40</f>
        <v>5.3081686818047773</v>
      </c>
      <c r="AC40" s="26">
        <f ca="1">'[1]INVENTARIO NACIONAL 13-08-26'!AC40</f>
        <v>0.53081686818047769</v>
      </c>
      <c r="AD40" s="29">
        <f ca="1">'[1]INVENTARIO NACIONAL 13-08-26'!AD40</f>
        <v>-1591</v>
      </c>
      <c r="AE40" s="30">
        <f ca="1">'[1]INVENTARIO NACIONAL 13-08-26'!AE40</f>
        <v>1695.5</v>
      </c>
      <c r="AF40" s="28">
        <f ca="1">'[1]INVENTARIO NACIONAL 13-08-26'!AF40</f>
        <v>3286.5</v>
      </c>
      <c r="AG40" s="31">
        <f>'[1]INVENTARIO NACIONAL 13-08-26'!AG40</f>
        <v>33.333333333333336</v>
      </c>
    </row>
    <row r="41" spans="2:33" x14ac:dyDescent="0.25">
      <c r="B41" s="13">
        <v>131700</v>
      </c>
      <c r="C41" s="32" t="s">
        <v>67</v>
      </c>
      <c r="D41" s="15">
        <f>'[1]INVENTARIO NACIONAL 13-08-26'!D41</f>
        <v>6.15</v>
      </c>
      <c r="E41" s="16">
        <f>'[1]INVENTARIO NACIONAL 13-08-26'!E41</f>
        <v>608</v>
      </c>
      <c r="F41" s="17">
        <f>'[1]INVENTARIO NACIONAL 13-08-26'!F41</f>
        <v>3739.2000000000003</v>
      </c>
      <c r="G41" s="17">
        <f>'[1]INVENTARIO NACIONAL 13-08-26'!G41</f>
        <v>9.6299496040316779</v>
      </c>
      <c r="H41" s="16">
        <f>'[1]INVENTARIO NACIONAL 13-08-26'!H41</f>
        <v>1389</v>
      </c>
      <c r="I41" s="18">
        <f>'[1]INVENTARIO NACIONAL 13-08-26'!I41</f>
        <v>-339.0454545454545</v>
      </c>
      <c r="J41" s="19">
        <f>'[1]INVENTARIO NACIONAL 13-08-26'!J41</f>
        <v>206</v>
      </c>
      <c r="K41" s="16">
        <f>'[1]INVENTARIO NACIONAL 13-08-26'!K41</f>
        <v>1266.9000000000001</v>
      </c>
      <c r="L41" s="17">
        <f>'[1]INVENTARIO NACIONAL 13-08-26'!L41</f>
        <v>6.7946026986506753</v>
      </c>
      <c r="M41" s="16">
        <f>'[1]INVENTARIO NACIONAL 13-08-26'!M41</f>
        <v>667</v>
      </c>
      <c r="N41" s="18">
        <f>'[1]INVENTARIO NACIONAL 13-08-26'!N41</f>
        <v>-97.181818181818187</v>
      </c>
      <c r="O41" s="19">
        <f>'[1]INVENTARIO NACIONAL 13-08-26'!O41</f>
        <v>80</v>
      </c>
      <c r="P41" s="20">
        <f>'[1]INVENTARIO NACIONAL 13-08-26'!P41</f>
        <v>492</v>
      </c>
      <c r="Q41" s="17">
        <f>'[1]INVENTARIO NACIONAL 13-08-26'!Q41</f>
        <v>23.466666666666665</v>
      </c>
      <c r="R41" s="20">
        <f>'[1]INVENTARIO NACIONAL 13-08-26'!R41</f>
        <v>75</v>
      </c>
      <c r="S41" s="18">
        <f>'[1]INVENTARIO NACIONAL 13-08-26'!S41</f>
        <v>28.86363636363636</v>
      </c>
      <c r="T41" s="21">
        <f>'[1]INVENTARIO NACIONAL 13-08-26'!T41</f>
        <v>222</v>
      </c>
      <c r="U41" s="20">
        <f>'[1]INVENTARIO NACIONAL 13-08-26'!U41</f>
        <v>1365.3000000000002</v>
      </c>
      <c r="V41" s="17">
        <f>'[1]INVENTARIO NACIONAL 13-08-26'!V41</f>
        <v>14.074927953890489</v>
      </c>
      <c r="W41" s="19">
        <f>'[1]INVENTARIO NACIONAL 13-08-26'!W41</f>
        <v>347</v>
      </c>
      <c r="X41" s="18">
        <f>'[1]INVENTARIO NACIONAL 13-08-26'!X41</f>
        <v>-14.590909090909093</v>
      </c>
      <c r="Y41" s="22">
        <f>'[1]INVENTARIO NACIONAL 13-08-26'!Y41</f>
        <v>1116</v>
      </c>
      <c r="Z41" s="23">
        <f>'[1]INVENTARIO NACIONAL 13-08-26'!Z41</f>
        <v>6863.4000000000005</v>
      </c>
      <c r="AA41" s="24">
        <f ca="1">'[1]INVENTARIO NACIONAL 13-08-26'!AA41</f>
        <v>1326</v>
      </c>
      <c r="AB41" s="25">
        <f ca="1">'[1]INVENTARIO NACIONAL 13-08-26'!AB41</f>
        <v>8.4162895927601813</v>
      </c>
      <c r="AC41" s="26">
        <f ca="1">'[1]INVENTARIO NACIONAL 13-08-26'!AC41</f>
        <v>0.84162895927601811</v>
      </c>
      <c r="AD41" s="29">
        <f ca="1">'[1]INVENTARIO NACIONAL 13-08-26'!AD41</f>
        <v>-210</v>
      </c>
      <c r="AE41" s="30">
        <f ca="1">'[1]INVENTARIO NACIONAL 13-08-26'!AE41</f>
        <v>663</v>
      </c>
      <c r="AF41" s="28">
        <f ca="1">'[1]INVENTARIO NACIONAL 13-08-26'!AF41</f>
        <v>873</v>
      </c>
      <c r="AG41" s="31">
        <f>'[1]INVENTARIO NACIONAL 13-08-26'!AG41</f>
        <v>20.666666666666668</v>
      </c>
    </row>
    <row r="42" spans="2:33" x14ac:dyDescent="0.25">
      <c r="B42" s="13">
        <v>131701</v>
      </c>
      <c r="C42" s="32" t="s">
        <v>68</v>
      </c>
      <c r="D42" s="15">
        <f>'[1]INVENTARIO NACIONAL 13-08-26'!D42</f>
        <v>6.15</v>
      </c>
      <c r="E42" s="16">
        <f>'[1]INVENTARIO NACIONAL 13-08-26'!E42</f>
        <v>627</v>
      </c>
      <c r="F42" s="17">
        <f>'[1]INVENTARIO NACIONAL 13-08-26'!F42</f>
        <v>3856.05</v>
      </c>
      <c r="G42" s="17">
        <f>'[1]INVENTARIO NACIONAL 13-08-26'!G42</f>
        <v>8.8764478764478767</v>
      </c>
      <c r="H42" s="16">
        <f>'[1]INVENTARIO NACIONAL 13-08-26'!H42</f>
        <v>1554</v>
      </c>
      <c r="I42" s="18">
        <f>'[1]INVENTARIO NACIONAL 13-08-26'!I42</f>
        <v>-432.5454545454545</v>
      </c>
      <c r="J42" s="19">
        <f>'[1]INVENTARIO NACIONAL 13-08-26'!J42</f>
        <v>613</v>
      </c>
      <c r="K42" s="16">
        <f>'[1]INVENTARIO NACIONAL 13-08-26'!K42</f>
        <v>3769.9500000000003</v>
      </c>
      <c r="L42" s="17">
        <f>'[1]INVENTARIO NACIONAL 13-08-26'!L42</f>
        <v>15.828638497652582</v>
      </c>
      <c r="M42" s="16">
        <f>'[1]INVENTARIO NACIONAL 13-08-26'!M42</f>
        <v>852</v>
      </c>
      <c r="N42" s="18">
        <f>'[1]INVENTARIO NACIONAL 13-08-26'!N42</f>
        <v>225.72727272727275</v>
      </c>
      <c r="O42" s="19">
        <f>'[1]INVENTARIO NACIONAL 13-08-26'!O42</f>
        <v>37</v>
      </c>
      <c r="P42" s="20">
        <f>'[1]INVENTARIO NACIONAL 13-08-26'!P42</f>
        <v>227.55</v>
      </c>
      <c r="Q42" s="17">
        <f>'[1]INVENTARIO NACIONAL 13-08-26'!Q42</f>
        <v>10.175000000000001</v>
      </c>
      <c r="R42" s="20">
        <f>'[1]INVENTARIO NACIONAL 13-08-26'!R42</f>
        <v>80</v>
      </c>
      <c r="S42" s="18">
        <f>'[1]INVENTARIO NACIONAL 13-08-26'!S42</f>
        <v>-17.545454545454547</v>
      </c>
      <c r="T42" s="21">
        <f>'[1]INVENTARIO NACIONAL 13-08-26'!T42</f>
        <v>228</v>
      </c>
      <c r="U42" s="20">
        <f>'[1]INVENTARIO NACIONAL 13-08-26'!U42</f>
        <v>1402.2</v>
      </c>
      <c r="V42" s="17">
        <f>'[1]INVENTARIO NACIONAL 13-08-26'!V42</f>
        <v>11.914489311163896</v>
      </c>
      <c r="W42" s="19">
        <f>'[1]INVENTARIO NACIONAL 13-08-26'!W42</f>
        <v>421</v>
      </c>
      <c r="X42" s="18">
        <f>'[1]INVENTARIO NACIONAL 13-08-26'!X42</f>
        <v>-59.045454545454561</v>
      </c>
      <c r="Y42" s="22">
        <f>'[1]INVENTARIO NACIONAL 13-08-26'!Y42</f>
        <v>1505</v>
      </c>
      <c r="Z42" s="23">
        <f>'[1]INVENTARIO NACIONAL 13-08-26'!Z42</f>
        <v>9255.75</v>
      </c>
      <c r="AA42" s="24">
        <f ca="1">'[1]INVENTARIO NACIONAL 13-08-26'!AA42</f>
        <v>1192</v>
      </c>
      <c r="AB42" s="25">
        <f ca="1">'[1]INVENTARIO NACIONAL 13-08-26'!AB42</f>
        <v>12.625838926174497</v>
      </c>
      <c r="AC42" s="26">
        <f ca="1">'[1]INVENTARIO NACIONAL 13-08-26'!AC42</f>
        <v>1.2625838926174497</v>
      </c>
      <c r="AD42" s="29">
        <f ca="1">'[1]INVENTARIO NACIONAL 13-08-26'!AD42</f>
        <v>313</v>
      </c>
      <c r="AE42" s="30">
        <f ca="1">'[1]INVENTARIO NACIONAL 13-08-26'!AE42</f>
        <v>596</v>
      </c>
      <c r="AF42" s="28">
        <f ca="1">'[1]INVENTARIO NACIONAL 13-08-26'!AF42</f>
        <v>283</v>
      </c>
      <c r="AG42" s="31">
        <f>'[1]INVENTARIO NACIONAL 13-08-26'!AG42</f>
        <v>27.87037037037037</v>
      </c>
    </row>
    <row r="43" spans="2:33" x14ac:dyDescent="0.25">
      <c r="B43" s="13">
        <v>132150</v>
      </c>
      <c r="C43" s="32" t="s">
        <v>69</v>
      </c>
      <c r="D43" s="15">
        <f>'[1]INVENTARIO NACIONAL 13-08-26'!D43</f>
        <v>1.1599999999999999</v>
      </c>
      <c r="E43" s="16">
        <f>'[1]INVENTARIO NACIONAL 13-08-26'!E43</f>
        <v>3934</v>
      </c>
      <c r="F43" s="17">
        <f>'[1]INVENTARIO NACIONAL 13-08-26'!F43</f>
        <v>4563.4399999999996</v>
      </c>
      <c r="G43" s="17">
        <f>'[1]INVENTARIO NACIONAL 13-08-26'!G43</f>
        <v>11.670442286947143</v>
      </c>
      <c r="H43" s="16">
        <f>'[1]INVENTARIO NACIONAL 13-08-26'!H43</f>
        <v>7416</v>
      </c>
      <c r="I43" s="18">
        <f>'[1]INVENTARIO NACIONAL 13-08-26'!I43</f>
        <v>-1122.363636363636</v>
      </c>
      <c r="J43" s="19">
        <f>'[1]INVENTARIO NACIONAL 13-08-26'!J43</f>
        <v>0</v>
      </c>
      <c r="K43" s="16">
        <f>'[1]INVENTARIO NACIONAL 13-08-26'!K43</f>
        <v>0</v>
      </c>
      <c r="L43" s="17">
        <f>'[1]INVENTARIO NACIONAL 13-08-26'!L43</f>
        <v>0</v>
      </c>
      <c r="M43" s="16">
        <f>'[1]INVENTARIO NACIONAL 13-08-26'!M43</f>
        <v>6211</v>
      </c>
      <c r="N43" s="18">
        <f>'[1]INVENTARIO NACIONAL 13-08-26'!N43</f>
        <v>-2823.181818181818</v>
      </c>
      <c r="O43" s="19">
        <f>'[1]INVENTARIO NACIONAL 13-08-26'!O43</f>
        <v>585</v>
      </c>
      <c r="P43" s="20">
        <f>'[1]INVENTARIO NACIONAL 13-08-26'!P43</f>
        <v>678.59999999999991</v>
      </c>
      <c r="Q43" s="17">
        <f>'[1]INVENTARIO NACIONAL 13-08-26'!Q43</f>
        <v>10.480456026058631</v>
      </c>
      <c r="R43" s="20">
        <f>'[1]INVENTARIO NACIONAL 13-08-26'!R43</f>
        <v>1228</v>
      </c>
      <c r="S43" s="18">
        <f>'[1]INVENTARIO NACIONAL 13-08-26'!S43</f>
        <v>-252.27272727272725</v>
      </c>
      <c r="T43" s="21">
        <f>'[1]INVENTARIO NACIONAL 13-08-26'!T43</f>
        <v>1092</v>
      </c>
      <c r="U43" s="20">
        <f>'[1]INVENTARIO NACIONAL 13-08-26'!U43</f>
        <v>1266.7199999999998</v>
      </c>
      <c r="V43" s="17">
        <f>'[1]INVENTARIO NACIONAL 13-08-26'!V43</f>
        <v>7.3422982885085579</v>
      </c>
      <c r="W43" s="19">
        <f>'[1]INVENTARIO NACIONAL 13-08-26'!W43</f>
        <v>3272</v>
      </c>
      <c r="X43" s="18">
        <f>'[1]INVENTARIO NACIONAL 13-08-26'!X43</f>
        <v>-1138.909090909091</v>
      </c>
      <c r="Y43" s="22">
        <f>'[1]INVENTARIO NACIONAL 13-08-26'!Y43</f>
        <v>5611</v>
      </c>
      <c r="Z43" s="23">
        <f>'[1]INVENTARIO NACIONAL 13-08-26'!Z43</f>
        <v>6508.7599999999993</v>
      </c>
      <c r="AA43" s="24">
        <f ca="1">'[1]INVENTARIO NACIONAL 13-08-26'!AA43</f>
        <v>6145</v>
      </c>
      <c r="AB43" s="25">
        <f ca="1">'[1]INVENTARIO NACIONAL 13-08-26'!AB43</f>
        <v>9.131000813669651</v>
      </c>
      <c r="AC43" s="26">
        <f ca="1">'[1]INVENTARIO NACIONAL 13-08-26'!AC43</f>
        <v>0.91310008136696497</v>
      </c>
      <c r="AD43" s="29">
        <f ca="1">'[1]INVENTARIO NACIONAL 13-08-26'!AD43</f>
        <v>-534</v>
      </c>
      <c r="AE43" s="30">
        <f ca="1">'[1]INVENTARIO NACIONAL 13-08-26'!AE43</f>
        <v>3072.5</v>
      </c>
      <c r="AF43" s="28">
        <f ca="1">'[1]INVENTARIO NACIONAL 13-08-26'!AF43</f>
        <v>3606.5</v>
      </c>
      <c r="AG43" s="31">
        <f>'[1]INVENTARIO NACIONAL 13-08-26'!AG43</f>
        <v>103.9074074074074</v>
      </c>
    </row>
    <row r="44" spans="2:33" x14ac:dyDescent="0.25">
      <c r="B44" s="13">
        <v>132151</v>
      </c>
      <c r="C44" s="32" t="s">
        <v>70</v>
      </c>
      <c r="D44" s="15">
        <f>'[1]INVENTARIO NACIONAL 13-08-26'!D44</f>
        <v>1.1599999999999999</v>
      </c>
      <c r="E44" s="16">
        <f>'[1]INVENTARIO NACIONAL 13-08-26'!E44</f>
        <v>4546</v>
      </c>
      <c r="F44" s="17">
        <f>'[1]INVENTARIO NACIONAL 13-08-26'!F44</f>
        <v>5273.36</v>
      </c>
      <c r="G44" s="17">
        <f>'[1]INVENTARIO NACIONAL 13-08-26'!G44</f>
        <v>14.638758782201405</v>
      </c>
      <c r="H44" s="16">
        <f>'[1]INVENTARIO NACIONAL 13-08-26'!H44</f>
        <v>6832</v>
      </c>
      <c r="I44" s="18">
        <f>'[1]INVENTARIO NACIONAL 13-08-26'!I44</f>
        <v>-112.18181818181802</v>
      </c>
      <c r="J44" s="19">
        <f>'[1]INVENTARIO NACIONAL 13-08-26'!J44</f>
        <v>4450</v>
      </c>
      <c r="K44" s="16">
        <f>'[1]INVENTARIO NACIONAL 13-08-26'!K44</f>
        <v>5162</v>
      </c>
      <c r="L44" s="17">
        <f>'[1]INVENTARIO NACIONAL 13-08-26'!L44</f>
        <v>18.580375782881003</v>
      </c>
      <c r="M44" s="16">
        <f>'[1]INVENTARIO NACIONAL 13-08-26'!M44</f>
        <v>5269</v>
      </c>
      <c r="N44" s="18">
        <f>'[1]INVENTARIO NACIONAL 13-08-26'!N44</f>
        <v>2055</v>
      </c>
      <c r="O44" s="19">
        <f>'[1]INVENTARIO NACIONAL 13-08-26'!O44</f>
        <v>749</v>
      </c>
      <c r="P44" s="20">
        <f>'[1]INVENTARIO NACIONAL 13-08-26'!P44</f>
        <v>868.83999999999992</v>
      </c>
      <c r="Q44" s="17">
        <f>'[1]INVENTARIO NACIONAL 13-08-26'!Q44</f>
        <v>19.477541371158392</v>
      </c>
      <c r="R44" s="20">
        <f>'[1]INVENTARIO NACIONAL 13-08-26'!R44</f>
        <v>846</v>
      </c>
      <c r="S44" s="18">
        <f>'[1]INVENTARIO NACIONAL 13-08-26'!S44</f>
        <v>172.18181818181824</v>
      </c>
      <c r="T44" s="21">
        <f>'[1]INVENTARIO NACIONAL 13-08-26'!T44</f>
        <v>405</v>
      </c>
      <c r="U44" s="20">
        <f>'[1]INVENTARIO NACIONAL 13-08-26'!U44</f>
        <v>469.79999999999995</v>
      </c>
      <c r="V44" s="17">
        <f>'[1]INVENTARIO NACIONAL 13-08-26'!V44</f>
        <v>3.9130434782608696</v>
      </c>
      <c r="W44" s="19">
        <f>'[1]INVENTARIO NACIONAL 13-08-26'!W44</f>
        <v>2277</v>
      </c>
      <c r="X44" s="18">
        <f>'[1]INVENTARIO NACIONAL 13-08-26'!X44</f>
        <v>-1147.5</v>
      </c>
      <c r="Y44" s="22">
        <f>'[1]INVENTARIO NACIONAL 13-08-26'!Y44</f>
        <v>10150</v>
      </c>
      <c r="Z44" s="23">
        <f>'[1]INVENTARIO NACIONAL 13-08-26'!Z44</f>
        <v>11774</v>
      </c>
      <c r="AA44" s="24">
        <f ca="1">'[1]INVENTARIO NACIONAL 13-08-26'!AA44</f>
        <v>6715</v>
      </c>
      <c r="AB44" s="25">
        <f ca="1">'[1]INVENTARIO NACIONAL 13-08-26'!AB44</f>
        <v>15.115413253909159</v>
      </c>
      <c r="AC44" s="26">
        <f ca="1">'[1]INVENTARIO NACIONAL 13-08-26'!AC44</f>
        <v>1.5115413253909158</v>
      </c>
      <c r="AD44" s="29">
        <f ca="1">'[1]INVENTARIO NACIONAL 13-08-26'!AD44</f>
        <v>3435</v>
      </c>
      <c r="AE44" s="30">
        <f ca="1">'[1]INVENTARIO NACIONAL 13-08-26'!AE44</f>
        <v>3357.5</v>
      </c>
      <c r="AF44" s="28">
        <f ca="1">'[1]INVENTARIO NACIONAL 13-08-26'!AF44</f>
        <v>-77.5</v>
      </c>
      <c r="AG44" s="31">
        <f>'[1]INVENTARIO NACIONAL 13-08-26'!AG44</f>
        <v>187.96296296296296</v>
      </c>
    </row>
    <row r="45" spans="2:33" x14ac:dyDescent="0.25">
      <c r="B45" s="13">
        <v>132152</v>
      </c>
      <c r="C45" s="32" t="s">
        <v>71</v>
      </c>
      <c r="D45" s="15">
        <f>'[1]INVENTARIO NACIONAL 13-08-26'!D45</f>
        <v>1.1599999999999999</v>
      </c>
      <c r="E45" s="16">
        <f>'[1]INVENTARIO NACIONAL 13-08-26'!E45</f>
        <v>610</v>
      </c>
      <c r="F45" s="17">
        <f>'[1]INVENTARIO NACIONAL 13-08-26'!F45</f>
        <v>707.59999999999991</v>
      </c>
      <c r="G45" s="17">
        <f>'[1]INVENTARIO NACIONAL 13-08-26'!G45</f>
        <v>1.3957358294331772</v>
      </c>
      <c r="H45" s="16">
        <f>'[1]INVENTARIO NACIONAL 13-08-26'!H45</f>
        <v>9615</v>
      </c>
      <c r="I45" s="18">
        <f>'[1]INVENTARIO NACIONAL 13-08-26'!I45</f>
        <v>-5945.681818181818</v>
      </c>
      <c r="J45" s="19">
        <f>'[1]INVENTARIO NACIONAL 13-08-26'!J45</f>
        <v>5118</v>
      </c>
      <c r="K45" s="16">
        <f>'[1]INVENTARIO NACIONAL 13-08-26'!K45</f>
        <v>5936.8799999999992</v>
      </c>
      <c r="L45" s="17">
        <f>'[1]INVENTARIO NACIONAL 13-08-26'!L45</f>
        <v>18.093524023782741</v>
      </c>
      <c r="M45" s="16">
        <f>'[1]INVENTARIO NACIONAL 13-08-26'!M45</f>
        <v>6223</v>
      </c>
      <c r="N45" s="18">
        <f>'[1]INVENTARIO NACIONAL 13-08-26'!N45</f>
        <v>2289.363636363636</v>
      </c>
      <c r="O45" s="19">
        <f>'[1]INVENTARIO NACIONAL 13-08-26'!O45</f>
        <v>746</v>
      </c>
      <c r="P45" s="20">
        <f>'[1]INVENTARIO NACIONAL 13-08-26'!P45</f>
        <v>865.3599999999999</v>
      </c>
      <c r="Q45" s="17">
        <f>'[1]INVENTARIO NACIONAL 13-08-26'!Q45</f>
        <v>14.472663139329805</v>
      </c>
      <c r="R45" s="20">
        <f>'[1]INVENTARIO NACIONAL 13-08-26'!R45</f>
        <v>1134</v>
      </c>
      <c r="S45" s="18">
        <f>'[1]INVENTARIO NACIONAL 13-08-26'!S45</f>
        <v>-27.181818181818244</v>
      </c>
      <c r="T45" s="21">
        <f>'[1]INVENTARIO NACIONAL 13-08-26'!T45</f>
        <v>1744</v>
      </c>
      <c r="U45" s="20">
        <f>'[1]INVENTARIO NACIONAL 13-08-26'!U45</f>
        <v>2023.04</v>
      </c>
      <c r="V45" s="17">
        <f>'[1]INVENTARIO NACIONAL 13-08-26'!V45</f>
        <v>10.981110475100172</v>
      </c>
      <c r="W45" s="19">
        <f>'[1]INVENTARIO NACIONAL 13-08-26'!W45</f>
        <v>3494</v>
      </c>
      <c r="X45" s="18">
        <f>'[1]INVENTARIO NACIONAL 13-08-26'!X45</f>
        <v>-638.27272727272702</v>
      </c>
      <c r="Y45" s="22">
        <f>'[1]INVENTARIO NACIONAL 13-08-26'!Y45</f>
        <v>8218</v>
      </c>
      <c r="Z45" s="23">
        <f>'[1]INVENTARIO NACIONAL 13-08-26'!Z45</f>
        <v>9532.8799999999992</v>
      </c>
      <c r="AA45" s="24">
        <f ca="1">'[1]INVENTARIO NACIONAL 13-08-26'!AA45</f>
        <v>8316</v>
      </c>
      <c r="AB45" s="25">
        <f ca="1">'[1]INVENTARIO NACIONAL 13-08-26'!AB45</f>
        <v>9.8821548821548824</v>
      </c>
      <c r="AC45" s="26">
        <f ca="1">'[1]INVENTARIO NACIONAL 13-08-26'!AC45</f>
        <v>0.98821548821548821</v>
      </c>
      <c r="AD45" s="29">
        <f ca="1">'[1]INVENTARIO NACIONAL 13-08-26'!AD45</f>
        <v>-98</v>
      </c>
      <c r="AE45" s="30">
        <f ca="1">'[1]INVENTARIO NACIONAL 13-08-26'!AE45</f>
        <v>4158</v>
      </c>
      <c r="AF45" s="28">
        <f ca="1">'[1]INVENTARIO NACIONAL 13-08-26'!AF45</f>
        <v>4256</v>
      </c>
      <c r="AG45" s="31">
        <f>'[1]INVENTARIO NACIONAL 13-08-26'!AG45</f>
        <v>152.18518518518519</v>
      </c>
    </row>
    <row r="46" spans="2:33" ht="22.5" x14ac:dyDescent="0.25">
      <c r="B46" s="13">
        <v>132153</v>
      </c>
      <c r="C46" s="32" t="s">
        <v>72</v>
      </c>
      <c r="D46" s="15">
        <f>'[1]INVENTARIO NACIONAL 13-08-26'!D46</f>
        <v>1.1599999999999999</v>
      </c>
      <c r="E46" s="16">
        <f>'[1]INVENTARIO NACIONAL 13-08-26'!E46</f>
        <v>2970</v>
      </c>
      <c r="F46" s="17">
        <f>'[1]INVENTARIO NACIONAL 13-08-26'!F46</f>
        <v>3445.2</v>
      </c>
      <c r="G46" s="17">
        <f>'[1]INVENTARIO NACIONAL 13-08-26'!G46</f>
        <v>11.62426614481409</v>
      </c>
      <c r="H46" s="16">
        <f>'[1]INVENTARIO NACIONAL 13-08-26'!H46</f>
        <v>5621</v>
      </c>
      <c r="I46" s="18">
        <f>'[1]INVENTARIO NACIONAL 13-08-26'!I46</f>
        <v>-862.5</v>
      </c>
      <c r="J46" s="19">
        <f>'[1]INVENTARIO NACIONAL 13-08-26'!J46</f>
        <v>2417</v>
      </c>
      <c r="K46" s="16">
        <f>'[1]INVENTARIO NACIONAL 13-08-26'!K46</f>
        <v>2803.72</v>
      </c>
      <c r="L46" s="17">
        <f>'[1]INVENTARIO NACIONAL 13-08-26'!L46</f>
        <v>11.435268817204301</v>
      </c>
      <c r="M46" s="16">
        <f>'[1]INVENTARIO NACIONAL 13-08-26'!M46</f>
        <v>4650</v>
      </c>
      <c r="N46" s="18">
        <f>'[1]INVENTARIO NACIONAL 13-08-26'!N46</f>
        <v>303.36363636363603</v>
      </c>
      <c r="O46" s="19">
        <f>'[1]INVENTARIO NACIONAL 13-08-26'!O46</f>
        <v>540</v>
      </c>
      <c r="P46" s="20">
        <f>'[1]INVENTARIO NACIONAL 13-08-26'!P46</f>
        <v>626.4</v>
      </c>
      <c r="Q46" s="17">
        <f>'[1]INVENTARIO NACIONAL 13-08-26'!Q46</f>
        <v>16.251709986320108</v>
      </c>
      <c r="R46" s="20">
        <f>'[1]INVENTARIO NACIONAL 13-08-26'!R46</f>
        <v>731</v>
      </c>
      <c r="S46" s="18">
        <f>'[1]INVENTARIO NACIONAL 13-08-26'!S46</f>
        <v>41.590909090909122</v>
      </c>
      <c r="T46" s="21">
        <f>'[1]INVENTARIO NACIONAL 13-08-26'!T46</f>
        <v>789</v>
      </c>
      <c r="U46" s="20">
        <f>'[1]INVENTARIO NACIONAL 13-08-26'!U46</f>
        <v>915.2399999999999</v>
      </c>
      <c r="V46" s="17">
        <f>'[1]INVENTARIO NACIONAL 13-08-26'!V46</f>
        <v>15.595687331536388</v>
      </c>
      <c r="W46" s="19">
        <f>'[1]INVENTARIO NACIONAL 13-08-26'!W46</f>
        <v>1113</v>
      </c>
      <c r="X46" s="18">
        <f>'[1]INVENTARIO NACIONAL 13-08-26'!X46</f>
        <v>30.136363636363626</v>
      </c>
      <c r="Y46" s="22">
        <f>'[1]INVENTARIO NACIONAL 13-08-26'!Y46</f>
        <v>6716</v>
      </c>
      <c r="Z46" s="23">
        <f>'[1]INVENTARIO NACIONAL 13-08-26'!Z46</f>
        <v>7790.5599999999995</v>
      </c>
      <c r="AA46" s="24">
        <f ca="1">'[1]INVENTARIO NACIONAL 13-08-26'!AA46</f>
        <v>5818</v>
      </c>
      <c r="AB46" s="25">
        <f ca="1">'[1]INVENTARIO NACIONAL 13-08-26'!AB46</f>
        <v>11.543485733929186</v>
      </c>
      <c r="AC46" s="26">
        <f ca="1">'[1]INVENTARIO NACIONAL 13-08-26'!AC46</f>
        <v>1.1543485733929186</v>
      </c>
      <c r="AD46" s="29">
        <f ca="1">'[1]INVENTARIO NACIONAL 13-08-26'!AD46</f>
        <v>898</v>
      </c>
      <c r="AE46" s="30">
        <f ca="1">'[1]INVENTARIO NACIONAL 13-08-26'!AE46</f>
        <v>2909</v>
      </c>
      <c r="AF46" s="28">
        <f ca="1">'[1]INVENTARIO NACIONAL 13-08-26'!AF46</f>
        <v>2011</v>
      </c>
      <c r="AG46" s="31">
        <f>'[1]INVENTARIO NACIONAL 13-08-26'!AG46</f>
        <v>124.37037037037037</v>
      </c>
    </row>
    <row r="47" spans="2:33" x14ac:dyDescent="0.25">
      <c r="B47" s="13">
        <v>134000</v>
      </c>
      <c r="C47" s="32" t="s">
        <v>73</v>
      </c>
      <c r="D47" s="15">
        <f>'[1]INVENTARIO NACIONAL 13-08-26'!D47</f>
        <v>18</v>
      </c>
      <c r="E47" s="16">
        <f>'[1]INVENTARIO NACIONAL 13-08-26'!E47</f>
        <v>0</v>
      </c>
      <c r="F47" s="17">
        <v>0</v>
      </c>
      <c r="G47" s="17">
        <v>0</v>
      </c>
      <c r="H47" s="16">
        <v>0</v>
      </c>
      <c r="I47" s="18">
        <v>0</v>
      </c>
      <c r="J47" s="19">
        <f>'[1]INVENTARIO NACIONAL 13-08-26'!J47</f>
        <v>16</v>
      </c>
      <c r="K47" s="16">
        <f>'[1]INVENTARIO NACIONAL 13-08-26'!K47</f>
        <v>288</v>
      </c>
      <c r="L47" s="17">
        <f>'[1]INVENTARIO NACIONAL 13-08-26'!L47</f>
        <v>5.7704918032786878</v>
      </c>
      <c r="M47" s="16">
        <f>'[1]INVENTARIO NACIONAL 13-08-26'!M47</f>
        <v>61</v>
      </c>
      <c r="N47" s="18">
        <f>'[1]INVENTARIO NACIONAL 13-08-26'!N47</f>
        <v>-11.72727272727273</v>
      </c>
      <c r="O47" s="19">
        <f>'[1]INVENTARIO NACIONAL 13-08-26'!O47</f>
        <v>0</v>
      </c>
      <c r="P47" s="20">
        <v>0</v>
      </c>
      <c r="Q47" s="17">
        <v>0</v>
      </c>
      <c r="R47" s="20">
        <f>'[1]INVENTARIO NACIONAL 13-08-26'!R47</f>
        <v>0</v>
      </c>
      <c r="S47" s="18">
        <f>'[1]INVENTARIO NACIONAL 13-08-26'!S47</f>
        <v>0</v>
      </c>
      <c r="T47" s="21">
        <f>'[1]INVENTARIO NACIONAL 13-08-26'!T47</f>
        <v>8</v>
      </c>
      <c r="U47" s="20">
        <v>0</v>
      </c>
      <c r="V47" s="17">
        <f>'[1]INVENTARIO NACIONAL 13-08-26'!V47</f>
        <v>10.352941176470589</v>
      </c>
      <c r="W47" s="37">
        <f>'[1]INVENTARIO NACIONAL 13-08-26'!W47</f>
        <v>17</v>
      </c>
      <c r="X47" s="18">
        <f>'[1]INVENTARIO NACIONAL 13-08-26'!X47</f>
        <v>-3.5909090909090899</v>
      </c>
      <c r="Y47" s="22">
        <f>'[1]INVENTARIO NACIONAL 13-08-26'!Y47</f>
        <v>16</v>
      </c>
      <c r="Z47" s="23">
        <f>'[1]INVENTARIO NACIONAL 13-08-26'!Z47</f>
        <v>288</v>
      </c>
      <c r="AA47" s="36">
        <f ca="1">'[1]INVENTARIO NACIONAL 13-08-26'!AA47</f>
        <v>24</v>
      </c>
      <c r="AB47" s="25">
        <f ca="1">'[1]INVENTARIO NACIONAL 13-08-26'!AB47</f>
        <v>6.666666666666667</v>
      </c>
      <c r="AC47" s="26">
        <f ca="1">'[1]INVENTARIO NACIONAL 13-08-26'!AC47</f>
        <v>0.66666666666666663</v>
      </c>
      <c r="AD47" s="29">
        <f ca="1">'[1]INVENTARIO NACIONAL 13-08-26'!AD47</f>
        <v>-8</v>
      </c>
      <c r="AE47" s="30">
        <f ca="1">'[1]INVENTARIO NACIONAL 13-08-26'!AE47</f>
        <v>12</v>
      </c>
      <c r="AF47" s="28">
        <f ca="1">'[1]INVENTARIO NACIONAL 13-08-26'!AF47</f>
        <v>20</v>
      </c>
      <c r="AG47" s="31">
        <f>'[1]INVENTARIO NACIONAL 13-08-26'!AG47</f>
        <v>8</v>
      </c>
    </row>
    <row r="48" spans="2:33" x14ac:dyDescent="0.25">
      <c r="B48" s="13">
        <v>134001</v>
      </c>
      <c r="C48" s="32" t="s">
        <v>74</v>
      </c>
      <c r="D48" s="15">
        <f>'[1]INVENTARIO NACIONAL 13-08-26'!D48</f>
        <v>18</v>
      </c>
      <c r="E48" s="16">
        <f>'[1]INVENTARIO NACIONAL 13-08-26'!E48</f>
        <v>0</v>
      </c>
      <c r="F48" s="17">
        <v>0</v>
      </c>
      <c r="G48" s="17">
        <v>0</v>
      </c>
      <c r="H48" s="16">
        <v>0</v>
      </c>
      <c r="I48" s="18">
        <v>0</v>
      </c>
      <c r="J48" s="19">
        <f>'[1]INVENTARIO NACIONAL 13-08-26'!J48</f>
        <v>11</v>
      </c>
      <c r="K48" s="16">
        <f>'[1]INVENTARIO NACIONAL 13-08-26'!K48</f>
        <v>198</v>
      </c>
      <c r="L48" s="17">
        <f>'[1]INVENTARIO NACIONAL 13-08-26'!L48</f>
        <v>13.444444444444443</v>
      </c>
      <c r="M48" s="16">
        <f>'[1]INVENTARIO NACIONAL 13-08-26'!M48</f>
        <v>18</v>
      </c>
      <c r="N48" s="18">
        <f>'[1]INVENTARIO NACIONAL 13-08-26'!N48</f>
        <v>2.8181818181818183</v>
      </c>
      <c r="O48" s="19">
        <f>'[1]INVENTARIO NACIONAL 13-08-26'!O48</f>
        <v>0</v>
      </c>
      <c r="P48" s="20">
        <v>0</v>
      </c>
      <c r="Q48" s="17">
        <v>0</v>
      </c>
      <c r="R48" s="20">
        <f>'[1]INVENTARIO NACIONAL 13-08-26'!R48</f>
        <v>0</v>
      </c>
      <c r="S48" s="18">
        <f>'[1]INVENTARIO NACIONAL 13-08-26'!S48</f>
        <v>0</v>
      </c>
      <c r="T48" s="21">
        <f>'[1]INVENTARIO NACIONAL 13-08-26'!T48</f>
        <v>0</v>
      </c>
      <c r="U48" s="20">
        <v>0</v>
      </c>
      <c r="V48" s="17">
        <v>0</v>
      </c>
      <c r="W48" s="37">
        <v>0</v>
      </c>
      <c r="X48" s="18">
        <v>0</v>
      </c>
      <c r="Y48" s="22">
        <f>'[1]INVENTARIO NACIONAL 13-08-26'!Y48</f>
        <v>11</v>
      </c>
      <c r="Z48" s="23">
        <f>'[1]INVENTARIO NACIONAL 13-08-26'!Z48</f>
        <v>198</v>
      </c>
      <c r="AA48" s="36">
        <f ca="1">'[1]INVENTARIO NACIONAL 13-08-26'!AA48</f>
        <v>0</v>
      </c>
      <c r="AB48" s="25">
        <v>0</v>
      </c>
      <c r="AC48" s="35">
        <v>0</v>
      </c>
      <c r="AD48" s="29">
        <f ca="1">'[1]INVENTARIO NACIONAL 13-08-26'!AD48</f>
        <v>11</v>
      </c>
      <c r="AE48" s="30">
        <f ca="1">'[1]INVENTARIO NACIONAL 13-08-26'!AE48</f>
        <v>0</v>
      </c>
      <c r="AF48" s="28">
        <f ca="1">'[1]INVENTARIO NACIONAL 13-08-26'!AF48</f>
        <v>-11</v>
      </c>
      <c r="AG48" s="31">
        <f>'[1]INVENTARIO NACIONAL 13-08-26'!AG48</f>
        <v>5.5</v>
      </c>
    </row>
    <row r="49" spans="2:33" x14ac:dyDescent="0.25">
      <c r="B49" s="13">
        <v>140230</v>
      </c>
      <c r="C49" s="32" t="s">
        <v>75</v>
      </c>
      <c r="D49" s="15">
        <f>'[1]INVENTARIO NACIONAL 13-08-26'!D49</f>
        <v>1.1599999999999999</v>
      </c>
      <c r="E49" s="16">
        <f>'[1]INVENTARIO NACIONAL 13-08-26'!E49</f>
        <v>0</v>
      </c>
      <c r="F49" s="17">
        <f>'[1]INVENTARIO NACIONAL 13-08-26'!F49</f>
        <v>0</v>
      </c>
      <c r="G49" s="17">
        <f>'[1]INVENTARIO NACIONAL 13-08-26'!G49</f>
        <v>0</v>
      </c>
      <c r="H49" s="16">
        <f>'[1]INVENTARIO NACIONAL 13-08-26'!H49</f>
        <v>1948</v>
      </c>
      <c r="I49" s="18">
        <f>'[1]INVENTARIO NACIONAL 13-08-26'!I49</f>
        <v>-1328.1818181818182</v>
      </c>
      <c r="J49" s="19">
        <f>'[1]INVENTARIO NACIONAL 13-08-26'!J49</f>
        <v>3</v>
      </c>
      <c r="K49" s="16">
        <f>'[1]INVENTARIO NACIONAL 13-08-26'!K49</f>
        <v>3.4799999999999995</v>
      </c>
      <c r="L49" s="17">
        <f>'[1]INVENTARIO NACIONAL 13-08-26'!L49</f>
        <v>2.7227722772277228E-2</v>
      </c>
      <c r="M49" s="16">
        <f>'[1]INVENTARIO NACIONAL 13-08-26'!M49</f>
        <v>2424</v>
      </c>
      <c r="N49" s="18">
        <f>'[1]INVENTARIO NACIONAL 13-08-26'!N49</f>
        <v>-1098.818181818182</v>
      </c>
      <c r="O49" s="19">
        <f>'[1]INVENTARIO NACIONAL 13-08-26'!O49</f>
        <v>100</v>
      </c>
      <c r="P49" s="20">
        <f>'[1]INVENTARIO NACIONAL 13-08-26'!P49</f>
        <v>115.99999999999999</v>
      </c>
      <c r="Q49" s="17">
        <f>'[1]INVENTARIO NACIONAL 13-08-26'!Q49</f>
        <v>12.222222222222223</v>
      </c>
      <c r="R49" s="20">
        <f>'[1]INVENTARIO NACIONAL 13-08-26'!R49</f>
        <v>180</v>
      </c>
      <c r="S49" s="18">
        <f>'[1]INVENTARIO NACIONAL 13-08-26'!S49</f>
        <v>-22.72727272727272</v>
      </c>
      <c r="T49" s="21">
        <f>'[1]INVENTARIO NACIONAL 13-08-26'!T49</f>
        <v>6</v>
      </c>
      <c r="U49" s="20">
        <f>'[1]INVENTARIO NACIONAL 13-08-26'!U49</f>
        <v>6.9599999999999991</v>
      </c>
      <c r="V49" s="17">
        <f>'[1]INVENTARIO NACIONAL 13-08-26'!V49</f>
        <v>0.32917705735660852</v>
      </c>
      <c r="W49" s="19">
        <f>'[1]INVENTARIO NACIONAL 13-08-26'!W49</f>
        <v>401</v>
      </c>
      <c r="X49" s="18">
        <f>'[1]INVENTARIO NACIONAL 13-08-26'!X49</f>
        <v>-267.40909090909088</v>
      </c>
      <c r="Y49" s="22">
        <f>'[1]INVENTARIO NACIONAL 13-08-26'!Y49</f>
        <v>109</v>
      </c>
      <c r="Z49" s="23">
        <f>'[1]INVENTARIO NACIONAL 13-08-26'!Z49</f>
        <v>126.44</v>
      </c>
      <c r="AA49" s="24">
        <f ca="1">'[1]INVENTARIO NACIONAL 13-08-26'!AA49</f>
        <v>175</v>
      </c>
      <c r="AB49" s="25">
        <f ca="1">'[1]INVENTARIO NACIONAL 13-08-26'!AB49</f>
        <v>6.2285714285714286</v>
      </c>
      <c r="AC49" s="26">
        <f ca="1">'[1]INVENTARIO NACIONAL 13-08-26'!AC49</f>
        <v>0.62285714285714289</v>
      </c>
      <c r="AD49" s="29">
        <f ca="1">'[1]INVENTARIO NACIONAL 13-08-26'!AD49</f>
        <v>-66</v>
      </c>
      <c r="AE49" s="30">
        <f ca="1">'[1]INVENTARIO NACIONAL 13-08-26'!AE49</f>
        <v>87.5</v>
      </c>
      <c r="AF49" s="28">
        <f ca="1">'[1]INVENTARIO NACIONAL 13-08-26'!AF49</f>
        <v>153.5</v>
      </c>
      <c r="AG49" s="31">
        <f>'[1]INVENTARIO NACIONAL 13-08-26'!AG49</f>
        <v>2.7250000000000001</v>
      </c>
    </row>
    <row r="50" spans="2:33" x14ac:dyDescent="0.25">
      <c r="B50" s="13">
        <v>140231</v>
      </c>
      <c r="C50" s="32" t="s">
        <v>76</v>
      </c>
      <c r="D50" s="15">
        <f>'[1]INVENTARIO NACIONAL 13-08-26'!D50</f>
        <v>1.1599999999999999</v>
      </c>
      <c r="E50" s="16">
        <f>'[1]INVENTARIO NACIONAL 13-08-26'!E50</f>
        <v>2125</v>
      </c>
      <c r="F50" s="17">
        <f>'[1]INVENTARIO NACIONAL 13-08-26'!F50</f>
        <v>2465</v>
      </c>
      <c r="G50" s="17">
        <f>'[1]INVENTARIO NACIONAL 13-08-26'!G50</f>
        <v>15.252854812398043</v>
      </c>
      <c r="H50" s="16">
        <f>'[1]INVENTARIO NACIONAL 13-08-26'!H50</f>
        <v>3065</v>
      </c>
      <c r="I50" s="18">
        <f>'[1]INVENTARIO NACIONAL 13-08-26'!I50</f>
        <v>35.227272727272975</v>
      </c>
      <c r="J50" s="19">
        <f>'[1]INVENTARIO NACIONAL 13-08-26'!J50</f>
        <v>92</v>
      </c>
      <c r="K50" s="16">
        <f>'[1]INVENTARIO NACIONAL 13-08-26'!K50</f>
        <v>106.72</v>
      </c>
      <c r="L50" s="17">
        <f>'[1]INVENTARIO NACIONAL 13-08-26'!L50</f>
        <v>0.6699768288646144</v>
      </c>
      <c r="M50" s="16">
        <f>'[1]INVENTARIO NACIONAL 13-08-26'!M50</f>
        <v>3021</v>
      </c>
      <c r="N50" s="18">
        <f>'[1]INVENTARIO NACIONAL 13-08-26'!N50</f>
        <v>-1281.181818181818</v>
      </c>
      <c r="O50" s="19">
        <f>'[1]INVENTARIO NACIONAL 13-08-26'!O50</f>
        <v>17</v>
      </c>
      <c r="P50" s="20">
        <f>'[1]INVENTARIO NACIONAL 13-08-26'!P50</f>
        <v>19.72</v>
      </c>
      <c r="Q50" s="17">
        <f>'[1]INVENTARIO NACIONAL 13-08-26'!Q50</f>
        <v>0.57984496124031015</v>
      </c>
      <c r="R50" s="20">
        <f>'[1]INVENTARIO NACIONAL 13-08-26'!R50</f>
        <v>645</v>
      </c>
      <c r="S50" s="18">
        <f>'[1]INVENTARIO NACIONAL 13-08-26'!S50</f>
        <v>-422.77272727272725</v>
      </c>
      <c r="T50" s="21">
        <f>'[1]INVENTARIO NACIONAL 13-08-26'!T50</f>
        <v>654</v>
      </c>
      <c r="U50" s="20">
        <f>'[1]INVENTARIO NACIONAL 13-08-26'!U50</f>
        <v>758.64</v>
      </c>
      <c r="V50" s="17">
        <f>'[1]INVENTARIO NACIONAL 13-08-26'!V50</f>
        <v>7.4781704781704779</v>
      </c>
      <c r="W50" s="19">
        <f>'[1]INVENTARIO NACIONAL 13-08-26'!W50</f>
        <v>1924</v>
      </c>
      <c r="X50" s="18">
        <f>'[1]INVENTARIO NACIONAL 13-08-26'!X50</f>
        <v>-657.81818181818176</v>
      </c>
      <c r="Y50" s="22">
        <f>'[1]INVENTARIO NACIONAL 13-08-26'!Y50</f>
        <v>2888</v>
      </c>
      <c r="Z50" s="23">
        <f>'[1]INVENTARIO NACIONAL 13-08-26'!Z50</f>
        <v>3350.08</v>
      </c>
      <c r="AA50" s="24">
        <f>'[1]INVENTARIO NACIONAL 13-08-26'!AA50</f>
        <v>4682</v>
      </c>
      <c r="AB50" s="25">
        <f>'[1]INVENTARIO NACIONAL 13-08-26'!AB50</f>
        <v>6.1683041435284069</v>
      </c>
      <c r="AC50" s="26">
        <f>'[1]INVENTARIO NACIONAL 13-08-26'!AC50</f>
        <v>0.61683041435284069</v>
      </c>
      <c r="AD50" s="29">
        <f>'[1]INVENTARIO NACIONAL 13-08-26'!AD50</f>
        <v>-1794</v>
      </c>
      <c r="AE50" s="30">
        <f>'[1]INVENTARIO NACIONAL 13-08-26'!AE50</f>
        <v>2341</v>
      </c>
      <c r="AF50" s="28">
        <f>'[1]INVENTARIO NACIONAL 13-08-26'!AF50</f>
        <v>4135</v>
      </c>
      <c r="AG50" s="31">
        <f>'[1]INVENTARIO NACIONAL 13-08-26'!AG50</f>
        <v>72.2</v>
      </c>
    </row>
    <row r="51" spans="2:33" x14ac:dyDescent="0.25">
      <c r="B51" s="13">
        <v>140232</v>
      </c>
      <c r="C51" s="32" t="s">
        <v>77</v>
      </c>
      <c r="D51" s="15">
        <f>'[1]INVENTARIO NACIONAL 13-08-26'!D51</f>
        <v>1.1599999999999999</v>
      </c>
      <c r="E51" s="16">
        <f>'[1]INVENTARIO NACIONAL 13-08-26'!E51</f>
        <v>0</v>
      </c>
      <c r="F51" s="17">
        <f>'[1]INVENTARIO NACIONAL 13-08-26'!F51</f>
        <v>0</v>
      </c>
      <c r="G51" s="17">
        <f>'[1]INVENTARIO NACIONAL 13-08-26'!G51</f>
        <v>0</v>
      </c>
      <c r="H51" s="16">
        <f>'[1]INVENTARIO NACIONAL 13-08-26'!H51</f>
        <v>3593</v>
      </c>
      <c r="I51" s="18">
        <f>'[1]INVENTARIO NACIONAL 13-08-26'!I51</f>
        <v>-2449.772727272727</v>
      </c>
      <c r="J51" s="19">
        <f>'[1]INVENTARIO NACIONAL 13-08-26'!J51</f>
        <v>3</v>
      </c>
      <c r="K51" s="16">
        <f>'[1]INVENTARIO NACIONAL 13-08-26'!K51</f>
        <v>3.4799999999999995</v>
      </c>
      <c r="L51" s="17">
        <f>'[1]INVENTARIO NACIONAL 13-08-26'!L51</f>
        <v>1.7661225582017659E-2</v>
      </c>
      <c r="M51" s="16">
        <f>'[1]INVENTARIO NACIONAL 13-08-26'!M51</f>
        <v>3737</v>
      </c>
      <c r="N51" s="18">
        <f>'[1]INVENTARIO NACIONAL 13-08-26'!N51</f>
        <v>-1695.6363636363637</v>
      </c>
      <c r="O51" s="19">
        <f>'[1]INVENTARIO NACIONAL 13-08-26'!O51</f>
        <v>1</v>
      </c>
      <c r="P51" s="20">
        <f>'[1]INVENTARIO NACIONAL 13-08-26'!P51</f>
        <v>1.1599999999999999</v>
      </c>
      <c r="Q51" s="17">
        <f>'[1]INVENTARIO NACIONAL 13-08-26'!Q51</f>
        <v>4.8997772828507792E-2</v>
      </c>
      <c r="R51" s="20">
        <f>'[1]INVENTARIO NACIONAL 13-08-26'!R51</f>
        <v>449</v>
      </c>
      <c r="S51" s="18">
        <f>'[1]INVENTARIO NACIONAL 13-08-26'!S51</f>
        <v>-305.13636363636363</v>
      </c>
      <c r="T51" s="21">
        <f>'[1]INVENTARIO NACIONAL 13-08-26'!T51</f>
        <v>13</v>
      </c>
      <c r="U51" s="20">
        <f>'[1]INVENTARIO NACIONAL 13-08-26'!U51</f>
        <v>15.079999999999998</v>
      </c>
      <c r="V51" s="17">
        <f>'[1]INVENTARIO NACIONAL 13-08-26'!V51</f>
        <v>0.27902439024390241</v>
      </c>
      <c r="W51" s="19">
        <f>'[1]INVENTARIO NACIONAL 13-08-26'!W51</f>
        <v>1025</v>
      </c>
      <c r="X51" s="18">
        <f>'[1]INVENTARIO NACIONAL 13-08-26'!X51</f>
        <v>-685.86363636363637</v>
      </c>
      <c r="Y51" s="22">
        <f>'[1]INVENTARIO NACIONAL 13-08-26'!Y51</f>
        <v>17</v>
      </c>
      <c r="Z51" s="23">
        <f>'[1]INVENTARIO NACIONAL 13-08-26'!Z51</f>
        <v>19.72</v>
      </c>
      <c r="AA51" s="24">
        <f ca="1">'[1]INVENTARIO NACIONAL 13-08-26'!AA51</f>
        <v>709</v>
      </c>
      <c r="AB51" s="25">
        <f ca="1">'[1]INVENTARIO NACIONAL 13-08-26'!AB51</f>
        <v>0.23977433004231311</v>
      </c>
      <c r="AC51" s="26">
        <f ca="1">'[1]INVENTARIO NACIONAL 13-08-26'!AC51</f>
        <v>2.3977433004231313E-2</v>
      </c>
      <c r="AD51" s="29">
        <f ca="1">'[1]INVENTARIO NACIONAL 13-08-26'!AD51</f>
        <v>-692</v>
      </c>
      <c r="AE51" s="30">
        <f ca="1">'[1]INVENTARIO NACIONAL 13-08-26'!AE51</f>
        <v>354.5</v>
      </c>
      <c r="AF51" s="28">
        <f ca="1">'[1]INVENTARIO NACIONAL 13-08-26'!AF51</f>
        <v>1046.5</v>
      </c>
      <c r="AG51" s="31">
        <f>'[1]INVENTARIO NACIONAL 13-08-26'!AG51</f>
        <v>0.42499999999999999</v>
      </c>
    </row>
    <row r="52" spans="2:33" x14ac:dyDescent="0.25">
      <c r="B52" s="13">
        <v>150360</v>
      </c>
      <c r="C52" s="32" t="s">
        <v>78</v>
      </c>
      <c r="D52" s="15">
        <f>'[1]INVENTARIO NACIONAL 13-08-26'!D52</f>
        <v>0.81</v>
      </c>
      <c r="E52" s="16">
        <f>'[1]INVENTARIO NACIONAL 13-08-26'!E52</f>
        <v>6632</v>
      </c>
      <c r="F52" s="17">
        <f>'[1]INVENTARIO NACIONAL 13-08-26'!F52</f>
        <v>5371.92</v>
      </c>
      <c r="G52" s="17">
        <f>'[1]INVENTARIO NACIONAL 13-08-26'!G52</f>
        <v>52.332855093256811</v>
      </c>
      <c r="H52" s="16">
        <f>'[1]INVENTARIO NACIONAL 13-08-26'!H52</f>
        <v>2788</v>
      </c>
      <c r="I52" s="18">
        <f>'[1]INVENTARIO NACIONAL 13-08-26'!I52</f>
        <v>4731.090909090909</v>
      </c>
      <c r="J52" s="19">
        <f>'[1]INVENTARIO NACIONAL 13-08-26'!J52</f>
        <v>0</v>
      </c>
      <c r="K52" s="16">
        <f>'[1]INVENTARIO NACIONAL 13-08-26'!K52</f>
        <v>0</v>
      </c>
      <c r="L52" s="17">
        <f>'[1]INVENTARIO NACIONAL 13-08-26'!L52</f>
        <v>0</v>
      </c>
      <c r="M52" s="16">
        <f>'[1]INVENTARIO NACIONAL 13-08-26'!M52</f>
        <v>2329</v>
      </c>
      <c r="N52" s="18">
        <f>'[1]INVENTARIO NACIONAL 13-08-26'!N52</f>
        <v>-1058.6363636363635</v>
      </c>
      <c r="O52" s="19">
        <f>'[1]INVENTARIO NACIONAL 13-08-26'!O52</f>
        <v>519</v>
      </c>
      <c r="P52" s="20">
        <f>'[1]INVENTARIO NACIONAL 13-08-26'!P52</f>
        <v>420.39000000000004</v>
      </c>
      <c r="Q52" s="17">
        <f>'[1]INVENTARIO NACIONAL 13-08-26'!Q52</f>
        <v>47.18181818181818</v>
      </c>
      <c r="R52" s="20">
        <f>'[1]INVENTARIO NACIONAL 13-08-26'!R52</f>
        <v>242</v>
      </c>
      <c r="S52" s="18">
        <f>'[1]INVENTARIO NACIONAL 13-08-26'!S52</f>
        <v>354</v>
      </c>
      <c r="T52" s="21">
        <f>'[1]INVENTARIO NACIONAL 13-08-26'!T52</f>
        <v>857</v>
      </c>
      <c r="U52" s="20">
        <f>'[1]INVENTARIO NACIONAL 13-08-26'!U52</f>
        <v>694.17000000000007</v>
      </c>
      <c r="V52" s="17">
        <f>'[1]INVENTARIO NACIONAL 13-08-26'!V52</f>
        <v>20.294940796555437</v>
      </c>
      <c r="W52" s="19">
        <f>'[1]INVENTARIO NACIONAL 13-08-26'!W52</f>
        <v>929</v>
      </c>
      <c r="X52" s="18">
        <f>'[1]INVENTARIO NACIONAL 13-08-26'!X52</f>
        <v>223.59090909090912</v>
      </c>
      <c r="Y52" s="22">
        <f>'[1]INVENTARIO NACIONAL 13-08-26'!Y52</f>
        <v>8008</v>
      </c>
      <c r="Z52" s="23">
        <f>'[1]INVENTARIO NACIONAL 13-08-26'!Z52</f>
        <v>6486.4800000000005</v>
      </c>
      <c r="AA52" s="24">
        <f ca="1">'[1]INVENTARIO NACIONAL 13-08-26'!AA52</f>
        <v>3036</v>
      </c>
      <c r="AB52" s="25">
        <f ca="1">'[1]INVENTARIO NACIONAL 13-08-26'!AB52</f>
        <v>26.376811594202895</v>
      </c>
      <c r="AC52" s="26">
        <f ca="1">'[1]INVENTARIO NACIONAL 13-08-26'!AC52</f>
        <v>2.63768115942029</v>
      </c>
      <c r="AD52" s="29">
        <f ca="1">'[1]INVENTARIO NACIONAL 13-08-26'!AD52</f>
        <v>4972</v>
      </c>
      <c r="AE52" s="30">
        <f ca="1">'[1]INVENTARIO NACIONAL 13-08-26'!AE52</f>
        <v>1518</v>
      </c>
      <c r="AF52" s="28">
        <f ca="1">'[1]INVENTARIO NACIONAL 13-08-26'!AF52</f>
        <v>-3454</v>
      </c>
      <c r="AG52" s="31">
        <f>'[1]INVENTARIO NACIONAL 13-08-26'!AG52</f>
        <v>667.33333333333337</v>
      </c>
    </row>
    <row r="53" spans="2:33" x14ac:dyDescent="0.25">
      <c r="B53" s="13">
        <v>150361</v>
      </c>
      <c r="C53" s="32" t="s">
        <v>79</v>
      </c>
      <c r="D53" s="15">
        <f>'[1]INVENTARIO NACIONAL 13-08-26'!D53</f>
        <v>0.81</v>
      </c>
      <c r="E53" s="16">
        <f>'[1]INVENTARIO NACIONAL 13-08-26'!E53</f>
        <v>5091</v>
      </c>
      <c r="F53" s="17">
        <f>'[1]INVENTARIO NACIONAL 13-08-26'!F53</f>
        <v>4123.71</v>
      </c>
      <c r="G53" s="17">
        <f>'[1]INVENTARIO NACIONAL 13-08-26'!G53</f>
        <v>28.304776345716451</v>
      </c>
      <c r="H53" s="16">
        <f>'[1]INVENTARIO NACIONAL 13-08-26'!H53</f>
        <v>3957</v>
      </c>
      <c r="I53" s="18">
        <f>'[1]INVENTARIO NACIONAL 13-08-26'!I53</f>
        <v>2393.0454545454545</v>
      </c>
      <c r="J53" s="19">
        <f>'[1]INVENTARIO NACIONAL 13-08-26'!J53</f>
        <v>0</v>
      </c>
      <c r="K53" s="16">
        <f>'[1]INVENTARIO NACIONAL 13-08-26'!K53</f>
        <v>0</v>
      </c>
      <c r="L53" s="17">
        <f>'[1]INVENTARIO NACIONAL 13-08-26'!L53</f>
        <v>0</v>
      </c>
      <c r="M53" s="16">
        <f>'[1]INVENTARIO NACIONAL 13-08-26'!M53</f>
        <v>3726</v>
      </c>
      <c r="N53" s="18">
        <f>'[1]INVENTARIO NACIONAL 13-08-26'!N53</f>
        <v>-1693.6363636363637</v>
      </c>
      <c r="O53" s="19">
        <f>'[1]INVENTARIO NACIONAL 13-08-26'!O53</f>
        <v>803</v>
      </c>
      <c r="P53" s="20">
        <f>'[1]INVENTARIO NACIONAL 13-08-26'!P53</f>
        <v>650.43000000000006</v>
      </c>
      <c r="Q53" s="17">
        <f>'[1]INVENTARIO NACIONAL 13-08-26'!Q53</f>
        <v>35.68888888888889</v>
      </c>
      <c r="R53" s="20">
        <f>'[1]INVENTARIO NACIONAL 13-08-26'!R53</f>
        <v>495</v>
      </c>
      <c r="S53" s="18">
        <f>'[1]INVENTARIO NACIONAL 13-08-26'!S53</f>
        <v>465.5</v>
      </c>
      <c r="T53" s="21">
        <f>'[1]INVENTARIO NACIONAL 13-08-26'!T53</f>
        <v>1460</v>
      </c>
      <c r="U53" s="20">
        <f>'[1]INVENTARIO NACIONAL 13-08-26'!U53</f>
        <v>1182.6000000000001</v>
      </c>
      <c r="V53" s="17">
        <f>'[1]INVENTARIO NACIONAL 13-08-26'!V53</f>
        <v>21.271523178807946</v>
      </c>
      <c r="W53" s="19">
        <f>'[1]INVENTARIO NACIONAL 13-08-26'!W53</f>
        <v>1510</v>
      </c>
      <c r="X53" s="18">
        <f>'[1]INVENTARIO NACIONAL 13-08-26'!X53</f>
        <v>430.4545454545455</v>
      </c>
      <c r="Y53" s="22">
        <f>'[1]INVENTARIO NACIONAL 13-08-26'!Y53</f>
        <v>7354</v>
      </c>
      <c r="Z53" s="23">
        <f>'[1]INVENTARIO NACIONAL 13-08-26'!Z53</f>
        <v>5956.7400000000007</v>
      </c>
      <c r="AA53" s="24">
        <f ca="1">'[1]INVENTARIO NACIONAL 13-08-26'!AA53</f>
        <v>5285</v>
      </c>
      <c r="AB53" s="25">
        <f ca="1">'[1]INVENTARIO NACIONAL 13-08-26'!AB53</f>
        <v>13.914853358561968</v>
      </c>
      <c r="AC53" s="26">
        <f ca="1">'[1]INVENTARIO NACIONAL 13-08-26'!AC53</f>
        <v>1.3914853358561967</v>
      </c>
      <c r="AD53" s="29">
        <f ca="1">'[1]INVENTARIO NACIONAL 13-08-26'!AD53</f>
        <v>2069</v>
      </c>
      <c r="AE53" s="30">
        <f ca="1">'[1]INVENTARIO NACIONAL 13-08-26'!AE53</f>
        <v>2642.5</v>
      </c>
      <c r="AF53" s="28">
        <f ca="1">'[1]INVENTARIO NACIONAL 13-08-26'!AF53</f>
        <v>573.5</v>
      </c>
      <c r="AG53" s="31">
        <f>'[1]INVENTARIO NACIONAL 13-08-26'!AG53</f>
        <v>612.83333333333337</v>
      </c>
    </row>
    <row r="54" spans="2:33" x14ac:dyDescent="0.25">
      <c r="B54" s="13">
        <v>150362</v>
      </c>
      <c r="C54" s="32" t="s">
        <v>80</v>
      </c>
      <c r="D54" s="15">
        <f>'[1]INVENTARIO NACIONAL 13-08-26'!D54</f>
        <v>0.81</v>
      </c>
      <c r="E54" s="16">
        <f>'[1]INVENTARIO NACIONAL 13-08-26'!E54</f>
        <v>5898</v>
      </c>
      <c r="F54" s="17">
        <f>'[1]INVENTARIO NACIONAL 13-08-26'!F54</f>
        <v>4777.38</v>
      </c>
      <c r="G54" s="17">
        <f>'[1]INVENTARIO NACIONAL 13-08-26'!G54</f>
        <v>46.524202223019003</v>
      </c>
      <c r="H54" s="16">
        <f>'[1]INVENTARIO NACIONAL 13-08-26'!H54</f>
        <v>2789</v>
      </c>
      <c r="I54" s="18">
        <f>'[1]INVENTARIO NACIONAL 13-08-26'!I54</f>
        <v>3996.409090909091</v>
      </c>
      <c r="J54" s="19">
        <f>'[1]INVENTARIO NACIONAL 13-08-26'!J54</f>
        <v>0</v>
      </c>
      <c r="K54" s="16">
        <f>'[1]INVENTARIO NACIONAL 13-08-26'!K54</f>
        <v>0</v>
      </c>
      <c r="L54" s="17">
        <f>'[1]INVENTARIO NACIONAL 13-08-26'!L54</f>
        <v>0</v>
      </c>
      <c r="M54" s="16">
        <f>'[1]INVENTARIO NACIONAL 13-08-26'!M54</f>
        <v>1914</v>
      </c>
      <c r="N54" s="18">
        <f>'[1]INVENTARIO NACIONAL 13-08-26'!N54</f>
        <v>-870</v>
      </c>
      <c r="O54" s="19">
        <f>'[1]INVENTARIO NACIONAL 13-08-26'!O54</f>
        <v>592</v>
      </c>
      <c r="P54" s="20">
        <f>'[1]INVENTARIO NACIONAL 13-08-26'!P54</f>
        <v>479.52000000000004</v>
      </c>
      <c r="Q54" s="17">
        <f>'[1]INVENTARIO NACIONAL 13-08-26'!Q54</f>
        <v>54.493723849372387</v>
      </c>
      <c r="R54" s="20">
        <f>'[1]INVENTARIO NACIONAL 13-08-26'!R54</f>
        <v>239</v>
      </c>
      <c r="S54" s="18">
        <f>'[1]INVENTARIO NACIONAL 13-08-26'!S54</f>
        <v>429.04545454545456</v>
      </c>
      <c r="T54" s="21">
        <f>'[1]INVENTARIO NACIONAL 13-08-26'!T54</f>
        <v>676</v>
      </c>
      <c r="U54" s="20">
        <f>'[1]INVENTARIO NACIONAL 13-08-26'!U54</f>
        <v>547.56000000000006</v>
      </c>
      <c r="V54" s="17">
        <f>'[1]INVENTARIO NACIONAL 13-08-26'!V54</f>
        <v>21.935103244837759</v>
      </c>
      <c r="W54" s="19">
        <f>'[1]INVENTARIO NACIONAL 13-08-26'!W54</f>
        <v>678</v>
      </c>
      <c r="X54" s="18">
        <f>'[1]INVENTARIO NACIONAL 13-08-26'!X54</f>
        <v>213.72727272727275</v>
      </c>
      <c r="Y54" s="22">
        <f>'[1]INVENTARIO NACIONAL 13-08-26'!Y54</f>
        <v>7166</v>
      </c>
      <c r="Z54" s="23">
        <f>'[1]INVENTARIO NACIONAL 13-08-26'!Z54</f>
        <v>5804.46</v>
      </c>
      <c r="AA54" s="24">
        <f ca="1">'[1]INVENTARIO NACIONAL 13-08-26'!AA54</f>
        <v>3223</v>
      </c>
      <c r="AB54" s="25">
        <f ca="1">'[1]INVENTARIO NACIONAL 13-08-26'!AB54</f>
        <v>22.233943530871858</v>
      </c>
      <c r="AC54" s="26">
        <f ca="1">'[1]INVENTARIO NACIONAL 13-08-26'!AC54</f>
        <v>2.223394353087186</v>
      </c>
      <c r="AD54" s="29">
        <f ca="1">'[1]INVENTARIO NACIONAL 13-08-26'!AD54</f>
        <v>3943</v>
      </c>
      <c r="AE54" s="30">
        <f ca="1">'[1]INVENTARIO NACIONAL 13-08-26'!AE54</f>
        <v>1611.5</v>
      </c>
      <c r="AF54" s="28">
        <f ca="1">'[1]INVENTARIO NACIONAL 13-08-26'!AF54</f>
        <v>-2331.5</v>
      </c>
      <c r="AG54" s="31">
        <f>'[1]INVENTARIO NACIONAL 13-08-26'!AG54</f>
        <v>597.16666666666663</v>
      </c>
    </row>
    <row r="55" spans="2:33" x14ac:dyDescent="0.25">
      <c r="B55" s="13">
        <v>150363</v>
      </c>
      <c r="C55" s="32" t="s">
        <v>81</v>
      </c>
      <c r="D55" s="15">
        <f>'[1]INVENTARIO NACIONAL 13-08-26'!D55</f>
        <v>0.81</v>
      </c>
      <c r="E55" s="16">
        <f>'[1]INVENTARIO NACIONAL 13-08-26'!E55</f>
        <v>7564</v>
      </c>
      <c r="F55" s="17">
        <f>'[1]INVENTARIO NACIONAL 13-08-26'!F55</f>
        <v>6126.84</v>
      </c>
      <c r="G55" s="17">
        <f>'[1]INVENTARIO NACIONAL 13-08-26'!G55</f>
        <v>57.382068965517242</v>
      </c>
      <c r="H55" s="16">
        <f>'[1]INVENTARIO NACIONAL 13-08-26'!H55</f>
        <v>2900</v>
      </c>
      <c r="I55" s="18">
        <f>'[1]INVENTARIO NACIONAL 13-08-26'!I55</f>
        <v>5586.727272727273</v>
      </c>
      <c r="J55" s="19">
        <f>'[1]INVENTARIO NACIONAL 13-08-26'!J55</f>
        <v>0</v>
      </c>
      <c r="K55" s="16">
        <f>'[1]INVENTARIO NACIONAL 13-08-26'!K55</f>
        <v>0</v>
      </c>
      <c r="L55" s="17">
        <f>'[1]INVENTARIO NACIONAL 13-08-26'!L55</f>
        <v>0</v>
      </c>
      <c r="M55" s="16">
        <f>'[1]INVENTARIO NACIONAL 13-08-26'!M55</f>
        <v>2091</v>
      </c>
      <c r="N55" s="18">
        <f>'[1]INVENTARIO NACIONAL 13-08-26'!N55</f>
        <v>-950.4545454545455</v>
      </c>
      <c r="O55" s="19">
        <f>'[1]INVENTARIO NACIONAL 13-08-26'!O55</f>
        <v>348</v>
      </c>
      <c r="P55" s="20">
        <f>'[1]INVENTARIO NACIONAL 13-08-26'!P55</f>
        <v>281.88</v>
      </c>
      <c r="Q55" s="17">
        <f>'[1]INVENTARIO NACIONAL 13-08-26'!Q55</f>
        <v>25.019607843137255</v>
      </c>
      <c r="R55" s="20">
        <f>'[1]INVENTARIO NACIONAL 13-08-26'!R55</f>
        <v>306</v>
      </c>
      <c r="S55" s="18">
        <f>'[1]INVENTARIO NACIONAL 13-08-26'!S55</f>
        <v>139.36363636363637</v>
      </c>
      <c r="T55" s="21">
        <f>'[1]INVENTARIO NACIONAL 13-08-26'!T55</f>
        <v>789</v>
      </c>
      <c r="U55" s="20">
        <f>'[1]INVENTARIO NACIONAL 13-08-26'!U55</f>
        <v>639.09</v>
      </c>
      <c r="V55" s="17">
        <f>'[1]INVENTARIO NACIONAL 13-08-26'!V55</f>
        <v>25.601769911504427</v>
      </c>
      <c r="W55" s="19">
        <f>'[1]INVENTARIO NACIONAL 13-08-26'!W55</f>
        <v>678</v>
      </c>
      <c r="X55" s="18">
        <f>'[1]INVENTARIO NACIONAL 13-08-26'!X55</f>
        <v>326.72727272727275</v>
      </c>
      <c r="Y55" s="22">
        <f>'[1]INVENTARIO NACIONAL 13-08-26'!Y55</f>
        <v>8701</v>
      </c>
      <c r="Z55" s="23">
        <f>'[1]INVENTARIO NACIONAL 13-08-26'!Z55</f>
        <v>7047.81</v>
      </c>
      <c r="AA55" s="24">
        <f ca="1">'[1]INVENTARIO NACIONAL 13-08-26'!AA55</f>
        <v>2734</v>
      </c>
      <c r="AB55" s="25">
        <f ca="1">'[1]INVENTARIO NACIONAL 13-08-26'!AB55</f>
        <v>31.825164594001464</v>
      </c>
      <c r="AC55" s="26">
        <f ca="1">'[1]INVENTARIO NACIONAL 13-08-26'!AC55</f>
        <v>3.1825164594001465</v>
      </c>
      <c r="AD55" s="29">
        <f ca="1">'[1]INVENTARIO NACIONAL 13-08-26'!AD55</f>
        <v>5967</v>
      </c>
      <c r="AE55" s="30">
        <f ca="1">'[1]INVENTARIO NACIONAL 13-08-26'!AE55</f>
        <v>1367</v>
      </c>
      <c r="AF55" s="28">
        <f ca="1">'[1]INVENTARIO NACIONAL 13-08-26'!AF55</f>
        <v>-4600</v>
      </c>
      <c r="AG55" s="31">
        <f>'[1]INVENTARIO NACIONAL 13-08-26'!AG55</f>
        <v>725.08333333333337</v>
      </c>
    </row>
    <row r="56" spans="2:33" x14ac:dyDescent="0.25">
      <c r="B56" s="13">
        <v>151500</v>
      </c>
      <c r="C56" s="32" t="s">
        <v>82</v>
      </c>
      <c r="D56" s="15">
        <f>'[1]INVENTARIO NACIONAL 13-08-26'!D56</f>
        <v>2.62</v>
      </c>
      <c r="E56" s="16">
        <f>'[1]INVENTARIO NACIONAL 13-08-26'!E56</f>
        <v>395</v>
      </c>
      <c r="F56" s="17">
        <f>'[1]INVENTARIO NACIONAL 13-08-26'!F56</f>
        <v>1034.9000000000001</v>
      </c>
      <c r="G56" s="17">
        <f>'[1]INVENTARIO NACIONAL 13-08-26'!G56</f>
        <v>13.067669172932332</v>
      </c>
      <c r="H56" s="16">
        <f>'[1]INVENTARIO NACIONAL 13-08-26'!H56</f>
        <v>665</v>
      </c>
      <c r="I56" s="18">
        <f>'[1]INVENTARIO NACIONAL 13-08-26'!I56</f>
        <v>-58.409090909090878</v>
      </c>
      <c r="J56" s="38">
        <f>'[1]INVENTARIO NACIONAL 13-08-26'!J56</f>
        <v>0</v>
      </c>
      <c r="K56" s="16">
        <f>'[1]INVENTARIO NACIONAL 13-08-26'!K56</f>
        <v>0</v>
      </c>
      <c r="L56" s="17">
        <f>'[1]INVENTARIO NACIONAL 13-08-26'!L56</f>
        <v>0</v>
      </c>
      <c r="M56" s="16">
        <f>'[1]INVENTARIO NACIONAL 13-08-26'!M56</f>
        <v>320</v>
      </c>
      <c r="N56" s="18">
        <f>'[1]INVENTARIO NACIONAL 13-08-26'!N56</f>
        <v>-145.45454545454544</v>
      </c>
      <c r="O56" s="38">
        <f>'[1]INVENTARIO NACIONAL 13-08-26'!O56</f>
        <v>35</v>
      </c>
      <c r="P56" s="20">
        <f>'[1]INVENTARIO NACIONAL 13-08-26'!P56</f>
        <v>91.7</v>
      </c>
      <c r="Q56" s="17">
        <f>'[1]INVENTARIO NACIONAL 13-08-26'!Q56</f>
        <v>42.777777777777779</v>
      </c>
      <c r="R56" s="20">
        <f>'[1]INVENTARIO NACIONAL 13-08-26'!R56</f>
        <v>18</v>
      </c>
      <c r="S56" s="18">
        <f>'[1]INVENTARIO NACIONAL 13-08-26'!S56</f>
        <v>22.727272727272727</v>
      </c>
      <c r="T56" s="21">
        <f>'[1]INVENTARIO NACIONAL 13-08-26'!T56</f>
        <v>117</v>
      </c>
      <c r="U56" s="20">
        <f>'[1]INVENTARIO NACIONAL 13-08-26'!U56</f>
        <v>306.54000000000002</v>
      </c>
      <c r="V56" s="17">
        <f>'[1]INVENTARIO NACIONAL 13-08-26'!V56</f>
        <v>13.406250000000002</v>
      </c>
      <c r="W56" s="19">
        <f>'[1]INVENTARIO NACIONAL 13-08-26'!W56</f>
        <v>192</v>
      </c>
      <c r="X56" s="18">
        <f>'[1]INVENTARIO NACIONAL 13-08-26'!X56</f>
        <v>-13.909090909090907</v>
      </c>
      <c r="Y56" s="22">
        <f>'[1]INVENTARIO NACIONAL 13-08-26'!Y56</f>
        <v>547</v>
      </c>
      <c r="Z56" s="23">
        <f>'[1]INVENTARIO NACIONAL 13-08-26'!Z56</f>
        <v>1433.14</v>
      </c>
      <c r="AA56" s="24">
        <f ca="1">'[1]INVENTARIO NACIONAL 13-08-26'!AA56</f>
        <v>446</v>
      </c>
      <c r="AB56" s="25">
        <f ca="1">'[1]INVENTARIO NACIONAL 13-08-26'!AB56</f>
        <v>12.264573991031389</v>
      </c>
      <c r="AC56" s="26">
        <f ca="1">'[1]INVENTARIO NACIONAL 13-08-26'!AC56</f>
        <v>1.2264573991031391</v>
      </c>
      <c r="AD56" s="29">
        <f ca="1">'[1]INVENTARIO NACIONAL 13-08-26'!AD56</f>
        <v>101</v>
      </c>
      <c r="AE56" s="30">
        <f ca="1">'[1]INVENTARIO NACIONAL 13-08-26'!AE56</f>
        <v>223</v>
      </c>
      <c r="AF56" s="28">
        <f ca="1">'[1]INVENTARIO NACIONAL 13-08-26'!AF56</f>
        <v>122</v>
      </c>
      <c r="AG56" s="31">
        <f>'[1]INVENTARIO NACIONAL 13-08-26'!AG56</f>
        <v>91.166666666666671</v>
      </c>
    </row>
    <row r="57" spans="2:33" x14ac:dyDescent="0.25">
      <c r="B57" s="13">
        <v>151501</v>
      </c>
      <c r="C57" s="32" t="s">
        <v>83</v>
      </c>
      <c r="D57" s="15">
        <f>'[1]INVENTARIO NACIONAL 13-08-26'!D57</f>
        <v>2.62</v>
      </c>
      <c r="E57" s="16">
        <f>'[1]INVENTARIO NACIONAL 13-08-26'!E57</f>
        <v>247</v>
      </c>
      <c r="F57" s="17">
        <f>'[1]INVENTARIO NACIONAL 13-08-26'!F57</f>
        <v>647.14</v>
      </c>
      <c r="G57" s="17">
        <f>'[1]INVENTARIO NACIONAL 13-08-26'!G57</f>
        <v>6.4690476190476192</v>
      </c>
      <c r="H57" s="16">
        <f>'[1]INVENTARIO NACIONAL 13-08-26'!H57</f>
        <v>840</v>
      </c>
      <c r="I57" s="18">
        <f>'[1]INVENTARIO NACIONAL 13-08-26'!I57</f>
        <v>-325.72727272727275</v>
      </c>
      <c r="J57" s="38">
        <f>'[1]INVENTARIO NACIONAL 13-08-26'!J57</f>
        <v>0</v>
      </c>
      <c r="K57" s="16">
        <f>'[1]INVENTARIO NACIONAL 13-08-26'!K57</f>
        <v>0</v>
      </c>
      <c r="L57" s="17">
        <f>'[1]INVENTARIO NACIONAL 13-08-26'!L57</f>
        <v>0</v>
      </c>
      <c r="M57" s="16">
        <f>'[1]INVENTARIO NACIONAL 13-08-26'!M57</f>
        <v>629</v>
      </c>
      <c r="N57" s="18">
        <f>'[1]INVENTARIO NACIONAL 13-08-26'!N57</f>
        <v>-285.90909090909088</v>
      </c>
      <c r="O57" s="38">
        <f>'[1]INVENTARIO NACIONAL 13-08-26'!O57</f>
        <v>44</v>
      </c>
      <c r="P57" s="20">
        <f>'[1]INVENTARIO NACIONAL 13-08-26'!P57</f>
        <v>115.28</v>
      </c>
      <c r="Q57" s="17">
        <f>'[1]INVENTARIO NACIONAL 13-08-26'!Q57</f>
        <v>26.888888888888886</v>
      </c>
      <c r="R57" s="20">
        <f>'[1]INVENTARIO NACIONAL 13-08-26'!R57</f>
        <v>36</v>
      </c>
      <c r="S57" s="18">
        <f>'[1]INVENTARIO NACIONAL 13-08-26'!S57</f>
        <v>19.454545454545453</v>
      </c>
      <c r="T57" s="21">
        <f>'[1]INVENTARIO NACIONAL 13-08-26'!T57</f>
        <v>51</v>
      </c>
      <c r="U57" s="20">
        <f>'[1]INVENTARIO NACIONAL 13-08-26'!U57</f>
        <v>133.62</v>
      </c>
      <c r="V57" s="17">
        <f>'[1]INVENTARIO NACIONAL 13-08-26'!V57</f>
        <v>3.666666666666667</v>
      </c>
      <c r="W57" s="19">
        <f>'[1]INVENTARIO NACIONAL 13-08-26'!W57</f>
        <v>306</v>
      </c>
      <c r="X57" s="18">
        <f>'[1]INVENTARIO NACIONAL 13-08-26'!X57</f>
        <v>-157.63636363636363</v>
      </c>
      <c r="Y57" s="22">
        <f>'[1]INVENTARIO NACIONAL 13-08-26'!Y57</f>
        <v>342</v>
      </c>
      <c r="Z57" s="23">
        <f>'[1]INVENTARIO NACIONAL 13-08-26'!Z57</f>
        <v>896.04000000000008</v>
      </c>
      <c r="AA57" s="24">
        <f ca="1">'[1]INVENTARIO NACIONAL 13-08-26'!AA57</f>
        <v>933</v>
      </c>
      <c r="AB57" s="25">
        <f ca="1">'[1]INVENTARIO NACIONAL 13-08-26'!AB57</f>
        <v>3.6655948553054665</v>
      </c>
      <c r="AC57" s="26">
        <f ca="1">'[1]INVENTARIO NACIONAL 13-08-26'!AC57</f>
        <v>0.36655948553054662</v>
      </c>
      <c r="AD57" s="29">
        <f ca="1">'[1]INVENTARIO NACIONAL 13-08-26'!AD57</f>
        <v>-591</v>
      </c>
      <c r="AE57" s="30">
        <f ca="1">'[1]INVENTARIO NACIONAL 13-08-26'!AE57</f>
        <v>466.5</v>
      </c>
      <c r="AF57" s="28">
        <f ca="1">'[1]INVENTARIO NACIONAL 13-08-26'!AF57</f>
        <v>1057.5</v>
      </c>
      <c r="AG57" s="31">
        <f>'[1]INVENTARIO NACIONAL 13-08-26'!AG57</f>
        <v>57</v>
      </c>
    </row>
    <row r="58" spans="2:33" x14ac:dyDescent="0.25">
      <c r="B58" s="13">
        <v>151502</v>
      </c>
      <c r="C58" s="32" t="s">
        <v>84</v>
      </c>
      <c r="D58" s="15">
        <f>'[1]INVENTARIO NACIONAL 13-08-26'!D58</f>
        <v>2.62</v>
      </c>
      <c r="E58" s="16">
        <f>'[1]INVENTARIO NACIONAL 13-08-26'!E58</f>
        <v>75</v>
      </c>
      <c r="F58" s="17">
        <f>'[1]INVENTARIO NACIONAL 13-08-26'!F58</f>
        <v>196.5</v>
      </c>
      <c r="G58" s="17">
        <f>'[1]INVENTARIO NACIONAL 13-08-26'!G58</f>
        <v>4.1457286432160805</v>
      </c>
      <c r="H58" s="16">
        <f>'[1]INVENTARIO NACIONAL 13-08-26'!H58</f>
        <v>398</v>
      </c>
      <c r="I58" s="18">
        <f>'[1]INVENTARIO NACIONAL 13-08-26'!I58</f>
        <v>-196.36363636363637</v>
      </c>
      <c r="J58" s="38">
        <f>'[1]INVENTARIO NACIONAL 13-08-26'!J58</f>
        <v>0</v>
      </c>
      <c r="K58" s="16">
        <f>'[1]INVENTARIO NACIONAL 13-08-26'!K58</f>
        <v>0</v>
      </c>
      <c r="L58" s="17">
        <f>'[1]INVENTARIO NACIONAL 13-08-26'!L58</f>
        <v>0</v>
      </c>
      <c r="M58" s="16">
        <f>'[1]INVENTARIO NACIONAL 13-08-26'!M58</f>
        <v>242</v>
      </c>
      <c r="N58" s="18">
        <f>'[1]INVENTARIO NACIONAL 13-08-26'!N58</f>
        <v>-110</v>
      </c>
      <c r="O58" s="38">
        <f>'[1]INVENTARIO NACIONAL 13-08-26'!O58</f>
        <v>61</v>
      </c>
      <c r="P58" s="20">
        <f>'[1]INVENTARIO NACIONAL 13-08-26'!P58</f>
        <v>159.82</v>
      </c>
      <c r="Q58" s="17">
        <f>'[1]INVENTARIO NACIONAL 13-08-26'!Q58</f>
        <v>223.66666666666669</v>
      </c>
      <c r="R58" s="20">
        <f>'[1]INVENTARIO NACIONAL 13-08-26'!R58</f>
        <v>6</v>
      </c>
      <c r="S58" s="18">
        <f>'[1]INVENTARIO NACIONAL 13-08-26'!S58</f>
        <v>56.909090909090907</v>
      </c>
      <c r="T58" s="21">
        <f>'[1]INVENTARIO NACIONAL 13-08-26'!T58</f>
        <v>90</v>
      </c>
      <c r="U58" s="20">
        <f>'[1]INVENTARIO NACIONAL 13-08-26'!U58</f>
        <v>235.8</v>
      </c>
      <c r="V58" s="17">
        <f>'[1]INVENTARIO NACIONAL 13-08-26'!V58</f>
        <v>15.46875</v>
      </c>
      <c r="W58" s="19">
        <f>'[1]INVENTARIO NACIONAL 13-08-26'!W58</f>
        <v>128</v>
      </c>
      <c r="X58" s="18">
        <f>'[1]INVENTARIO NACIONAL 13-08-26'!X58</f>
        <v>2.7272727272727195</v>
      </c>
      <c r="Y58" s="22">
        <f>'[1]INVENTARIO NACIONAL 13-08-26'!Y58</f>
        <v>226</v>
      </c>
      <c r="Z58" s="23">
        <f>'[1]INVENTARIO NACIONAL 13-08-26'!Z58</f>
        <v>592.12</v>
      </c>
      <c r="AA58" s="24">
        <f ca="1">'[1]INVENTARIO NACIONAL 13-08-26'!AA58</f>
        <v>546</v>
      </c>
      <c r="AB58" s="25">
        <f ca="1">'[1]INVENTARIO NACIONAL 13-08-26'!AB58</f>
        <v>4.1391941391941387</v>
      </c>
      <c r="AC58" s="26">
        <f ca="1">'[1]INVENTARIO NACIONAL 13-08-26'!AC58</f>
        <v>0.41391941391941389</v>
      </c>
      <c r="AD58" s="29">
        <f ca="1">'[1]INVENTARIO NACIONAL 13-08-26'!AD58</f>
        <v>-320</v>
      </c>
      <c r="AE58" s="30">
        <f ca="1">'[1]INVENTARIO NACIONAL 13-08-26'!AE58</f>
        <v>273</v>
      </c>
      <c r="AF58" s="28">
        <f ca="1">'[1]INVENTARIO NACIONAL 13-08-26'!AF58</f>
        <v>593</v>
      </c>
      <c r="AG58" s="31">
        <f>'[1]INVENTARIO NACIONAL 13-08-26'!AG58</f>
        <v>37.666666666666664</v>
      </c>
    </row>
    <row r="59" spans="2:33" x14ac:dyDescent="0.25">
      <c r="B59" s="39">
        <v>151503</v>
      </c>
      <c r="C59" s="14" t="s">
        <v>85</v>
      </c>
      <c r="D59" s="15">
        <f>'[1]INVENTARIO NACIONAL 13-08-26'!D59</f>
        <v>2.62</v>
      </c>
      <c r="E59" s="16">
        <f>'[1]INVENTARIO NACIONAL 13-08-26'!E59</f>
        <v>103</v>
      </c>
      <c r="F59" s="17">
        <f>'[1]INVENTARIO NACIONAL 13-08-26'!F59</f>
        <v>269.86</v>
      </c>
      <c r="G59" s="17">
        <f>'[1]INVENTARIO NACIONAL 13-08-26'!G59</f>
        <v>5.3952380952380956</v>
      </c>
      <c r="H59" s="16">
        <f>'[1]INVENTARIO NACIONAL 13-08-26'!H59</f>
        <v>420</v>
      </c>
      <c r="I59" s="18">
        <f>'[1]INVENTARIO NACIONAL 13-08-26'!I59</f>
        <v>-183.36363636363637</v>
      </c>
      <c r="J59" s="38">
        <f>'[1]INVENTARIO NACIONAL 13-08-26'!J59</f>
        <v>0</v>
      </c>
      <c r="K59" s="16">
        <f>'[1]INVENTARIO NACIONAL 13-08-26'!K59</f>
        <v>0</v>
      </c>
      <c r="L59" s="17">
        <f>'[1]INVENTARIO NACIONAL 13-08-26'!L59</f>
        <v>0</v>
      </c>
      <c r="M59" s="16">
        <f>'[1]INVENTARIO NACIONAL 13-08-26'!M59</f>
        <v>282</v>
      </c>
      <c r="N59" s="18">
        <f>'[1]INVENTARIO NACIONAL 13-08-26'!N59</f>
        <v>-128.18181818181819</v>
      </c>
      <c r="O59" s="38">
        <f>'[1]INVENTARIO NACIONAL 13-08-26'!O59</f>
        <v>26</v>
      </c>
      <c r="P59" s="20">
        <f>'[1]INVENTARIO NACIONAL 13-08-26'!P59</f>
        <v>68.12</v>
      </c>
      <c r="Q59" s="17">
        <f>'[1]INVENTARIO NACIONAL 13-08-26'!Q59</f>
        <v>30.105263157894736</v>
      </c>
      <c r="R59" s="20">
        <f>'[1]INVENTARIO NACIONAL 13-08-26'!R59</f>
        <v>19</v>
      </c>
      <c r="S59" s="18">
        <f>'[1]INVENTARIO NACIONAL 13-08-26'!S59</f>
        <v>13.045454545454545</v>
      </c>
      <c r="T59" s="21">
        <f>'[1]INVENTARIO NACIONAL 13-08-26'!T59</f>
        <v>63</v>
      </c>
      <c r="U59" s="20">
        <f>'[1]INVENTARIO NACIONAL 13-08-26'!U59</f>
        <v>165.06</v>
      </c>
      <c r="V59" s="17">
        <f>'[1]INVENTARIO NACIONAL 13-08-26'!V59</f>
        <v>10.744186046511629</v>
      </c>
      <c r="W59" s="19">
        <f>'[1]INVENTARIO NACIONAL 13-08-26'!W59</f>
        <v>129</v>
      </c>
      <c r="X59" s="18">
        <f>'[1]INVENTARIO NACIONAL 13-08-26'!X59</f>
        <v>-24.954545454545453</v>
      </c>
      <c r="Y59" s="22">
        <f>'[1]INVENTARIO NACIONAL 13-08-26'!Y59</f>
        <v>192</v>
      </c>
      <c r="Z59" s="23">
        <f>'[1]INVENTARIO NACIONAL 13-08-26'!Z59</f>
        <v>503.04</v>
      </c>
      <c r="AA59" s="24">
        <f ca="1">'[1]INVENTARIO NACIONAL 13-08-26'!AA59</f>
        <v>467</v>
      </c>
      <c r="AB59" s="25">
        <f ca="1">'[1]INVENTARIO NACIONAL 13-08-26'!AB59</f>
        <v>4.1113490364025695</v>
      </c>
      <c r="AC59" s="26">
        <f ca="1">'[1]INVENTARIO NACIONAL 13-08-26'!AC59</f>
        <v>0.41113490364025695</v>
      </c>
      <c r="AD59" s="29">
        <f ca="1">'[1]INVENTARIO NACIONAL 13-08-26'!AD59</f>
        <v>-275</v>
      </c>
      <c r="AE59" s="30">
        <f ca="1">'[1]INVENTARIO NACIONAL 13-08-26'!AE59</f>
        <v>233.5</v>
      </c>
      <c r="AF59" s="28">
        <f ca="1">'[1]INVENTARIO NACIONAL 13-08-26'!AF59</f>
        <v>508.5</v>
      </c>
      <c r="AG59" s="31">
        <f>'[1]INVENTARIO NACIONAL 13-08-26'!AG59</f>
        <v>32</v>
      </c>
    </row>
    <row r="60" spans="2:33" x14ac:dyDescent="0.25"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2"/>
      <c r="AB60" s="42"/>
      <c r="AE60" s="43" t="s">
        <v>86</v>
      </c>
      <c r="AF60" s="44">
        <f ca="1">SUMIF(AF13:AF59,"&gt;0")</f>
        <v>120496.5</v>
      </c>
    </row>
    <row r="61" spans="2:33" x14ac:dyDescent="0.25">
      <c r="B61" s="45" t="s">
        <v>87</v>
      </c>
      <c r="C61" s="46"/>
      <c r="D61" s="46"/>
      <c r="E61" s="67" t="s">
        <v>88</v>
      </c>
      <c r="F61" s="67"/>
      <c r="G61" s="2"/>
      <c r="H61" s="2"/>
      <c r="I61" s="2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2"/>
      <c r="AB61" s="42"/>
    </row>
    <row r="62" spans="2:33" x14ac:dyDescent="0.25">
      <c r="B62" s="63" t="s">
        <v>89</v>
      </c>
      <c r="C62" s="63"/>
      <c r="D62" s="48">
        <f>SUM(F13:F59)</f>
        <v>169370.28999999998</v>
      </c>
      <c r="E62" s="61">
        <f>D62*100/D66</f>
        <v>42.681383726226343</v>
      </c>
      <c r="F62" s="61"/>
      <c r="G62" s="49"/>
      <c r="H62" s="49"/>
      <c r="I62" s="49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</row>
    <row r="63" spans="2:33" x14ac:dyDescent="0.25">
      <c r="B63" s="47" t="s">
        <v>90</v>
      </c>
      <c r="C63" s="47"/>
      <c r="D63" s="50">
        <f>SUM(K13:K59)</f>
        <v>136957.78</v>
      </c>
      <c r="E63" s="61">
        <f>D63*100/D66</f>
        <v>34.51341768660896</v>
      </c>
      <c r="F63" s="61"/>
      <c r="G63" s="49"/>
      <c r="H63" s="49"/>
      <c r="I63" s="49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47" t="s">
        <v>91</v>
      </c>
      <c r="C64" s="47"/>
      <c r="D64" s="50">
        <f>SUM(P13:P59)</f>
        <v>25524.780000000002</v>
      </c>
      <c r="E64" s="61">
        <f>D64*100/D66</f>
        <v>6.4322552066688203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92</v>
      </c>
      <c r="C65" s="47"/>
      <c r="D65" s="50">
        <f>SUM(U13:U59)</f>
        <v>64971.89</v>
      </c>
      <c r="E65" s="61">
        <f>D65*100/D66</f>
        <v>16.372943380495887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63" t="s">
        <v>93</v>
      </c>
      <c r="C66" s="63"/>
      <c r="D66" s="50">
        <f>SUM(Z13:Z59)</f>
        <v>396824.73999999993</v>
      </c>
      <c r="E66" s="64">
        <f>D66*100/D66</f>
        <v>100</v>
      </c>
      <c r="F66" s="64"/>
      <c r="G66" s="51"/>
      <c r="H66" s="51"/>
      <c r="I66" s="5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52"/>
      <c r="C67" s="41"/>
      <c r="D67" s="41"/>
      <c r="E67" s="53"/>
      <c r="F67" s="53"/>
      <c r="G67" s="53"/>
      <c r="H67" s="53"/>
      <c r="I67" s="53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45" t="s">
        <v>94</v>
      </c>
      <c r="C68" s="41"/>
      <c r="D68" s="41"/>
      <c r="E68" s="53"/>
      <c r="F68" s="53"/>
      <c r="G68" s="53"/>
      <c r="H68" s="53"/>
      <c r="I68" s="53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63" t="s">
        <v>95</v>
      </c>
      <c r="C69" s="63"/>
      <c r="D69" s="3">
        <f>SUM(E13:E59)</f>
        <v>125925</v>
      </c>
      <c r="E69" s="61">
        <f>D69*100/D73</f>
        <v>42.950843156516044</v>
      </c>
      <c r="F69" s="61"/>
      <c r="G69" s="49"/>
      <c r="H69" s="49"/>
      <c r="I69" s="49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Z69" s="41"/>
      <c r="AA69" s="42"/>
      <c r="AB69" s="42"/>
    </row>
    <row r="70" spans="2:28" x14ac:dyDescent="0.25">
      <c r="B70" s="47" t="s">
        <v>96</v>
      </c>
      <c r="C70" s="47"/>
      <c r="D70" s="55">
        <f>SUM(J13:J59)</f>
        <v>100981</v>
      </c>
      <c r="E70" s="61">
        <f>D70*100/D73</f>
        <v>34.442875463872518</v>
      </c>
      <c r="F70" s="61"/>
      <c r="G70" s="49"/>
      <c r="H70" s="49"/>
      <c r="I70" s="49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47" t="s">
        <v>97</v>
      </c>
      <c r="C71" s="47"/>
      <c r="D71" s="55">
        <f>SUM(O13:O59)</f>
        <v>19612</v>
      </c>
      <c r="E71" s="61">
        <f>D71*100/D73</f>
        <v>6.6893145601397075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2"/>
      <c r="AB71" s="42"/>
    </row>
    <row r="72" spans="2:28" x14ac:dyDescent="0.25">
      <c r="B72" s="47" t="s">
        <v>98</v>
      </c>
      <c r="C72" s="47"/>
      <c r="D72" s="55">
        <f>SUM(T13:T59)</f>
        <v>46674</v>
      </c>
      <c r="E72" s="62">
        <f>D72*100/D73</f>
        <v>15.919695481335953</v>
      </c>
      <c r="F72" s="62"/>
      <c r="G72" s="56"/>
      <c r="H72" s="56"/>
      <c r="I72" s="56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63" t="s">
        <v>99</v>
      </c>
      <c r="C73" s="63"/>
      <c r="D73" s="55">
        <f>SUM(Y13:Y59)</f>
        <v>293184</v>
      </c>
      <c r="E73" s="62">
        <f>D73*100/D73</f>
        <v>100</v>
      </c>
      <c r="F73" s="62"/>
      <c r="G73" s="56"/>
      <c r="H73" s="56"/>
      <c r="I73" s="56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42"/>
      <c r="AB73" s="42"/>
    </row>
    <row r="74" spans="2:28" x14ac:dyDescent="0.25">
      <c r="B74" s="52"/>
      <c r="C74" s="41"/>
      <c r="D74" s="58"/>
      <c r="E74" s="53"/>
      <c r="F74" s="53"/>
      <c r="G74" s="53"/>
      <c r="H74" s="53"/>
      <c r="I74" s="53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C75" s="41"/>
      <c r="D75" s="41"/>
      <c r="E75" s="53"/>
      <c r="F75" s="53"/>
      <c r="G75" s="53"/>
      <c r="H75" s="53"/>
      <c r="I75" s="53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2"/>
      <c r="AB75" s="42"/>
    </row>
    <row r="76" spans="2:28" x14ac:dyDescent="0.25">
      <c r="B76" s="52"/>
      <c r="C76" s="41"/>
      <c r="D76" s="41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B77" s="52"/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</sheetData>
  <mergeCells count="17">
    <mergeCell ref="E63:F63"/>
    <mergeCell ref="B1:Z6"/>
    <mergeCell ref="AA1:AG6"/>
    <mergeCell ref="E61:F61"/>
    <mergeCell ref="B62:C62"/>
    <mergeCell ref="E62:F62"/>
    <mergeCell ref="E64:F64"/>
    <mergeCell ref="E65:F65"/>
    <mergeCell ref="B66:C66"/>
    <mergeCell ref="E66:F66"/>
    <mergeCell ref="B69:C69"/>
    <mergeCell ref="E69:F69"/>
    <mergeCell ref="E70:F70"/>
    <mergeCell ref="E71:F71"/>
    <mergeCell ref="E72:F72"/>
    <mergeCell ref="B73:C73"/>
    <mergeCell ref="E73:F73"/>
  </mergeCells>
  <conditionalFormatting sqref="G13:G59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59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2026-08-17T16:05:41Z</dcterms:modified>
</cp:coreProperties>
</file>