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6A7C0934-F254-4434-B6F0-5D5C5A424620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2" i="1" l="1"/>
  <c r="D63" i="1"/>
  <c r="D64" i="1"/>
  <c r="D65" i="1"/>
  <c r="D66" i="1"/>
  <c r="D6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74" i="1" l="1"/>
  <c r="D70" i="1"/>
  <c r="D72" i="1"/>
  <c r="E67" i="1"/>
  <c r="AK60" i="1"/>
  <c r="AM59" i="1"/>
  <c r="D71" i="1"/>
  <c r="D73" i="1"/>
  <c r="D75" i="1"/>
  <c r="AM51" i="1"/>
  <c r="E62" i="1"/>
  <c r="E64" i="1"/>
  <c r="E65" i="1"/>
  <c r="E74" i="1"/>
  <c r="E63" i="1"/>
  <c r="E66" i="1"/>
  <c r="E73" i="1" l="1"/>
  <c r="E75" i="1"/>
  <c r="E72" i="1"/>
  <c r="E71" i="1"/>
  <c r="E70" i="1"/>
</calcChain>
</file>

<file path=xl/sharedStrings.xml><?xml version="1.0" encoding="utf-8"?>
<sst xmlns="http://schemas.openxmlformats.org/spreadsheetml/2006/main" count="81" uniqueCount="81">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</sst>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AE13" sqref="AE13:AE59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5" t="s">
        <v>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6" t="s">
        <v>1</v>
      </c>
      <c r="AG1" s="66"/>
      <c r="AH1" s="66"/>
      <c r="AI1" s="66"/>
      <c r="AJ1" s="66"/>
      <c r="AK1" s="66"/>
      <c r="AL1" s="66"/>
    </row>
    <row r="2" spans="1:38" ht="15" customHeight="1" x14ac:dyDescent="0.25"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6"/>
      <c r="AG2" s="66"/>
      <c r="AH2" s="66"/>
      <c r="AI2" s="66"/>
      <c r="AJ2" s="66"/>
      <c r="AK2" s="66"/>
      <c r="AL2" s="66"/>
    </row>
    <row r="3" spans="1:38" ht="15" customHeight="1" x14ac:dyDescent="0.2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6"/>
      <c r="AG3" s="66"/>
      <c r="AH3" s="66"/>
      <c r="AI3" s="66"/>
      <c r="AJ3" s="66"/>
      <c r="AK3" s="66"/>
      <c r="AL3" s="66"/>
    </row>
    <row r="4" spans="1:38" ht="15" customHeight="1" x14ac:dyDescent="0.25"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6"/>
      <c r="AG4" s="66"/>
      <c r="AH4" s="66"/>
      <c r="AI4" s="66"/>
      <c r="AJ4" s="66"/>
      <c r="AK4" s="66"/>
      <c r="AL4" s="66"/>
    </row>
    <row r="5" spans="1:38" ht="15" customHeight="1" x14ac:dyDescent="0.25"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6"/>
      <c r="AG5" s="66"/>
      <c r="AH5" s="66"/>
      <c r="AI5" s="66"/>
      <c r="AJ5" s="66"/>
      <c r="AK5" s="66"/>
      <c r="AL5" s="66"/>
    </row>
    <row r="6" spans="1:38" ht="17.25" customHeight="1" x14ac:dyDescent="0.25"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6"/>
      <c r="AG6" s="66"/>
      <c r="AH6" s="66"/>
      <c r="AI6" s="66"/>
      <c r="AJ6" s="66"/>
      <c r="AK6" s="66"/>
      <c r="AL6" s="66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1541</v>
      </c>
      <c r="F13" s="14">
        <v>2095.7600000000002</v>
      </c>
      <c r="G13" s="14">
        <v>1.9233649525711431</v>
      </c>
      <c r="H13" s="30">
        <v>17626.400000000001</v>
      </c>
      <c r="I13" s="15">
        <v>-6471</v>
      </c>
      <c r="J13" s="16">
        <v>3754</v>
      </c>
      <c r="K13" s="13">
        <v>5105.4400000000005</v>
      </c>
      <c r="L13" s="14">
        <v>14.449576597382601</v>
      </c>
      <c r="M13" s="30">
        <v>5715.6</v>
      </c>
      <c r="N13" s="15">
        <v>1156</v>
      </c>
      <c r="O13" s="16">
        <v>649</v>
      </c>
      <c r="P13" s="17">
        <v>882.6400000000001</v>
      </c>
      <c r="Q13" s="14">
        <v>13.335616438356167</v>
      </c>
      <c r="R13" s="16">
        <v>1070.6666666666665</v>
      </c>
      <c r="S13" s="15">
        <v>-324.33333333333314</v>
      </c>
      <c r="T13" s="18">
        <v>689</v>
      </c>
      <c r="U13" s="17">
        <v>937.04000000000008</v>
      </c>
      <c r="V13" s="14">
        <v>14.722222222222223</v>
      </c>
      <c r="W13" s="16">
        <v>1029.5999999999999</v>
      </c>
      <c r="X13" s="15">
        <v>-13</v>
      </c>
      <c r="Y13" s="18">
        <v>121</v>
      </c>
      <c r="Z13" s="17">
        <v>164.56</v>
      </c>
      <c r="AA13" s="14">
        <v>4.0066225165562912</v>
      </c>
      <c r="AB13" s="16">
        <v>664.4</v>
      </c>
      <c r="AC13" s="15">
        <v>-332</v>
      </c>
      <c r="AD13" s="19">
        <v>6754</v>
      </c>
      <c r="AE13" s="20">
        <v>9185.44</v>
      </c>
      <c r="AF13" s="21">
        <v>11880.952380952382</v>
      </c>
      <c r="AG13" s="22">
        <v>7.3664128256513024</v>
      </c>
      <c r="AH13" s="23">
        <v>0.73664128256513017</v>
      </c>
      <c r="AI13" s="24">
        <v>-3128.9523809523816</v>
      </c>
      <c r="AJ13" s="24">
        <v>5940.4761904761908</v>
      </c>
      <c r="AK13" s="25">
        <v>9069.4285714285725</v>
      </c>
      <c r="AL13" s="24">
        <v>109.4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0</v>
      </c>
      <c r="F14" s="14">
        <v>0</v>
      </c>
      <c r="G14" s="14">
        <v>0</v>
      </c>
      <c r="H14" s="30">
        <v>683.4666666666667</v>
      </c>
      <c r="I14" s="15">
        <v>-310.66666666666669</v>
      </c>
      <c r="J14" s="16">
        <v>0</v>
      </c>
      <c r="K14" s="13">
        <v>0</v>
      </c>
      <c r="L14" s="14">
        <v>0</v>
      </c>
      <c r="M14" s="30">
        <v>365.20000000000005</v>
      </c>
      <c r="N14" s="15">
        <v>-166</v>
      </c>
      <c r="O14" s="16">
        <v>108</v>
      </c>
      <c r="P14" s="17">
        <v>171.72</v>
      </c>
      <c r="Q14" s="14">
        <v>21.6</v>
      </c>
      <c r="R14" s="16">
        <v>110</v>
      </c>
      <c r="S14" s="15">
        <v>8</v>
      </c>
      <c r="T14" s="18">
        <v>7</v>
      </c>
      <c r="U14" s="17">
        <v>11.13</v>
      </c>
      <c r="V14" s="14">
        <v>3.8888888888888888</v>
      </c>
      <c r="W14" s="16">
        <v>39.6</v>
      </c>
      <c r="X14" s="15">
        <v>-20</v>
      </c>
      <c r="Y14" s="18">
        <v>31</v>
      </c>
      <c r="Z14" s="17">
        <v>49.29</v>
      </c>
      <c r="AA14" s="14">
        <v>7.045454545454545</v>
      </c>
      <c r="AB14" s="16">
        <v>96.800000000000011</v>
      </c>
      <c r="AC14" s="15">
        <v>-35</v>
      </c>
      <c r="AD14" s="19">
        <v>146</v>
      </c>
      <c r="AE14" s="20">
        <v>232.14000000000001</v>
      </c>
      <c r="AF14" s="21">
        <v>763.80952380952385</v>
      </c>
      <c r="AG14" s="22">
        <v>8.4968827930174573</v>
      </c>
      <c r="AH14" s="23">
        <v>0.84968827930174562</v>
      </c>
      <c r="AI14" s="26">
        <v>-114.80952380952385</v>
      </c>
      <c r="AJ14" s="27">
        <v>381.90476190476193</v>
      </c>
      <c r="AK14" s="25">
        <v>496.71428571428578</v>
      </c>
      <c r="AL14" s="28">
        <v>8.1125000000000007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1226</v>
      </c>
      <c r="F15" s="14">
        <v>2488.7799999999997</v>
      </c>
      <c r="G15" s="14">
        <v>3.51894374282434</v>
      </c>
      <c r="H15" s="30">
        <v>7664.7999999999993</v>
      </c>
      <c r="I15" s="15">
        <v>-2258</v>
      </c>
      <c r="J15" s="16">
        <v>2219</v>
      </c>
      <c r="K15" s="13">
        <v>4504.57</v>
      </c>
      <c r="L15" s="14">
        <v>21.013257575757578</v>
      </c>
      <c r="M15" s="30">
        <v>2323.1999999999998</v>
      </c>
      <c r="N15" s="15">
        <v>1163</v>
      </c>
      <c r="O15" s="16">
        <v>246</v>
      </c>
      <c r="P15" s="17">
        <v>499.37999999999994</v>
      </c>
      <c r="Q15" s="14">
        <v>20.5</v>
      </c>
      <c r="R15" s="16">
        <v>264</v>
      </c>
      <c r="S15" s="15">
        <v>6</v>
      </c>
      <c r="T15" s="18">
        <v>201</v>
      </c>
      <c r="U15" s="17">
        <v>408.03</v>
      </c>
      <c r="V15" s="14">
        <v>14.425837320574161</v>
      </c>
      <c r="W15" s="16">
        <v>306.53333333333336</v>
      </c>
      <c r="X15" s="15">
        <v>-8.0000000000000284</v>
      </c>
      <c r="Y15" s="18">
        <v>132</v>
      </c>
      <c r="Z15" s="17">
        <v>267.95999999999998</v>
      </c>
      <c r="AA15" s="14">
        <v>14.142857142857142</v>
      </c>
      <c r="AB15" s="16">
        <v>205.33333333333334</v>
      </c>
      <c r="AC15" s="15">
        <v>-8</v>
      </c>
      <c r="AD15" s="19">
        <v>4024</v>
      </c>
      <c r="AE15" s="20">
        <v>8168.7199999999993</v>
      </c>
      <c r="AF15" s="21">
        <v>5094.7619047619046</v>
      </c>
      <c r="AG15" s="22">
        <v>4.7597906346387511</v>
      </c>
      <c r="AH15" s="23">
        <v>0.47597906346387514</v>
      </c>
      <c r="AI15" s="26">
        <v>-2669.7619047619046</v>
      </c>
      <c r="AJ15" s="27">
        <v>2547.3809523809523</v>
      </c>
      <c r="AK15" s="25">
        <v>5217.1428571428569</v>
      </c>
      <c r="AL15" s="28">
        <v>40.416666666666664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0</v>
      </c>
      <c r="F16" s="14">
        <v>0</v>
      </c>
      <c r="G16" s="14">
        <v>0</v>
      </c>
      <c r="H16" s="30">
        <v>1579.6</v>
      </c>
      <c r="I16" s="15">
        <v>-718</v>
      </c>
      <c r="J16" s="16">
        <v>520</v>
      </c>
      <c r="K16" s="13">
        <v>1877.2</v>
      </c>
      <c r="L16" s="14">
        <v>20.207253886010363</v>
      </c>
      <c r="M16" s="30">
        <v>566.13333333333333</v>
      </c>
      <c r="N16" s="15">
        <v>262.66666666666663</v>
      </c>
      <c r="O16" s="16">
        <v>54</v>
      </c>
      <c r="P16" s="17">
        <v>194.94</v>
      </c>
      <c r="Q16" s="14">
        <v>23.823529411764707</v>
      </c>
      <c r="R16" s="16">
        <v>49.866666666666667</v>
      </c>
      <c r="S16" s="15">
        <v>8.6666666666666714</v>
      </c>
      <c r="T16" s="18">
        <v>50</v>
      </c>
      <c r="U16" s="17">
        <v>180.5</v>
      </c>
      <c r="V16" s="14">
        <v>53.571428571428562</v>
      </c>
      <c r="W16" s="16">
        <v>20.533333333333335</v>
      </c>
      <c r="X16" s="15">
        <v>36</v>
      </c>
      <c r="Y16" s="18">
        <v>25</v>
      </c>
      <c r="Z16" s="17">
        <v>90.25</v>
      </c>
      <c r="AA16" s="14">
        <v>6.5789473684210531</v>
      </c>
      <c r="AB16" s="16">
        <v>83.6</v>
      </c>
      <c r="AC16" s="15">
        <v>-32</v>
      </c>
      <c r="AD16" s="19">
        <v>649</v>
      </c>
      <c r="AE16" s="20">
        <v>2342.89</v>
      </c>
      <c r="AF16" s="21">
        <v>980</v>
      </c>
      <c r="AG16" s="22">
        <v>7.0510204081632653</v>
      </c>
      <c r="AH16" s="23">
        <v>0.70510204081632655</v>
      </c>
      <c r="AI16" s="26">
        <v>-289</v>
      </c>
      <c r="AJ16" s="27">
        <v>490</v>
      </c>
      <c r="AK16" s="25">
        <v>779</v>
      </c>
      <c r="AL16" s="28">
        <v>24.678571428571427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0</v>
      </c>
      <c r="F17" s="14">
        <v>0</v>
      </c>
      <c r="G17" s="14">
        <v>0</v>
      </c>
      <c r="H17" s="30">
        <v>214.13333333333333</v>
      </c>
      <c r="I17" s="15">
        <v>-97.333333333333329</v>
      </c>
      <c r="J17" s="16">
        <v>85</v>
      </c>
      <c r="K17" s="13">
        <v>746.3</v>
      </c>
      <c r="L17" s="14">
        <v>39.84375</v>
      </c>
      <c r="M17" s="30">
        <v>46.93333333333333</v>
      </c>
      <c r="N17" s="15">
        <v>63.666666666666671</v>
      </c>
      <c r="O17" s="16">
        <v>10</v>
      </c>
      <c r="P17" s="17">
        <v>87.8</v>
      </c>
      <c r="Q17" s="14">
        <v>18.75</v>
      </c>
      <c r="R17" s="16">
        <v>11.733333333333333</v>
      </c>
      <c r="S17" s="15">
        <v>-0.66666666666666607</v>
      </c>
      <c r="T17" s="18">
        <v>17</v>
      </c>
      <c r="U17" s="17">
        <v>149.26</v>
      </c>
      <c r="V17" s="14">
        <v>187</v>
      </c>
      <c r="W17" s="16">
        <v>2</v>
      </c>
      <c r="X17" s="15">
        <v>15.636363636363637</v>
      </c>
      <c r="Y17" s="18">
        <v>11</v>
      </c>
      <c r="Z17" s="17">
        <v>96.58</v>
      </c>
      <c r="AA17" s="14">
        <v>27.5</v>
      </c>
      <c r="AB17" s="16">
        <v>8.8000000000000007</v>
      </c>
      <c r="AC17" s="15">
        <v>5</v>
      </c>
      <c r="AD17" s="19">
        <v>123</v>
      </c>
      <c r="AE17" s="20">
        <v>1079.9399999999998</v>
      </c>
      <c r="AF17" s="21">
        <v>119.52380952380952</v>
      </c>
      <c r="AG17" s="22">
        <v>6.8605577689243029</v>
      </c>
      <c r="AH17" s="23">
        <v>0.68605577689243036</v>
      </c>
      <c r="AI17" s="26">
        <v>-37.523809523809518</v>
      </c>
      <c r="AJ17" s="27">
        <v>59.761904761904759</v>
      </c>
      <c r="AK17" s="25">
        <v>97.285714285714278</v>
      </c>
      <c r="AL17" s="28">
        <v>6.833333333333333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5156</v>
      </c>
      <c r="F18" s="14">
        <v>3248.28</v>
      </c>
      <c r="G18" s="14">
        <v>5.9726619816202033</v>
      </c>
      <c r="H18" s="30">
        <v>18991.866666666665</v>
      </c>
      <c r="I18" s="15">
        <v>-3476.6666666666661</v>
      </c>
      <c r="J18" s="16">
        <v>4460</v>
      </c>
      <c r="K18" s="13">
        <v>2809.8</v>
      </c>
      <c r="L18" s="14">
        <v>13.776771004942338</v>
      </c>
      <c r="M18" s="30">
        <v>7122.1333333333332</v>
      </c>
      <c r="N18" s="15">
        <v>1222.6666666666665</v>
      </c>
      <c r="O18" s="16">
        <v>1107</v>
      </c>
      <c r="P18" s="17">
        <v>697.41</v>
      </c>
      <c r="Q18" s="14">
        <v>18.187294633077766</v>
      </c>
      <c r="R18" s="16">
        <v>1339.0666666666666</v>
      </c>
      <c r="S18" s="15">
        <v>-110.33333333333326</v>
      </c>
      <c r="T18" s="18">
        <v>2196</v>
      </c>
      <c r="U18" s="17">
        <v>1383.48</v>
      </c>
      <c r="V18" s="14">
        <v>14.705357142857142</v>
      </c>
      <c r="W18" s="16">
        <v>3285.3333333333335</v>
      </c>
      <c r="X18" s="15">
        <v>-44</v>
      </c>
      <c r="Y18" s="18">
        <v>218</v>
      </c>
      <c r="Z18" s="17">
        <v>137.34</v>
      </c>
      <c r="AA18" s="14">
        <v>16.188118811881189</v>
      </c>
      <c r="AB18" s="16">
        <v>296.26666666666665</v>
      </c>
      <c r="AC18" s="15">
        <v>16</v>
      </c>
      <c r="AD18" s="19">
        <v>13137</v>
      </c>
      <c r="AE18" s="20">
        <v>8276.31</v>
      </c>
      <c r="AF18" s="21">
        <v>14603.333333333332</v>
      </c>
      <c r="AG18" s="22">
        <v>9.6738187628395345</v>
      </c>
      <c r="AH18" s="23">
        <v>0.96738187628395356</v>
      </c>
      <c r="AI18" s="26">
        <v>-476.33333333333212</v>
      </c>
      <c r="AJ18" s="27">
        <v>7301.6666666666661</v>
      </c>
      <c r="AK18" s="25">
        <v>7777.9999999999982</v>
      </c>
      <c r="AL18" s="28">
        <v>235.45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561</v>
      </c>
      <c r="F19" s="14">
        <v>353.43</v>
      </c>
      <c r="G19" s="14">
        <v>9.9940617577197148</v>
      </c>
      <c r="H19" s="30">
        <v>1234.9333333333334</v>
      </c>
      <c r="I19" s="15">
        <v>-0.33333333333337123</v>
      </c>
      <c r="J19" s="16">
        <v>571</v>
      </c>
      <c r="K19" s="13">
        <v>359.73</v>
      </c>
      <c r="L19" s="14">
        <v>9.8448275862068968</v>
      </c>
      <c r="M19" s="30">
        <v>1276</v>
      </c>
      <c r="N19" s="15">
        <v>-9</v>
      </c>
      <c r="O19" s="16">
        <v>84</v>
      </c>
      <c r="P19" s="17">
        <v>52.92</v>
      </c>
      <c r="Q19" s="14">
        <v>17.027027027027025</v>
      </c>
      <c r="R19" s="16">
        <v>108.53333333333333</v>
      </c>
      <c r="S19" s="15">
        <v>-14.666666666666671</v>
      </c>
      <c r="T19" s="18">
        <v>257</v>
      </c>
      <c r="U19" s="17">
        <v>161.91</v>
      </c>
      <c r="V19" s="14">
        <v>21.536312849162009</v>
      </c>
      <c r="W19" s="16">
        <v>262.53333333333336</v>
      </c>
      <c r="X19" s="15">
        <v>77.999999999999972</v>
      </c>
      <c r="Y19" s="18">
        <v>154</v>
      </c>
      <c r="Z19" s="17">
        <v>97.02</v>
      </c>
      <c r="AA19" s="14">
        <v>14.085365853658537</v>
      </c>
      <c r="AB19" s="16">
        <v>240.53333333333333</v>
      </c>
      <c r="AC19" s="15">
        <v>-10</v>
      </c>
      <c r="AD19" s="19">
        <v>1627</v>
      </c>
      <c r="AE19" s="20">
        <v>1025.01</v>
      </c>
      <c r="AF19" s="21">
        <v>1503.8095238095239</v>
      </c>
      <c r="AG19" s="22">
        <v>11.843255224825839</v>
      </c>
      <c r="AH19" s="23">
        <v>1.1843255224825839</v>
      </c>
      <c r="AI19" s="26">
        <v>277.19047619047615</v>
      </c>
      <c r="AJ19" s="27">
        <v>751.90476190476193</v>
      </c>
      <c r="AK19" s="25">
        <v>474.71428571428578</v>
      </c>
      <c r="AL19" s="28">
        <v>29.683333333333334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1081</v>
      </c>
      <c r="F20" s="14">
        <v>681.03</v>
      </c>
      <c r="G20" s="14">
        <v>8.6158342189160457</v>
      </c>
      <c r="H20" s="30">
        <v>2760.2666666666669</v>
      </c>
      <c r="I20" s="15">
        <v>-173.66666666666674</v>
      </c>
      <c r="J20" s="16">
        <v>1577</v>
      </c>
      <c r="K20" s="13">
        <v>993.51</v>
      </c>
      <c r="L20" s="14">
        <v>12.269190871369295</v>
      </c>
      <c r="M20" s="30">
        <v>2827.7333333333331</v>
      </c>
      <c r="N20" s="15">
        <v>291.66666666666674</v>
      </c>
      <c r="O20" s="16">
        <v>264</v>
      </c>
      <c r="P20" s="17">
        <v>166.32</v>
      </c>
      <c r="Q20" s="14">
        <v>29.774436090225564</v>
      </c>
      <c r="R20" s="16">
        <v>195.06666666666666</v>
      </c>
      <c r="S20" s="15">
        <v>86.666666666666657</v>
      </c>
      <c r="T20" s="18">
        <v>757</v>
      </c>
      <c r="U20" s="17">
        <v>476.91</v>
      </c>
      <c r="V20" s="14">
        <v>46.158536585365859</v>
      </c>
      <c r="W20" s="16">
        <v>360.79999999999995</v>
      </c>
      <c r="X20" s="15">
        <v>511</v>
      </c>
      <c r="Y20" s="18">
        <v>226</v>
      </c>
      <c r="Z20" s="17">
        <v>142.38</v>
      </c>
      <c r="AA20" s="14">
        <v>16.699507389162562</v>
      </c>
      <c r="AB20" s="16">
        <v>297.73333333333335</v>
      </c>
      <c r="AC20" s="15">
        <v>23</v>
      </c>
      <c r="AD20" s="19">
        <v>3905</v>
      </c>
      <c r="AE20" s="20">
        <v>2460.15</v>
      </c>
      <c r="AF20" s="21">
        <v>3435.7142857142853</v>
      </c>
      <c r="AG20" s="22">
        <v>9.1509355509355519</v>
      </c>
      <c r="AH20" s="23">
        <v>0.91509355509355517</v>
      </c>
      <c r="AI20" s="26">
        <v>-291.71428571428532</v>
      </c>
      <c r="AJ20" s="27">
        <v>1717.8571428571427</v>
      </c>
      <c r="AK20" s="25">
        <v>2009.571428571428</v>
      </c>
      <c r="AL20" s="28">
        <v>52.4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1952</v>
      </c>
      <c r="F21" s="14">
        <v>2127.6800000000003</v>
      </c>
      <c r="G21" s="14">
        <v>6.6606005459508646</v>
      </c>
      <c r="H21" s="30">
        <v>6447.4666666666662</v>
      </c>
      <c r="I21" s="15">
        <v>-978.66666666666652</v>
      </c>
      <c r="J21" s="16">
        <v>3608</v>
      </c>
      <c r="K21" s="13">
        <v>3932.7200000000003</v>
      </c>
      <c r="L21" s="14">
        <v>11.291466722303358</v>
      </c>
      <c r="M21" s="30">
        <v>7029.7333333333336</v>
      </c>
      <c r="N21" s="15">
        <v>412.66666666666652</v>
      </c>
      <c r="O21" s="16">
        <v>383</v>
      </c>
      <c r="P21" s="17">
        <v>417.47</v>
      </c>
      <c r="Q21" s="14">
        <v>14.255583126550867</v>
      </c>
      <c r="R21" s="16">
        <v>591.06666666666672</v>
      </c>
      <c r="S21" s="15">
        <v>-154.33333333333337</v>
      </c>
      <c r="T21" s="18">
        <v>1122</v>
      </c>
      <c r="U21" s="17">
        <v>1222.98</v>
      </c>
      <c r="V21" s="14">
        <v>15.847457627118645</v>
      </c>
      <c r="W21" s="16">
        <v>1557.6</v>
      </c>
      <c r="X21" s="15">
        <v>60</v>
      </c>
      <c r="Y21" s="18">
        <v>256</v>
      </c>
      <c r="Z21" s="17">
        <v>279.04000000000002</v>
      </c>
      <c r="AA21" s="14">
        <v>13.963636363636365</v>
      </c>
      <c r="AB21" s="16">
        <v>403.33333333333331</v>
      </c>
      <c r="AC21" s="15">
        <v>-19</v>
      </c>
      <c r="AD21" s="19">
        <v>7321</v>
      </c>
      <c r="AE21" s="20">
        <v>7979.89</v>
      </c>
      <c r="AF21" s="21">
        <v>7661.9047619047615</v>
      </c>
      <c r="AG21" s="22">
        <v>8.3073337476693609</v>
      </c>
      <c r="AH21" s="23">
        <v>0.83073337476693598</v>
      </c>
      <c r="AI21" s="26">
        <v>-1296.9047619047615</v>
      </c>
      <c r="AJ21" s="27">
        <v>3830.9523809523807</v>
      </c>
      <c r="AK21" s="25">
        <v>5127.8571428571422</v>
      </c>
      <c r="AL21" s="28">
        <v>117.87037037037037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1315</v>
      </c>
      <c r="F22" s="14">
        <v>1433.3500000000001</v>
      </c>
      <c r="G22" s="14">
        <v>7.7504911591355601</v>
      </c>
      <c r="H22" s="30">
        <v>3732.6666666666665</v>
      </c>
      <c r="I22" s="15">
        <v>-381.66666666666652</v>
      </c>
      <c r="J22" s="16">
        <v>1996</v>
      </c>
      <c r="K22" s="13">
        <v>2175.6400000000003</v>
      </c>
      <c r="L22" s="14">
        <v>14.135977337110482</v>
      </c>
      <c r="M22" s="30">
        <v>3106.3999999999996</v>
      </c>
      <c r="N22" s="15">
        <v>584</v>
      </c>
      <c r="O22" s="16">
        <v>139</v>
      </c>
      <c r="P22" s="17">
        <v>151.51000000000002</v>
      </c>
      <c r="Q22" s="14">
        <v>26.0625</v>
      </c>
      <c r="R22" s="16">
        <v>117.33333333333333</v>
      </c>
      <c r="S22" s="15">
        <v>32.333333333333343</v>
      </c>
      <c r="T22" s="18">
        <v>452</v>
      </c>
      <c r="U22" s="17">
        <v>492.68000000000006</v>
      </c>
      <c r="V22" s="14">
        <v>20.178571428571431</v>
      </c>
      <c r="W22" s="16">
        <v>492.79999999999995</v>
      </c>
      <c r="X22" s="15">
        <v>116</v>
      </c>
      <c r="Y22" s="18">
        <v>138</v>
      </c>
      <c r="Z22" s="17">
        <v>150.42000000000002</v>
      </c>
      <c r="AA22" s="14">
        <v>31.36363636363636</v>
      </c>
      <c r="AB22" s="16">
        <v>96.800000000000011</v>
      </c>
      <c r="AC22" s="15">
        <v>72</v>
      </c>
      <c r="AD22" s="19">
        <v>4040</v>
      </c>
      <c r="AE22" s="20">
        <v>4403.6000000000004</v>
      </c>
      <c r="AF22" s="21">
        <v>3628.0952380952381</v>
      </c>
      <c r="AG22" s="22">
        <v>7.4557028481428009</v>
      </c>
      <c r="AH22" s="23">
        <v>0.74557028481428012</v>
      </c>
      <c r="AI22" s="26">
        <v>-923.09523809523807</v>
      </c>
      <c r="AJ22" s="27">
        <v>1814.047619047619</v>
      </c>
      <c r="AK22" s="25">
        <v>2737.1428571428569</v>
      </c>
      <c r="AL22" s="28">
        <v>50.092592592592595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16580</v>
      </c>
      <c r="F23" s="14">
        <v>19232.8</v>
      </c>
      <c r="G23" s="14">
        <v>9.9939722724532842</v>
      </c>
      <c r="H23" s="30">
        <v>36498</v>
      </c>
      <c r="I23" s="15">
        <v>-8305</v>
      </c>
      <c r="J23" s="16">
        <v>22442</v>
      </c>
      <c r="K23" s="13">
        <v>26032.719999999998</v>
      </c>
      <c r="L23" s="14">
        <v>24.345845085701889</v>
      </c>
      <c r="M23" s="30">
        <v>20279.599999999999</v>
      </c>
      <c r="N23" s="15">
        <v>13224</v>
      </c>
      <c r="O23" s="16">
        <v>2226</v>
      </c>
      <c r="P23" s="17">
        <v>2582.16</v>
      </c>
      <c r="Q23" s="14">
        <v>14.807095343680709</v>
      </c>
      <c r="R23" s="16">
        <v>3307.3333333333335</v>
      </c>
      <c r="S23" s="15">
        <v>-780.66666666666697</v>
      </c>
      <c r="T23" s="18">
        <v>7360</v>
      </c>
      <c r="U23" s="17">
        <v>8537.5999999999985</v>
      </c>
      <c r="V23" s="14">
        <v>13.51781559936329</v>
      </c>
      <c r="W23" s="16">
        <v>11978.266666666666</v>
      </c>
      <c r="X23" s="15">
        <v>-807</v>
      </c>
      <c r="Y23" s="18">
        <v>96</v>
      </c>
      <c r="Z23" s="17">
        <v>111.35999999999999</v>
      </c>
      <c r="AA23" s="14">
        <v>1.7454545454545454</v>
      </c>
      <c r="AB23" s="16">
        <v>1210</v>
      </c>
      <c r="AC23" s="15">
        <v>-729</v>
      </c>
      <c r="AD23" s="19">
        <v>48704</v>
      </c>
      <c r="AE23" s="20">
        <v>56496.639999999999</v>
      </c>
      <c r="AF23" s="21">
        <v>35215.238095238099</v>
      </c>
      <c r="AG23" s="22">
        <v>10.458824643011681</v>
      </c>
      <c r="AH23" s="23">
        <v>1.0458824643011682</v>
      </c>
      <c r="AI23" s="26">
        <v>1615.761904761901</v>
      </c>
      <c r="AJ23" s="27">
        <v>17607.61904761905</v>
      </c>
      <c r="AK23" s="25">
        <v>15991.857142857149</v>
      </c>
      <c r="AL23" s="28">
        <v>682.05555555555554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9658</v>
      </c>
      <c r="F24" s="14">
        <v>11203.279999999999</v>
      </c>
      <c r="G24" s="14">
        <v>8.8855495583905793</v>
      </c>
      <c r="H24" s="30">
        <v>23912.533333333333</v>
      </c>
      <c r="I24" s="15">
        <v>-1211.3333333333339</v>
      </c>
      <c r="J24" s="16">
        <v>8473</v>
      </c>
      <c r="K24" s="13">
        <v>9828.6799999999985</v>
      </c>
      <c r="L24" s="14">
        <v>14.975256274301875</v>
      </c>
      <c r="M24" s="30">
        <v>12447.599999999999</v>
      </c>
      <c r="N24" s="15">
        <v>2815</v>
      </c>
      <c r="O24" s="16">
        <v>1327</v>
      </c>
      <c r="P24" s="17">
        <v>1539.32</v>
      </c>
      <c r="Q24" s="14">
        <v>15.229533282325937</v>
      </c>
      <c r="R24" s="16">
        <v>1916.9333333333334</v>
      </c>
      <c r="S24" s="15">
        <v>-415.66666666666674</v>
      </c>
      <c r="T24" s="18">
        <v>4150</v>
      </c>
      <c r="U24" s="17">
        <v>4814</v>
      </c>
      <c r="V24" s="14">
        <v>14.453215695379615</v>
      </c>
      <c r="W24" s="16">
        <v>6316.9333333333334</v>
      </c>
      <c r="X24" s="15">
        <v>-157</v>
      </c>
      <c r="Y24" s="18">
        <v>410</v>
      </c>
      <c r="Z24" s="17">
        <v>475.59999999999997</v>
      </c>
      <c r="AA24" s="14">
        <v>11.647727272727272</v>
      </c>
      <c r="AB24" s="16">
        <v>774.40000000000009</v>
      </c>
      <c r="AC24" s="15">
        <v>-118</v>
      </c>
      <c r="AD24" s="19">
        <v>24018</v>
      </c>
      <c r="AE24" s="20">
        <v>27860.879999999997</v>
      </c>
      <c r="AF24" s="21">
        <v>23050</v>
      </c>
      <c r="AG24" s="22">
        <v>9.9132321041214748</v>
      </c>
      <c r="AH24" s="23">
        <v>0.99132321041214755</v>
      </c>
      <c r="AI24" s="26">
        <v>-200</v>
      </c>
      <c r="AJ24" s="27">
        <v>11525</v>
      </c>
      <c r="AK24" s="25">
        <v>11725</v>
      </c>
      <c r="AL24" s="28">
        <v>423.14814814814815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6546</v>
      </c>
      <c r="F25" s="14">
        <v>7593.36</v>
      </c>
      <c r="G25" s="14">
        <v>6.1063432835820892</v>
      </c>
      <c r="H25" s="30">
        <v>23584</v>
      </c>
      <c r="I25" s="15">
        <v>-4174</v>
      </c>
      <c r="J25" s="16">
        <v>18897</v>
      </c>
      <c r="K25" s="13">
        <v>21920.519999999997</v>
      </c>
      <c r="L25" s="14">
        <v>31.169452386188695</v>
      </c>
      <c r="M25" s="30">
        <v>13337.866666666667</v>
      </c>
      <c r="N25" s="15">
        <v>12834.333333333334</v>
      </c>
      <c r="O25" s="16">
        <v>1599</v>
      </c>
      <c r="P25" s="17">
        <v>1854.84</v>
      </c>
      <c r="Q25" s="14">
        <v>14.823856613102597</v>
      </c>
      <c r="R25" s="16">
        <v>2373.0666666666666</v>
      </c>
      <c r="S25" s="15">
        <v>-558.33333333333303</v>
      </c>
      <c r="T25" s="18">
        <v>4058</v>
      </c>
      <c r="U25" s="17">
        <v>4707.28</v>
      </c>
      <c r="V25" s="14">
        <v>13.97703788748565</v>
      </c>
      <c r="W25" s="16">
        <v>6387.333333333333</v>
      </c>
      <c r="X25" s="15">
        <v>-297</v>
      </c>
      <c r="Y25" s="18">
        <v>593</v>
      </c>
      <c r="Z25" s="17">
        <v>687.88</v>
      </c>
      <c r="AA25" s="14">
        <v>23.469656992084435</v>
      </c>
      <c r="AB25" s="16">
        <v>555.86666666666667</v>
      </c>
      <c r="AC25" s="15">
        <v>214</v>
      </c>
      <c r="AD25" s="19">
        <v>31693</v>
      </c>
      <c r="AE25" s="20">
        <v>36763.879999999997</v>
      </c>
      <c r="AF25" s="21">
        <v>22664.761904761905</v>
      </c>
      <c r="AG25" s="22">
        <v>8.0949449533574249</v>
      </c>
      <c r="AH25" s="23">
        <v>0.80949449533574247</v>
      </c>
      <c r="AI25" s="26">
        <v>-4317.7619047619046</v>
      </c>
      <c r="AJ25" s="27">
        <v>11332.380952380952</v>
      </c>
      <c r="AK25" s="25">
        <v>15650.142857142857</v>
      </c>
      <c r="AL25" s="28">
        <v>339.75925925925924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12557</v>
      </c>
      <c r="F26" s="14">
        <v>14566.119999999999</v>
      </c>
      <c r="G26" s="14">
        <v>9.0364133563615443</v>
      </c>
      <c r="H26" s="30">
        <v>30571.199999999997</v>
      </c>
      <c r="I26" s="15">
        <v>-8287</v>
      </c>
      <c r="J26" s="16">
        <v>21797</v>
      </c>
      <c r="K26" s="13">
        <v>25284.519999999997</v>
      </c>
      <c r="L26" s="14">
        <v>30.809932152280435</v>
      </c>
      <c r="M26" s="30">
        <v>15564.266666666666</v>
      </c>
      <c r="N26" s="15">
        <v>14722.333333333332</v>
      </c>
      <c r="O26" s="16">
        <v>1423</v>
      </c>
      <c r="P26" s="17">
        <v>1650.6799999999998</v>
      </c>
      <c r="Q26" s="14">
        <v>17.227602905569007</v>
      </c>
      <c r="R26" s="16">
        <v>1817.1999999999998</v>
      </c>
      <c r="S26" s="15">
        <v>-229</v>
      </c>
      <c r="T26" s="18">
        <v>4598</v>
      </c>
      <c r="U26" s="17">
        <v>5333.6799999999994</v>
      </c>
      <c r="V26" s="14">
        <v>12.793544796883696</v>
      </c>
      <c r="W26" s="16">
        <v>7906.7999999999993</v>
      </c>
      <c r="X26" s="15">
        <v>-793</v>
      </c>
      <c r="Y26" s="18">
        <v>536</v>
      </c>
      <c r="Z26" s="17">
        <v>621.76</v>
      </c>
      <c r="AA26" s="14">
        <v>13.767123287671234</v>
      </c>
      <c r="AB26" s="16">
        <v>856.5333333333333</v>
      </c>
      <c r="AC26" s="15">
        <v>-48</v>
      </c>
      <c r="AD26" s="19">
        <v>40911</v>
      </c>
      <c r="AE26" s="20">
        <v>47456.759999999995</v>
      </c>
      <c r="AF26" s="21">
        <v>26740</v>
      </c>
      <c r="AG26" s="22">
        <v>8.8522812266267756</v>
      </c>
      <c r="AH26" s="23">
        <v>0.88522812266267759</v>
      </c>
      <c r="AI26" s="26">
        <v>-3069</v>
      </c>
      <c r="AJ26" s="27">
        <v>13370</v>
      </c>
      <c r="AK26" s="25">
        <v>16439</v>
      </c>
      <c r="AL26" s="28">
        <v>438.35185185185185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1142</v>
      </c>
      <c r="F27" s="14">
        <v>1324.7199999999998</v>
      </c>
      <c r="G27" s="14">
        <v>3.4260000000000002</v>
      </c>
      <c r="H27" s="30">
        <v>7333.333333333333</v>
      </c>
      <c r="I27" s="15">
        <v>-2191.333333333333</v>
      </c>
      <c r="J27" s="16">
        <v>6535</v>
      </c>
      <c r="K27" s="13">
        <v>7580.5999999999995</v>
      </c>
      <c r="L27" s="14">
        <v>34.060111188325223</v>
      </c>
      <c r="M27" s="30">
        <v>4221.0666666666666</v>
      </c>
      <c r="N27" s="15">
        <v>4616.333333333333</v>
      </c>
      <c r="O27" s="16">
        <v>287</v>
      </c>
      <c r="P27" s="17">
        <v>332.91999999999996</v>
      </c>
      <c r="Q27" s="14">
        <v>10.274463007159904</v>
      </c>
      <c r="R27" s="16">
        <v>614.5333333333333</v>
      </c>
      <c r="S27" s="15">
        <v>-271.66666666666663</v>
      </c>
      <c r="T27" s="18">
        <v>1031</v>
      </c>
      <c r="U27" s="17">
        <v>1195.9599999999998</v>
      </c>
      <c r="V27" s="14">
        <v>8.9186851211072664</v>
      </c>
      <c r="W27" s="16">
        <v>2543.1999999999998</v>
      </c>
      <c r="X27" s="15">
        <v>-703</v>
      </c>
      <c r="Y27" s="18">
        <v>432</v>
      </c>
      <c r="Z27" s="17">
        <v>501.11999999999995</v>
      </c>
      <c r="AA27" s="14">
        <v>37.456647398843934</v>
      </c>
      <c r="AB27" s="16">
        <v>253.73333333333332</v>
      </c>
      <c r="AC27" s="15">
        <v>259</v>
      </c>
      <c r="AD27" s="19">
        <v>9427</v>
      </c>
      <c r="AE27" s="20">
        <v>10935.32</v>
      </c>
      <c r="AF27" s="21">
        <v>3891.9047619047619</v>
      </c>
      <c r="AG27" s="22">
        <v>21.190138260124801</v>
      </c>
      <c r="AH27" s="23">
        <v>2.11901382601248</v>
      </c>
      <c r="AI27" s="26">
        <v>4355.0952380952385</v>
      </c>
      <c r="AJ27" s="27">
        <v>1945.952380952381</v>
      </c>
      <c r="AK27" s="25">
        <v>-2409.1428571428578</v>
      </c>
      <c r="AL27" s="28">
        <v>152.72222222222223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957</v>
      </c>
      <c r="F28" s="14">
        <v>1110.1199999999999</v>
      </c>
      <c r="G28" s="14">
        <v>2.9403932814420322</v>
      </c>
      <c r="H28" s="30">
        <v>7160.2666666666664</v>
      </c>
      <c r="I28" s="15">
        <v>-2297.6666666666665</v>
      </c>
      <c r="J28" s="16">
        <v>6469</v>
      </c>
      <c r="K28" s="13">
        <v>7504.0399999999991</v>
      </c>
      <c r="L28" s="14">
        <v>24.472887767969738</v>
      </c>
      <c r="M28" s="30">
        <v>5815.333333333333</v>
      </c>
      <c r="N28" s="15">
        <v>3825.666666666667</v>
      </c>
      <c r="O28" s="16">
        <v>336</v>
      </c>
      <c r="P28" s="17">
        <v>389.76</v>
      </c>
      <c r="Q28" s="14">
        <v>8.7197231833910038</v>
      </c>
      <c r="R28" s="16">
        <v>847.73333333333335</v>
      </c>
      <c r="S28" s="15">
        <v>-434.66666666666663</v>
      </c>
      <c r="T28" s="18">
        <v>689</v>
      </c>
      <c r="U28" s="17">
        <v>799.2399999999999</v>
      </c>
      <c r="V28" s="14">
        <v>5.1392342118349079</v>
      </c>
      <c r="W28" s="16">
        <v>2949.4666666666667</v>
      </c>
      <c r="X28" s="15">
        <v>-1322</v>
      </c>
      <c r="Y28" s="18">
        <v>356</v>
      </c>
      <c r="Z28" s="17">
        <v>412.96</v>
      </c>
      <c r="AA28" s="14">
        <v>21.36</v>
      </c>
      <c r="AB28" s="16">
        <v>366.66666666666669</v>
      </c>
      <c r="AC28" s="15">
        <v>105.99999999999997</v>
      </c>
      <c r="AD28" s="19">
        <v>8807</v>
      </c>
      <c r="AE28" s="20">
        <v>10216.119999999999</v>
      </c>
      <c r="AF28" s="21">
        <v>4283.8095238095239</v>
      </c>
      <c r="AG28" s="22">
        <v>8.4714317474433081</v>
      </c>
      <c r="AH28" s="23">
        <v>0.84714317474433076</v>
      </c>
      <c r="AI28" s="26">
        <v>-654.80952380952385</v>
      </c>
      <c r="AJ28" s="27">
        <v>2141.9047619047619</v>
      </c>
      <c r="AK28" s="25">
        <v>2796.7142857142858</v>
      </c>
      <c r="AL28" s="28">
        <v>67.203703703703709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965</v>
      </c>
      <c r="F29" s="14">
        <v>1119.3999999999999</v>
      </c>
      <c r="G29" s="14">
        <v>2.7106741573033708</v>
      </c>
      <c r="H29" s="30">
        <v>7832</v>
      </c>
      <c r="I29" s="15">
        <v>-2595</v>
      </c>
      <c r="J29" s="16">
        <v>923</v>
      </c>
      <c r="K29" s="13">
        <v>1070.6799999999998</v>
      </c>
      <c r="L29" s="14">
        <v>3.3992143383255584</v>
      </c>
      <c r="M29" s="30">
        <v>5973.7333333333336</v>
      </c>
      <c r="N29" s="15">
        <v>-1792.3333333333335</v>
      </c>
      <c r="O29" s="16">
        <v>241</v>
      </c>
      <c r="P29" s="17">
        <v>279.56</v>
      </c>
      <c r="Q29" s="14">
        <v>6.1064189189189184</v>
      </c>
      <c r="R29" s="16">
        <v>868.26666666666665</v>
      </c>
      <c r="S29" s="15">
        <v>-548.33333333333337</v>
      </c>
      <c r="T29" s="18">
        <v>452</v>
      </c>
      <c r="U29" s="17">
        <v>524.31999999999994</v>
      </c>
      <c r="V29" s="14">
        <v>3.1072410632447296</v>
      </c>
      <c r="W29" s="16">
        <v>3200.2666666666669</v>
      </c>
      <c r="X29" s="15">
        <v>-1730</v>
      </c>
      <c r="Y29" s="18">
        <v>359</v>
      </c>
      <c r="Z29" s="17">
        <v>416.44</v>
      </c>
      <c r="AA29" s="14">
        <v>21.626506024096383</v>
      </c>
      <c r="AB29" s="16">
        <v>365.20000000000005</v>
      </c>
      <c r="AC29" s="15">
        <v>109.99999999999997</v>
      </c>
      <c r="AD29" s="19">
        <v>2940</v>
      </c>
      <c r="AE29" s="20">
        <v>3410.3999999999996</v>
      </c>
      <c r="AF29" s="21">
        <v>3907.6190476190477</v>
      </c>
      <c r="AG29" s="22">
        <v>20.513770411893738</v>
      </c>
      <c r="AH29" s="23">
        <v>2.0513770411893737</v>
      </c>
      <c r="AI29" s="26">
        <v>4108.3809523809523</v>
      </c>
      <c r="AJ29" s="27">
        <v>1953.8095238095239</v>
      </c>
      <c r="AK29" s="25">
        <v>-2154.5714285714284</v>
      </c>
      <c r="AL29" s="28">
        <v>148.44444444444446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610</v>
      </c>
      <c r="F30" s="14">
        <v>2244.8000000000002</v>
      </c>
      <c r="G30" s="14">
        <v>6.5357142857142874</v>
      </c>
      <c r="H30" s="30">
        <v>2053.333333333333</v>
      </c>
      <c r="I30" s="15">
        <v>-323.33333333333314</v>
      </c>
      <c r="J30" s="16">
        <v>1117</v>
      </c>
      <c r="K30" s="13">
        <v>4110.5600000000004</v>
      </c>
      <c r="L30" s="14">
        <v>9.3342618384401099</v>
      </c>
      <c r="M30" s="30">
        <v>2632.666666666667</v>
      </c>
      <c r="N30" s="15">
        <v>-79.66666666666697</v>
      </c>
      <c r="O30" s="16">
        <v>50</v>
      </c>
      <c r="P30" s="17">
        <v>184</v>
      </c>
      <c r="Q30" s="14">
        <v>8.3333333333333339</v>
      </c>
      <c r="R30" s="16">
        <v>132</v>
      </c>
      <c r="S30" s="15">
        <v>-70</v>
      </c>
      <c r="T30" s="18">
        <v>350</v>
      </c>
      <c r="U30" s="17">
        <v>1288</v>
      </c>
      <c r="V30" s="14">
        <v>12.681159420289854</v>
      </c>
      <c r="W30" s="16">
        <v>607.20000000000005</v>
      </c>
      <c r="X30" s="15">
        <v>-64</v>
      </c>
      <c r="Y30" s="18">
        <v>29</v>
      </c>
      <c r="Z30" s="17">
        <v>106.72</v>
      </c>
      <c r="AA30" s="14">
        <v>6.796875</v>
      </c>
      <c r="AB30" s="16">
        <v>93.86666666666666</v>
      </c>
      <c r="AC30" s="15">
        <v>-35</v>
      </c>
      <c r="AD30" s="19">
        <v>2156</v>
      </c>
      <c r="AE30" s="20">
        <v>7934.08</v>
      </c>
      <c r="AF30" s="21">
        <v>2420</v>
      </c>
      <c r="AG30" s="22">
        <v>11.590909090909092</v>
      </c>
      <c r="AH30" s="23">
        <v>1.1590909090909092</v>
      </c>
      <c r="AI30" s="26">
        <v>385</v>
      </c>
      <c r="AJ30" s="27">
        <v>1210</v>
      </c>
      <c r="AK30" s="25">
        <v>825</v>
      </c>
      <c r="AL30" s="28">
        <v>175.3125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206</v>
      </c>
      <c r="F31" s="14">
        <v>758.08</v>
      </c>
      <c r="G31" s="14">
        <v>4.6960486322188446</v>
      </c>
      <c r="H31" s="30">
        <v>965.06666666666672</v>
      </c>
      <c r="I31" s="15">
        <v>-232.66666666666669</v>
      </c>
      <c r="J31" s="16">
        <v>1155</v>
      </c>
      <c r="K31" s="13">
        <v>4250.4000000000005</v>
      </c>
      <c r="L31" s="14">
        <v>17.678571428571431</v>
      </c>
      <c r="M31" s="30">
        <v>1437.3333333333333</v>
      </c>
      <c r="N31" s="15">
        <v>501.66666666666674</v>
      </c>
      <c r="O31" s="16">
        <v>37</v>
      </c>
      <c r="P31" s="17">
        <v>136.16</v>
      </c>
      <c r="Q31" s="14">
        <v>55.5</v>
      </c>
      <c r="R31" s="16">
        <v>14.666666666666666</v>
      </c>
      <c r="S31" s="15">
        <v>23.666666666666668</v>
      </c>
      <c r="T31" s="18">
        <v>159</v>
      </c>
      <c r="U31" s="17">
        <v>585.12</v>
      </c>
      <c r="V31" s="14">
        <v>20.921052631578949</v>
      </c>
      <c r="W31" s="16">
        <v>167.2</v>
      </c>
      <c r="X31" s="15">
        <v>45</v>
      </c>
      <c r="Y31" s="18">
        <v>47</v>
      </c>
      <c r="Z31" s="17">
        <v>172.96</v>
      </c>
      <c r="AA31" s="14">
        <v>33.571428571428577</v>
      </c>
      <c r="AB31" s="16">
        <v>30.799999999999997</v>
      </c>
      <c r="AC31" s="15">
        <v>26</v>
      </c>
      <c r="AD31" s="19">
        <v>1604</v>
      </c>
      <c r="AE31" s="20">
        <v>5902.72</v>
      </c>
      <c r="AF31" s="21">
        <v>1421.9047619047619</v>
      </c>
      <c r="AG31" s="22">
        <v>10.619557937039517</v>
      </c>
      <c r="AH31" s="23">
        <v>1.0619557937039517</v>
      </c>
      <c r="AI31" s="26">
        <v>88.095238095238074</v>
      </c>
      <c r="AJ31" s="27">
        <v>710.95238095238096</v>
      </c>
      <c r="AK31" s="25">
        <v>622.85714285714289</v>
      </c>
      <c r="AL31" s="28">
        <v>94.375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1693</v>
      </c>
      <c r="F32" s="14">
        <v>7025.9500000000007</v>
      </c>
      <c r="G32" s="14">
        <v>7.8719776813391205</v>
      </c>
      <c r="H32" s="30">
        <v>4731.4666666666662</v>
      </c>
      <c r="I32" s="15">
        <v>-457.66666666666652</v>
      </c>
      <c r="J32" s="16">
        <v>2191</v>
      </c>
      <c r="K32" s="13">
        <v>9092.6500000000015</v>
      </c>
      <c r="L32" s="14">
        <v>12.336711711711713</v>
      </c>
      <c r="M32" s="30">
        <v>3907.2</v>
      </c>
      <c r="N32" s="15">
        <v>415</v>
      </c>
      <c r="O32" s="16">
        <v>160</v>
      </c>
      <c r="P32" s="17">
        <v>664</v>
      </c>
      <c r="Q32" s="14">
        <v>11.538461538461538</v>
      </c>
      <c r="R32" s="16">
        <v>305.06666666666666</v>
      </c>
      <c r="S32" s="15">
        <v>-117.33333333333337</v>
      </c>
      <c r="T32" s="18">
        <v>867</v>
      </c>
      <c r="U32" s="17">
        <v>3598.05</v>
      </c>
      <c r="V32" s="14">
        <v>10.547445255474452</v>
      </c>
      <c r="W32" s="16">
        <v>1808.4</v>
      </c>
      <c r="X32" s="15">
        <v>-366</v>
      </c>
      <c r="Y32" s="18">
        <v>289</v>
      </c>
      <c r="Z32" s="17">
        <v>1199.3500000000001</v>
      </c>
      <c r="AA32" s="14">
        <v>71.06557377049181</v>
      </c>
      <c r="AB32" s="16">
        <v>89.466666666666669</v>
      </c>
      <c r="AC32" s="15">
        <v>228</v>
      </c>
      <c r="AD32" s="19">
        <v>5200</v>
      </c>
      <c r="AE32" s="20">
        <v>21580.000000000004</v>
      </c>
      <c r="AF32" s="21">
        <v>5130.9523809523807</v>
      </c>
      <c r="AG32" s="22">
        <v>9.6141995359628769</v>
      </c>
      <c r="AH32" s="23">
        <v>0.96141995359628774</v>
      </c>
      <c r="AI32" s="26">
        <v>-197.95238095238074</v>
      </c>
      <c r="AJ32" s="27">
        <v>2565.4761904761904</v>
      </c>
      <c r="AK32" s="25">
        <v>2763.4285714285711</v>
      </c>
      <c r="AL32" s="28">
        <v>308.3125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1926</v>
      </c>
      <c r="F33" s="14">
        <v>7992.9000000000005</v>
      </c>
      <c r="G33" s="14">
        <v>4.5988538681948423</v>
      </c>
      <c r="H33" s="30">
        <v>9213.6</v>
      </c>
      <c r="I33" s="15">
        <v>-2262</v>
      </c>
      <c r="J33" s="16">
        <v>3671</v>
      </c>
      <c r="K33" s="13">
        <v>15234.650000000001</v>
      </c>
      <c r="L33" s="14">
        <v>14.19201030927835</v>
      </c>
      <c r="M33" s="30">
        <v>5690.666666666667</v>
      </c>
      <c r="N33" s="15">
        <v>1084.333333333333</v>
      </c>
      <c r="O33" s="16">
        <v>235</v>
      </c>
      <c r="P33" s="17">
        <v>975.25000000000011</v>
      </c>
      <c r="Q33" s="14">
        <v>11.710963455149502</v>
      </c>
      <c r="R33" s="16">
        <v>441.46666666666664</v>
      </c>
      <c r="S33" s="15">
        <v>-166.33333333333331</v>
      </c>
      <c r="T33" s="18">
        <v>1199</v>
      </c>
      <c r="U33" s="17">
        <v>4975.8500000000004</v>
      </c>
      <c r="V33" s="14">
        <v>11.448122215149587</v>
      </c>
      <c r="W33" s="16">
        <v>2304.1333333333332</v>
      </c>
      <c r="X33" s="15">
        <v>-372</v>
      </c>
      <c r="Y33" s="18">
        <v>82</v>
      </c>
      <c r="Z33" s="17">
        <v>340.3</v>
      </c>
      <c r="AA33" s="14">
        <v>7.0689655172413799</v>
      </c>
      <c r="AB33" s="16">
        <v>255.2</v>
      </c>
      <c r="AC33" s="15">
        <v>-92</v>
      </c>
      <c r="AD33" s="19">
        <v>7113</v>
      </c>
      <c r="AE33" s="20">
        <v>29518.95</v>
      </c>
      <c r="AF33" s="21">
        <v>8113.8095238095239</v>
      </c>
      <c r="AG33" s="22">
        <v>8.9131991314044257</v>
      </c>
      <c r="AH33" s="23">
        <v>0.89131991314044245</v>
      </c>
      <c r="AI33" s="26">
        <v>-881.80952380952385</v>
      </c>
      <c r="AJ33" s="27">
        <v>4056.9047619047619</v>
      </c>
      <c r="AK33" s="25">
        <v>4938.7142857142862</v>
      </c>
      <c r="AL33" s="28">
        <v>452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798</v>
      </c>
      <c r="F34" s="14">
        <v>3311.7000000000003</v>
      </c>
      <c r="G34" s="14">
        <v>13.449438202247189</v>
      </c>
      <c r="H34" s="30">
        <v>1305.3333333333335</v>
      </c>
      <c r="I34" s="15">
        <v>204.66666666666652</v>
      </c>
      <c r="J34" s="16">
        <v>336</v>
      </c>
      <c r="K34" s="13">
        <v>1394.4</v>
      </c>
      <c r="L34" s="14">
        <v>0</v>
      </c>
      <c r="M34" s="30">
        <v>0</v>
      </c>
      <c r="N34" s="15">
        <v>336</v>
      </c>
      <c r="O34" s="16">
        <v>0</v>
      </c>
      <c r="P34" s="17">
        <v>0</v>
      </c>
      <c r="Q34" s="14">
        <v>0</v>
      </c>
      <c r="R34" s="16">
        <v>46.93333333333333</v>
      </c>
      <c r="S34" s="15">
        <v>-42.666666666666664</v>
      </c>
      <c r="T34" s="18">
        <v>130</v>
      </c>
      <c r="U34" s="17">
        <v>539.5</v>
      </c>
      <c r="V34" s="14">
        <v>17.72727272727273</v>
      </c>
      <c r="W34" s="16">
        <v>161.33333333333331</v>
      </c>
      <c r="X34" s="15">
        <v>20.000000000000014</v>
      </c>
      <c r="Y34" s="18">
        <v>32</v>
      </c>
      <c r="Z34" s="17">
        <v>132.80000000000001</v>
      </c>
      <c r="AA34" s="14">
        <v>0</v>
      </c>
      <c r="AB34" s="16">
        <v>0</v>
      </c>
      <c r="AC34" s="15">
        <v>32</v>
      </c>
      <c r="AD34" s="19">
        <v>1296</v>
      </c>
      <c r="AE34" s="20">
        <v>5378.4000000000005</v>
      </c>
      <c r="AF34" s="31">
        <v>749.52380952380952</v>
      </c>
      <c r="AG34" s="22">
        <v>12.527954256670903</v>
      </c>
      <c r="AH34" s="23">
        <v>1.2527954256670901</v>
      </c>
      <c r="AI34" s="26">
        <v>189.47619047619048</v>
      </c>
      <c r="AJ34" s="27">
        <v>374.76190476190476</v>
      </c>
      <c r="AK34" s="25">
        <v>185.28571428571428</v>
      </c>
      <c r="AL34" s="28">
        <v>58.6875</v>
      </c>
    </row>
    <row r="35" spans="2:38" ht="15" customHeight="1" x14ac:dyDescent="0.25">
      <c r="B35" s="10">
        <v>131150</v>
      </c>
      <c r="C35" s="29" t="s">
        <v>56</v>
      </c>
      <c r="D35" s="12">
        <v>1.63</v>
      </c>
      <c r="E35" s="13">
        <v>3317</v>
      </c>
      <c r="F35" s="14">
        <v>5406.71</v>
      </c>
      <c r="G35" s="14">
        <v>7.6996285979572887</v>
      </c>
      <c r="H35" s="30">
        <v>9477.6</v>
      </c>
      <c r="I35" s="15">
        <v>-991</v>
      </c>
      <c r="J35" s="16">
        <v>620</v>
      </c>
      <c r="K35" s="13">
        <v>1010.5999999999999</v>
      </c>
      <c r="L35" s="14">
        <v>3.8525269262634629</v>
      </c>
      <c r="M35" s="30">
        <v>3540.5333333333333</v>
      </c>
      <c r="N35" s="15">
        <v>-989.33333333333348</v>
      </c>
      <c r="O35" s="16">
        <v>770</v>
      </c>
      <c r="P35" s="17">
        <v>1255.0999999999999</v>
      </c>
      <c r="Q35" s="14">
        <v>20.961887477313972</v>
      </c>
      <c r="R35" s="16">
        <v>808.13333333333333</v>
      </c>
      <c r="S35" s="15">
        <v>35.333333333333258</v>
      </c>
      <c r="T35" s="18">
        <v>371</v>
      </c>
      <c r="U35" s="17">
        <v>604.7299999999999</v>
      </c>
      <c r="V35" s="14">
        <v>8.5615384615384613</v>
      </c>
      <c r="W35" s="16">
        <v>953.33333333333337</v>
      </c>
      <c r="X35" s="15">
        <v>-279</v>
      </c>
      <c r="Y35" s="18">
        <v>295</v>
      </c>
      <c r="Z35" s="17">
        <v>480.84999999999997</v>
      </c>
      <c r="AA35" s="14">
        <v>23.412698412698415</v>
      </c>
      <c r="AB35" s="16">
        <v>277.2</v>
      </c>
      <c r="AC35" s="15">
        <v>106</v>
      </c>
      <c r="AD35" s="19">
        <v>5373</v>
      </c>
      <c r="AE35" s="20">
        <v>8757.99</v>
      </c>
      <c r="AF35" s="21">
        <v>7879.5238095238092</v>
      </c>
      <c r="AG35" s="22">
        <v>6.7745210612195566</v>
      </c>
      <c r="AH35" s="23">
        <v>0.67745210612195572</v>
      </c>
      <c r="AI35" s="26">
        <v>-2541.5238095238092</v>
      </c>
      <c r="AJ35" s="27">
        <v>3939.7619047619046</v>
      </c>
      <c r="AK35" s="25">
        <v>6481.2857142857138</v>
      </c>
      <c r="AL35" s="28">
        <v>98.851851851851848</v>
      </c>
    </row>
    <row r="36" spans="2:38" ht="15" customHeight="1" x14ac:dyDescent="0.25">
      <c r="B36" s="10">
        <v>131151</v>
      </c>
      <c r="C36" s="29" t="s">
        <v>57</v>
      </c>
      <c r="D36" s="12">
        <v>1.63</v>
      </c>
      <c r="E36" s="13">
        <v>4632</v>
      </c>
      <c r="F36" s="14">
        <v>7550.16</v>
      </c>
      <c r="G36" s="14">
        <v>7.399361022364217</v>
      </c>
      <c r="H36" s="30">
        <v>13772</v>
      </c>
      <c r="I36" s="15">
        <v>-1628</v>
      </c>
      <c r="J36" s="16">
        <v>3342</v>
      </c>
      <c r="K36" s="13">
        <v>5447.46</v>
      </c>
      <c r="L36" s="14">
        <v>14.726792009400702</v>
      </c>
      <c r="M36" s="30">
        <v>4992.5333333333338</v>
      </c>
      <c r="N36" s="15">
        <v>1072.6666666666665</v>
      </c>
      <c r="O36" s="16">
        <v>988</v>
      </c>
      <c r="P36" s="17">
        <v>1610.4399999999998</v>
      </c>
      <c r="Q36" s="14">
        <v>10.533049040511727</v>
      </c>
      <c r="R36" s="16">
        <v>2063.6</v>
      </c>
      <c r="S36" s="15">
        <v>-888</v>
      </c>
      <c r="T36" s="18">
        <v>968</v>
      </c>
      <c r="U36" s="17">
        <v>1577.84</v>
      </c>
      <c r="V36" s="14">
        <v>9.0977443609022544</v>
      </c>
      <c r="W36" s="16">
        <v>2340.8000000000002</v>
      </c>
      <c r="X36" s="15">
        <v>-628</v>
      </c>
      <c r="Y36" s="18">
        <v>317</v>
      </c>
      <c r="Z36" s="17">
        <v>516.70999999999992</v>
      </c>
      <c r="AA36" s="14">
        <v>13.903508771929824</v>
      </c>
      <c r="AB36" s="16">
        <v>501.6</v>
      </c>
      <c r="AC36" s="15">
        <v>-25</v>
      </c>
      <c r="AD36" s="19">
        <v>10247</v>
      </c>
      <c r="AE36" s="20">
        <v>16702.61</v>
      </c>
      <c r="AF36" s="21">
        <v>12737.142857142859</v>
      </c>
      <c r="AG36" s="22">
        <v>7.1366083445491251</v>
      </c>
      <c r="AH36" s="23">
        <v>0.71366083445491246</v>
      </c>
      <c r="AI36" s="26">
        <v>-3647.1428571428587</v>
      </c>
      <c r="AJ36" s="27">
        <v>6368.5714285714294</v>
      </c>
      <c r="AK36" s="25">
        <v>10015.714285714288</v>
      </c>
      <c r="AL36" s="28">
        <v>168.33333333333334</v>
      </c>
    </row>
    <row r="37" spans="2:38" ht="15" customHeight="1" x14ac:dyDescent="0.25">
      <c r="B37" s="10">
        <v>131152</v>
      </c>
      <c r="C37" s="29" t="s">
        <v>58</v>
      </c>
      <c r="D37" s="12">
        <v>1.63</v>
      </c>
      <c r="E37" s="13">
        <v>322</v>
      </c>
      <c r="F37" s="14">
        <v>524.86</v>
      </c>
      <c r="G37" s="14">
        <v>1.1922981979758085</v>
      </c>
      <c r="H37" s="30">
        <v>5941.4666666666662</v>
      </c>
      <c r="I37" s="15">
        <v>-2378.6666666666665</v>
      </c>
      <c r="J37" s="16">
        <v>2252</v>
      </c>
      <c r="K37" s="13">
        <v>3670.7599999999998</v>
      </c>
      <c r="L37" s="14">
        <v>17.017632241813601</v>
      </c>
      <c r="M37" s="30">
        <v>2911.3333333333335</v>
      </c>
      <c r="N37" s="15">
        <v>928.66666666666652</v>
      </c>
      <c r="O37" s="16">
        <v>479</v>
      </c>
      <c r="P37" s="17">
        <v>780.77</v>
      </c>
      <c r="Q37" s="14">
        <v>8.2681242807825086</v>
      </c>
      <c r="R37" s="16">
        <v>1274.5333333333333</v>
      </c>
      <c r="S37" s="15">
        <v>-679.66666666666652</v>
      </c>
      <c r="T37" s="18">
        <v>223</v>
      </c>
      <c r="U37" s="17">
        <v>363.48999999999995</v>
      </c>
      <c r="V37" s="14">
        <v>4.0693430656934311</v>
      </c>
      <c r="W37" s="16">
        <v>1205.5999999999999</v>
      </c>
      <c r="X37" s="15">
        <v>-599</v>
      </c>
      <c r="Y37" s="18">
        <v>0</v>
      </c>
      <c r="Z37" s="17">
        <v>0</v>
      </c>
      <c r="AA37" s="14">
        <v>0</v>
      </c>
      <c r="AB37" s="16">
        <v>360.79999999999995</v>
      </c>
      <c r="AC37" s="15">
        <v>-245.99999999999997</v>
      </c>
      <c r="AD37" s="19">
        <v>3276</v>
      </c>
      <c r="AE37" s="20">
        <v>5339.8799999999992</v>
      </c>
      <c r="AF37" s="21">
        <v>5291.9047619047615</v>
      </c>
      <c r="AG37" s="22">
        <v>6.1187798074327366</v>
      </c>
      <c r="AH37" s="23">
        <v>0.61187798074327371</v>
      </c>
      <c r="AI37" s="26">
        <v>-2053.9047619047615</v>
      </c>
      <c r="AJ37" s="27">
        <v>2645.9523809523807</v>
      </c>
      <c r="AK37" s="25">
        <v>4699.8571428571422</v>
      </c>
      <c r="AL37" s="28">
        <v>59.962962962962962</v>
      </c>
    </row>
    <row r="38" spans="2:38" ht="15" customHeight="1" x14ac:dyDescent="0.25">
      <c r="B38" s="10">
        <v>131153</v>
      </c>
      <c r="C38" s="29" t="s">
        <v>59</v>
      </c>
      <c r="D38" s="12">
        <v>1.63</v>
      </c>
      <c r="E38" s="13">
        <v>0</v>
      </c>
      <c r="F38" s="14">
        <v>0</v>
      </c>
      <c r="G38" s="14">
        <v>0</v>
      </c>
      <c r="H38" s="30">
        <v>4210.8</v>
      </c>
      <c r="I38" s="15">
        <v>-1914</v>
      </c>
      <c r="J38" s="16">
        <v>1507</v>
      </c>
      <c r="K38" s="13">
        <v>2456.41</v>
      </c>
      <c r="L38" s="14">
        <v>15.019933554817278</v>
      </c>
      <c r="M38" s="30">
        <v>2207.333333333333</v>
      </c>
      <c r="N38" s="15">
        <v>503.66666666666686</v>
      </c>
      <c r="O38" s="16">
        <v>145</v>
      </c>
      <c r="P38" s="17">
        <v>236.35</v>
      </c>
      <c r="Q38" s="14">
        <v>3.8908765652951702</v>
      </c>
      <c r="R38" s="16">
        <v>819.86666666666667</v>
      </c>
      <c r="S38" s="15">
        <v>-600.33333333333326</v>
      </c>
      <c r="T38" s="18">
        <v>364</v>
      </c>
      <c r="U38" s="17">
        <v>593.31999999999994</v>
      </c>
      <c r="V38" s="14">
        <v>10.985915492957746</v>
      </c>
      <c r="W38" s="16">
        <v>728.93333333333328</v>
      </c>
      <c r="X38" s="15">
        <v>-133</v>
      </c>
      <c r="Y38" s="18">
        <v>246</v>
      </c>
      <c r="Z38" s="17">
        <v>400.97999999999996</v>
      </c>
      <c r="AA38" s="14">
        <v>10.278551532033426</v>
      </c>
      <c r="AB38" s="16">
        <v>526.5333333333333</v>
      </c>
      <c r="AC38" s="15">
        <v>-113</v>
      </c>
      <c r="AD38" s="19">
        <v>2262</v>
      </c>
      <c r="AE38" s="20">
        <v>3687.06</v>
      </c>
      <c r="AF38" s="21">
        <v>4018.5714285714284</v>
      </c>
      <c r="AG38" s="22">
        <v>8.9384998222538226</v>
      </c>
      <c r="AH38" s="23">
        <v>0.89384998222538214</v>
      </c>
      <c r="AI38" s="26">
        <v>-426.57142857142844</v>
      </c>
      <c r="AJ38" s="27">
        <v>2009.2857142857142</v>
      </c>
      <c r="AK38" s="25">
        <v>2435.8571428571427</v>
      </c>
      <c r="AL38" s="28">
        <v>66.518518518518519</v>
      </c>
    </row>
    <row r="39" spans="2:38" ht="15" customHeight="1" x14ac:dyDescent="0.25">
      <c r="B39" s="10">
        <v>131154</v>
      </c>
      <c r="C39" s="29" t="s">
        <v>60</v>
      </c>
      <c r="D39" s="12">
        <v>1.63</v>
      </c>
      <c r="E39" s="13">
        <v>1669</v>
      </c>
      <c r="F39" s="14">
        <v>2720.47</v>
      </c>
      <c r="G39" s="14">
        <v>17.617874736101339</v>
      </c>
      <c r="H39" s="30">
        <v>2084.1333333333332</v>
      </c>
      <c r="I39" s="15">
        <v>721.66666666666663</v>
      </c>
      <c r="J39" s="16">
        <v>3625</v>
      </c>
      <c r="K39" s="13">
        <v>5908.75</v>
      </c>
      <c r="L39" s="14">
        <v>64.121462264150949</v>
      </c>
      <c r="M39" s="30">
        <v>1243.7333333333333</v>
      </c>
      <c r="N39" s="15">
        <v>3059.666666666667</v>
      </c>
      <c r="O39" s="16">
        <v>198</v>
      </c>
      <c r="P39" s="17">
        <v>322.73999999999995</v>
      </c>
      <c r="Q39" s="14">
        <v>6.2790697674418601</v>
      </c>
      <c r="R39" s="16">
        <v>693.73333333333335</v>
      </c>
      <c r="S39" s="15">
        <v>-432.66666666666674</v>
      </c>
      <c r="T39" s="18">
        <v>515</v>
      </c>
      <c r="U39" s="17">
        <v>839.44999999999993</v>
      </c>
      <c r="V39" s="14">
        <v>9.9935316946959905</v>
      </c>
      <c r="W39" s="16">
        <v>1133.7333333333333</v>
      </c>
      <c r="X39" s="15">
        <v>-258</v>
      </c>
      <c r="Y39" s="18">
        <v>450</v>
      </c>
      <c r="Z39" s="17">
        <v>733.5</v>
      </c>
      <c r="AA39" s="14">
        <v>99.264705882352942</v>
      </c>
      <c r="AB39" s="16">
        <v>99.733333333333334</v>
      </c>
      <c r="AC39" s="15">
        <v>382</v>
      </c>
      <c r="AD39" s="19">
        <v>6457</v>
      </c>
      <c r="AE39" s="20">
        <v>10524.91</v>
      </c>
      <c r="AF39" s="21">
        <v>760.95238095238096</v>
      </c>
      <c r="AG39" s="22">
        <v>118.11514392991238</v>
      </c>
      <c r="AH39" s="23">
        <v>11.811514392991239</v>
      </c>
      <c r="AI39" s="26">
        <v>8227.0476190476184</v>
      </c>
      <c r="AJ39" s="27">
        <v>380.47619047619048</v>
      </c>
      <c r="AK39" s="25">
        <v>-7846.5714285714275</v>
      </c>
      <c r="AL39" s="28">
        <v>166.44444444444446</v>
      </c>
    </row>
    <row r="40" spans="2:38" ht="15" customHeight="1" x14ac:dyDescent="0.25">
      <c r="B40" s="10">
        <v>131155</v>
      </c>
      <c r="C40" s="29" t="s">
        <v>61</v>
      </c>
      <c r="D40" s="12">
        <v>1.63</v>
      </c>
      <c r="E40" s="13">
        <v>1305</v>
      </c>
      <c r="F40" s="14">
        <v>2127.1499999999996</v>
      </c>
      <c r="G40" s="14">
        <v>10.690879300928454</v>
      </c>
      <c r="H40" s="30">
        <v>2685.4666666666667</v>
      </c>
      <c r="I40" s="15">
        <v>84.333333333333485</v>
      </c>
      <c r="J40" s="16">
        <v>3582</v>
      </c>
      <c r="K40" s="13">
        <v>5838.66</v>
      </c>
      <c r="L40" s="14">
        <v>52.114451988360813</v>
      </c>
      <c r="M40" s="30">
        <v>1512.1333333333334</v>
      </c>
      <c r="N40" s="15">
        <v>2894.6666666666665</v>
      </c>
      <c r="O40" s="16">
        <v>89</v>
      </c>
      <c r="P40" s="17">
        <v>145.07</v>
      </c>
      <c r="Q40" s="14">
        <v>2.2361809045226133</v>
      </c>
      <c r="R40" s="16">
        <v>875.59999999999991</v>
      </c>
      <c r="S40" s="15">
        <v>-707</v>
      </c>
      <c r="T40" s="18">
        <v>374</v>
      </c>
      <c r="U40" s="17">
        <v>609.62</v>
      </c>
      <c r="V40" s="14">
        <v>5.9302325581395348</v>
      </c>
      <c r="W40" s="16">
        <v>1387.4666666666667</v>
      </c>
      <c r="X40" s="15">
        <v>-572</v>
      </c>
      <c r="Y40" s="18">
        <v>466</v>
      </c>
      <c r="Z40" s="17">
        <v>759.57999999999993</v>
      </c>
      <c r="AA40" s="14">
        <v>110.95238095238095</v>
      </c>
      <c r="AB40" s="16">
        <v>92.4</v>
      </c>
      <c r="AC40" s="15">
        <v>403</v>
      </c>
      <c r="AD40" s="19">
        <v>5816</v>
      </c>
      <c r="AE40" s="20">
        <v>9480.08</v>
      </c>
      <c r="AF40" s="21">
        <v>720.95238095238096</v>
      </c>
      <c r="AG40" s="22">
        <v>122.01915455746366</v>
      </c>
      <c r="AH40" s="23">
        <v>12.201915455746366</v>
      </c>
      <c r="AI40" s="26">
        <v>8076.0476190476193</v>
      </c>
      <c r="AJ40" s="27">
        <v>360.47619047619048</v>
      </c>
      <c r="AK40" s="25">
        <v>-7715.5714285714284</v>
      </c>
      <c r="AL40" s="28">
        <v>162.90740740740742</v>
      </c>
    </row>
    <row r="41" spans="2:38" ht="15" customHeight="1" x14ac:dyDescent="0.25">
      <c r="B41" s="10">
        <v>131700</v>
      </c>
      <c r="C41" s="29" t="s">
        <v>62</v>
      </c>
      <c r="D41" s="12">
        <v>6.15</v>
      </c>
      <c r="E41" s="13">
        <v>161</v>
      </c>
      <c r="F41" s="14">
        <v>990.15000000000009</v>
      </c>
      <c r="G41" s="14">
        <v>2.4320241691842899</v>
      </c>
      <c r="H41" s="30">
        <v>1456.4</v>
      </c>
      <c r="I41" s="15">
        <v>-501</v>
      </c>
      <c r="J41" s="16">
        <v>726</v>
      </c>
      <c r="K41" s="13">
        <v>4464.9000000000005</v>
      </c>
      <c r="L41" s="14">
        <v>20.625</v>
      </c>
      <c r="M41" s="30">
        <v>774.40000000000009</v>
      </c>
      <c r="N41" s="15">
        <v>374</v>
      </c>
      <c r="O41" s="16">
        <v>50</v>
      </c>
      <c r="P41" s="17">
        <v>307.5</v>
      </c>
      <c r="Q41" s="14">
        <v>9.375</v>
      </c>
      <c r="R41" s="16">
        <v>117.33333333333333</v>
      </c>
      <c r="S41" s="15">
        <v>-56.666666666666657</v>
      </c>
      <c r="T41" s="18">
        <v>160</v>
      </c>
      <c r="U41" s="17">
        <v>984</v>
      </c>
      <c r="V41" s="14">
        <v>15.789473684210527</v>
      </c>
      <c r="W41" s="16">
        <v>222.93333333333334</v>
      </c>
      <c r="X41" s="15">
        <v>8</v>
      </c>
      <c r="Y41" s="18">
        <v>17</v>
      </c>
      <c r="Z41" s="17">
        <v>104.55000000000001</v>
      </c>
      <c r="AA41" s="14">
        <v>3.9230769230769234</v>
      </c>
      <c r="AB41" s="16">
        <v>95.333333333333329</v>
      </c>
      <c r="AC41" s="15">
        <v>-48</v>
      </c>
      <c r="AD41" s="19">
        <v>1114</v>
      </c>
      <c r="AE41" s="20">
        <v>6851.1</v>
      </c>
      <c r="AF41" s="21">
        <v>1278.5714285714287</v>
      </c>
      <c r="AG41" s="22">
        <v>10.50391061452514</v>
      </c>
      <c r="AH41" s="23">
        <v>1.0503910614525138</v>
      </c>
      <c r="AI41" s="26">
        <v>64.428571428571331</v>
      </c>
      <c r="AJ41" s="27">
        <v>639.28571428571433</v>
      </c>
      <c r="AK41" s="25">
        <v>574.857142857143</v>
      </c>
      <c r="AL41" s="28">
        <v>24.87037037037037</v>
      </c>
    </row>
    <row r="42" spans="2:38" ht="15" customHeight="1" x14ac:dyDescent="0.25">
      <c r="B42" s="10">
        <v>131701</v>
      </c>
      <c r="C42" s="29" t="s">
        <v>63</v>
      </c>
      <c r="D42" s="12">
        <v>6.15</v>
      </c>
      <c r="E42" s="13">
        <v>0</v>
      </c>
      <c r="F42" s="14">
        <v>0</v>
      </c>
      <c r="G42" s="14">
        <v>0</v>
      </c>
      <c r="H42" s="30">
        <v>1509.1999999999998</v>
      </c>
      <c r="I42" s="15">
        <v>-686</v>
      </c>
      <c r="J42" s="16">
        <v>744</v>
      </c>
      <c r="K42" s="13">
        <v>4575.6000000000004</v>
      </c>
      <c r="L42" s="14">
        <v>20.62846580406654</v>
      </c>
      <c r="M42" s="30">
        <v>793.4666666666667</v>
      </c>
      <c r="N42" s="15">
        <v>383.33333333333331</v>
      </c>
      <c r="O42" s="16">
        <v>58</v>
      </c>
      <c r="P42" s="17">
        <v>356.70000000000005</v>
      </c>
      <c r="Q42" s="14">
        <v>8.2075471698113205</v>
      </c>
      <c r="R42" s="16">
        <v>155.46666666666667</v>
      </c>
      <c r="S42" s="15">
        <v>-83.333333333333314</v>
      </c>
      <c r="T42" s="18">
        <v>200</v>
      </c>
      <c r="U42" s="17">
        <v>1230</v>
      </c>
      <c r="V42" s="14">
        <v>12.295081967213115</v>
      </c>
      <c r="W42" s="16">
        <v>357.86666666666667</v>
      </c>
      <c r="X42" s="15">
        <v>-44</v>
      </c>
      <c r="Y42" s="18">
        <v>84</v>
      </c>
      <c r="Z42" s="17">
        <v>516.6</v>
      </c>
      <c r="AA42" s="14">
        <v>22.105263157894736</v>
      </c>
      <c r="AB42" s="16">
        <v>83.6</v>
      </c>
      <c r="AC42" s="15">
        <v>27</v>
      </c>
      <c r="AD42" s="19">
        <v>1086</v>
      </c>
      <c r="AE42" s="20">
        <v>6678.9000000000005</v>
      </c>
      <c r="AF42" s="21">
        <v>1433.3333333333335</v>
      </c>
      <c r="AG42" s="22">
        <v>4.2488372093023257</v>
      </c>
      <c r="AH42" s="23">
        <v>0.42488372093023252</v>
      </c>
      <c r="AI42" s="26">
        <v>-824.33333333333348</v>
      </c>
      <c r="AJ42" s="27">
        <v>716.66666666666674</v>
      </c>
      <c r="AK42" s="25">
        <v>1541.0000000000002</v>
      </c>
      <c r="AL42" s="28">
        <v>11.277777777777779</v>
      </c>
    </row>
    <row r="43" spans="2:38" ht="15" customHeight="1" x14ac:dyDescent="0.25">
      <c r="B43" s="10">
        <v>132150</v>
      </c>
      <c r="C43" s="29" t="s">
        <v>64</v>
      </c>
      <c r="D43" s="12">
        <v>1.1599999999999999</v>
      </c>
      <c r="E43" s="13">
        <v>2276</v>
      </c>
      <c r="F43" s="14">
        <v>2640.16</v>
      </c>
      <c r="G43" s="14">
        <v>7.3214668668239327</v>
      </c>
      <c r="H43" s="30">
        <v>6839.0666666666666</v>
      </c>
      <c r="I43" s="15">
        <v>-832.66666666666697</v>
      </c>
      <c r="J43" s="16">
        <v>3566</v>
      </c>
      <c r="K43" s="13">
        <v>4136.5599999999995</v>
      </c>
      <c r="L43" s="14">
        <v>15.788075560802833</v>
      </c>
      <c r="M43" s="30">
        <v>4969.0666666666666</v>
      </c>
      <c r="N43" s="15">
        <v>1307.333333333333</v>
      </c>
      <c r="O43" s="16">
        <v>833</v>
      </c>
      <c r="P43" s="17">
        <v>966.28</v>
      </c>
      <c r="Q43" s="14">
        <v>17.850000000000005</v>
      </c>
      <c r="R43" s="16">
        <v>1026.6666666666665</v>
      </c>
      <c r="S43" s="15">
        <v>-100.33333333333314</v>
      </c>
      <c r="T43" s="18">
        <v>1125</v>
      </c>
      <c r="U43" s="17">
        <v>1305</v>
      </c>
      <c r="V43" s="14">
        <v>9.7543352601156084</v>
      </c>
      <c r="W43" s="16">
        <v>2537.333333333333</v>
      </c>
      <c r="X43" s="15">
        <v>-604.99999999999977</v>
      </c>
      <c r="Y43" s="18">
        <v>197</v>
      </c>
      <c r="Z43" s="17">
        <v>228.51999999999998</v>
      </c>
      <c r="AA43" s="14">
        <v>7.7559055118110241</v>
      </c>
      <c r="AB43" s="16">
        <v>558.79999999999995</v>
      </c>
      <c r="AC43" s="15">
        <v>-184</v>
      </c>
      <c r="AD43" s="19">
        <v>7997</v>
      </c>
      <c r="AE43" s="20">
        <v>9276.5199999999986</v>
      </c>
      <c r="AF43" s="21">
        <v>6521.9047619047615</v>
      </c>
      <c r="AG43" s="22">
        <v>13.462324766355142</v>
      </c>
      <c r="AH43" s="23">
        <v>1.346232476635514</v>
      </c>
      <c r="AI43" s="26">
        <v>2258.0952380952385</v>
      </c>
      <c r="AJ43" s="27">
        <v>3260.9523809523807</v>
      </c>
      <c r="AK43" s="25">
        <v>1002.8571428571422</v>
      </c>
      <c r="AL43" s="28">
        <v>162.59259259259258</v>
      </c>
    </row>
    <row r="44" spans="2:38" ht="15" customHeight="1" x14ac:dyDescent="0.25">
      <c r="B44" s="10">
        <v>132151</v>
      </c>
      <c r="C44" s="29" t="s">
        <v>65</v>
      </c>
      <c r="D44" s="12">
        <v>1.1599999999999999</v>
      </c>
      <c r="E44" s="13">
        <v>2097</v>
      </c>
      <c r="F44" s="14">
        <v>2432.52</v>
      </c>
      <c r="G44" s="14">
        <v>7.5612980769230775</v>
      </c>
      <c r="H44" s="30">
        <v>6101.333333333333</v>
      </c>
      <c r="I44" s="15">
        <v>-676.33333333333303</v>
      </c>
      <c r="J44" s="16">
        <v>3394</v>
      </c>
      <c r="K44" s="13">
        <v>3937.0399999999995</v>
      </c>
      <c r="L44" s="14">
        <v>18.485838779956428</v>
      </c>
      <c r="M44" s="30">
        <v>4039.2</v>
      </c>
      <c r="N44" s="15">
        <v>1558</v>
      </c>
      <c r="O44" s="16">
        <v>633</v>
      </c>
      <c r="P44" s="17">
        <v>734.28</v>
      </c>
      <c r="Q44" s="14">
        <v>22.879518072289152</v>
      </c>
      <c r="R44" s="16">
        <v>608.66666666666674</v>
      </c>
      <c r="S44" s="15">
        <v>79.666666666666515</v>
      </c>
      <c r="T44" s="18">
        <v>1206</v>
      </c>
      <c r="U44" s="17">
        <v>1398.9599999999998</v>
      </c>
      <c r="V44" s="14">
        <v>20.234899328859061</v>
      </c>
      <c r="W44" s="16">
        <v>1311.2</v>
      </c>
      <c r="X44" s="15">
        <v>312</v>
      </c>
      <c r="Y44" s="18">
        <v>299</v>
      </c>
      <c r="Z44" s="17">
        <v>346.84</v>
      </c>
      <c r="AA44" s="14">
        <v>12.705382436260622</v>
      </c>
      <c r="AB44" s="16">
        <v>517.73333333333335</v>
      </c>
      <c r="AC44" s="15">
        <v>-54</v>
      </c>
      <c r="AD44" s="19">
        <v>7629</v>
      </c>
      <c r="AE44" s="20">
        <v>8849.64</v>
      </c>
      <c r="AF44" s="21">
        <v>6290.4761904761908</v>
      </c>
      <c r="AG44" s="22">
        <v>10.854504163512491</v>
      </c>
      <c r="AH44" s="23">
        <v>1.0854504163512491</v>
      </c>
      <c r="AI44" s="26">
        <v>537.52380952380918</v>
      </c>
      <c r="AJ44" s="27">
        <v>3145.2380952380954</v>
      </c>
      <c r="AK44" s="25">
        <v>2607.7142857142862</v>
      </c>
      <c r="AL44" s="28">
        <v>126.44444444444444</v>
      </c>
    </row>
    <row r="45" spans="2:38" ht="15" customHeight="1" x14ac:dyDescent="0.25">
      <c r="B45" s="10">
        <v>132152</v>
      </c>
      <c r="C45" s="29" t="s">
        <v>66</v>
      </c>
      <c r="D45" s="12">
        <v>1.1599999999999999</v>
      </c>
      <c r="E45" s="13">
        <v>2307</v>
      </c>
      <c r="F45" s="14">
        <v>2676.12</v>
      </c>
      <c r="G45" s="14">
        <v>6.3425586510263923</v>
      </c>
      <c r="H45" s="30">
        <v>8002.1333333333332</v>
      </c>
      <c r="I45" s="15">
        <v>-1330.3333333333335</v>
      </c>
      <c r="J45" s="16">
        <v>3431</v>
      </c>
      <c r="K45" s="13">
        <v>3979.9599999999996</v>
      </c>
      <c r="L45" s="14">
        <v>13.845843422114609</v>
      </c>
      <c r="M45" s="30">
        <v>5451.6</v>
      </c>
      <c r="N45" s="15">
        <v>953</v>
      </c>
      <c r="O45" s="16">
        <v>911</v>
      </c>
      <c r="P45" s="17">
        <v>1056.76</v>
      </c>
      <c r="Q45" s="14">
        <v>22.075928917609048</v>
      </c>
      <c r="R45" s="16">
        <v>907.86666666666667</v>
      </c>
      <c r="S45" s="15">
        <v>85.666666666666742</v>
      </c>
      <c r="T45" s="18">
        <v>1192</v>
      </c>
      <c r="U45" s="17">
        <v>1382.7199999999998</v>
      </c>
      <c r="V45" s="14">
        <v>13.303571428571429</v>
      </c>
      <c r="W45" s="16">
        <v>1971.1999999999998</v>
      </c>
      <c r="X45" s="15">
        <v>-152</v>
      </c>
      <c r="Y45" s="18">
        <v>216</v>
      </c>
      <c r="Z45" s="17">
        <v>250.55999999999997</v>
      </c>
      <c r="AA45" s="14">
        <v>8.8283378746594003</v>
      </c>
      <c r="AB45" s="16">
        <v>538.26666666666665</v>
      </c>
      <c r="AC45" s="15">
        <v>-151</v>
      </c>
      <c r="AD45" s="19">
        <v>8057</v>
      </c>
      <c r="AE45" s="20">
        <v>9346.119999999999</v>
      </c>
      <c r="AF45" s="21">
        <v>8521.9047619047615</v>
      </c>
      <c r="AG45" s="22">
        <v>9.785371032632991</v>
      </c>
      <c r="AH45" s="23">
        <v>0.97853710326329912</v>
      </c>
      <c r="AI45" s="26">
        <v>-182.90476190476147</v>
      </c>
      <c r="AJ45" s="27">
        <v>4260.9523809523807</v>
      </c>
      <c r="AK45" s="25">
        <v>4443.8571428571422</v>
      </c>
      <c r="AL45" s="28">
        <v>154.42592592592592</v>
      </c>
    </row>
    <row r="46" spans="2:38" ht="15" customHeight="1" x14ac:dyDescent="0.25">
      <c r="B46" s="10">
        <v>132153</v>
      </c>
      <c r="C46" s="29" t="s">
        <v>67</v>
      </c>
      <c r="D46" s="12">
        <v>1.1599999999999999</v>
      </c>
      <c r="E46" s="13">
        <v>1392</v>
      </c>
      <c r="F46" s="14">
        <v>1614.7199999999998</v>
      </c>
      <c r="G46" s="14">
        <v>5.225225225225226</v>
      </c>
      <c r="H46" s="30">
        <v>5860.7999999999993</v>
      </c>
      <c r="I46" s="15">
        <v>-1272</v>
      </c>
      <c r="J46" s="16">
        <v>4768</v>
      </c>
      <c r="K46" s="13">
        <v>5530.8799999999992</v>
      </c>
      <c r="L46" s="14">
        <v>32.332730560578661</v>
      </c>
      <c r="M46" s="30">
        <v>3244.2666666666669</v>
      </c>
      <c r="N46" s="15">
        <v>3293.333333333333</v>
      </c>
      <c r="O46" s="16">
        <v>646</v>
      </c>
      <c r="P46" s="17">
        <v>749.3599999999999</v>
      </c>
      <c r="Q46" s="14">
        <v>27.528409090909093</v>
      </c>
      <c r="R46" s="16">
        <v>516.26666666666665</v>
      </c>
      <c r="S46" s="15">
        <v>176.66666666666669</v>
      </c>
      <c r="T46" s="18">
        <v>800</v>
      </c>
      <c r="U46" s="17">
        <v>927.99999999999989</v>
      </c>
      <c r="V46" s="14">
        <v>20.689655172413794</v>
      </c>
      <c r="W46" s="16">
        <v>850.66666666666663</v>
      </c>
      <c r="X46" s="15">
        <v>220</v>
      </c>
      <c r="Y46" s="18">
        <v>82</v>
      </c>
      <c r="Z46" s="17">
        <v>95.11999999999999</v>
      </c>
      <c r="AA46" s="14">
        <v>3.5860058309037899</v>
      </c>
      <c r="AB46" s="16">
        <v>503.06666666666666</v>
      </c>
      <c r="AC46" s="15">
        <v>-261</v>
      </c>
      <c r="AD46" s="19">
        <v>7688</v>
      </c>
      <c r="AE46" s="20">
        <v>8918.08</v>
      </c>
      <c r="AF46" s="21">
        <v>5790</v>
      </c>
      <c r="AG46" s="22">
        <v>10.768566493955095</v>
      </c>
      <c r="AH46" s="23">
        <v>1.0768566493955094</v>
      </c>
      <c r="AI46" s="26">
        <v>445</v>
      </c>
      <c r="AJ46" s="27">
        <v>2895</v>
      </c>
      <c r="AK46" s="25">
        <v>2450</v>
      </c>
      <c r="AL46" s="28">
        <v>115.46296296296296</v>
      </c>
    </row>
    <row r="47" spans="2:38" ht="15" customHeight="1" x14ac:dyDescent="0.25">
      <c r="B47" s="10">
        <v>134000</v>
      </c>
      <c r="C47" s="29" t="s">
        <v>68</v>
      </c>
      <c r="D47" s="12">
        <v>18</v>
      </c>
      <c r="E47" s="13"/>
      <c r="F47" s="14">
        <v>0</v>
      </c>
      <c r="G47" s="14">
        <v>0</v>
      </c>
      <c r="H47" s="30">
        <v>0</v>
      </c>
      <c r="I47" s="15">
        <v>0</v>
      </c>
      <c r="J47" s="16">
        <v>3</v>
      </c>
      <c r="K47" s="13">
        <v>54</v>
      </c>
      <c r="L47" s="14">
        <v>1.125</v>
      </c>
      <c r="M47" s="30">
        <v>58.666666666666664</v>
      </c>
      <c r="N47" s="15">
        <v>-23.666666666666664</v>
      </c>
      <c r="O47" s="16">
        <v>0</v>
      </c>
      <c r="P47" s="17">
        <v>0</v>
      </c>
      <c r="Q47" s="14">
        <v>0</v>
      </c>
      <c r="R47" s="16">
        <v>0</v>
      </c>
      <c r="S47" s="15">
        <v>0</v>
      </c>
      <c r="T47" s="18">
        <v>5</v>
      </c>
      <c r="U47" s="17">
        <v>90</v>
      </c>
      <c r="V47" s="14">
        <v>5</v>
      </c>
      <c r="W47" s="16">
        <v>22</v>
      </c>
      <c r="X47" s="15">
        <v>-10</v>
      </c>
      <c r="Y47" s="18">
        <v>0</v>
      </c>
      <c r="Z47" s="17">
        <v>0</v>
      </c>
      <c r="AA47" s="14">
        <v>0</v>
      </c>
      <c r="AB47" s="16">
        <v>0</v>
      </c>
      <c r="AC47" s="15">
        <v>0</v>
      </c>
      <c r="AD47" s="19">
        <v>8</v>
      </c>
      <c r="AE47" s="20">
        <v>144</v>
      </c>
      <c r="AF47" s="31">
        <v>24.761904761904763</v>
      </c>
      <c r="AG47" s="22">
        <v>6.865384615384615</v>
      </c>
      <c r="AH47" s="23">
        <v>0.68653846153846154</v>
      </c>
      <c r="AI47" s="26">
        <v>-7.7619047619047628</v>
      </c>
      <c r="AJ47" s="27">
        <v>12.380952380952381</v>
      </c>
      <c r="AK47" s="25">
        <v>20.142857142857146</v>
      </c>
      <c r="AL47" s="28">
        <v>8.5</v>
      </c>
    </row>
    <row r="48" spans="2:38" ht="15" customHeight="1" x14ac:dyDescent="0.25">
      <c r="B48" s="10">
        <v>134001</v>
      </c>
      <c r="C48" s="29" t="s">
        <v>69</v>
      </c>
      <c r="D48" s="12">
        <v>18</v>
      </c>
      <c r="E48" s="13"/>
      <c r="F48" s="14">
        <v>0</v>
      </c>
      <c r="G48" s="14">
        <v>0</v>
      </c>
      <c r="H48" s="30">
        <v>0</v>
      </c>
      <c r="I48" s="15">
        <v>0</v>
      </c>
      <c r="J48" s="16">
        <v>10</v>
      </c>
      <c r="K48" s="13">
        <v>180</v>
      </c>
      <c r="L48" s="14">
        <v>21.428571428571427</v>
      </c>
      <c r="M48" s="30">
        <v>10.266666666666667</v>
      </c>
      <c r="N48" s="15">
        <v>5.333333333333333</v>
      </c>
      <c r="O48" s="16">
        <v>0</v>
      </c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10</v>
      </c>
      <c r="AE48" s="20">
        <v>180</v>
      </c>
      <c r="AF48" s="31">
        <v>4.2857142857142856</v>
      </c>
      <c r="AG48" s="22">
        <v>0</v>
      </c>
      <c r="AH48" s="23">
        <v>0</v>
      </c>
      <c r="AI48" s="26">
        <v>-3.2857142857142856</v>
      </c>
      <c r="AJ48" s="27">
        <v>2.1428571428571428</v>
      </c>
      <c r="AK48" s="25">
        <v>5.4285714285714288</v>
      </c>
      <c r="AL48" s="28">
        <v>0.5</v>
      </c>
    </row>
    <row r="49" spans="2:39" ht="15" customHeight="1" x14ac:dyDescent="0.25">
      <c r="B49" s="10">
        <v>140230</v>
      </c>
      <c r="C49" s="29" t="s">
        <v>70</v>
      </c>
      <c r="D49" s="12">
        <v>1.1599999999999999</v>
      </c>
      <c r="E49" s="13">
        <v>350</v>
      </c>
      <c r="F49" s="14">
        <v>406</v>
      </c>
      <c r="G49" s="14">
        <v>6.7917205692108666</v>
      </c>
      <c r="H49" s="30">
        <v>1133.7333333333333</v>
      </c>
      <c r="I49" s="15">
        <v>-165.33333333333326</v>
      </c>
      <c r="J49" s="16">
        <v>140</v>
      </c>
      <c r="K49" s="13">
        <v>162.39999999999998</v>
      </c>
      <c r="L49" s="14">
        <v>2.1806853582554515</v>
      </c>
      <c r="M49" s="30">
        <v>1412.4</v>
      </c>
      <c r="N49" s="15">
        <v>-502</v>
      </c>
      <c r="O49" s="16">
        <v>78</v>
      </c>
      <c r="P49" s="17">
        <v>90.47999999999999</v>
      </c>
      <c r="Q49" s="14">
        <v>11.699999999999998</v>
      </c>
      <c r="R49" s="16">
        <v>146.66666666666669</v>
      </c>
      <c r="S49" s="15">
        <v>-55.333333333333371</v>
      </c>
      <c r="T49" s="18">
        <v>41</v>
      </c>
      <c r="U49" s="17">
        <v>47.559999999999995</v>
      </c>
      <c r="V49" s="14">
        <v>3.1701030927835046</v>
      </c>
      <c r="W49" s="16">
        <v>284.53333333333336</v>
      </c>
      <c r="X49" s="15">
        <v>-153.00000000000003</v>
      </c>
      <c r="Y49" s="18">
        <v>50</v>
      </c>
      <c r="Z49" s="17">
        <v>57.999999999999993</v>
      </c>
      <c r="AA49" s="14">
        <v>11.71875</v>
      </c>
      <c r="AB49" s="16">
        <v>93.86666666666666</v>
      </c>
      <c r="AC49" s="15">
        <v>-14</v>
      </c>
      <c r="AD49" s="19">
        <v>659</v>
      </c>
      <c r="AE49" s="20">
        <v>764.43999999999994</v>
      </c>
      <c r="AF49" s="21">
        <v>1371.4285714285713</v>
      </c>
      <c r="AG49" s="22">
        <v>15.655208333333334</v>
      </c>
      <c r="AH49" s="23">
        <v>1.5655208333333335</v>
      </c>
      <c r="AI49" s="26">
        <v>775.57142857142867</v>
      </c>
      <c r="AJ49" s="27">
        <v>685.71428571428567</v>
      </c>
      <c r="AK49" s="25">
        <v>-89.857142857143003</v>
      </c>
      <c r="AL49" s="28">
        <v>53.674999999999997</v>
      </c>
    </row>
    <row r="50" spans="2:39" ht="15" customHeight="1" x14ac:dyDescent="0.25">
      <c r="B50" s="10">
        <v>140231</v>
      </c>
      <c r="C50" s="29" t="s">
        <v>71</v>
      </c>
      <c r="D50" s="12">
        <v>1.1599999999999999</v>
      </c>
      <c r="E50" s="13">
        <v>1719</v>
      </c>
      <c r="F50" s="14">
        <v>1994.04</v>
      </c>
      <c r="G50" s="14">
        <v>6.2936294849890162</v>
      </c>
      <c r="H50" s="30">
        <v>6008.9333333333334</v>
      </c>
      <c r="I50" s="15">
        <v>-1012.333333333333</v>
      </c>
      <c r="J50" s="16">
        <v>1211</v>
      </c>
      <c r="K50" s="13">
        <v>1404.76</v>
      </c>
      <c r="L50" s="14">
        <v>6.5388768898488125</v>
      </c>
      <c r="M50" s="30">
        <v>4074.3999999999996</v>
      </c>
      <c r="N50" s="15">
        <v>-641</v>
      </c>
      <c r="O50" s="16">
        <v>320</v>
      </c>
      <c r="P50" s="17">
        <v>371.2</v>
      </c>
      <c r="Q50" s="14">
        <v>7.6555023923444985</v>
      </c>
      <c r="R50" s="16">
        <v>919.59999999999991</v>
      </c>
      <c r="S50" s="15">
        <v>-516</v>
      </c>
      <c r="T50" s="18">
        <v>958</v>
      </c>
      <c r="U50" s="17">
        <v>1111.28</v>
      </c>
      <c r="V50" s="14">
        <v>38.733153638814017</v>
      </c>
      <c r="W50" s="16">
        <v>544.13333333333333</v>
      </c>
      <c r="X50" s="15">
        <v>587</v>
      </c>
      <c r="Y50" s="18">
        <v>91</v>
      </c>
      <c r="Z50" s="17">
        <v>105.55999999999999</v>
      </c>
      <c r="AA50" s="14">
        <v>8.8636363636363633</v>
      </c>
      <c r="AB50" s="16">
        <v>225.86666666666667</v>
      </c>
      <c r="AC50" s="15">
        <v>-63</v>
      </c>
      <c r="AD50" s="19">
        <v>4299</v>
      </c>
      <c r="AE50" s="20">
        <v>4986.8399999999992</v>
      </c>
      <c r="AF50" s="21">
        <v>5544.2857142857147</v>
      </c>
      <c r="AG50" s="22">
        <v>6.8863694923988659</v>
      </c>
      <c r="AH50" s="23">
        <v>0.68863694923988661</v>
      </c>
      <c r="AI50" s="26">
        <v>-1726.2857142857147</v>
      </c>
      <c r="AJ50" s="27">
        <v>2772.1428571428573</v>
      </c>
      <c r="AK50" s="25">
        <v>4498.4285714285725</v>
      </c>
      <c r="AL50" s="28">
        <v>95.45</v>
      </c>
      <c r="AM50" s="62" t="s">
        <v>15</v>
      </c>
    </row>
    <row r="51" spans="2:39" x14ac:dyDescent="0.25">
      <c r="B51" s="10">
        <v>140232</v>
      </c>
      <c r="C51" s="29" t="s">
        <v>72</v>
      </c>
      <c r="D51" s="12">
        <v>1.1599999999999999</v>
      </c>
      <c r="E51" s="13">
        <v>0</v>
      </c>
      <c r="F51" s="14">
        <v>0</v>
      </c>
      <c r="G51" s="14">
        <v>0</v>
      </c>
      <c r="H51" s="30">
        <v>4243.0666666666666</v>
      </c>
      <c r="I51" s="15">
        <v>-1928.6666666666667</v>
      </c>
      <c r="J51" s="16">
        <v>2692</v>
      </c>
      <c r="K51" s="13">
        <v>3122.72</v>
      </c>
      <c r="L51" s="14">
        <v>16.256038647342997</v>
      </c>
      <c r="M51" s="30">
        <v>3643.2</v>
      </c>
      <c r="N51" s="15">
        <v>1036</v>
      </c>
      <c r="O51" s="16">
        <v>146</v>
      </c>
      <c r="P51" s="17">
        <v>169.35999999999999</v>
      </c>
      <c r="Q51" s="14">
        <v>0</v>
      </c>
      <c r="R51" s="16">
        <v>281.60000000000002</v>
      </c>
      <c r="S51" s="15">
        <v>-110</v>
      </c>
      <c r="T51" s="18">
        <v>426</v>
      </c>
      <c r="U51" s="17">
        <v>494.15999999999997</v>
      </c>
      <c r="V51" s="14">
        <v>13.175257731958762</v>
      </c>
      <c r="W51" s="16">
        <v>711.33333333333337</v>
      </c>
      <c r="X51" s="15">
        <v>-59.000000000000057</v>
      </c>
      <c r="Y51" s="18">
        <v>102</v>
      </c>
      <c r="Z51" s="17">
        <v>118.32</v>
      </c>
      <c r="AA51" s="14">
        <v>27.818181818181824</v>
      </c>
      <c r="AB51" s="16">
        <v>80.666666666666657</v>
      </c>
      <c r="AC51" s="15">
        <v>47.000000000000007</v>
      </c>
      <c r="AD51" s="19">
        <v>3366</v>
      </c>
      <c r="AE51" s="20">
        <v>3904.56</v>
      </c>
      <c r="AF51" s="21">
        <v>1328.0952380952381</v>
      </c>
      <c r="AG51" s="22">
        <v>26.812836141986377</v>
      </c>
      <c r="AH51" s="23">
        <v>2.6812836141986374</v>
      </c>
      <c r="AI51" s="26">
        <v>2232.9047619047619</v>
      </c>
      <c r="AJ51" s="27">
        <v>664.04761904761904</v>
      </c>
      <c r="AK51" s="25">
        <v>-1568.8571428571429</v>
      </c>
      <c r="AL51" s="28">
        <v>89.025000000000006</v>
      </c>
      <c r="AM51" s="63">
        <f>SUM(AL13:AL51)</f>
        <v>5580.5526455026438</v>
      </c>
    </row>
    <row r="52" spans="2:39" ht="15" customHeight="1" x14ac:dyDescent="0.25">
      <c r="B52" s="10">
        <v>150360</v>
      </c>
      <c r="C52" s="29" t="s">
        <v>73</v>
      </c>
      <c r="D52" s="12">
        <v>0.81</v>
      </c>
      <c r="E52" s="13">
        <v>2857</v>
      </c>
      <c r="F52" s="14">
        <v>2314.17</v>
      </c>
      <c r="G52" s="14">
        <v>20.186057465850212</v>
      </c>
      <c r="H52" s="30">
        <v>3113.7333333333331</v>
      </c>
      <c r="I52" s="15">
        <v>1441.6666666666667</v>
      </c>
      <c r="J52" s="16">
        <v>1353</v>
      </c>
      <c r="K52" s="13">
        <v>1095.93</v>
      </c>
      <c r="L52" s="14">
        <v>41.082995951417011</v>
      </c>
      <c r="M52" s="30">
        <v>724.5333333333333</v>
      </c>
      <c r="N52" s="15">
        <v>1023.6666666666667</v>
      </c>
      <c r="O52" s="16">
        <v>27</v>
      </c>
      <c r="P52" s="17">
        <v>21.87</v>
      </c>
      <c r="Q52" s="14">
        <v>3.4615384615384617</v>
      </c>
      <c r="R52" s="16">
        <v>171.6</v>
      </c>
      <c r="S52" s="15">
        <v>-129</v>
      </c>
      <c r="T52" s="18">
        <v>473</v>
      </c>
      <c r="U52" s="17">
        <v>383.13000000000005</v>
      </c>
      <c r="V52" s="14">
        <v>24.381443298969074</v>
      </c>
      <c r="W52" s="16">
        <v>426.79999999999995</v>
      </c>
      <c r="X52" s="15">
        <v>182</v>
      </c>
      <c r="Y52" s="18">
        <v>0</v>
      </c>
      <c r="Z52" s="17">
        <v>0</v>
      </c>
      <c r="AA52" s="14">
        <v>0</v>
      </c>
      <c r="AB52" s="16">
        <v>33.733333333333334</v>
      </c>
      <c r="AC52" s="15">
        <v>-23</v>
      </c>
      <c r="AD52" s="19">
        <v>4710</v>
      </c>
      <c r="AE52" s="20">
        <v>3815.1000000000004</v>
      </c>
      <c r="AF52" s="21">
        <v>2961.4285714285716</v>
      </c>
      <c r="AG52" s="22">
        <v>13.652194886637721</v>
      </c>
      <c r="AH52" s="23">
        <v>1.3652194886637723</v>
      </c>
      <c r="AI52" s="26">
        <v>1081.5714285714284</v>
      </c>
      <c r="AJ52" s="27">
        <v>1480.7142857142858</v>
      </c>
      <c r="AK52" s="25">
        <v>399.14285714285734</v>
      </c>
      <c r="AL52" s="28">
        <v>336.91666666666669</v>
      </c>
    </row>
    <row r="53" spans="2:39" ht="15" customHeight="1" x14ac:dyDescent="0.25">
      <c r="B53" s="10">
        <v>150361</v>
      </c>
      <c r="C53" s="29" t="s">
        <v>74</v>
      </c>
      <c r="D53" s="12">
        <v>0.81</v>
      </c>
      <c r="E53" s="13">
        <v>1436</v>
      </c>
      <c r="F53" s="14">
        <v>1163.1600000000001</v>
      </c>
      <c r="G53" s="14">
        <v>5.4991064590247642</v>
      </c>
      <c r="H53" s="30">
        <v>5744.9333333333334</v>
      </c>
      <c r="I53" s="15">
        <v>-1175.333333333333</v>
      </c>
      <c r="J53" s="16">
        <v>3098</v>
      </c>
      <c r="K53" s="13">
        <v>2509.38</v>
      </c>
      <c r="L53" s="14">
        <v>26.923522595596758</v>
      </c>
      <c r="M53" s="30">
        <v>2531.4666666666667</v>
      </c>
      <c r="N53" s="15">
        <v>1947.3333333333335</v>
      </c>
      <c r="O53" s="16">
        <v>48</v>
      </c>
      <c r="P53" s="17">
        <v>38.880000000000003</v>
      </c>
      <c r="Q53" s="14">
        <v>1.5286624203821657</v>
      </c>
      <c r="R53" s="16">
        <v>690.8</v>
      </c>
      <c r="S53" s="15">
        <v>-580</v>
      </c>
      <c r="T53" s="18">
        <v>872</v>
      </c>
      <c r="U53" s="17">
        <v>706.32</v>
      </c>
      <c r="V53" s="14">
        <v>16.747759282970549</v>
      </c>
      <c r="W53" s="16">
        <v>1145.4666666666667</v>
      </c>
      <c r="X53" s="15">
        <v>91</v>
      </c>
      <c r="Y53" s="18">
        <v>18</v>
      </c>
      <c r="Z53" s="17">
        <v>14.580000000000002</v>
      </c>
      <c r="AA53" s="14">
        <v>2.454545454545455</v>
      </c>
      <c r="AB53" s="16">
        <v>161.33333333333331</v>
      </c>
      <c r="AC53" s="15">
        <v>-91.999999999999986</v>
      </c>
      <c r="AD53" s="19">
        <v>5472</v>
      </c>
      <c r="AE53" s="20">
        <v>4432.3200000000006</v>
      </c>
      <c r="AF53" s="21">
        <v>5287.1428571428569</v>
      </c>
      <c r="AG53" s="22">
        <v>16.776546879221833</v>
      </c>
      <c r="AH53" s="23">
        <v>1.6776546879221832</v>
      </c>
      <c r="AI53" s="26">
        <v>3582.8571428571431</v>
      </c>
      <c r="AJ53" s="27">
        <v>2643.5714285714284</v>
      </c>
      <c r="AK53" s="25">
        <v>-939.28571428571468</v>
      </c>
      <c r="AL53" s="28">
        <v>739.16666666666663</v>
      </c>
    </row>
    <row r="54" spans="2:39" ht="15" customHeight="1" x14ac:dyDescent="0.25">
      <c r="B54" s="10">
        <v>150362</v>
      </c>
      <c r="C54" s="29" t="s">
        <v>75</v>
      </c>
      <c r="D54" s="12">
        <v>0.81</v>
      </c>
      <c r="E54" s="13">
        <v>1272</v>
      </c>
      <c r="F54" s="14">
        <v>1030.3200000000002</v>
      </c>
      <c r="G54" s="14">
        <v>7.2796642502861513</v>
      </c>
      <c r="H54" s="30">
        <v>3844.1333333333332</v>
      </c>
      <c r="I54" s="15">
        <v>-475.33333333333326</v>
      </c>
      <c r="J54" s="16">
        <v>5488</v>
      </c>
      <c r="K54" s="13">
        <v>4445.2800000000007</v>
      </c>
      <c r="L54" s="14">
        <v>93.016949152542367</v>
      </c>
      <c r="M54" s="30">
        <v>1298</v>
      </c>
      <c r="N54" s="15">
        <v>4898</v>
      </c>
      <c r="O54" s="16">
        <v>260</v>
      </c>
      <c r="P54" s="17">
        <v>210.60000000000002</v>
      </c>
      <c r="Q54" s="14">
        <v>23.076923076923077</v>
      </c>
      <c r="R54" s="16">
        <v>247.86666666666667</v>
      </c>
      <c r="S54" s="15">
        <v>34.666666666666657</v>
      </c>
      <c r="T54" s="18">
        <v>500</v>
      </c>
      <c r="U54" s="17">
        <v>405</v>
      </c>
      <c r="V54" s="14">
        <v>19.480519480519476</v>
      </c>
      <c r="W54" s="16">
        <v>564.66666666666674</v>
      </c>
      <c r="X54" s="15">
        <v>114.99999999999994</v>
      </c>
      <c r="Y54" s="18">
        <v>136</v>
      </c>
      <c r="Z54" s="17">
        <v>110.16000000000001</v>
      </c>
      <c r="AA54" s="14">
        <v>16.451612903225804</v>
      </c>
      <c r="AB54" s="16">
        <v>181.86666666666667</v>
      </c>
      <c r="AC54" s="15">
        <v>11.999999999999986</v>
      </c>
      <c r="AD54" s="19">
        <v>7656</v>
      </c>
      <c r="AE54" s="20">
        <v>6201.3600000000006</v>
      </c>
      <c r="AF54" s="21">
        <v>3055.7142857142853</v>
      </c>
      <c r="AG54" s="22">
        <v>39.876110331930811</v>
      </c>
      <c r="AH54" s="23">
        <v>3.9876110331930814</v>
      </c>
      <c r="AI54" s="26">
        <v>9129.2857142857138</v>
      </c>
      <c r="AJ54" s="27">
        <v>1527.8571428571427</v>
      </c>
      <c r="AK54" s="25">
        <v>-7601.4285714285706</v>
      </c>
      <c r="AL54" s="28">
        <v>1015.4166666666666</v>
      </c>
    </row>
    <row r="55" spans="2:39" x14ac:dyDescent="0.25">
      <c r="B55" s="10">
        <v>150363</v>
      </c>
      <c r="C55" s="29" t="s">
        <v>76</v>
      </c>
      <c r="D55" s="12">
        <v>0.81</v>
      </c>
      <c r="E55" s="13">
        <v>2892</v>
      </c>
      <c r="F55" s="14">
        <v>2342.52</v>
      </c>
      <c r="G55" s="14">
        <v>18.373570520965693</v>
      </c>
      <c r="H55" s="30">
        <v>3462.8</v>
      </c>
      <c r="I55" s="15">
        <v>1318</v>
      </c>
      <c r="J55" s="16">
        <v>6777</v>
      </c>
      <c r="K55" s="13">
        <v>5489.3700000000008</v>
      </c>
      <c r="L55" s="14">
        <v>92.162284678150499</v>
      </c>
      <c r="M55" s="30">
        <v>1617.7333333333333</v>
      </c>
      <c r="N55" s="15">
        <v>6041.666666666667</v>
      </c>
      <c r="O55" s="16">
        <v>314</v>
      </c>
      <c r="P55" s="17">
        <v>254.34</v>
      </c>
      <c r="Q55" s="14">
        <v>18.326848249027236</v>
      </c>
      <c r="R55" s="16">
        <v>376.93333333333334</v>
      </c>
      <c r="S55" s="15">
        <v>-28.666666666666629</v>
      </c>
      <c r="T55" s="18">
        <v>467</v>
      </c>
      <c r="U55" s="17">
        <v>378.27000000000004</v>
      </c>
      <c r="V55" s="14">
        <v>16.405152224824356</v>
      </c>
      <c r="W55" s="16">
        <v>626.26666666666665</v>
      </c>
      <c r="X55" s="15">
        <v>40</v>
      </c>
      <c r="Y55" s="18">
        <v>153</v>
      </c>
      <c r="Z55" s="17">
        <v>123.93</v>
      </c>
      <c r="AA55" s="14">
        <v>18.508064516129032</v>
      </c>
      <c r="AB55" s="16">
        <v>181.86666666666667</v>
      </c>
      <c r="AC55" s="15">
        <v>28.999999999999986</v>
      </c>
      <c r="AD55" s="19">
        <v>10603</v>
      </c>
      <c r="AE55" s="20">
        <v>8588.43</v>
      </c>
      <c r="AF55" s="21">
        <v>2899.0476190476193</v>
      </c>
      <c r="AG55" s="22">
        <v>47.270696452036788</v>
      </c>
      <c r="AH55" s="23">
        <v>4.7270696452036791</v>
      </c>
      <c r="AI55" s="26">
        <v>10804.952380952382</v>
      </c>
      <c r="AJ55" s="27">
        <v>1449.5238095238096</v>
      </c>
      <c r="AK55" s="25">
        <v>-9355.4285714285725</v>
      </c>
      <c r="AL55" s="28">
        <v>1142</v>
      </c>
    </row>
    <row r="56" spans="2:39" x14ac:dyDescent="0.25">
      <c r="B56" s="10">
        <v>151500</v>
      </c>
      <c r="C56" s="29" t="s">
        <v>77</v>
      </c>
      <c r="D56" s="12">
        <v>2.62</v>
      </c>
      <c r="E56" s="13">
        <v>236</v>
      </c>
      <c r="F56" s="14">
        <v>618.32000000000005</v>
      </c>
      <c r="G56" s="14">
        <v>6.7686424474187383</v>
      </c>
      <c r="H56" s="30">
        <v>767.06666666666672</v>
      </c>
      <c r="I56" s="15">
        <v>-112.66666666666669</v>
      </c>
      <c r="J56" s="32">
        <v>391</v>
      </c>
      <c r="K56" s="13">
        <v>1024.42</v>
      </c>
      <c r="L56" s="14">
        <v>32.22527472527473</v>
      </c>
      <c r="M56" s="30">
        <v>266.93333333333334</v>
      </c>
      <c r="N56" s="15">
        <v>269.66666666666669</v>
      </c>
      <c r="O56" s="32">
        <v>19</v>
      </c>
      <c r="P56" s="17">
        <v>49.78</v>
      </c>
      <c r="Q56" s="14">
        <v>6.7857142857142865</v>
      </c>
      <c r="R56" s="16">
        <v>61.599999999999994</v>
      </c>
      <c r="S56" s="15">
        <v>-37</v>
      </c>
      <c r="T56" s="18">
        <v>92</v>
      </c>
      <c r="U56" s="17">
        <v>241.04000000000002</v>
      </c>
      <c r="V56" s="14">
        <v>12.432432432432432</v>
      </c>
      <c r="W56" s="16">
        <v>162.80000000000001</v>
      </c>
      <c r="X56" s="15">
        <v>-19</v>
      </c>
      <c r="Y56" s="18">
        <v>50</v>
      </c>
      <c r="Z56" s="17">
        <v>131</v>
      </c>
      <c r="AA56" s="14">
        <v>24.193548387096772</v>
      </c>
      <c r="AB56" s="16">
        <v>45.466666666666669</v>
      </c>
      <c r="AC56" s="15">
        <v>18.999999999999996</v>
      </c>
      <c r="AD56" s="19">
        <v>788</v>
      </c>
      <c r="AE56" s="20">
        <v>2064.56</v>
      </c>
      <c r="AF56" s="21">
        <v>577.14285714285711</v>
      </c>
      <c r="AG56" s="22">
        <v>14.831683168316832</v>
      </c>
      <c r="AH56" s="23">
        <v>1.4831683168316832</v>
      </c>
      <c r="AI56" s="26">
        <v>278.85714285714289</v>
      </c>
      <c r="AJ56" s="27">
        <v>288.57142857142856</v>
      </c>
      <c r="AK56" s="25">
        <v>9.7142857142856656</v>
      </c>
      <c r="AL56" s="28">
        <v>142.66666666666666</v>
      </c>
    </row>
    <row r="57" spans="2:39" x14ac:dyDescent="0.25">
      <c r="B57" s="10">
        <v>151501</v>
      </c>
      <c r="C57" s="29" t="s">
        <v>78</v>
      </c>
      <c r="D57" s="12">
        <v>2.62</v>
      </c>
      <c r="E57" s="13">
        <v>0</v>
      </c>
      <c r="F57" s="14">
        <v>0</v>
      </c>
      <c r="G57" s="14">
        <v>0</v>
      </c>
      <c r="H57" s="30">
        <v>1532.6666666666667</v>
      </c>
      <c r="I57" s="15">
        <v>-696.66666666666674</v>
      </c>
      <c r="J57" s="32">
        <v>322</v>
      </c>
      <c r="K57" s="13">
        <v>843.64</v>
      </c>
      <c r="L57" s="14">
        <v>11.5</v>
      </c>
      <c r="M57" s="30">
        <v>616</v>
      </c>
      <c r="N57" s="15">
        <v>42</v>
      </c>
      <c r="O57" s="32">
        <v>37</v>
      </c>
      <c r="P57" s="17">
        <v>96.94</v>
      </c>
      <c r="Q57" s="14">
        <v>6.8518518518518512</v>
      </c>
      <c r="R57" s="16">
        <v>118.80000000000001</v>
      </c>
      <c r="S57" s="15">
        <v>-71</v>
      </c>
      <c r="T57" s="18">
        <v>0</v>
      </c>
      <c r="U57" s="17">
        <v>0</v>
      </c>
      <c r="V57" s="14">
        <v>0</v>
      </c>
      <c r="W57" s="16">
        <v>486.93333333333334</v>
      </c>
      <c r="X57" s="15">
        <v>-332</v>
      </c>
      <c r="Y57" s="18">
        <v>60</v>
      </c>
      <c r="Z57" s="17">
        <v>157.20000000000002</v>
      </c>
      <c r="AA57" s="14">
        <v>28.125</v>
      </c>
      <c r="AB57" s="16">
        <v>46.93333333333333</v>
      </c>
      <c r="AC57" s="15">
        <v>28</v>
      </c>
      <c r="AD57" s="19">
        <v>419</v>
      </c>
      <c r="AE57" s="20">
        <v>1097.78</v>
      </c>
      <c r="AF57" s="21">
        <v>1047.1428571428571</v>
      </c>
      <c r="AG57" s="22">
        <v>9.5402455661664405</v>
      </c>
      <c r="AH57" s="23">
        <v>0.95402455661664398</v>
      </c>
      <c r="AI57" s="26">
        <v>-48.14285714285711</v>
      </c>
      <c r="AJ57" s="27">
        <v>523.57142857142856</v>
      </c>
      <c r="AK57" s="25">
        <v>571.71428571428567</v>
      </c>
      <c r="AL57" s="28">
        <v>166.5</v>
      </c>
    </row>
    <row r="58" spans="2:39" x14ac:dyDescent="0.25">
      <c r="B58" s="10">
        <v>151502</v>
      </c>
      <c r="C58" s="29" t="s">
        <v>79</v>
      </c>
      <c r="D58" s="12">
        <v>2.62</v>
      </c>
      <c r="E58" s="13">
        <v>151</v>
      </c>
      <c r="F58" s="14">
        <v>395.62</v>
      </c>
      <c r="G58" s="14">
        <v>6.0561497326203204</v>
      </c>
      <c r="H58" s="30">
        <v>548.5333333333333</v>
      </c>
      <c r="I58" s="15">
        <v>-98.333333333333343</v>
      </c>
      <c r="J58" s="32">
        <v>126</v>
      </c>
      <c r="K58" s="13">
        <v>330.12</v>
      </c>
      <c r="L58" s="14">
        <v>12.945205479452056</v>
      </c>
      <c r="M58" s="30">
        <v>214.13333333333333</v>
      </c>
      <c r="N58" s="15">
        <v>28.666666666666671</v>
      </c>
      <c r="O58" s="32">
        <v>43</v>
      </c>
      <c r="P58" s="17">
        <v>112.66000000000001</v>
      </c>
      <c r="Q58" s="14">
        <v>46.071428571428562</v>
      </c>
      <c r="R58" s="16">
        <v>20.533333333333335</v>
      </c>
      <c r="S58" s="15">
        <v>24.333333333333332</v>
      </c>
      <c r="T58" s="18">
        <v>52</v>
      </c>
      <c r="U58" s="17">
        <v>136.24</v>
      </c>
      <c r="V58" s="14">
        <v>8.387096774193548</v>
      </c>
      <c r="W58" s="16">
        <v>136.4</v>
      </c>
      <c r="X58" s="15">
        <v>-41</v>
      </c>
      <c r="Y58" s="18">
        <v>42</v>
      </c>
      <c r="Z58" s="17">
        <v>110.04</v>
      </c>
      <c r="AA58" s="14">
        <v>23.333333333333332</v>
      </c>
      <c r="AB58" s="16">
        <v>39.6</v>
      </c>
      <c r="AC58" s="15">
        <v>15</v>
      </c>
      <c r="AD58" s="19">
        <v>414</v>
      </c>
      <c r="AE58" s="20">
        <v>1084.68</v>
      </c>
      <c r="AF58" s="21">
        <v>493.33333333333337</v>
      </c>
      <c r="AG58" s="22">
        <v>11.797297297297296</v>
      </c>
      <c r="AH58" s="23">
        <v>1.1797297297297296</v>
      </c>
      <c r="AI58" s="26">
        <v>88.666666666666629</v>
      </c>
      <c r="AJ58" s="27">
        <v>246.66666666666669</v>
      </c>
      <c r="AK58" s="25">
        <v>158.00000000000006</v>
      </c>
      <c r="AL58" s="28">
        <v>97</v>
      </c>
      <c r="AM58" s="62" t="s">
        <v>16</v>
      </c>
    </row>
    <row r="59" spans="2:39" x14ac:dyDescent="0.25">
      <c r="B59" s="33">
        <v>151503</v>
      </c>
      <c r="C59" s="11" t="s">
        <v>80</v>
      </c>
      <c r="D59" s="12">
        <v>2.62</v>
      </c>
      <c r="E59" s="13">
        <v>113</v>
      </c>
      <c r="F59" s="14">
        <v>296.06</v>
      </c>
      <c r="G59" s="14">
        <v>3.2785299806576402</v>
      </c>
      <c r="H59" s="30">
        <v>758.26666666666665</v>
      </c>
      <c r="I59" s="15">
        <v>-231.66666666666669</v>
      </c>
      <c r="J59" s="32">
        <v>324</v>
      </c>
      <c r="K59" s="13">
        <v>848.88</v>
      </c>
      <c r="L59" s="14">
        <v>37.384615384615387</v>
      </c>
      <c r="M59" s="30">
        <v>190.66666666666666</v>
      </c>
      <c r="N59" s="15">
        <v>237.33333333333334</v>
      </c>
      <c r="O59" s="32">
        <v>24</v>
      </c>
      <c r="P59" s="17">
        <v>62.88</v>
      </c>
      <c r="Q59" s="14">
        <v>12.413793103448276</v>
      </c>
      <c r="R59" s="16">
        <v>42.533333333333331</v>
      </c>
      <c r="S59" s="15">
        <v>-14.666666666666664</v>
      </c>
      <c r="T59" s="18">
        <v>45</v>
      </c>
      <c r="U59" s="17">
        <v>117.9</v>
      </c>
      <c r="V59" s="14">
        <v>7.03125</v>
      </c>
      <c r="W59" s="16">
        <v>140.80000000000001</v>
      </c>
      <c r="X59" s="15">
        <v>-51</v>
      </c>
      <c r="Y59" s="18">
        <v>53</v>
      </c>
      <c r="Z59" s="17">
        <v>138.86000000000001</v>
      </c>
      <c r="AA59" s="14">
        <v>53</v>
      </c>
      <c r="AB59" s="16">
        <v>22</v>
      </c>
      <c r="AC59" s="15">
        <v>38</v>
      </c>
      <c r="AD59" s="19">
        <v>559</v>
      </c>
      <c r="AE59" s="20">
        <v>1464.5800000000002</v>
      </c>
      <c r="AF59" s="21">
        <v>553.33333333333337</v>
      </c>
      <c r="AG59" s="22">
        <v>12.289156626506024</v>
      </c>
      <c r="AH59" s="23">
        <v>1.2289156626506024</v>
      </c>
      <c r="AI59" s="26">
        <v>126.66666666666663</v>
      </c>
      <c r="AJ59" s="27">
        <v>276.66666666666669</v>
      </c>
      <c r="AK59" s="25">
        <v>150.00000000000006</v>
      </c>
      <c r="AL59" s="28">
        <v>113.33333333333333</v>
      </c>
      <c r="AM59" s="63">
        <f>SUM(AL52:AL59)</f>
        <v>3753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147790.42857142861</v>
      </c>
    </row>
    <row r="61" spans="2:39" x14ac:dyDescent="0.25">
      <c r="B61" s="39" t="s">
        <v>2</v>
      </c>
      <c r="C61" s="40"/>
      <c r="D61" s="40"/>
      <c r="E61" s="67" t="s">
        <v>3</v>
      </c>
      <c r="F61" s="67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8" t="s">
        <v>4</v>
      </c>
      <c r="C62" s="68"/>
      <c r="D62" s="42">
        <f>SUM(F13:F59)</f>
        <v>129154.76999999999</v>
      </c>
      <c r="E62" s="64">
        <f>D62*100/D67</f>
        <v>28.589891067572839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228277.81</v>
      </c>
      <c r="E63" s="64">
        <f>D63*100/D67</f>
        <v>50.531913928104174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23911.099999999995</v>
      </c>
      <c r="E64" s="64">
        <f>D64*100/D67</f>
        <v>5.2929964902251845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58250.549999999988</v>
      </c>
      <c r="E65" s="64">
        <f>D65*100/D67</f>
        <v>12.894427972936695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12155.550000000003</v>
      </c>
      <c r="E66" s="64">
        <f>D66*100/D67</f>
        <v>2.6907705411610827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8" t="s">
        <v>8</v>
      </c>
      <c r="C67" s="68"/>
      <c r="D67" s="44">
        <f>SUM(AE13:AE59)</f>
        <v>451749.78000000009</v>
      </c>
      <c r="E67" s="69">
        <f>D67*100/D67</f>
        <v>100</v>
      </c>
      <c r="F67" s="69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8" t="s">
        <v>10</v>
      </c>
      <c r="C70" s="68"/>
      <c r="D70" s="3">
        <f>SUM(E13:E59)</f>
        <v>96974</v>
      </c>
      <c r="E70" s="64">
        <f>D70*100/D75</f>
        <v>29.247798286886233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166288</v>
      </c>
      <c r="E71" s="64">
        <f>D71*100/D75</f>
        <v>50.153215104355169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18081</v>
      </c>
      <c r="E72" s="64">
        <f>D72*100/D75</f>
        <v>5.4533116178067322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42220</v>
      </c>
      <c r="E73" s="64">
        <f>D73*100/D75</f>
        <v>12.733743515502473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7997</v>
      </c>
      <c r="E74" s="64">
        <f>D74*100/D75</f>
        <v>2.4119314754493906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8" t="s">
        <v>14</v>
      </c>
      <c r="C75" s="68"/>
      <c r="D75" s="49">
        <f>SUM(AD13:AD59)</f>
        <v>331560</v>
      </c>
      <c r="E75" s="69">
        <f>D75*100/D75</f>
        <v>100</v>
      </c>
      <c r="F75" s="69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72:F72"/>
    <mergeCell ref="E73:F73"/>
    <mergeCell ref="E74:F74"/>
    <mergeCell ref="B75:C75"/>
    <mergeCell ref="E75:F75"/>
    <mergeCell ref="E66:F66"/>
    <mergeCell ref="E67:F67"/>
    <mergeCell ref="E71:F71"/>
    <mergeCell ref="B67:C67"/>
    <mergeCell ref="B70:C70"/>
    <mergeCell ref="E70:F70"/>
    <mergeCell ref="E65:F65"/>
    <mergeCell ref="E63:F63"/>
    <mergeCell ref="E64:F64"/>
    <mergeCell ref="B1:AE6"/>
    <mergeCell ref="AF1:AL6"/>
    <mergeCell ref="E61:F61"/>
    <mergeCell ref="B62:C62"/>
    <mergeCell ref="E62:F62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cp:lastPrinted>2026-09-15T12:02:34Z</cp:lastPrinted>
  <dcterms:created xsi:type="dcterms:W3CDTF">2026-08-13T20:33:16Z</dcterms:created>
  <dcterms:modified xsi:type="dcterms:W3CDTF">2026-09-22T12:20:04Z</dcterms:modified>
</cp:coreProperties>
</file>