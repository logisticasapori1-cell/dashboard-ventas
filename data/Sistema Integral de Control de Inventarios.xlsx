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A1B188CD-7F07-444E-B6ED-32D0CF955CB4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E75" i="1" s="1"/>
  <c r="AM51" i="1"/>
  <c r="E70" i="1"/>
  <c r="E62" i="1"/>
  <c r="E71" i="1"/>
  <c r="E72" i="1"/>
  <c r="E64" i="1"/>
  <c r="E73" i="1"/>
  <c r="E65" i="1"/>
  <c r="E74" i="1"/>
  <c r="E63" i="1"/>
  <c r="E66" i="1"/>
</calcChain>
</file>

<file path=xl/sharedStrings.xml><?xml version="1.0" encoding="utf-8"?>
<sst xmlns="http://schemas.openxmlformats.org/spreadsheetml/2006/main" count="82" uniqueCount="82">
  <si>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</si>
  <si>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</si>
  <si>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</si>
  <si>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</si>
  <si>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</si>
  <si>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</si>
  <si>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</si>
  <si>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</si>
  <si>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</si>
  <si>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</si>
  <si>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</si>
  <si>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</si>
  <si>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</si>
  <si>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</si>
  <si>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</si>
  <si>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</si>
  <si>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</si>
  <si>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</si>
  <si>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</si>
  <si>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</si>
  <si>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</si>
  <si>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</si>
  <si>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</si>
  <si>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</si>
  <si>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</si>
  <si>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</si>
  <si>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</si>
  <si>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</si>
  <si>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</si>
  <si>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</si>
  <si>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</si>
  <si>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</si>
  <si>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</si>
  <si>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</si>
  <si>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</si>
  <si>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</si>
  <si>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</si>
  <si>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</si>
  <si>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</si>
  <si>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</si>
  <si>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</si>
  <si>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</si>
  <si>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</si>
  <si>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</si>
  <si>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</si>
  <si>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</si>
  <si>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</si>
  <si>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</si>
  <si>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</si>
  <si>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</si>
  <si>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</si>
  <si>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</si>
  <si>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</si>
  <si>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</si>
  <si>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</si>
  <si>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</si>
  <si>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-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</si>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</sst>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J72" sqref="J72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6" t="s">
        <v>1</v>
      </c>
      <c r="AG1" s="66"/>
      <c r="AH1" s="66"/>
      <c r="AI1" s="66"/>
      <c r="AJ1" s="66"/>
      <c r="AK1" s="66"/>
      <c r="AL1" s="66"/>
    </row>
    <row r="2" spans="1:38" ht="15" customHeight="1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6"/>
      <c r="AG2" s="66"/>
      <c r="AH2" s="66"/>
      <c r="AI2" s="66"/>
      <c r="AJ2" s="66"/>
      <c r="AK2" s="66"/>
      <c r="AL2" s="66"/>
    </row>
    <row r="3" spans="1:38" ht="15" customHeight="1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6"/>
      <c r="AG3" s="66"/>
      <c r="AH3" s="66"/>
      <c r="AI3" s="66"/>
      <c r="AJ3" s="66"/>
      <c r="AK3" s="66"/>
      <c r="AL3" s="66"/>
    </row>
    <row r="4" spans="1:38" ht="15" customHeight="1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6"/>
      <c r="AG4" s="66"/>
      <c r="AH4" s="66"/>
      <c r="AI4" s="66"/>
      <c r="AJ4" s="66"/>
      <c r="AK4" s="66"/>
      <c r="AL4" s="66"/>
    </row>
    <row r="5" spans="1:38" ht="15" customHeight="1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6"/>
      <c r="AG5" s="66"/>
      <c r="AH5" s="66"/>
      <c r="AI5" s="66"/>
      <c r="AJ5" s="66"/>
      <c r="AK5" s="66"/>
      <c r="AL5" s="66"/>
    </row>
    <row r="6" spans="1:38" ht="17.25" customHeight="1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6"/>
      <c r="AG6" s="66"/>
      <c r="AH6" s="66"/>
      <c r="AI6" s="66"/>
      <c r="AJ6" s="66"/>
      <c r="AK6" s="66"/>
      <c r="AL6" s="66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1576</v>
      </c>
      <c r="F13" s="14">
        <v>2143.36</v>
      </c>
      <c r="G13" s="14">
        <v>2.0225164790293415</v>
      </c>
      <c r="H13" s="30">
        <v>17143</v>
      </c>
      <c r="I13" s="15">
        <v>-6216.2727272727279</v>
      </c>
      <c r="J13" s="16">
        <v>5807</v>
      </c>
      <c r="K13" s="13">
        <v>7897.52</v>
      </c>
      <c r="L13" s="14">
        <v>23.852501867064973</v>
      </c>
      <c r="M13" s="30">
        <v>5356</v>
      </c>
      <c r="N13" s="15">
        <v>3372.4545454545455</v>
      </c>
      <c r="O13" s="16">
        <v>120</v>
      </c>
      <c r="P13" s="17">
        <v>163.20000000000002</v>
      </c>
      <c r="Q13" s="14">
        <v>3.0662020905923346</v>
      </c>
      <c r="R13" s="16">
        <v>861</v>
      </c>
      <c r="S13" s="15">
        <v>-467.0454545454545</v>
      </c>
      <c r="T13" s="18">
        <v>359</v>
      </c>
      <c r="U13" s="17">
        <v>488.24</v>
      </c>
      <c r="V13" s="14">
        <v>6.6147403685092128</v>
      </c>
      <c r="W13" s="16">
        <v>1194</v>
      </c>
      <c r="X13" s="15">
        <v>-455.09090909090912</v>
      </c>
      <c r="Y13" s="18">
        <v>402</v>
      </c>
      <c r="Z13" s="17">
        <v>546.72</v>
      </c>
      <c r="AA13" s="14">
        <v>22.333333333333332</v>
      </c>
      <c r="AB13" s="16">
        <v>396</v>
      </c>
      <c r="AC13" s="15">
        <v>132</v>
      </c>
      <c r="AD13" s="19">
        <v>8264</v>
      </c>
      <c r="AE13" s="20">
        <v>11239.04</v>
      </c>
      <c r="AF13" s="21">
        <v>11880.952380952382</v>
      </c>
      <c r="AG13" s="22">
        <v>6.9556713426853705</v>
      </c>
      <c r="AH13" s="23">
        <v>0.695567134268537</v>
      </c>
      <c r="AI13" s="24">
        <v>-3616.9523809523816</v>
      </c>
      <c r="AJ13" s="24">
        <v>5940.4761904761908</v>
      </c>
      <c r="AK13" s="25">
        <v>9557.4285714285725</v>
      </c>
      <c r="AL13" s="24">
        <v>103.3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162</v>
      </c>
      <c r="F14" s="14">
        <v>257.58000000000004</v>
      </c>
      <c r="G14" s="14">
        <v>4.6771653543307092</v>
      </c>
      <c r="H14" s="30">
        <v>762</v>
      </c>
      <c r="I14" s="15">
        <v>-184.36363636363632</v>
      </c>
      <c r="J14" s="16">
        <v>560</v>
      </c>
      <c r="K14" s="13">
        <v>890.40000000000009</v>
      </c>
      <c r="L14" s="14">
        <v>21.463414634146343</v>
      </c>
      <c r="M14" s="30">
        <v>574</v>
      </c>
      <c r="N14" s="15">
        <v>299.09090909090912</v>
      </c>
      <c r="O14" s="16">
        <v>9</v>
      </c>
      <c r="P14" s="17">
        <v>14.31</v>
      </c>
      <c r="Q14" s="14">
        <v>1.164705882352941</v>
      </c>
      <c r="R14" s="16">
        <v>170</v>
      </c>
      <c r="S14" s="15">
        <v>-106.90909090909091</v>
      </c>
      <c r="T14" s="18">
        <v>35</v>
      </c>
      <c r="U14" s="17">
        <v>55.650000000000006</v>
      </c>
      <c r="V14" s="14">
        <v>13.75</v>
      </c>
      <c r="W14" s="16">
        <v>56</v>
      </c>
      <c r="X14" s="15">
        <v>-3.1818181818181799</v>
      </c>
      <c r="Y14" s="18">
        <v>28</v>
      </c>
      <c r="Z14" s="17">
        <v>44.52</v>
      </c>
      <c r="AA14" s="14">
        <v>14.666666666666666</v>
      </c>
      <c r="AB14" s="16">
        <v>42</v>
      </c>
      <c r="AC14" s="15">
        <v>-0.63636363636363669</v>
      </c>
      <c r="AD14" s="19">
        <v>794</v>
      </c>
      <c r="AE14" s="20">
        <v>1262.46</v>
      </c>
      <c r="AF14" s="21">
        <v>763.80952380952385</v>
      </c>
      <c r="AG14" s="22">
        <v>10.395261845386534</v>
      </c>
      <c r="AH14" s="23">
        <v>1.0395261845386532</v>
      </c>
      <c r="AI14" s="26">
        <v>30.190476190476147</v>
      </c>
      <c r="AJ14" s="27">
        <v>381.90476190476193</v>
      </c>
      <c r="AK14" s="25">
        <v>351.71428571428578</v>
      </c>
      <c r="AL14" s="28">
        <v>9.9250000000000007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250</v>
      </c>
      <c r="F15" s="14">
        <v>507.49999999999994</v>
      </c>
      <c r="G15" s="14">
        <v>0.79710144927536231</v>
      </c>
      <c r="H15" s="30">
        <v>6900</v>
      </c>
      <c r="I15" s="15">
        <v>-2886.363636363636</v>
      </c>
      <c r="J15" s="16">
        <v>1272</v>
      </c>
      <c r="K15" s="13">
        <v>2582.16</v>
      </c>
      <c r="L15" s="14">
        <v>9.2692944683670095</v>
      </c>
      <c r="M15" s="30">
        <v>3019</v>
      </c>
      <c r="N15" s="15">
        <v>-100.27272727272725</v>
      </c>
      <c r="O15" s="16">
        <v>2</v>
      </c>
      <c r="P15" s="17">
        <v>4.0599999999999996</v>
      </c>
      <c r="Q15" s="14">
        <v>0.14814814814814814</v>
      </c>
      <c r="R15" s="16">
        <v>297</v>
      </c>
      <c r="S15" s="15">
        <v>-200.5</v>
      </c>
      <c r="T15" s="18">
        <v>70</v>
      </c>
      <c r="U15" s="17">
        <v>142.1</v>
      </c>
      <c r="V15" s="14">
        <v>4.4380403458213253</v>
      </c>
      <c r="W15" s="16">
        <v>347.00000000000006</v>
      </c>
      <c r="X15" s="15">
        <v>-166.59090909090912</v>
      </c>
      <c r="Y15" s="18">
        <v>84</v>
      </c>
      <c r="Z15" s="17">
        <v>170.51999999999998</v>
      </c>
      <c r="AA15" s="14">
        <v>13.588235294117647</v>
      </c>
      <c r="AB15" s="16">
        <v>136</v>
      </c>
      <c r="AC15" s="15">
        <v>-8.7272727272727195</v>
      </c>
      <c r="AD15" s="19">
        <v>1678</v>
      </c>
      <c r="AE15" s="20">
        <v>3406.3399999999997</v>
      </c>
      <c r="AF15" s="21">
        <v>5094.7619047619046</v>
      </c>
      <c r="AG15" s="22">
        <v>3.2935788391438452</v>
      </c>
      <c r="AH15" s="23">
        <v>0.32935788391438453</v>
      </c>
      <c r="AI15" s="26">
        <v>-3416.7619047619046</v>
      </c>
      <c r="AJ15" s="27">
        <v>2547.3809523809523</v>
      </c>
      <c r="AK15" s="25">
        <v>5964.1428571428569</v>
      </c>
      <c r="AL15" s="28">
        <v>27.966666666666665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22</v>
      </c>
      <c r="F16" s="14">
        <v>79.42</v>
      </c>
      <c r="G16" s="14">
        <v>0.34645669291338582</v>
      </c>
      <c r="H16" s="30">
        <v>1397</v>
      </c>
      <c r="I16" s="15">
        <v>-613</v>
      </c>
      <c r="J16" s="16">
        <v>256</v>
      </c>
      <c r="K16" s="13">
        <v>924.16</v>
      </c>
      <c r="L16" s="14">
        <v>10.333944954128441</v>
      </c>
      <c r="M16" s="30">
        <v>545</v>
      </c>
      <c r="N16" s="15">
        <v>8.2727272727272521</v>
      </c>
      <c r="O16" s="16">
        <v>0</v>
      </c>
      <c r="P16" s="17">
        <v>0</v>
      </c>
      <c r="Q16" s="14">
        <v>0</v>
      </c>
      <c r="R16" s="16">
        <v>46.000000000000007</v>
      </c>
      <c r="S16" s="15">
        <v>-31.36363636363637</v>
      </c>
      <c r="T16" s="18">
        <v>32</v>
      </c>
      <c r="U16" s="17">
        <v>115.52</v>
      </c>
      <c r="V16" s="14">
        <v>14.367346938775512</v>
      </c>
      <c r="W16" s="16">
        <v>49</v>
      </c>
      <c r="X16" s="15">
        <v>-1.4090909090909065</v>
      </c>
      <c r="Y16" s="18">
        <v>26</v>
      </c>
      <c r="Z16" s="17">
        <v>93.86</v>
      </c>
      <c r="AA16" s="14">
        <v>27.238095238095237</v>
      </c>
      <c r="AB16" s="16">
        <v>21</v>
      </c>
      <c r="AC16" s="15">
        <v>11.681818181818182</v>
      </c>
      <c r="AD16" s="19">
        <v>336</v>
      </c>
      <c r="AE16" s="20">
        <v>1212.96</v>
      </c>
      <c r="AF16" s="21">
        <v>980</v>
      </c>
      <c r="AG16" s="22">
        <v>3.4285714285714284</v>
      </c>
      <c r="AH16" s="23">
        <v>0.34285714285714286</v>
      </c>
      <c r="AI16" s="26">
        <v>-644</v>
      </c>
      <c r="AJ16" s="27">
        <v>490</v>
      </c>
      <c r="AK16" s="25">
        <v>1134</v>
      </c>
      <c r="AL16" s="28">
        <v>12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15</v>
      </c>
      <c r="F17" s="14">
        <v>131.69999999999999</v>
      </c>
      <c r="G17" s="14">
        <v>1.9760479041916168</v>
      </c>
      <c r="H17" s="30">
        <v>167</v>
      </c>
      <c r="I17" s="15">
        <v>-60.909090909090907</v>
      </c>
      <c r="J17" s="16">
        <v>56</v>
      </c>
      <c r="K17" s="13">
        <v>491.67999999999995</v>
      </c>
      <c r="L17" s="14">
        <v>17.855072463768117</v>
      </c>
      <c r="M17" s="30">
        <v>69</v>
      </c>
      <c r="N17" s="15">
        <v>24.636363636363637</v>
      </c>
      <c r="O17" s="16">
        <v>3</v>
      </c>
      <c r="P17" s="17">
        <v>26.339999999999996</v>
      </c>
      <c r="Q17" s="14">
        <v>8.25</v>
      </c>
      <c r="R17" s="16">
        <v>8</v>
      </c>
      <c r="S17" s="15">
        <v>-2.454545454545455</v>
      </c>
      <c r="T17" s="18">
        <v>18</v>
      </c>
      <c r="U17" s="17">
        <v>158.04</v>
      </c>
      <c r="V17" s="14">
        <v>198</v>
      </c>
      <c r="W17" s="16">
        <v>2</v>
      </c>
      <c r="X17" s="15">
        <v>16.636363636363637</v>
      </c>
      <c r="Y17" s="18">
        <v>14</v>
      </c>
      <c r="Z17" s="17">
        <v>122.91999999999999</v>
      </c>
      <c r="AA17" s="14">
        <v>61.6</v>
      </c>
      <c r="AB17" s="16">
        <v>5</v>
      </c>
      <c r="AC17" s="15">
        <v>10.59090909090909</v>
      </c>
      <c r="AD17" s="19">
        <v>106</v>
      </c>
      <c r="AE17" s="20">
        <v>930.68</v>
      </c>
      <c r="AF17" s="21">
        <v>119.52380952380952</v>
      </c>
      <c r="AG17" s="22">
        <v>8.8685258964143419</v>
      </c>
      <c r="AH17" s="23">
        <v>0.88685258964143432</v>
      </c>
      <c r="AI17" s="26">
        <v>-13.523809523809518</v>
      </c>
      <c r="AJ17" s="27">
        <v>59.761904761904759</v>
      </c>
      <c r="AK17" s="25">
        <v>73.285714285714278</v>
      </c>
      <c r="AL17" s="28">
        <v>8.8333333333333339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5006</v>
      </c>
      <c r="F18" s="14">
        <v>3153.78</v>
      </c>
      <c r="G18" s="14">
        <v>6.0329772665023285</v>
      </c>
      <c r="H18" s="30">
        <v>18255</v>
      </c>
      <c r="I18" s="15">
        <v>-3291.7272727272721</v>
      </c>
      <c r="J18" s="16">
        <v>7127</v>
      </c>
      <c r="K18" s="13">
        <v>4490.01</v>
      </c>
      <c r="L18" s="14">
        <v>22.658092485549133</v>
      </c>
      <c r="M18" s="30">
        <v>6920</v>
      </c>
      <c r="N18" s="15">
        <v>3981.5454545454545</v>
      </c>
      <c r="O18" s="16">
        <v>270</v>
      </c>
      <c r="P18" s="17">
        <v>170.1</v>
      </c>
      <c r="Q18" s="14">
        <v>4.1107266435986158</v>
      </c>
      <c r="R18" s="16">
        <v>1445</v>
      </c>
      <c r="S18" s="15">
        <v>-715.22727272727275</v>
      </c>
      <c r="T18" s="18">
        <v>1398</v>
      </c>
      <c r="U18" s="17">
        <v>880.74</v>
      </c>
      <c r="V18" s="14">
        <v>7.9720062208398126</v>
      </c>
      <c r="W18" s="16">
        <v>3858</v>
      </c>
      <c r="X18" s="15">
        <v>-1232.4545454545455</v>
      </c>
      <c r="Y18" s="18">
        <v>13</v>
      </c>
      <c r="Z18" s="17">
        <v>8.19</v>
      </c>
      <c r="AA18" s="14">
        <v>1.513227513227513</v>
      </c>
      <c r="AB18" s="16">
        <v>189</v>
      </c>
      <c r="AC18" s="15">
        <v>-115.86363636363637</v>
      </c>
      <c r="AD18" s="19">
        <v>13814</v>
      </c>
      <c r="AE18" s="20">
        <v>8702.82</v>
      </c>
      <c r="AF18" s="21">
        <v>14603.333333333332</v>
      </c>
      <c r="AG18" s="22">
        <v>9.4594841360420006</v>
      </c>
      <c r="AH18" s="23">
        <v>0.94594841360420001</v>
      </c>
      <c r="AI18" s="26">
        <v>-789.33333333333212</v>
      </c>
      <c r="AJ18" s="27">
        <v>7301.6666666666661</v>
      </c>
      <c r="AK18" s="25">
        <v>8090.9999999999982</v>
      </c>
      <c r="AL18" s="28">
        <v>230.23333333333332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46</v>
      </c>
      <c r="F19" s="14">
        <v>28.98</v>
      </c>
      <c r="G19" s="14">
        <v>0.68148148148148158</v>
      </c>
      <c r="H19" s="30">
        <v>1484.9999999999998</v>
      </c>
      <c r="I19" s="15">
        <v>-628.99999999999989</v>
      </c>
      <c r="J19" s="16">
        <v>1109</v>
      </c>
      <c r="K19" s="13">
        <v>698.67</v>
      </c>
      <c r="L19" s="14">
        <v>21.706405693950177</v>
      </c>
      <c r="M19" s="30">
        <v>1124</v>
      </c>
      <c r="N19" s="15">
        <v>598.09090909090901</v>
      </c>
      <c r="O19" s="16">
        <v>27</v>
      </c>
      <c r="P19" s="17">
        <v>17.010000000000002</v>
      </c>
      <c r="Q19" s="14">
        <v>6.3191489361702136</v>
      </c>
      <c r="R19" s="16">
        <v>94</v>
      </c>
      <c r="S19" s="15">
        <v>-37.090909090909093</v>
      </c>
      <c r="T19" s="18">
        <v>90</v>
      </c>
      <c r="U19" s="17">
        <v>56.7</v>
      </c>
      <c r="V19" s="14">
        <v>5.8407079646017701</v>
      </c>
      <c r="W19" s="16">
        <v>339</v>
      </c>
      <c r="X19" s="15">
        <v>-141.13636363636363</v>
      </c>
      <c r="Y19" s="18">
        <v>69</v>
      </c>
      <c r="Z19" s="17">
        <v>43.47</v>
      </c>
      <c r="AA19" s="14">
        <v>13.086206896551724</v>
      </c>
      <c r="AB19" s="16">
        <v>116</v>
      </c>
      <c r="AC19" s="15">
        <v>-10.090909090909093</v>
      </c>
      <c r="AD19" s="19">
        <v>1341</v>
      </c>
      <c r="AE19" s="20">
        <v>844.83</v>
      </c>
      <c r="AF19" s="21">
        <v>1503.8095238095239</v>
      </c>
      <c r="AG19" s="22">
        <v>8.917352754908169</v>
      </c>
      <c r="AH19" s="23">
        <v>0.89173527549081699</v>
      </c>
      <c r="AI19" s="26">
        <v>-162.80952380952385</v>
      </c>
      <c r="AJ19" s="27">
        <v>751.90476190476193</v>
      </c>
      <c r="AK19" s="25">
        <v>914.71428571428578</v>
      </c>
      <c r="AL19" s="28">
        <v>22.35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1659</v>
      </c>
      <c r="F20" s="14">
        <v>1045.17</v>
      </c>
      <c r="G20" s="14">
        <v>10.814222222222222</v>
      </c>
      <c r="H20" s="30">
        <v>3375</v>
      </c>
      <c r="I20" s="15">
        <v>124.90909090909099</v>
      </c>
      <c r="J20" s="16">
        <v>1184</v>
      </c>
      <c r="K20" s="13">
        <v>745.92</v>
      </c>
      <c r="L20" s="14">
        <v>11.781094527363184</v>
      </c>
      <c r="M20" s="30">
        <v>2211</v>
      </c>
      <c r="N20" s="15">
        <v>179</v>
      </c>
      <c r="O20" s="16">
        <v>16</v>
      </c>
      <c r="P20" s="17">
        <v>10.08</v>
      </c>
      <c r="Q20" s="14">
        <v>1.2616487455197132</v>
      </c>
      <c r="R20" s="16">
        <v>279</v>
      </c>
      <c r="S20" s="15">
        <v>-174.22727272727272</v>
      </c>
      <c r="T20" s="18">
        <v>34</v>
      </c>
      <c r="U20" s="17">
        <v>21.42</v>
      </c>
      <c r="V20" s="14">
        <v>0.63822525597269619</v>
      </c>
      <c r="W20" s="16">
        <v>1172</v>
      </c>
      <c r="X20" s="15">
        <v>-765.09090909090912</v>
      </c>
      <c r="Y20" s="18">
        <v>11</v>
      </c>
      <c r="Z20" s="17">
        <v>6.93</v>
      </c>
      <c r="AA20" s="14">
        <v>1.3595505617977526</v>
      </c>
      <c r="AB20" s="16">
        <v>178</v>
      </c>
      <c r="AC20" s="15">
        <v>-110.36363636363637</v>
      </c>
      <c r="AD20" s="19">
        <v>2904</v>
      </c>
      <c r="AE20" s="20">
        <v>1829.52</v>
      </c>
      <c r="AF20" s="21">
        <v>3435.7142857142853</v>
      </c>
      <c r="AG20" s="22">
        <v>8.4523908523908524</v>
      </c>
      <c r="AH20" s="23">
        <v>0.84523908523908531</v>
      </c>
      <c r="AI20" s="26">
        <v>-531.71428571428532</v>
      </c>
      <c r="AJ20" s="27">
        <v>1717.8571428571427</v>
      </c>
      <c r="AK20" s="25">
        <v>2249.571428571428</v>
      </c>
      <c r="AL20" s="28">
        <v>48.4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1670</v>
      </c>
      <c r="F21" s="14">
        <v>1820.3000000000002</v>
      </c>
      <c r="G21" s="14">
        <v>5.7568160451269197</v>
      </c>
      <c r="H21" s="30">
        <v>6382</v>
      </c>
      <c r="I21" s="15">
        <v>-1230.9090909090905</v>
      </c>
      <c r="J21" s="16">
        <v>3766</v>
      </c>
      <c r="K21" s="13">
        <v>4104.9400000000005</v>
      </c>
      <c r="L21" s="14">
        <v>12.227272727272727</v>
      </c>
      <c r="M21" s="30">
        <v>6776</v>
      </c>
      <c r="N21" s="15">
        <v>686</v>
      </c>
      <c r="O21" s="16">
        <v>66</v>
      </c>
      <c r="P21" s="17">
        <v>71.940000000000012</v>
      </c>
      <c r="Q21" s="14">
        <v>2.7552182163187857</v>
      </c>
      <c r="R21" s="16">
        <v>527</v>
      </c>
      <c r="S21" s="15">
        <v>-293.31818181818181</v>
      </c>
      <c r="T21" s="18">
        <v>536</v>
      </c>
      <c r="U21" s="17">
        <v>584.24</v>
      </c>
      <c r="V21" s="14">
        <v>5.6938676967648476</v>
      </c>
      <c r="W21" s="16">
        <v>2071</v>
      </c>
      <c r="X21" s="15">
        <v>-876.0454545454545</v>
      </c>
      <c r="Y21" s="18">
        <v>123</v>
      </c>
      <c r="Z21" s="17">
        <v>134.07000000000002</v>
      </c>
      <c r="AA21" s="14">
        <v>8.1017964071856294</v>
      </c>
      <c r="AB21" s="16">
        <v>334</v>
      </c>
      <c r="AC21" s="15">
        <v>-104.72727272727272</v>
      </c>
      <c r="AD21" s="19">
        <v>6161</v>
      </c>
      <c r="AE21" s="20">
        <v>6715.4900000000007</v>
      </c>
      <c r="AF21" s="21">
        <v>7661.9047619047615</v>
      </c>
      <c r="AG21" s="22">
        <v>8.0410814170292113</v>
      </c>
      <c r="AH21" s="23">
        <v>0.80410814170292111</v>
      </c>
      <c r="AI21" s="26">
        <v>-1500.9047619047615</v>
      </c>
      <c r="AJ21" s="27">
        <v>3830.9523809523807</v>
      </c>
      <c r="AK21" s="25">
        <v>5331.8571428571422</v>
      </c>
      <c r="AL21" s="28">
        <v>114.0925925925926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1580</v>
      </c>
      <c r="F22" s="14">
        <v>1722.2</v>
      </c>
      <c r="G22" s="14">
        <v>8.1044532525064117</v>
      </c>
      <c r="H22" s="30">
        <v>4289</v>
      </c>
      <c r="I22" s="15">
        <v>-369.54545454545473</v>
      </c>
      <c r="J22" s="16">
        <v>1378</v>
      </c>
      <c r="K22" s="13">
        <v>1502.0200000000002</v>
      </c>
      <c r="L22" s="14">
        <v>12.542821679768307</v>
      </c>
      <c r="M22" s="30">
        <v>2417</v>
      </c>
      <c r="N22" s="15">
        <v>279.36363636363649</v>
      </c>
      <c r="O22" s="16">
        <v>23</v>
      </c>
      <c r="P22" s="17">
        <v>25.07</v>
      </c>
      <c r="Q22" s="14">
        <v>2.4803921568627456</v>
      </c>
      <c r="R22" s="16">
        <v>203.99999999999997</v>
      </c>
      <c r="S22" s="15">
        <v>-116.09090909090907</v>
      </c>
      <c r="T22" s="18">
        <v>382</v>
      </c>
      <c r="U22" s="17">
        <v>416.38000000000005</v>
      </c>
      <c r="V22" s="14">
        <v>11.853314527503526</v>
      </c>
      <c r="W22" s="16">
        <v>709</v>
      </c>
      <c r="X22" s="15">
        <v>-101.40909090909088</v>
      </c>
      <c r="Y22" s="18">
        <v>0</v>
      </c>
      <c r="Z22" s="17">
        <v>0</v>
      </c>
      <c r="AA22" s="14">
        <v>0</v>
      </c>
      <c r="AB22" s="16">
        <v>0</v>
      </c>
      <c r="AC22" s="15">
        <v>0</v>
      </c>
      <c r="AD22" s="19">
        <v>3363</v>
      </c>
      <c r="AE22" s="20">
        <v>3665.67</v>
      </c>
      <c r="AF22" s="21">
        <v>3628.0952380952381</v>
      </c>
      <c r="AG22" s="22">
        <v>9.2693266832917711</v>
      </c>
      <c r="AH22" s="23">
        <v>0.92693266832917709</v>
      </c>
      <c r="AI22" s="26">
        <v>-265.09523809523807</v>
      </c>
      <c r="AJ22" s="27">
        <v>1814.047619047619</v>
      </c>
      <c r="AK22" s="25">
        <v>2079.1428571428569</v>
      </c>
      <c r="AL22" s="28">
        <v>62.277777777777779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10109</v>
      </c>
      <c r="F23" s="14">
        <v>11726.439999999999</v>
      </c>
      <c r="G23" s="14">
        <v>5.8996206594689236</v>
      </c>
      <c r="H23" s="30">
        <v>37697</v>
      </c>
      <c r="I23" s="15">
        <v>-7026</v>
      </c>
      <c r="J23" s="16">
        <v>15737</v>
      </c>
      <c r="K23" s="13">
        <v>18254.919999999998</v>
      </c>
      <c r="L23" s="14">
        <v>18.093232296838256</v>
      </c>
      <c r="M23" s="30">
        <v>19135</v>
      </c>
      <c r="N23" s="15">
        <v>7039.2727272727279</v>
      </c>
      <c r="O23" s="16">
        <v>770</v>
      </c>
      <c r="P23" s="17">
        <v>893.19999999999993</v>
      </c>
      <c r="Q23" s="14">
        <v>5.3726609578179509</v>
      </c>
      <c r="R23" s="16">
        <v>3153</v>
      </c>
      <c r="S23" s="15">
        <v>-1379.772727272727</v>
      </c>
      <c r="T23" s="18">
        <v>5085</v>
      </c>
      <c r="U23" s="17">
        <v>5898.5999999999995</v>
      </c>
      <c r="V23" s="14">
        <v>8.4545042321644495</v>
      </c>
      <c r="W23" s="16">
        <v>13232</v>
      </c>
      <c r="X23" s="15">
        <v>-3936.818181818182</v>
      </c>
      <c r="Y23" s="18">
        <v>450</v>
      </c>
      <c r="Z23" s="17">
        <v>522</v>
      </c>
      <c r="AA23" s="14">
        <v>13.469387755102042</v>
      </c>
      <c r="AB23" s="16">
        <v>735</v>
      </c>
      <c r="AC23" s="15">
        <v>-51.136363636363626</v>
      </c>
      <c r="AD23" s="19">
        <v>32151</v>
      </c>
      <c r="AE23" s="20">
        <v>37295.159999999996</v>
      </c>
      <c r="AF23" s="21">
        <v>35215.238095238099</v>
      </c>
      <c r="AG23" s="22">
        <v>9.1298545002163554</v>
      </c>
      <c r="AH23" s="23">
        <v>0.91298545002163556</v>
      </c>
      <c r="AI23" s="26">
        <v>-3064.238095238099</v>
      </c>
      <c r="AJ23" s="27">
        <v>17607.61904761905</v>
      </c>
      <c r="AK23" s="25">
        <v>20671.857142857149</v>
      </c>
      <c r="AL23" s="28">
        <v>595.38888888888891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7599</v>
      </c>
      <c r="F24" s="14">
        <v>8814.84</v>
      </c>
      <c r="G24" s="14">
        <v>6.2245141112517688</v>
      </c>
      <c r="H24" s="30">
        <v>26858</v>
      </c>
      <c r="I24" s="15">
        <v>-4609.181818181818</v>
      </c>
      <c r="J24" s="16">
        <v>10555</v>
      </c>
      <c r="K24" s="13">
        <v>12243.8</v>
      </c>
      <c r="L24" s="14">
        <v>19.461112973516595</v>
      </c>
      <c r="M24" s="30">
        <v>11932</v>
      </c>
      <c r="N24" s="15">
        <v>5131.363636363636</v>
      </c>
      <c r="O24" s="16">
        <v>520</v>
      </c>
      <c r="P24" s="17">
        <v>603.19999999999993</v>
      </c>
      <c r="Q24" s="14">
        <v>6.0561143462149287</v>
      </c>
      <c r="R24" s="16">
        <v>1889</v>
      </c>
      <c r="S24" s="15">
        <v>-767.9545454545455</v>
      </c>
      <c r="T24" s="18">
        <v>4403</v>
      </c>
      <c r="U24" s="17">
        <v>5107.4799999999996</v>
      </c>
      <c r="V24" s="14">
        <v>13.320407040704071</v>
      </c>
      <c r="W24" s="16">
        <v>7272</v>
      </c>
      <c r="X24" s="15">
        <v>-555.18181818181802</v>
      </c>
      <c r="Y24" s="18">
        <v>499</v>
      </c>
      <c r="Z24" s="17">
        <v>578.83999999999992</v>
      </c>
      <c r="AA24" s="14">
        <v>24.180616740088105</v>
      </c>
      <c r="AB24" s="16">
        <v>454</v>
      </c>
      <c r="AC24" s="15">
        <v>189.45454545454544</v>
      </c>
      <c r="AD24" s="19">
        <v>23576</v>
      </c>
      <c r="AE24" s="20">
        <v>27348.16</v>
      </c>
      <c r="AF24" s="21">
        <v>23050</v>
      </c>
      <c r="AG24" s="22">
        <v>10.228199566160521</v>
      </c>
      <c r="AH24" s="23">
        <v>1.0228199566160521</v>
      </c>
      <c r="AI24" s="26">
        <v>526</v>
      </c>
      <c r="AJ24" s="27">
        <v>11525</v>
      </c>
      <c r="AK24" s="25">
        <v>10999</v>
      </c>
      <c r="AL24" s="28">
        <v>436.59259259259261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9638</v>
      </c>
      <c r="F25" s="14">
        <v>11180.08</v>
      </c>
      <c r="G25" s="14">
        <v>8.2108116480793072</v>
      </c>
      <c r="H25" s="30">
        <v>25824</v>
      </c>
      <c r="I25" s="15">
        <v>-2100.181818181818</v>
      </c>
      <c r="J25" s="16">
        <v>6217</v>
      </c>
      <c r="K25" s="13">
        <v>7211.7199999999993</v>
      </c>
      <c r="L25" s="14">
        <v>11.48299890857191</v>
      </c>
      <c r="M25" s="30">
        <v>11911</v>
      </c>
      <c r="N25" s="15">
        <v>802.90909090909099</v>
      </c>
      <c r="O25" s="16">
        <v>725</v>
      </c>
      <c r="P25" s="17">
        <v>840.99999999999989</v>
      </c>
      <c r="Q25" s="14">
        <v>7.2598998634501593</v>
      </c>
      <c r="R25" s="16">
        <v>2197</v>
      </c>
      <c r="S25" s="15">
        <v>-772.9545454545455</v>
      </c>
      <c r="T25" s="18">
        <v>4283</v>
      </c>
      <c r="U25" s="17">
        <v>4968.28</v>
      </c>
      <c r="V25" s="14">
        <v>13.076047737996113</v>
      </c>
      <c r="W25" s="16">
        <v>7206.0000000000009</v>
      </c>
      <c r="X25" s="15">
        <v>-630.18181818181802</v>
      </c>
      <c r="Y25" s="18">
        <v>512</v>
      </c>
      <c r="Z25" s="17">
        <v>593.91999999999996</v>
      </c>
      <c r="AA25" s="14">
        <v>24.593886462882097</v>
      </c>
      <c r="AB25" s="16">
        <v>458</v>
      </c>
      <c r="AC25" s="15">
        <v>199.72727272727275</v>
      </c>
      <c r="AD25" s="19">
        <v>21375</v>
      </c>
      <c r="AE25" s="20">
        <v>24795</v>
      </c>
      <c r="AF25" s="21">
        <v>22664.761904761905</v>
      </c>
      <c r="AG25" s="22">
        <v>9.4309395747541807</v>
      </c>
      <c r="AH25" s="23">
        <v>0.94309395747541813</v>
      </c>
      <c r="AI25" s="26">
        <v>-1289.7619047619046</v>
      </c>
      <c r="AJ25" s="27">
        <v>11332.380952380952</v>
      </c>
      <c r="AK25" s="25">
        <v>12622.142857142857</v>
      </c>
      <c r="AL25" s="28">
        <v>395.83333333333331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9062</v>
      </c>
      <c r="F26" s="14">
        <v>10511.92</v>
      </c>
      <c r="G26" s="14">
        <v>6.3542310756972107</v>
      </c>
      <c r="H26" s="30">
        <v>31375</v>
      </c>
      <c r="I26" s="15">
        <v>-5199.3636363636379</v>
      </c>
      <c r="J26" s="16">
        <v>13137</v>
      </c>
      <c r="K26" s="13">
        <v>15238.919999999998</v>
      </c>
      <c r="L26" s="14">
        <v>20.498900631250443</v>
      </c>
      <c r="M26" s="30">
        <v>14099</v>
      </c>
      <c r="N26" s="15">
        <v>6728.363636363636</v>
      </c>
      <c r="O26" s="16">
        <v>568</v>
      </c>
      <c r="P26" s="17">
        <v>658.88</v>
      </c>
      <c r="Q26" s="14">
        <v>6.8659340659340655</v>
      </c>
      <c r="R26" s="16">
        <v>1820</v>
      </c>
      <c r="S26" s="15">
        <v>-672.90909090909099</v>
      </c>
      <c r="T26" s="18">
        <v>4900</v>
      </c>
      <c r="U26" s="17">
        <v>5684</v>
      </c>
      <c r="V26" s="14">
        <v>12.947393706461687</v>
      </c>
      <c r="W26" s="16">
        <v>8326</v>
      </c>
      <c r="X26" s="15">
        <v>-776.81818181818198</v>
      </c>
      <c r="Y26" s="18">
        <v>577</v>
      </c>
      <c r="Z26" s="17">
        <v>669.31999999999994</v>
      </c>
      <c r="AA26" s="14">
        <v>23.771535580524343</v>
      </c>
      <c r="AB26" s="16">
        <v>534</v>
      </c>
      <c r="AC26" s="15">
        <v>212.90909090909088</v>
      </c>
      <c r="AD26" s="19">
        <v>28244</v>
      </c>
      <c r="AE26" s="20">
        <v>32763.039999999997</v>
      </c>
      <c r="AF26" s="21">
        <v>26740</v>
      </c>
      <c r="AG26" s="22">
        <v>10.56245325355273</v>
      </c>
      <c r="AH26" s="23">
        <v>1.056245325355273</v>
      </c>
      <c r="AI26" s="26">
        <v>1504</v>
      </c>
      <c r="AJ26" s="27">
        <v>13370</v>
      </c>
      <c r="AK26" s="25">
        <v>11866</v>
      </c>
      <c r="AL26" s="28">
        <v>523.03703703703707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1826</v>
      </c>
      <c r="F27" s="14">
        <v>2118.16</v>
      </c>
      <c r="G27" s="14">
        <v>11.075820237110559</v>
      </c>
      <c r="H27" s="30">
        <v>3627</v>
      </c>
      <c r="I27" s="15">
        <v>177.36363636363626</v>
      </c>
      <c r="J27" s="16">
        <v>3950</v>
      </c>
      <c r="K27" s="13">
        <v>4582</v>
      </c>
      <c r="L27" s="14">
        <v>34.307145677062771</v>
      </c>
      <c r="M27" s="30">
        <v>2533</v>
      </c>
      <c r="N27" s="15">
        <v>2798.6363636363635</v>
      </c>
      <c r="O27" s="16">
        <v>6</v>
      </c>
      <c r="P27" s="17">
        <v>6.9599999999999991</v>
      </c>
      <c r="Q27" s="14">
        <v>0.31428571428571428</v>
      </c>
      <c r="R27" s="16">
        <v>420</v>
      </c>
      <c r="S27" s="15">
        <v>-280.36363636363637</v>
      </c>
      <c r="T27" s="18">
        <v>780</v>
      </c>
      <c r="U27" s="17">
        <v>904.8</v>
      </c>
      <c r="V27" s="14">
        <v>11.237721021611005</v>
      </c>
      <c r="W27" s="16">
        <v>1526.9999999999998</v>
      </c>
      <c r="X27" s="15">
        <v>-261.13636363636328</v>
      </c>
      <c r="Y27" s="18">
        <v>289</v>
      </c>
      <c r="Z27" s="17">
        <v>335.23999999999995</v>
      </c>
      <c r="AA27" s="14">
        <v>96.333333333333329</v>
      </c>
      <c r="AB27" s="16">
        <v>66</v>
      </c>
      <c r="AC27" s="15">
        <v>244</v>
      </c>
      <c r="AD27" s="19">
        <v>6851</v>
      </c>
      <c r="AE27" s="20">
        <v>7947.16</v>
      </c>
      <c r="AF27" s="21">
        <v>3891.9047619047619</v>
      </c>
      <c r="AG27" s="22">
        <v>17.603205677229901</v>
      </c>
      <c r="AH27" s="23">
        <v>1.7603205677229903</v>
      </c>
      <c r="AI27" s="26">
        <v>2959.0952380952381</v>
      </c>
      <c r="AJ27" s="27">
        <v>1945.952380952381</v>
      </c>
      <c r="AK27" s="25">
        <v>-1013.1428571428571</v>
      </c>
      <c r="AL27" s="28">
        <v>126.87037037037037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1744</v>
      </c>
      <c r="F28" s="14">
        <v>2023.04</v>
      </c>
      <c r="G28" s="14">
        <v>10.223288036237676</v>
      </c>
      <c r="H28" s="30">
        <v>3753</v>
      </c>
      <c r="I28" s="15">
        <v>38.090909090909008</v>
      </c>
      <c r="J28" s="16">
        <v>2527</v>
      </c>
      <c r="K28" s="13">
        <v>2931.3199999999997</v>
      </c>
      <c r="L28" s="14">
        <v>16.659874138447709</v>
      </c>
      <c r="M28" s="30">
        <v>3337</v>
      </c>
      <c r="N28" s="15">
        <v>1010.181818181818</v>
      </c>
      <c r="O28" s="16">
        <v>8</v>
      </c>
      <c r="P28" s="17">
        <v>9.2799999999999994</v>
      </c>
      <c r="Q28" s="14">
        <v>0.33333333333333331</v>
      </c>
      <c r="R28" s="16">
        <v>528</v>
      </c>
      <c r="S28" s="15">
        <v>-352</v>
      </c>
      <c r="T28" s="18">
        <v>551</v>
      </c>
      <c r="U28" s="17">
        <v>639.16</v>
      </c>
      <c r="V28" s="14">
        <v>9.3461835003855054</v>
      </c>
      <c r="W28" s="16">
        <v>1297</v>
      </c>
      <c r="X28" s="15">
        <v>-333.31818181818176</v>
      </c>
      <c r="Y28" s="18">
        <v>248</v>
      </c>
      <c r="Z28" s="17">
        <v>287.68</v>
      </c>
      <c r="AA28" s="14">
        <v>67.358024691358025</v>
      </c>
      <c r="AB28" s="16">
        <v>81</v>
      </c>
      <c r="AC28" s="15">
        <v>192.77272727272728</v>
      </c>
      <c r="AD28" s="19">
        <v>5078</v>
      </c>
      <c r="AE28" s="20">
        <v>5890.48</v>
      </c>
      <c r="AF28" s="21">
        <v>4283.8095238095239</v>
      </c>
      <c r="AG28" s="22">
        <v>11.853935082258781</v>
      </c>
      <c r="AH28" s="23">
        <v>1.1853935082258782</v>
      </c>
      <c r="AI28" s="26">
        <v>794.19047619047615</v>
      </c>
      <c r="AJ28" s="27">
        <v>2141.9047619047619</v>
      </c>
      <c r="AK28" s="25">
        <v>1347.7142857142858</v>
      </c>
      <c r="AL28" s="28">
        <v>94.037037037037038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1591</v>
      </c>
      <c r="F29" s="14">
        <v>1845.56</v>
      </c>
      <c r="G29" s="14">
        <v>9.1989487516425754</v>
      </c>
      <c r="H29" s="30">
        <v>3805.0000000000005</v>
      </c>
      <c r="I29" s="15">
        <v>-138.54545454545473</v>
      </c>
      <c r="J29" s="16">
        <v>3248</v>
      </c>
      <c r="K29" s="13">
        <v>3767.68</v>
      </c>
      <c r="L29" s="14">
        <v>26.318968692449356</v>
      </c>
      <c r="M29" s="30">
        <v>2715</v>
      </c>
      <c r="N29" s="15">
        <v>2013.909090909091</v>
      </c>
      <c r="O29" s="16">
        <v>4</v>
      </c>
      <c r="P29" s="17">
        <v>4.6399999999999997</v>
      </c>
      <c r="Q29" s="14">
        <v>0.1837160751565762</v>
      </c>
      <c r="R29" s="16">
        <v>479</v>
      </c>
      <c r="S29" s="15">
        <v>-322.59090909090912</v>
      </c>
      <c r="T29" s="18">
        <v>507</v>
      </c>
      <c r="U29" s="17">
        <v>588.12</v>
      </c>
      <c r="V29" s="14">
        <v>9.7756354075372478</v>
      </c>
      <c r="W29" s="16">
        <v>1141</v>
      </c>
      <c r="X29" s="15">
        <v>-270.9545454545455</v>
      </c>
      <c r="Y29" s="18">
        <v>252</v>
      </c>
      <c r="Z29" s="17">
        <v>292.32</v>
      </c>
      <c r="AA29" s="14">
        <v>84</v>
      </c>
      <c r="AB29" s="16">
        <v>66</v>
      </c>
      <c r="AC29" s="15">
        <v>207</v>
      </c>
      <c r="AD29" s="19">
        <v>5602</v>
      </c>
      <c r="AE29" s="20">
        <v>6498.32</v>
      </c>
      <c r="AF29" s="21">
        <v>3907.6190476190477</v>
      </c>
      <c r="AG29" s="22">
        <v>14.336095539848891</v>
      </c>
      <c r="AH29" s="23">
        <v>1.433609553984889</v>
      </c>
      <c r="AI29" s="26">
        <v>1694.3809523809523</v>
      </c>
      <c r="AJ29" s="27">
        <v>1953.8095238095239</v>
      </c>
      <c r="AK29" s="25">
        <v>259.42857142857156</v>
      </c>
      <c r="AL29" s="28">
        <v>103.74074074074075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255</v>
      </c>
      <c r="F30" s="14">
        <v>938.40000000000009</v>
      </c>
      <c r="G30" s="14">
        <v>2.8261964735516369</v>
      </c>
      <c r="H30" s="30">
        <v>1985</v>
      </c>
      <c r="I30" s="15">
        <v>-647.27272727272737</v>
      </c>
      <c r="J30" s="16">
        <v>1881</v>
      </c>
      <c r="K30" s="13">
        <v>6922.08</v>
      </c>
      <c r="L30" s="14">
        <v>18.615384615384617</v>
      </c>
      <c r="M30" s="30">
        <v>2223</v>
      </c>
      <c r="N30" s="15">
        <v>870.5454545454545</v>
      </c>
      <c r="O30" s="16">
        <v>3</v>
      </c>
      <c r="P30" s="17">
        <v>11.040000000000001</v>
      </c>
      <c r="Q30" s="14">
        <v>0.80487804878048785</v>
      </c>
      <c r="R30" s="16">
        <v>82</v>
      </c>
      <c r="S30" s="15">
        <v>-52.909090909090907</v>
      </c>
      <c r="T30" s="18">
        <v>259</v>
      </c>
      <c r="U30" s="17">
        <v>953.12</v>
      </c>
      <c r="V30" s="14">
        <v>8.1633237822349578</v>
      </c>
      <c r="W30" s="16">
        <v>698</v>
      </c>
      <c r="X30" s="15">
        <v>-216.90909090909088</v>
      </c>
      <c r="Y30" s="18">
        <v>3</v>
      </c>
      <c r="Z30" s="17">
        <v>11.040000000000001</v>
      </c>
      <c r="AA30" s="14">
        <v>0.7021276595744681</v>
      </c>
      <c r="AB30" s="16">
        <v>94</v>
      </c>
      <c r="AC30" s="15">
        <v>-61.090909090909093</v>
      </c>
      <c r="AD30" s="19">
        <v>2401</v>
      </c>
      <c r="AE30" s="20">
        <v>8835.68</v>
      </c>
      <c r="AF30" s="21">
        <v>2420</v>
      </c>
      <c r="AG30" s="22">
        <v>9.9214876033057848</v>
      </c>
      <c r="AH30" s="23">
        <v>0.99214876033057853</v>
      </c>
      <c r="AI30" s="26">
        <v>-19</v>
      </c>
      <c r="AJ30" s="27">
        <v>1210</v>
      </c>
      <c r="AK30" s="25">
        <v>1229</v>
      </c>
      <c r="AL30" s="28">
        <v>150.0625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184</v>
      </c>
      <c r="F31" s="14">
        <v>677.12</v>
      </c>
      <c r="G31" s="14">
        <v>3.3761467889908259</v>
      </c>
      <c r="H31" s="30">
        <v>1199</v>
      </c>
      <c r="I31" s="15">
        <v>-361</v>
      </c>
      <c r="J31" s="16">
        <v>219</v>
      </c>
      <c r="K31" s="13">
        <v>805.92000000000007</v>
      </c>
      <c r="L31" s="14">
        <v>3.2909836065573779</v>
      </c>
      <c r="M31" s="30">
        <v>1463.9999999999998</v>
      </c>
      <c r="N31" s="15">
        <v>-446.45454545454527</v>
      </c>
      <c r="O31" s="16">
        <v>17</v>
      </c>
      <c r="P31" s="17">
        <v>62.56</v>
      </c>
      <c r="Q31" s="14">
        <v>9.35</v>
      </c>
      <c r="R31" s="16">
        <v>40</v>
      </c>
      <c r="S31" s="15">
        <v>-10.272727272727273</v>
      </c>
      <c r="T31" s="18">
        <v>148</v>
      </c>
      <c r="U31" s="17">
        <v>544.64</v>
      </c>
      <c r="V31" s="14">
        <v>12.380228136882129</v>
      </c>
      <c r="W31" s="16">
        <v>263</v>
      </c>
      <c r="X31" s="15">
        <v>-31.318181818181813</v>
      </c>
      <c r="Y31" s="18">
        <v>20</v>
      </c>
      <c r="Z31" s="17">
        <v>73.600000000000009</v>
      </c>
      <c r="AA31" s="14">
        <v>22</v>
      </c>
      <c r="AB31" s="16">
        <v>20</v>
      </c>
      <c r="AC31" s="15">
        <v>6.3636363636363633</v>
      </c>
      <c r="AD31" s="19">
        <v>588</v>
      </c>
      <c r="AE31" s="20">
        <v>2163.84</v>
      </c>
      <c r="AF31" s="21">
        <v>1421.9047619047619</v>
      </c>
      <c r="AG31" s="22">
        <v>4.1352980576021432</v>
      </c>
      <c r="AH31" s="23">
        <v>0.41352980576021431</v>
      </c>
      <c r="AI31" s="26">
        <v>-833.90476190476193</v>
      </c>
      <c r="AJ31" s="27">
        <v>710.95238095238096</v>
      </c>
      <c r="AK31" s="25">
        <v>1544.8571428571429</v>
      </c>
      <c r="AL31" s="28">
        <v>36.75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1714</v>
      </c>
      <c r="F32" s="14">
        <v>7113.1</v>
      </c>
      <c r="G32" s="14">
        <v>7.8476586888657653</v>
      </c>
      <c r="H32" s="30">
        <v>4805</v>
      </c>
      <c r="I32" s="15">
        <v>-470.09090909090901</v>
      </c>
      <c r="J32" s="16">
        <v>1640</v>
      </c>
      <c r="K32" s="13">
        <v>6806.0000000000009</v>
      </c>
      <c r="L32" s="14">
        <v>9.5677539114293282</v>
      </c>
      <c r="M32" s="30">
        <v>3771.0000000000005</v>
      </c>
      <c r="N32" s="15">
        <v>-74.090909090909463</v>
      </c>
      <c r="O32" s="16">
        <v>58</v>
      </c>
      <c r="P32" s="17">
        <v>240.70000000000002</v>
      </c>
      <c r="Q32" s="14">
        <v>4.5409252669039146</v>
      </c>
      <c r="R32" s="16">
        <v>281</v>
      </c>
      <c r="S32" s="15">
        <v>-133.59090909090909</v>
      </c>
      <c r="T32" s="18">
        <v>557</v>
      </c>
      <c r="U32" s="17">
        <v>2311.5500000000002</v>
      </c>
      <c r="V32" s="14">
        <v>6.6925177498634625</v>
      </c>
      <c r="W32" s="16">
        <v>1831</v>
      </c>
      <c r="X32" s="15">
        <v>-691.40909090909099</v>
      </c>
      <c r="Y32" s="18">
        <v>102</v>
      </c>
      <c r="Z32" s="17">
        <v>423.3</v>
      </c>
      <c r="AA32" s="14">
        <v>25.793103448275861</v>
      </c>
      <c r="AB32" s="16">
        <v>87</v>
      </c>
      <c r="AC32" s="15">
        <v>42.68181818181818</v>
      </c>
      <c r="AD32" s="19">
        <v>4071</v>
      </c>
      <c r="AE32" s="20">
        <v>16894.650000000001</v>
      </c>
      <c r="AF32" s="21">
        <v>5130.9523809523807</v>
      </c>
      <c r="AG32" s="22">
        <v>7.9341995359628772</v>
      </c>
      <c r="AH32" s="23">
        <v>0.7934199535962877</v>
      </c>
      <c r="AI32" s="26">
        <v>-1059.9523809523807</v>
      </c>
      <c r="AJ32" s="27">
        <v>2565.4761904761904</v>
      </c>
      <c r="AK32" s="25">
        <v>3625.4285714285711</v>
      </c>
      <c r="AL32" s="28">
        <v>254.4375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1214</v>
      </c>
      <c r="F33" s="14">
        <v>5038.1000000000004</v>
      </c>
      <c r="G33" s="14">
        <v>3.0315550510783202</v>
      </c>
      <c r="H33" s="30">
        <v>8810</v>
      </c>
      <c r="I33" s="15">
        <v>-2790.5454545454545</v>
      </c>
      <c r="J33" s="16">
        <v>3796</v>
      </c>
      <c r="K33" s="13">
        <v>15753.400000000001</v>
      </c>
      <c r="L33" s="14">
        <v>16.462054011433075</v>
      </c>
      <c r="M33" s="30">
        <v>5073</v>
      </c>
      <c r="N33" s="15">
        <v>1490.090909090909</v>
      </c>
      <c r="O33" s="16">
        <v>66</v>
      </c>
      <c r="P33" s="17">
        <v>273.90000000000003</v>
      </c>
      <c r="Q33" s="14">
        <v>4.0445682451253484</v>
      </c>
      <c r="R33" s="16">
        <v>359</v>
      </c>
      <c r="S33" s="15">
        <v>-178.77272727272725</v>
      </c>
      <c r="T33" s="18">
        <v>963</v>
      </c>
      <c r="U33" s="17">
        <v>3996.4500000000003</v>
      </c>
      <c r="V33" s="14">
        <v>8.2693208430913359</v>
      </c>
      <c r="W33" s="16">
        <v>2562</v>
      </c>
      <c r="X33" s="15">
        <v>-783.81818181818176</v>
      </c>
      <c r="Y33" s="18">
        <v>10</v>
      </c>
      <c r="Z33" s="17">
        <v>41.5</v>
      </c>
      <c r="AA33" s="14">
        <v>0.93617021276595747</v>
      </c>
      <c r="AB33" s="16">
        <v>235</v>
      </c>
      <c r="AC33" s="15">
        <v>-150.22727272727272</v>
      </c>
      <c r="AD33" s="19">
        <v>6049</v>
      </c>
      <c r="AE33" s="20">
        <v>25103.350000000002</v>
      </c>
      <c r="AF33" s="21">
        <v>8113.8095238095239</v>
      </c>
      <c r="AG33" s="22">
        <v>7.4551910323375781</v>
      </c>
      <c r="AH33" s="23">
        <v>0.74551910323375781</v>
      </c>
      <c r="AI33" s="26">
        <v>-2064.8095238095239</v>
      </c>
      <c r="AJ33" s="27">
        <v>4056.9047619047619</v>
      </c>
      <c r="AK33" s="25">
        <v>6121.7142857142862</v>
      </c>
      <c r="AL33" s="28">
        <v>378.0625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269</v>
      </c>
      <c r="F34" s="14">
        <v>1116.3500000000001</v>
      </c>
      <c r="G34" s="14">
        <v>3.9986486486486492</v>
      </c>
      <c r="H34" s="30">
        <v>1480</v>
      </c>
      <c r="I34" s="15">
        <v>-403.72727272727263</v>
      </c>
      <c r="J34" s="16">
        <v>80</v>
      </c>
      <c r="K34" s="13">
        <v>332</v>
      </c>
      <c r="L34" s="14">
        <v>0</v>
      </c>
      <c r="M34" s="30">
        <v>0</v>
      </c>
      <c r="N34" s="15">
        <v>80</v>
      </c>
      <c r="O34" s="16">
        <v>0</v>
      </c>
      <c r="P34" s="17">
        <v>0</v>
      </c>
      <c r="Q34" s="14">
        <v>0</v>
      </c>
      <c r="R34" s="16">
        <v>0</v>
      </c>
      <c r="S34" s="15" t="s">
        <v>56</v>
      </c>
      <c r="T34" s="18">
        <v>20</v>
      </c>
      <c r="U34" s="17">
        <v>83</v>
      </c>
      <c r="V34" s="14">
        <v>4.6808510638297873</v>
      </c>
      <c r="W34" s="16">
        <v>94</v>
      </c>
      <c r="X34" s="15">
        <v>-44.090909090909093</v>
      </c>
      <c r="Y34" s="18">
        <v>0</v>
      </c>
      <c r="Z34" s="17">
        <v>0</v>
      </c>
      <c r="AA34" s="14">
        <v>0</v>
      </c>
      <c r="AB34" s="16">
        <v>0</v>
      </c>
      <c r="AC34" s="15">
        <v>0</v>
      </c>
      <c r="AD34" s="19">
        <v>369</v>
      </c>
      <c r="AE34" s="20">
        <v>1531.3500000000001</v>
      </c>
      <c r="AF34" s="31">
        <v>749.52380952380952</v>
      </c>
      <c r="AG34" s="22">
        <v>4.9231257941550197</v>
      </c>
      <c r="AH34" s="23">
        <v>0.49231257941550188</v>
      </c>
      <c r="AI34" s="26">
        <v>-380.52380952380952</v>
      </c>
      <c r="AJ34" s="27">
        <v>374.76190476190476</v>
      </c>
      <c r="AK34" s="25">
        <v>755.28571428571422</v>
      </c>
      <c r="AL34" s="28">
        <v>23.0625</v>
      </c>
    </row>
    <row r="35" spans="2:38" ht="15" customHeight="1" x14ac:dyDescent="0.25">
      <c r="B35" s="10">
        <v>131150</v>
      </c>
      <c r="C35" s="29" t="s">
        <v>57</v>
      </c>
      <c r="D35" s="12">
        <v>1.63</v>
      </c>
      <c r="E35" s="13">
        <v>1679</v>
      </c>
      <c r="F35" s="14">
        <v>2736.77</v>
      </c>
      <c r="G35" s="14">
        <v>3.4540864035907988</v>
      </c>
      <c r="H35" s="30">
        <v>10694</v>
      </c>
      <c r="I35" s="15">
        <v>-3181.909090909091</v>
      </c>
      <c r="J35" s="16">
        <v>4619</v>
      </c>
      <c r="K35" s="13">
        <v>7528.9699999999993</v>
      </c>
      <c r="L35" s="14">
        <v>31.548587395218878</v>
      </c>
      <c r="M35" s="30">
        <v>3221</v>
      </c>
      <c r="N35" s="15">
        <v>3154.909090909091</v>
      </c>
      <c r="O35" s="16">
        <v>176</v>
      </c>
      <c r="P35" s="17">
        <v>286.88</v>
      </c>
      <c r="Q35" s="14">
        <v>4.0544502617801053</v>
      </c>
      <c r="R35" s="16">
        <v>955</v>
      </c>
      <c r="S35" s="15">
        <v>-475.13636363636363</v>
      </c>
      <c r="T35" s="18">
        <v>590</v>
      </c>
      <c r="U35" s="17">
        <v>961.69999999999993</v>
      </c>
      <c r="V35" s="14">
        <v>9.5301027900146842</v>
      </c>
      <c r="W35" s="16">
        <v>1362</v>
      </c>
      <c r="X35" s="15">
        <v>-338.63636363636363</v>
      </c>
      <c r="Y35" s="18">
        <v>78</v>
      </c>
      <c r="Z35" s="17">
        <v>127.13999999999999</v>
      </c>
      <c r="AA35" s="14">
        <v>5.4476190476190478</v>
      </c>
      <c r="AB35" s="16">
        <v>315</v>
      </c>
      <c r="AC35" s="15">
        <v>-136.77272727272728</v>
      </c>
      <c r="AD35" s="19">
        <v>7142</v>
      </c>
      <c r="AE35" s="20">
        <v>11641.46</v>
      </c>
      <c r="AF35" s="21">
        <v>7879.5238095238092</v>
      </c>
      <c r="AG35" s="22">
        <v>9.0639995165286766</v>
      </c>
      <c r="AH35" s="23">
        <v>0.90639995165286757</v>
      </c>
      <c r="AI35" s="26">
        <v>-737.52380952380918</v>
      </c>
      <c r="AJ35" s="27">
        <v>3939.7619047619046</v>
      </c>
      <c r="AK35" s="25">
        <v>4677.2857142857138</v>
      </c>
      <c r="AL35" s="28">
        <v>132.25925925925927</v>
      </c>
    </row>
    <row r="36" spans="2:38" ht="15" customHeight="1" x14ac:dyDescent="0.25">
      <c r="B36" s="10">
        <v>131151</v>
      </c>
      <c r="C36" s="29" t="s">
        <v>58</v>
      </c>
      <c r="D36" s="12">
        <v>1.63</v>
      </c>
      <c r="E36" s="13">
        <v>0</v>
      </c>
      <c r="F36" s="14">
        <v>0</v>
      </c>
      <c r="G36" s="14">
        <v>0</v>
      </c>
      <c r="H36" s="30">
        <v>16447</v>
      </c>
      <c r="I36" s="15">
        <v>-7475.909090909091</v>
      </c>
      <c r="J36" s="16">
        <v>4631</v>
      </c>
      <c r="K36" s="13">
        <v>7548.53</v>
      </c>
      <c r="L36" s="14">
        <v>20.648966355897851</v>
      </c>
      <c r="M36" s="30">
        <v>4934</v>
      </c>
      <c r="N36" s="15">
        <v>2388.272727272727</v>
      </c>
      <c r="O36" s="16">
        <v>965</v>
      </c>
      <c r="P36" s="17">
        <v>1572.9499999999998</v>
      </c>
      <c r="Q36" s="14">
        <v>10.599101347978033</v>
      </c>
      <c r="R36" s="16">
        <v>2003</v>
      </c>
      <c r="S36" s="15">
        <v>-400.68181818181824</v>
      </c>
      <c r="T36" s="18">
        <v>1121</v>
      </c>
      <c r="U36" s="17">
        <v>1827.2299999999998</v>
      </c>
      <c r="V36" s="14">
        <v>8.3941456773315188</v>
      </c>
      <c r="W36" s="16">
        <v>2938</v>
      </c>
      <c r="X36" s="15">
        <v>-882.18181818181802</v>
      </c>
      <c r="Y36" s="18">
        <v>255</v>
      </c>
      <c r="Z36" s="17">
        <v>415.65</v>
      </c>
      <c r="AA36" s="14">
        <v>13.169014084507042</v>
      </c>
      <c r="AB36" s="16">
        <v>426</v>
      </c>
      <c r="AC36" s="15">
        <v>-35.454545454545439</v>
      </c>
      <c r="AD36" s="19">
        <v>6972</v>
      </c>
      <c r="AE36" s="20">
        <v>11364.359999999999</v>
      </c>
      <c r="AF36" s="21">
        <v>12737.142857142859</v>
      </c>
      <c r="AG36" s="22">
        <v>5.4737550471063257</v>
      </c>
      <c r="AH36" s="23">
        <v>0.54737550471063245</v>
      </c>
      <c r="AI36" s="26">
        <v>-5765.1428571428587</v>
      </c>
      <c r="AJ36" s="27">
        <v>6368.5714285714294</v>
      </c>
      <c r="AK36" s="25">
        <v>12133.714285714288</v>
      </c>
      <c r="AL36" s="28">
        <v>129.11111111111111</v>
      </c>
    </row>
    <row r="37" spans="2:38" ht="15" customHeight="1" x14ac:dyDescent="0.25">
      <c r="B37" s="10">
        <v>131152</v>
      </c>
      <c r="C37" s="29" t="s">
        <v>59</v>
      </c>
      <c r="D37" s="12">
        <v>1.63</v>
      </c>
      <c r="E37" s="13">
        <v>2042</v>
      </c>
      <c r="F37" s="14">
        <v>3328.4599999999996</v>
      </c>
      <c r="G37" s="14">
        <v>7.5388488001342502</v>
      </c>
      <c r="H37" s="30">
        <v>5959</v>
      </c>
      <c r="I37" s="15">
        <v>-666.63636363636397</v>
      </c>
      <c r="J37" s="16">
        <v>588</v>
      </c>
      <c r="K37" s="13">
        <v>958.43999999999994</v>
      </c>
      <c r="L37" s="14">
        <v>5.3410404624277454</v>
      </c>
      <c r="M37" s="30">
        <v>2422</v>
      </c>
      <c r="N37" s="15">
        <v>-512.90909090909099</v>
      </c>
      <c r="O37" s="16">
        <v>227</v>
      </c>
      <c r="P37" s="17">
        <v>370.01</v>
      </c>
      <c r="Q37" s="14">
        <v>4.9105211406096361</v>
      </c>
      <c r="R37" s="16">
        <v>1017</v>
      </c>
      <c r="S37" s="15">
        <v>-466.40909090909088</v>
      </c>
      <c r="T37" s="18">
        <v>900</v>
      </c>
      <c r="U37" s="17">
        <v>1467</v>
      </c>
      <c r="V37" s="14">
        <v>13.000656598818122</v>
      </c>
      <c r="W37" s="16">
        <v>1523</v>
      </c>
      <c r="X37" s="15">
        <v>-138.40909090909099</v>
      </c>
      <c r="Y37" s="18">
        <v>3</v>
      </c>
      <c r="Z37" s="17">
        <v>4.8899999999999997</v>
      </c>
      <c r="AA37" s="14">
        <v>0.34375</v>
      </c>
      <c r="AB37" s="16">
        <v>192</v>
      </c>
      <c r="AC37" s="15">
        <v>-127.90909090909091</v>
      </c>
      <c r="AD37" s="19">
        <v>3760</v>
      </c>
      <c r="AE37" s="20">
        <v>6128.7999999999993</v>
      </c>
      <c r="AF37" s="21">
        <v>5291.9047619047615</v>
      </c>
      <c r="AG37" s="22">
        <v>7.105192117340053</v>
      </c>
      <c r="AH37" s="23">
        <v>0.71051921173400523</v>
      </c>
      <c r="AI37" s="26">
        <v>-1531.9047619047615</v>
      </c>
      <c r="AJ37" s="27">
        <v>2645.9523809523807</v>
      </c>
      <c r="AK37" s="25">
        <v>4177.8571428571422</v>
      </c>
      <c r="AL37" s="28">
        <v>69.629629629629633</v>
      </c>
    </row>
    <row r="38" spans="2:38" ht="15" customHeight="1" x14ac:dyDescent="0.25">
      <c r="B38" s="10">
        <v>131153</v>
      </c>
      <c r="C38" s="29" t="s">
        <v>60</v>
      </c>
      <c r="D38" s="12">
        <v>1.63</v>
      </c>
      <c r="E38" s="13">
        <v>1365</v>
      </c>
      <c r="F38" s="14">
        <v>2224.9499999999998</v>
      </c>
      <c r="G38" s="14">
        <v>7.3083475298126066</v>
      </c>
      <c r="H38" s="30">
        <v>4109</v>
      </c>
      <c r="I38" s="15">
        <v>-502.72727272727275</v>
      </c>
      <c r="J38" s="16">
        <v>1436</v>
      </c>
      <c r="K38" s="13">
        <v>2340.6799999999998</v>
      </c>
      <c r="L38" s="14">
        <v>15.144774688398851</v>
      </c>
      <c r="M38" s="30">
        <v>2086</v>
      </c>
      <c r="N38" s="15">
        <v>487.81818181818187</v>
      </c>
      <c r="O38" s="16">
        <v>8</v>
      </c>
      <c r="P38" s="17">
        <v>13.04</v>
      </c>
      <c r="Q38" s="14">
        <v>0.23435419440745675</v>
      </c>
      <c r="R38" s="16">
        <v>751</v>
      </c>
      <c r="S38" s="15">
        <v>-504.0454545454545</v>
      </c>
      <c r="T38" s="18">
        <v>668</v>
      </c>
      <c r="U38" s="17">
        <v>1088.8399999999999</v>
      </c>
      <c r="V38" s="14">
        <v>14.337560975609755</v>
      </c>
      <c r="W38" s="16">
        <v>1025</v>
      </c>
      <c r="X38" s="15">
        <v>-30.863636363636374</v>
      </c>
      <c r="Y38" s="18">
        <v>205</v>
      </c>
      <c r="Z38" s="17">
        <v>334.15</v>
      </c>
      <c r="AA38" s="14">
        <v>9.6367521367521363</v>
      </c>
      <c r="AB38" s="16">
        <v>468</v>
      </c>
      <c r="AC38" s="15">
        <v>-114.09090909090912</v>
      </c>
      <c r="AD38" s="19">
        <v>3682</v>
      </c>
      <c r="AE38" s="20">
        <v>6001.66</v>
      </c>
      <c r="AF38" s="21">
        <v>4018.5714285714284</v>
      </c>
      <c r="AG38" s="22">
        <v>9.1624600071098481</v>
      </c>
      <c r="AH38" s="23">
        <v>0.91624600071098472</v>
      </c>
      <c r="AI38" s="26">
        <v>-336.57142857142844</v>
      </c>
      <c r="AJ38" s="27">
        <v>2009.2857142857142</v>
      </c>
      <c r="AK38" s="25">
        <v>2345.8571428571427</v>
      </c>
      <c r="AL38" s="28">
        <v>68.18518518518519</v>
      </c>
    </row>
    <row r="39" spans="2:38" ht="15" customHeight="1" x14ac:dyDescent="0.25">
      <c r="B39" s="10">
        <v>131154</v>
      </c>
      <c r="C39" s="29" t="s">
        <v>61</v>
      </c>
      <c r="D39" s="12">
        <v>1.63</v>
      </c>
      <c r="E39" s="13">
        <v>899</v>
      </c>
      <c r="F39" s="14">
        <v>1465.37</v>
      </c>
      <c r="G39" s="14">
        <v>105.76470588235294</v>
      </c>
      <c r="H39" s="30">
        <v>187</v>
      </c>
      <c r="I39" s="15">
        <v>814</v>
      </c>
      <c r="J39" s="16">
        <v>3558</v>
      </c>
      <c r="K39" s="13">
        <v>5799.54</v>
      </c>
      <c r="L39" s="14">
        <v>95.926470588235304</v>
      </c>
      <c r="M39" s="30">
        <v>815.99999999999989</v>
      </c>
      <c r="N39" s="15">
        <v>3187.090909090909</v>
      </c>
      <c r="O39" s="16">
        <v>439</v>
      </c>
      <c r="P39" s="17">
        <v>715.56999999999994</v>
      </c>
      <c r="Q39" s="14">
        <v>878</v>
      </c>
      <c r="R39" s="16">
        <v>11</v>
      </c>
      <c r="S39" s="15">
        <v>431.5</v>
      </c>
      <c r="T39" s="18">
        <v>296</v>
      </c>
      <c r="U39" s="17">
        <v>482.47999999999996</v>
      </c>
      <c r="V39" s="14">
        <v>12.104089219330856</v>
      </c>
      <c r="W39" s="16">
        <v>538</v>
      </c>
      <c r="X39" s="15">
        <v>-70.818181818181813</v>
      </c>
      <c r="Y39" s="18">
        <v>137</v>
      </c>
      <c r="Z39" s="17">
        <v>223.30999999999997</v>
      </c>
      <c r="AA39" s="14">
        <v>65.521739130434781</v>
      </c>
      <c r="AB39" s="16">
        <v>46</v>
      </c>
      <c r="AC39" s="15">
        <v>105.63636363636364</v>
      </c>
      <c r="AD39" s="19">
        <v>5329</v>
      </c>
      <c r="AE39" s="20">
        <v>8686.2699999999986</v>
      </c>
      <c r="AF39" s="21">
        <v>760.95238095238096</v>
      </c>
      <c r="AG39" s="22">
        <v>70.030663329161442</v>
      </c>
      <c r="AH39" s="23">
        <v>7.0030663329161449</v>
      </c>
      <c r="AI39" s="26">
        <v>4568.0476190476193</v>
      </c>
      <c r="AJ39" s="27">
        <v>380.47619047619048</v>
      </c>
      <c r="AK39" s="25">
        <v>-4187.5714285714284</v>
      </c>
      <c r="AL39" s="28">
        <v>98.68518518518519</v>
      </c>
    </row>
    <row r="40" spans="2:38" ht="15" customHeight="1" x14ac:dyDescent="0.25">
      <c r="B40" s="10">
        <v>131155</v>
      </c>
      <c r="C40" s="29" t="s">
        <v>62</v>
      </c>
      <c r="D40" s="12">
        <v>1.63</v>
      </c>
      <c r="E40" s="13">
        <v>850</v>
      </c>
      <c r="F40" s="14">
        <v>1385.5</v>
      </c>
      <c r="G40" s="14">
        <v>101.08108108108109</v>
      </c>
      <c r="H40" s="30">
        <v>185</v>
      </c>
      <c r="I40" s="15">
        <v>765.90909090909088</v>
      </c>
      <c r="J40" s="16">
        <v>3651</v>
      </c>
      <c r="K40" s="13">
        <v>5951.1299999999992</v>
      </c>
      <c r="L40" s="14">
        <v>112.49579831932773</v>
      </c>
      <c r="M40" s="30">
        <v>714</v>
      </c>
      <c r="N40" s="15">
        <v>3326.4545454545455</v>
      </c>
      <c r="O40" s="16">
        <v>440</v>
      </c>
      <c r="P40" s="17">
        <v>717.19999999999993</v>
      </c>
      <c r="Q40" s="14">
        <v>880</v>
      </c>
      <c r="R40" s="16">
        <v>11</v>
      </c>
      <c r="S40" s="15">
        <v>432.5</v>
      </c>
      <c r="T40" s="18">
        <v>263</v>
      </c>
      <c r="U40" s="17">
        <v>428.69</v>
      </c>
      <c r="V40" s="14">
        <v>10.27708703374778</v>
      </c>
      <c r="W40" s="16">
        <v>563</v>
      </c>
      <c r="X40" s="15">
        <v>-120.86363636363637</v>
      </c>
      <c r="Y40" s="18">
        <v>143</v>
      </c>
      <c r="Z40" s="17">
        <v>233.08999999999997</v>
      </c>
      <c r="AA40" s="14">
        <v>76.731707317073173</v>
      </c>
      <c r="AB40" s="16">
        <v>41</v>
      </c>
      <c r="AC40" s="15">
        <v>115.04545454545455</v>
      </c>
      <c r="AD40" s="19">
        <v>5347</v>
      </c>
      <c r="AE40" s="20">
        <v>8715.6099999999988</v>
      </c>
      <c r="AF40" s="21">
        <v>720.95238095238096</v>
      </c>
      <c r="AG40" s="22">
        <v>74.165785997357986</v>
      </c>
      <c r="AH40" s="23">
        <v>7.4165785997357991</v>
      </c>
      <c r="AI40" s="26">
        <v>4626.0476190476193</v>
      </c>
      <c r="AJ40" s="27">
        <v>360.47619047619048</v>
      </c>
      <c r="AK40" s="25">
        <v>-4265.5714285714284</v>
      </c>
      <c r="AL40" s="28">
        <v>99.018518518518519</v>
      </c>
    </row>
    <row r="41" spans="2:38" ht="15" customHeight="1" x14ac:dyDescent="0.25">
      <c r="B41" s="10">
        <v>131700</v>
      </c>
      <c r="C41" s="29" t="s">
        <v>63</v>
      </c>
      <c r="D41" s="12">
        <v>6.15</v>
      </c>
      <c r="E41" s="13">
        <v>204</v>
      </c>
      <c r="F41" s="14">
        <v>1254.6000000000001</v>
      </c>
      <c r="G41" s="14">
        <v>3.3442622950819674</v>
      </c>
      <c r="H41" s="30">
        <v>1342</v>
      </c>
      <c r="I41" s="15">
        <v>-406</v>
      </c>
      <c r="J41" s="16">
        <v>229</v>
      </c>
      <c r="K41" s="13">
        <v>1408.3500000000001</v>
      </c>
      <c r="L41" s="14">
        <v>6.3611111111111107</v>
      </c>
      <c r="M41" s="30">
        <v>792</v>
      </c>
      <c r="N41" s="15">
        <v>-131</v>
      </c>
      <c r="O41" s="16">
        <v>7</v>
      </c>
      <c r="P41" s="17">
        <v>43.050000000000004</v>
      </c>
      <c r="Q41" s="14">
        <v>1.8554216867469879</v>
      </c>
      <c r="R41" s="16">
        <v>83</v>
      </c>
      <c r="S41" s="15">
        <v>-49.590909090909093</v>
      </c>
      <c r="T41" s="18">
        <v>146</v>
      </c>
      <c r="U41" s="17">
        <v>897.90000000000009</v>
      </c>
      <c r="V41" s="14">
        <v>8.634408602150538</v>
      </c>
      <c r="W41" s="16">
        <v>372</v>
      </c>
      <c r="X41" s="15">
        <v>-107.63636363636365</v>
      </c>
      <c r="Y41" s="18">
        <v>1</v>
      </c>
      <c r="Z41" s="17">
        <v>6.15</v>
      </c>
      <c r="AA41" s="14">
        <v>0.22916666666666669</v>
      </c>
      <c r="AB41" s="16">
        <v>96</v>
      </c>
      <c r="AC41" s="15">
        <v>-64.454545454545453</v>
      </c>
      <c r="AD41" s="19">
        <v>587</v>
      </c>
      <c r="AE41" s="20">
        <v>3610.05</v>
      </c>
      <c r="AF41" s="21">
        <v>1278.5714285714287</v>
      </c>
      <c r="AG41" s="22">
        <v>4.5910614525139666</v>
      </c>
      <c r="AH41" s="23">
        <v>0.45910614525139659</v>
      </c>
      <c r="AI41" s="26">
        <v>-691.57142857142867</v>
      </c>
      <c r="AJ41" s="27">
        <v>639.28571428571433</v>
      </c>
      <c r="AK41" s="25">
        <v>1330.8571428571431</v>
      </c>
      <c r="AL41" s="28">
        <v>10.87037037037037</v>
      </c>
    </row>
    <row r="42" spans="2:38" ht="15" customHeight="1" x14ac:dyDescent="0.25">
      <c r="B42" s="10">
        <v>131701</v>
      </c>
      <c r="C42" s="29" t="s">
        <v>64</v>
      </c>
      <c r="D42" s="12">
        <v>6.15</v>
      </c>
      <c r="E42" s="13">
        <v>0</v>
      </c>
      <c r="F42" s="14">
        <v>0</v>
      </c>
      <c r="G42" s="14">
        <v>0</v>
      </c>
      <c r="H42" s="30">
        <v>1412</v>
      </c>
      <c r="I42" s="15">
        <v>-641.81818181818187</v>
      </c>
      <c r="J42" s="16">
        <v>421</v>
      </c>
      <c r="K42" s="13">
        <v>2589.15</v>
      </c>
      <c r="L42" s="14">
        <v>10.002159827213822</v>
      </c>
      <c r="M42" s="30">
        <v>926</v>
      </c>
      <c r="N42" s="15">
        <v>9.0909090909065071E-2</v>
      </c>
      <c r="O42" s="16">
        <v>12</v>
      </c>
      <c r="P42" s="17">
        <v>73.800000000000011</v>
      </c>
      <c r="Q42" s="14">
        <v>3.2592592592592595</v>
      </c>
      <c r="R42" s="16">
        <v>81</v>
      </c>
      <c r="S42" s="15">
        <v>-43.227272727272727</v>
      </c>
      <c r="T42" s="18">
        <v>171</v>
      </c>
      <c r="U42" s="17">
        <v>1051.6500000000001</v>
      </c>
      <c r="V42" s="14">
        <v>7.0981132075471702</v>
      </c>
      <c r="W42" s="16">
        <v>530</v>
      </c>
      <c r="X42" s="15">
        <v>-190.36363636363637</v>
      </c>
      <c r="Y42" s="18">
        <v>71</v>
      </c>
      <c r="Z42" s="17">
        <v>436.65000000000003</v>
      </c>
      <c r="AA42" s="14">
        <v>25.606557377049178</v>
      </c>
      <c r="AB42" s="16">
        <v>61</v>
      </c>
      <c r="AC42" s="15">
        <v>29.409090909090907</v>
      </c>
      <c r="AD42" s="19">
        <v>675</v>
      </c>
      <c r="AE42" s="20">
        <v>4151.25</v>
      </c>
      <c r="AF42" s="21">
        <v>1433.3333333333335</v>
      </c>
      <c r="AG42" s="22">
        <v>4.7093023255813948</v>
      </c>
      <c r="AH42" s="23">
        <v>0.47093023255813948</v>
      </c>
      <c r="AI42" s="26">
        <v>-758.33333333333348</v>
      </c>
      <c r="AJ42" s="27">
        <v>716.66666666666674</v>
      </c>
      <c r="AK42" s="25">
        <v>1475.0000000000002</v>
      </c>
      <c r="AL42" s="28">
        <v>12.5</v>
      </c>
    </row>
    <row r="43" spans="2:38" ht="15" customHeight="1" x14ac:dyDescent="0.25">
      <c r="B43" s="10">
        <v>132150</v>
      </c>
      <c r="C43" s="29" t="s">
        <v>65</v>
      </c>
      <c r="D43" s="12">
        <v>1.1599999999999999</v>
      </c>
      <c r="E43" s="13">
        <v>2635</v>
      </c>
      <c r="F43" s="14">
        <v>3056.6</v>
      </c>
      <c r="G43" s="14">
        <v>7.8539493293591658</v>
      </c>
      <c r="H43" s="30">
        <v>7381</v>
      </c>
      <c r="I43" s="15">
        <v>-720</v>
      </c>
      <c r="J43" s="16">
        <v>678</v>
      </c>
      <c r="K43" s="13">
        <v>786.4799999999999</v>
      </c>
      <c r="L43" s="14">
        <v>5.4338797814207656</v>
      </c>
      <c r="M43" s="30">
        <v>2745</v>
      </c>
      <c r="N43" s="15">
        <v>-569.72727272727275</v>
      </c>
      <c r="O43" s="16">
        <v>332</v>
      </c>
      <c r="P43" s="17">
        <v>385.11999999999995</v>
      </c>
      <c r="Q43" s="14">
        <v>6.4239226033421284</v>
      </c>
      <c r="R43" s="16">
        <v>1137</v>
      </c>
      <c r="S43" s="15">
        <v>-443.22727272727275</v>
      </c>
      <c r="T43" s="18">
        <v>1259</v>
      </c>
      <c r="U43" s="17">
        <v>1460.4399999999998</v>
      </c>
      <c r="V43" s="14">
        <v>13.348433734939761</v>
      </c>
      <c r="W43" s="16">
        <v>2075</v>
      </c>
      <c r="X43" s="15">
        <v>-155.77272727272725</v>
      </c>
      <c r="Y43" s="18">
        <v>52</v>
      </c>
      <c r="Z43" s="17">
        <v>60.319999999999993</v>
      </c>
      <c r="AA43" s="14">
        <v>3.1955307262569832</v>
      </c>
      <c r="AB43" s="16">
        <v>358</v>
      </c>
      <c r="AC43" s="15">
        <v>-192.09090909090909</v>
      </c>
      <c r="AD43" s="19">
        <v>4956</v>
      </c>
      <c r="AE43" s="20">
        <v>5748.96</v>
      </c>
      <c r="AF43" s="21">
        <v>6521.9047619047615</v>
      </c>
      <c r="AG43" s="22">
        <v>7.5990070093457946</v>
      </c>
      <c r="AH43" s="23">
        <v>0.75990070093457951</v>
      </c>
      <c r="AI43" s="26">
        <v>-1565.9047619047615</v>
      </c>
      <c r="AJ43" s="27">
        <v>3260.9523809523807</v>
      </c>
      <c r="AK43" s="25">
        <v>4826.8571428571422</v>
      </c>
      <c r="AL43" s="28">
        <v>91.777777777777771</v>
      </c>
    </row>
    <row r="44" spans="2:38" ht="15" customHeight="1" x14ac:dyDescent="0.25">
      <c r="B44" s="10">
        <v>132151</v>
      </c>
      <c r="C44" s="29" t="s">
        <v>66</v>
      </c>
      <c r="D44" s="12">
        <v>1.1599999999999999</v>
      </c>
      <c r="E44" s="13">
        <v>2325</v>
      </c>
      <c r="F44" s="14">
        <v>2697</v>
      </c>
      <c r="G44" s="14">
        <v>7.9450139794967383</v>
      </c>
      <c r="H44" s="30">
        <v>6438</v>
      </c>
      <c r="I44" s="15">
        <v>-601.36363636363603</v>
      </c>
      <c r="J44" s="16">
        <v>932</v>
      </c>
      <c r="K44" s="13">
        <v>1081.1199999999999</v>
      </c>
      <c r="L44" s="14">
        <v>5.4416135881104042</v>
      </c>
      <c r="M44" s="30">
        <v>3767.9999999999995</v>
      </c>
      <c r="N44" s="15">
        <v>-780.72727272727252</v>
      </c>
      <c r="O44" s="16">
        <v>535</v>
      </c>
      <c r="P44" s="17">
        <v>620.59999999999991</v>
      </c>
      <c r="Q44" s="14">
        <v>15.651595744680852</v>
      </c>
      <c r="R44" s="16">
        <v>752</v>
      </c>
      <c r="S44" s="15">
        <v>22.272727272727252</v>
      </c>
      <c r="T44" s="18">
        <v>1194</v>
      </c>
      <c r="U44" s="17">
        <v>1385.04</v>
      </c>
      <c r="V44" s="14">
        <v>14.122580645161291</v>
      </c>
      <c r="W44" s="16">
        <v>1860</v>
      </c>
      <c r="X44" s="15">
        <v>-74.181818181818244</v>
      </c>
      <c r="Y44" s="18">
        <v>162</v>
      </c>
      <c r="Z44" s="17">
        <v>187.92</v>
      </c>
      <c r="AA44" s="14">
        <v>9.091836734693878</v>
      </c>
      <c r="AB44" s="16">
        <v>392</v>
      </c>
      <c r="AC44" s="15">
        <v>-105.27272727272725</v>
      </c>
      <c r="AD44" s="19">
        <v>5148</v>
      </c>
      <c r="AE44" s="20">
        <v>5971.6799999999994</v>
      </c>
      <c r="AF44" s="21">
        <v>6290.4761904761908</v>
      </c>
      <c r="AG44" s="22">
        <v>8.1838001514004546</v>
      </c>
      <c r="AH44" s="23">
        <v>0.81838001514004532</v>
      </c>
      <c r="AI44" s="26">
        <v>-1142.4761904761908</v>
      </c>
      <c r="AJ44" s="27">
        <v>3145.2380952380954</v>
      </c>
      <c r="AK44" s="25">
        <v>4287.7142857142862</v>
      </c>
      <c r="AL44" s="28">
        <v>95.333333333333329</v>
      </c>
    </row>
    <row r="45" spans="2:38" ht="15" customHeight="1" x14ac:dyDescent="0.25">
      <c r="B45" s="10">
        <v>132152</v>
      </c>
      <c r="C45" s="29" t="s">
        <v>67</v>
      </c>
      <c r="D45" s="12">
        <v>1.1599999999999999</v>
      </c>
      <c r="E45" s="13">
        <v>3247</v>
      </c>
      <c r="F45" s="14">
        <v>3766.5199999999995</v>
      </c>
      <c r="G45" s="14">
        <v>8.427796130250119</v>
      </c>
      <c r="H45" s="30">
        <v>8476</v>
      </c>
      <c r="I45" s="15">
        <v>-605.72727272727252</v>
      </c>
      <c r="J45" s="16">
        <v>2425</v>
      </c>
      <c r="K45" s="13">
        <v>2813</v>
      </c>
      <c r="L45" s="14">
        <v>9.8650147928994087</v>
      </c>
      <c r="M45" s="30">
        <v>5408</v>
      </c>
      <c r="N45" s="15">
        <v>-33.181818181818016</v>
      </c>
      <c r="O45" s="16">
        <v>266</v>
      </c>
      <c r="P45" s="17">
        <v>308.56</v>
      </c>
      <c r="Q45" s="14">
        <v>5.2296693476318135</v>
      </c>
      <c r="R45" s="16">
        <v>1119</v>
      </c>
      <c r="S45" s="15">
        <v>-496.9545454545455</v>
      </c>
      <c r="T45" s="18">
        <v>1460</v>
      </c>
      <c r="U45" s="17">
        <v>1693.6</v>
      </c>
      <c r="V45" s="14">
        <v>12.695652173913043</v>
      </c>
      <c r="W45" s="16">
        <v>2530</v>
      </c>
      <c r="X45" s="15">
        <v>-265</v>
      </c>
      <c r="Y45" s="18">
        <v>79</v>
      </c>
      <c r="Z45" s="17">
        <v>91.64</v>
      </c>
      <c r="AA45" s="14">
        <v>4.7878787878787881</v>
      </c>
      <c r="AB45" s="16">
        <v>363</v>
      </c>
      <c r="AC45" s="15">
        <v>-168.5</v>
      </c>
      <c r="AD45" s="19">
        <v>7477</v>
      </c>
      <c r="AE45" s="20">
        <v>8673.32</v>
      </c>
      <c r="AF45" s="21">
        <v>8521.9047619047615</v>
      </c>
      <c r="AG45" s="22">
        <v>8.7738600804649085</v>
      </c>
      <c r="AH45" s="23">
        <v>0.87738600804649092</v>
      </c>
      <c r="AI45" s="26">
        <v>-1044.9047619047615</v>
      </c>
      <c r="AJ45" s="27">
        <v>4260.9523809523807</v>
      </c>
      <c r="AK45" s="25">
        <v>5305.8571428571422</v>
      </c>
      <c r="AL45" s="28">
        <v>138.46296296296296</v>
      </c>
    </row>
    <row r="46" spans="2:38" ht="15" customHeight="1" x14ac:dyDescent="0.25">
      <c r="B46" s="10">
        <v>132153</v>
      </c>
      <c r="C46" s="29" t="s">
        <v>68</v>
      </c>
      <c r="D46" s="12">
        <v>1.1599999999999999</v>
      </c>
      <c r="E46" s="13">
        <v>2083</v>
      </c>
      <c r="F46" s="14">
        <v>2416.2799999999997</v>
      </c>
      <c r="G46" s="14">
        <v>8.0679577464788732</v>
      </c>
      <c r="H46" s="30">
        <v>5680</v>
      </c>
      <c r="I46" s="15">
        <v>-498.81818181818198</v>
      </c>
      <c r="J46" s="16">
        <v>3556</v>
      </c>
      <c r="K46" s="13">
        <v>4124.96</v>
      </c>
      <c r="L46" s="14">
        <v>19.705793450881611</v>
      </c>
      <c r="M46" s="30">
        <v>3970</v>
      </c>
      <c r="N46" s="15">
        <v>1751.4545454545453</v>
      </c>
      <c r="O46" s="16">
        <v>0</v>
      </c>
      <c r="P46" s="17">
        <v>0</v>
      </c>
      <c r="Q46" s="14">
        <v>0</v>
      </c>
      <c r="R46" s="16">
        <v>822.00000000000011</v>
      </c>
      <c r="S46" s="15">
        <v>-560.4545454545455</v>
      </c>
      <c r="T46" s="18">
        <v>787</v>
      </c>
      <c r="U46" s="17">
        <v>912.92</v>
      </c>
      <c r="V46" s="14">
        <v>13.918006430868166</v>
      </c>
      <c r="W46" s="16">
        <v>1244</v>
      </c>
      <c r="X46" s="15">
        <v>-61.181818181818244</v>
      </c>
      <c r="Y46" s="18">
        <v>13</v>
      </c>
      <c r="Z46" s="17">
        <v>15.079999999999998</v>
      </c>
      <c r="AA46" s="14">
        <v>0.64559819413092545</v>
      </c>
      <c r="AB46" s="16">
        <v>443</v>
      </c>
      <c r="AC46" s="15">
        <v>-289.04545454545456</v>
      </c>
      <c r="AD46" s="19">
        <v>6439</v>
      </c>
      <c r="AE46" s="20">
        <v>7469.24</v>
      </c>
      <c r="AF46" s="21">
        <v>5790</v>
      </c>
      <c r="AG46" s="22">
        <v>11.120898100172711</v>
      </c>
      <c r="AH46" s="23">
        <v>1.1120898100172711</v>
      </c>
      <c r="AI46" s="26">
        <v>649</v>
      </c>
      <c r="AJ46" s="27">
        <v>2895</v>
      </c>
      <c r="AK46" s="25">
        <v>2246</v>
      </c>
      <c r="AL46" s="28">
        <v>119.24074074074075</v>
      </c>
    </row>
    <row r="47" spans="2:38" ht="15" customHeight="1" x14ac:dyDescent="0.25">
      <c r="B47" s="10">
        <v>134000</v>
      </c>
      <c r="C47" s="29" t="s">
        <v>69</v>
      </c>
      <c r="D47" s="12">
        <v>18</v>
      </c>
      <c r="E47" s="13">
        <v>0</v>
      </c>
      <c r="F47" s="14">
        <v>0</v>
      </c>
      <c r="G47" s="14">
        <v>0</v>
      </c>
      <c r="H47" s="30">
        <v>0</v>
      </c>
      <c r="I47" s="15">
        <v>0</v>
      </c>
      <c r="J47" s="16">
        <v>3</v>
      </c>
      <c r="K47" s="13">
        <v>54</v>
      </c>
      <c r="L47" s="14">
        <v>2.0625</v>
      </c>
      <c r="M47" s="30">
        <v>32</v>
      </c>
      <c r="N47" s="15">
        <v>-11.545454545454547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13</v>
      </c>
      <c r="U47" s="17">
        <v>234</v>
      </c>
      <c r="V47" s="14">
        <v>14.3</v>
      </c>
      <c r="W47" s="16">
        <v>20</v>
      </c>
      <c r="X47" s="15">
        <v>-0.63636363636363669</v>
      </c>
      <c r="Y47" s="18">
        <v>4</v>
      </c>
      <c r="Z47" s="17">
        <v>72</v>
      </c>
      <c r="AA47" s="14">
        <v>0</v>
      </c>
      <c r="AB47" s="16">
        <v>0</v>
      </c>
      <c r="AC47" s="15">
        <v>4</v>
      </c>
      <c r="AD47" s="19">
        <v>20</v>
      </c>
      <c r="AE47" s="20">
        <v>360</v>
      </c>
      <c r="AF47" s="31">
        <v>24.761904761904763</v>
      </c>
      <c r="AG47" s="22">
        <v>8.0769230769230766</v>
      </c>
      <c r="AH47" s="23">
        <v>0.80769230769230771</v>
      </c>
      <c r="AI47" s="26">
        <v>-4.7619047619047628</v>
      </c>
      <c r="AJ47" s="27">
        <v>12.380952380952381</v>
      </c>
      <c r="AK47" s="25">
        <v>17.142857142857146</v>
      </c>
      <c r="AL47" s="28">
        <v>10</v>
      </c>
    </row>
    <row r="48" spans="2:38" ht="15" customHeight="1" x14ac:dyDescent="0.25">
      <c r="B48" s="10">
        <v>134001</v>
      </c>
      <c r="C48" s="29" t="s">
        <v>70</v>
      </c>
      <c r="D48" s="12">
        <v>18</v>
      </c>
      <c r="E48" s="13">
        <v>0</v>
      </c>
      <c r="F48" s="14">
        <v>0</v>
      </c>
      <c r="G48" s="14">
        <v>0</v>
      </c>
      <c r="H48" s="30">
        <v>0</v>
      </c>
      <c r="I48" s="15">
        <v>0</v>
      </c>
      <c r="J48" s="16">
        <v>2</v>
      </c>
      <c r="K48" s="13">
        <v>36</v>
      </c>
      <c r="L48" s="14">
        <v>4.8888888888888884</v>
      </c>
      <c r="M48" s="30">
        <v>9</v>
      </c>
      <c r="N48" s="15">
        <v>-2.0909090909090908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2</v>
      </c>
      <c r="AE48" s="20">
        <v>36</v>
      </c>
      <c r="AF48" s="31">
        <v>4.2857142857142856</v>
      </c>
      <c r="AG48" s="22">
        <v>0</v>
      </c>
      <c r="AH48" s="23">
        <v>0</v>
      </c>
      <c r="AI48" s="26">
        <v>-2.2857142857142856</v>
      </c>
      <c r="AJ48" s="27">
        <v>2.1428571428571428</v>
      </c>
      <c r="AK48" s="25">
        <v>4.4285714285714288</v>
      </c>
      <c r="AL48" s="28">
        <v>1</v>
      </c>
    </row>
    <row r="49" spans="2:39" ht="15" customHeight="1" x14ac:dyDescent="0.25">
      <c r="B49" s="10">
        <v>140230</v>
      </c>
      <c r="C49" s="29" t="s">
        <v>71</v>
      </c>
      <c r="D49" s="12">
        <v>1.1599999999999999</v>
      </c>
      <c r="E49" s="13">
        <v>0</v>
      </c>
      <c r="F49" s="14">
        <v>0</v>
      </c>
      <c r="G49" s="14">
        <v>0</v>
      </c>
      <c r="H49" s="30">
        <v>1237</v>
      </c>
      <c r="I49" s="15">
        <v>-562.27272727272725</v>
      </c>
      <c r="J49" s="16">
        <v>9</v>
      </c>
      <c r="K49" s="13">
        <v>10.44</v>
      </c>
      <c r="L49" s="14">
        <v>0.16058394160583941</v>
      </c>
      <c r="M49" s="30">
        <v>1233</v>
      </c>
      <c r="N49" s="15">
        <v>-551.4545454545455</v>
      </c>
      <c r="O49" s="16">
        <v>45</v>
      </c>
      <c r="P49" s="17">
        <v>52.199999999999996</v>
      </c>
      <c r="Q49" s="14">
        <v>8.8392857142857153</v>
      </c>
      <c r="R49" s="16">
        <v>112</v>
      </c>
      <c r="S49" s="15">
        <v>-31.36363636363636</v>
      </c>
      <c r="T49" s="18">
        <v>255</v>
      </c>
      <c r="U49" s="17">
        <v>295.79999999999995</v>
      </c>
      <c r="V49" s="14">
        <v>24.181034482758623</v>
      </c>
      <c r="W49" s="16">
        <v>232</v>
      </c>
      <c r="X49" s="15">
        <v>96.818181818181813</v>
      </c>
      <c r="Y49" s="18">
        <v>99</v>
      </c>
      <c r="Z49" s="17">
        <v>114.83999999999999</v>
      </c>
      <c r="AA49" s="14">
        <v>33</v>
      </c>
      <c r="AB49" s="16">
        <v>66</v>
      </c>
      <c r="AC49" s="15">
        <v>54</v>
      </c>
      <c r="AD49" s="19">
        <v>408</v>
      </c>
      <c r="AE49" s="20">
        <v>473.28</v>
      </c>
      <c r="AF49" s="21">
        <v>1371.4285714285713</v>
      </c>
      <c r="AG49" s="22">
        <v>2.9750000000000001</v>
      </c>
      <c r="AH49" s="23">
        <v>0.29750000000000004</v>
      </c>
      <c r="AI49" s="26">
        <v>-963.42857142857133</v>
      </c>
      <c r="AJ49" s="27">
        <v>685.71428571428567</v>
      </c>
      <c r="AK49" s="25">
        <v>1649.1428571428569</v>
      </c>
      <c r="AL49" s="28">
        <v>10.199999999999999</v>
      </c>
    </row>
    <row r="50" spans="2:39" ht="15" customHeight="1" x14ac:dyDescent="0.25">
      <c r="B50" s="10">
        <v>140231</v>
      </c>
      <c r="C50" s="29" t="s">
        <v>72</v>
      </c>
      <c r="D50" s="12">
        <v>1.1599999999999999</v>
      </c>
      <c r="E50" s="13">
        <v>847</v>
      </c>
      <c r="F50" s="14">
        <v>982.52</v>
      </c>
      <c r="G50" s="14">
        <v>3.3227532097004282</v>
      </c>
      <c r="H50" s="30">
        <v>5608</v>
      </c>
      <c r="I50" s="15">
        <v>-1702.090909090909</v>
      </c>
      <c r="J50" s="16">
        <v>2033</v>
      </c>
      <c r="K50" s="13">
        <v>2358.2799999999997</v>
      </c>
      <c r="L50" s="14">
        <v>12.507270693512305</v>
      </c>
      <c r="M50" s="30">
        <v>3576</v>
      </c>
      <c r="N50" s="15">
        <v>407.54545454545473</v>
      </c>
      <c r="O50" s="16">
        <v>25</v>
      </c>
      <c r="P50" s="17">
        <v>28.999999999999996</v>
      </c>
      <c r="Q50" s="14">
        <v>1.1458333333333335</v>
      </c>
      <c r="R50" s="16">
        <v>480</v>
      </c>
      <c r="S50" s="15">
        <v>-302.27272727272725</v>
      </c>
      <c r="T50" s="18">
        <v>56</v>
      </c>
      <c r="U50" s="17">
        <v>64.959999999999994</v>
      </c>
      <c r="V50" s="14">
        <v>0.7003979533826038</v>
      </c>
      <c r="W50" s="16">
        <v>1759</v>
      </c>
      <c r="X50" s="15">
        <v>-1143.3181818181818</v>
      </c>
      <c r="Y50" s="18">
        <v>28</v>
      </c>
      <c r="Z50" s="17">
        <v>32.479999999999997</v>
      </c>
      <c r="AA50" s="14">
        <v>2.8</v>
      </c>
      <c r="AB50" s="16">
        <v>220</v>
      </c>
      <c r="AC50" s="15">
        <v>-122</v>
      </c>
      <c r="AD50" s="19">
        <v>2989</v>
      </c>
      <c r="AE50" s="20">
        <v>3467.24</v>
      </c>
      <c r="AF50" s="21">
        <v>5544.2857142857147</v>
      </c>
      <c r="AG50" s="22">
        <v>5.391136305076011</v>
      </c>
      <c r="AH50" s="23">
        <v>0.53911363050760108</v>
      </c>
      <c r="AI50" s="26">
        <v>-2555.2857142857147</v>
      </c>
      <c r="AJ50" s="27">
        <v>2772.1428571428573</v>
      </c>
      <c r="AK50" s="25">
        <v>5327.4285714285725</v>
      </c>
      <c r="AL50" s="28">
        <v>74.724999999999994</v>
      </c>
      <c r="AM50" s="62" t="s">
        <v>15</v>
      </c>
    </row>
    <row r="51" spans="2:39" x14ac:dyDescent="0.25">
      <c r="B51" s="10">
        <v>140232</v>
      </c>
      <c r="C51" s="29" t="s">
        <v>73</v>
      </c>
      <c r="D51" s="12">
        <v>1.1599999999999999</v>
      </c>
      <c r="E51" s="13">
        <v>0</v>
      </c>
      <c r="F51" s="14">
        <v>0</v>
      </c>
      <c r="G51" s="14">
        <v>0</v>
      </c>
      <c r="H51" s="30">
        <v>1271</v>
      </c>
      <c r="I51" s="15">
        <v>-577.72727272727275</v>
      </c>
      <c r="J51" s="16">
        <v>3311</v>
      </c>
      <c r="K51" s="13">
        <v>3840.7599999999998</v>
      </c>
      <c r="L51" s="14">
        <v>74.328571428571422</v>
      </c>
      <c r="M51" s="30">
        <v>980</v>
      </c>
      <c r="N51" s="15">
        <v>2865.5454545454545</v>
      </c>
      <c r="O51" s="16">
        <v>0</v>
      </c>
      <c r="P51" s="17">
        <v>0</v>
      </c>
      <c r="Q51" s="14">
        <v>0</v>
      </c>
      <c r="R51" s="16">
        <v>0</v>
      </c>
      <c r="S51" s="15">
        <v>0</v>
      </c>
      <c r="T51" s="18">
        <v>368</v>
      </c>
      <c r="U51" s="17">
        <v>426.88</v>
      </c>
      <c r="V51" s="14">
        <v>15.048327137546469</v>
      </c>
      <c r="W51" s="16">
        <v>538</v>
      </c>
      <c r="X51" s="15">
        <v>1.181818181818187</v>
      </c>
      <c r="Y51" s="18">
        <v>0</v>
      </c>
      <c r="Z51" s="17">
        <v>0</v>
      </c>
      <c r="AA51" s="14">
        <v>0</v>
      </c>
      <c r="AB51" s="16">
        <v>0</v>
      </c>
      <c r="AC51" s="15">
        <v>0</v>
      </c>
      <c r="AD51" s="19">
        <v>3679</v>
      </c>
      <c r="AE51" s="20">
        <v>4267.6399999999994</v>
      </c>
      <c r="AF51" s="21">
        <v>1328.0952380952381</v>
      </c>
      <c r="AG51" s="22">
        <v>27.701326640372898</v>
      </c>
      <c r="AH51" s="23">
        <v>2.7701326640372894</v>
      </c>
      <c r="AI51" s="26">
        <v>2350.9047619047619</v>
      </c>
      <c r="AJ51" s="27">
        <v>664.04761904761904</v>
      </c>
      <c r="AK51" s="25">
        <v>-1686.8571428571429</v>
      </c>
      <c r="AL51" s="28">
        <v>91.974999999999994</v>
      </c>
      <c r="AM51" s="63">
        <f>SUM(AL13:AL51)</f>
        <v>5010.2277777777772</v>
      </c>
    </row>
    <row r="52" spans="2:39" ht="15" customHeight="1" x14ac:dyDescent="0.25">
      <c r="B52" s="10">
        <v>150360</v>
      </c>
      <c r="C52" s="29" t="s">
        <v>74</v>
      </c>
      <c r="D52" s="12">
        <v>0.81</v>
      </c>
      <c r="E52" s="13">
        <v>3396</v>
      </c>
      <c r="F52" s="14">
        <v>2750.76</v>
      </c>
      <c r="G52" s="14">
        <v>28.235827664399096</v>
      </c>
      <c r="H52" s="30">
        <v>2646</v>
      </c>
      <c r="I52" s="15">
        <v>2193.272727272727</v>
      </c>
      <c r="J52" s="16">
        <v>0</v>
      </c>
      <c r="K52" s="13">
        <v>0</v>
      </c>
      <c r="L52" s="14">
        <v>0</v>
      </c>
      <c r="M52" s="30">
        <v>1936</v>
      </c>
      <c r="N52" s="15">
        <v>-880</v>
      </c>
      <c r="O52" s="16">
        <v>0</v>
      </c>
      <c r="P52" s="17">
        <v>0</v>
      </c>
      <c r="Q52" s="14">
        <v>0</v>
      </c>
      <c r="R52" s="16">
        <v>498</v>
      </c>
      <c r="S52" s="15">
        <v>-339.54545454545456</v>
      </c>
      <c r="T52" s="18">
        <v>207</v>
      </c>
      <c r="U52" s="17">
        <v>167.67000000000002</v>
      </c>
      <c r="V52" s="14">
        <v>5.0543840177580464</v>
      </c>
      <c r="W52" s="16">
        <v>901</v>
      </c>
      <c r="X52" s="15">
        <v>-407.31818181818176</v>
      </c>
      <c r="Y52" s="18">
        <v>0</v>
      </c>
      <c r="Z52" s="17">
        <v>0</v>
      </c>
      <c r="AA52" s="14">
        <v>0</v>
      </c>
      <c r="AB52" s="16">
        <v>238</v>
      </c>
      <c r="AC52" s="15">
        <v>-162.27272727272728</v>
      </c>
      <c r="AD52" s="19">
        <v>3603</v>
      </c>
      <c r="AE52" s="20">
        <v>2918.4300000000003</v>
      </c>
      <c r="AF52" s="21">
        <v>2961.4285714285716</v>
      </c>
      <c r="AG52" s="22">
        <v>12.16642547033285</v>
      </c>
      <c r="AH52" s="23">
        <v>1.2166425470332851</v>
      </c>
      <c r="AI52" s="26">
        <v>641.57142857142844</v>
      </c>
      <c r="AJ52" s="27">
        <v>1480.7142857142858</v>
      </c>
      <c r="AK52" s="25">
        <v>839.14285714285734</v>
      </c>
      <c r="AL52" s="28">
        <v>300.25</v>
      </c>
    </row>
    <row r="53" spans="2:39" ht="15" customHeight="1" x14ac:dyDescent="0.25">
      <c r="B53" s="10">
        <v>150361</v>
      </c>
      <c r="C53" s="29" t="s">
        <v>75</v>
      </c>
      <c r="D53" s="12">
        <v>0.81</v>
      </c>
      <c r="E53" s="13">
        <v>3519</v>
      </c>
      <c r="F53" s="14">
        <v>2850.3900000000003</v>
      </c>
      <c r="G53" s="14">
        <v>15.076533592989289</v>
      </c>
      <c r="H53" s="30">
        <v>5135</v>
      </c>
      <c r="I53" s="15">
        <v>1184.909090909091</v>
      </c>
      <c r="J53" s="16">
        <v>5975</v>
      </c>
      <c r="K53" s="13">
        <v>4839.75</v>
      </c>
      <c r="L53" s="14">
        <v>41.4015748031496</v>
      </c>
      <c r="M53" s="30">
        <v>3175.0000000000005</v>
      </c>
      <c r="N53" s="15">
        <v>4531.818181818182</v>
      </c>
      <c r="O53" s="16">
        <v>0</v>
      </c>
      <c r="P53" s="17">
        <v>0</v>
      </c>
      <c r="Q53" s="14">
        <v>0</v>
      </c>
      <c r="R53" s="16">
        <v>883.00000000000011</v>
      </c>
      <c r="S53" s="15">
        <v>-602.04545454545462</v>
      </c>
      <c r="T53" s="18">
        <v>114</v>
      </c>
      <c r="U53" s="17">
        <v>92.34</v>
      </c>
      <c r="V53" s="14">
        <v>1.5190793458509995</v>
      </c>
      <c r="W53" s="16">
        <v>1651</v>
      </c>
      <c r="X53" s="15">
        <v>-1011.6818181818182</v>
      </c>
      <c r="Y53" s="18">
        <v>0</v>
      </c>
      <c r="Z53" s="17">
        <v>0</v>
      </c>
      <c r="AA53" s="14">
        <v>0</v>
      </c>
      <c r="AB53" s="16">
        <v>259</v>
      </c>
      <c r="AC53" s="15">
        <v>-176.59090909090909</v>
      </c>
      <c r="AD53" s="19">
        <v>9608</v>
      </c>
      <c r="AE53" s="20">
        <v>7782.4800000000005</v>
      </c>
      <c r="AF53" s="21">
        <v>5287.1428571428569</v>
      </c>
      <c r="AG53" s="22">
        <v>18.172385841664418</v>
      </c>
      <c r="AH53" s="23">
        <v>1.8172385841664416</v>
      </c>
      <c r="AI53" s="26">
        <v>4320.8571428571431</v>
      </c>
      <c r="AJ53" s="27">
        <v>2643.5714285714284</v>
      </c>
      <c r="AK53" s="25">
        <v>-1677.2857142857147</v>
      </c>
      <c r="AL53" s="28">
        <v>800.66666666666663</v>
      </c>
    </row>
    <row r="54" spans="2:39" ht="15" customHeight="1" x14ac:dyDescent="0.25">
      <c r="B54" s="10">
        <v>150362</v>
      </c>
      <c r="C54" s="29" t="s">
        <v>76</v>
      </c>
      <c r="D54" s="12">
        <v>0.81</v>
      </c>
      <c r="E54" s="13">
        <v>3331</v>
      </c>
      <c r="F54" s="14">
        <v>2698.11</v>
      </c>
      <c r="G54" s="14">
        <v>21.290528762347471</v>
      </c>
      <c r="H54" s="30">
        <v>3442</v>
      </c>
      <c r="I54" s="15">
        <v>1766.4545454545453</v>
      </c>
      <c r="J54" s="16">
        <v>5588</v>
      </c>
      <c r="K54" s="13">
        <v>4526.2800000000007</v>
      </c>
      <c r="L54" s="14">
        <v>70.410080183276065</v>
      </c>
      <c r="M54" s="30">
        <v>1746</v>
      </c>
      <c r="N54" s="15">
        <v>4794.363636363636</v>
      </c>
      <c r="O54" s="16">
        <v>370</v>
      </c>
      <c r="P54" s="17">
        <v>299.70000000000005</v>
      </c>
      <c r="Q54" s="14">
        <v>23.801169590643276</v>
      </c>
      <c r="R54" s="16">
        <v>342</v>
      </c>
      <c r="S54" s="15">
        <v>136.81818181818181</v>
      </c>
      <c r="T54" s="18">
        <v>879</v>
      </c>
      <c r="U54" s="17">
        <v>711.99</v>
      </c>
      <c r="V54" s="14">
        <v>31.291262135922331</v>
      </c>
      <c r="W54" s="16">
        <v>618</v>
      </c>
      <c r="X54" s="15">
        <v>457.63636363636363</v>
      </c>
      <c r="Y54" s="18">
        <v>114</v>
      </c>
      <c r="Z54" s="17">
        <v>92.34</v>
      </c>
      <c r="AA54" s="14">
        <v>9.3234200743494426</v>
      </c>
      <c r="AB54" s="16">
        <v>269</v>
      </c>
      <c r="AC54" s="15">
        <v>-69.409090909090907</v>
      </c>
      <c r="AD54" s="19">
        <v>10282</v>
      </c>
      <c r="AE54" s="20">
        <v>8328.42</v>
      </c>
      <c r="AF54" s="21">
        <v>3055.7142857142853</v>
      </c>
      <c r="AG54" s="22">
        <v>33.648433847592337</v>
      </c>
      <c r="AH54" s="23">
        <v>3.3648433847592338</v>
      </c>
      <c r="AI54" s="26">
        <v>7226.2857142857147</v>
      </c>
      <c r="AJ54" s="27">
        <v>1527.8571428571427</v>
      </c>
      <c r="AK54" s="25">
        <v>-5698.4285714285725</v>
      </c>
      <c r="AL54" s="28">
        <v>856.83333333333337</v>
      </c>
    </row>
    <row r="55" spans="2:39" x14ac:dyDescent="0.25">
      <c r="B55" s="10">
        <v>150363</v>
      </c>
      <c r="C55" s="29" t="s">
        <v>77</v>
      </c>
      <c r="D55" s="12">
        <v>0.81</v>
      </c>
      <c r="E55" s="13">
        <v>4329</v>
      </c>
      <c r="F55" s="14">
        <v>3506.4900000000002</v>
      </c>
      <c r="G55" s="14">
        <v>34.962555066079297</v>
      </c>
      <c r="H55" s="30">
        <v>2724</v>
      </c>
      <c r="I55" s="15">
        <v>3090.818181818182</v>
      </c>
      <c r="J55" s="16">
        <v>8458</v>
      </c>
      <c r="K55" s="13">
        <v>6850.9800000000005</v>
      </c>
      <c r="L55" s="14">
        <v>95.17953964194372</v>
      </c>
      <c r="M55" s="30">
        <v>1955.0000000000002</v>
      </c>
      <c r="N55" s="15">
        <v>7569.363636363636</v>
      </c>
      <c r="O55" s="16">
        <v>237</v>
      </c>
      <c r="P55" s="17">
        <v>191.97</v>
      </c>
      <c r="Q55" s="14">
        <v>11.586666666666668</v>
      </c>
      <c r="R55" s="16">
        <v>449.99999999999994</v>
      </c>
      <c r="S55" s="15">
        <v>-69.818181818181813</v>
      </c>
      <c r="T55" s="18">
        <v>521</v>
      </c>
      <c r="U55" s="17">
        <v>422.01000000000005</v>
      </c>
      <c r="V55" s="14">
        <v>16.166431593794076</v>
      </c>
      <c r="W55" s="16">
        <v>709</v>
      </c>
      <c r="X55" s="15">
        <v>37.590909090909122</v>
      </c>
      <c r="Y55" s="18">
        <v>126</v>
      </c>
      <c r="Z55" s="17">
        <v>102.06</v>
      </c>
      <c r="AA55" s="14">
        <v>11.087999999999999</v>
      </c>
      <c r="AB55" s="16">
        <v>250.00000000000003</v>
      </c>
      <c r="AC55" s="15">
        <v>-44.454545454545467</v>
      </c>
      <c r="AD55" s="19">
        <v>13671</v>
      </c>
      <c r="AE55" s="20">
        <v>11073.51</v>
      </c>
      <c r="AF55" s="21">
        <v>2899.0476190476193</v>
      </c>
      <c r="AG55" s="22">
        <v>47.156865965834427</v>
      </c>
      <c r="AH55" s="23">
        <v>4.7156865965834429</v>
      </c>
      <c r="AI55" s="26">
        <v>10771.952380952382</v>
      </c>
      <c r="AJ55" s="27">
        <v>1449.5238095238096</v>
      </c>
      <c r="AK55" s="25">
        <v>-9322.4285714285725</v>
      </c>
      <c r="AL55" s="28">
        <v>1139.25</v>
      </c>
    </row>
    <row r="56" spans="2:39" x14ac:dyDescent="0.25">
      <c r="B56" s="10">
        <v>151500</v>
      </c>
      <c r="C56" s="29" t="s">
        <v>78</v>
      </c>
      <c r="D56" s="12">
        <v>2.62</v>
      </c>
      <c r="E56" s="13">
        <v>163</v>
      </c>
      <c r="F56" s="14">
        <v>427.06</v>
      </c>
      <c r="G56" s="14">
        <v>7.1863727454909814</v>
      </c>
      <c r="H56" s="30">
        <v>499</v>
      </c>
      <c r="I56" s="15">
        <v>-63.818181818181841</v>
      </c>
      <c r="J56" s="32">
        <v>620</v>
      </c>
      <c r="K56" s="13">
        <v>1624.4</v>
      </c>
      <c r="L56" s="14">
        <v>30.651685393258429</v>
      </c>
      <c r="M56" s="30">
        <v>445</v>
      </c>
      <c r="N56" s="15">
        <v>417.72727272727275</v>
      </c>
      <c r="O56" s="32">
        <v>28</v>
      </c>
      <c r="P56" s="17">
        <v>73.36</v>
      </c>
      <c r="Q56" s="14">
        <v>20.533333333333335</v>
      </c>
      <c r="R56" s="16">
        <v>30</v>
      </c>
      <c r="S56" s="15">
        <v>7.5454545454545467</v>
      </c>
      <c r="T56" s="18">
        <v>37</v>
      </c>
      <c r="U56" s="17">
        <v>96.94</v>
      </c>
      <c r="V56" s="14">
        <v>4.3297872340425538</v>
      </c>
      <c r="W56" s="16">
        <v>188</v>
      </c>
      <c r="X56" s="15">
        <v>-91.181818181818187</v>
      </c>
      <c r="Y56" s="18">
        <v>40</v>
      </c>
      <c r="Z56" s="17">
        <v>104.80000000000001</v>
      </c>
      <c r="AA56" s="14">
        <v>17.599999999999998</v>
      </c>
      <c r="AB56" s="16">
        <v>50</v>
      </c>
      <c r="AC56" s="15">
        <v>5.9090909090909065</v>
      </c>
      <c r="AD56" s="19">
        <v>888</v>
      </c>
      <c r="AE56" s="20">
        <v>2326.56</v>
      </c>
      <c r="AF56" s="21">
        <v>577.14285714285711</v>
      </c>
      <c r="AG56" s="22">
        <v>15.386138613861387</v>
      </c>
      <c r="AH56" s="23">
        <v>1.5386138613861386</v>
      </c>
      <c r="AI56" s="26">
        <v>310.85714285714289</v>
      </c>
      <c r="AJ56" s="27">
        <v>288.57142857142856</v>
      </c>
      <c r="AK56" s="25">
        <v>-22.285714285714334</v>
      </c>
      <c r="AL56" s="28">
        <v>148</v>
      </c>
    </row>
    <row r="57" spans="2:39" x14ac:dyDescent="0.25">
      <c r="B57" s="10">
        <v>151501</v>
      </c>
      <c r="C57" s="29" t="s">
        <v>79</v>
      </c>
      <c r="D57" s="12">
        <v>2.62</v>
      </c>
      <c r="E57" s="13">
        <v>104</v>
      </c>
      <c r="F57" s="14">
        <v>272.48</v>
      </c>
      <c r="G57" s="14">
        <v>2.517051705170517</v>
      </c>
      <c r="H57" s="30">
        <v>909</v>
      </c>
      <c r="I57" s="15">
        <v>-309.18181818181819</v>
      </c>
      <c r="J57" s="32">
        <v>912</v>
      </c>
      <c r="K57" s="13">
        <v>2389.44</v>
      </c>
      <c r="L57" s="14">
        <v>23.330232558139539</v>
      </c>
      <c r="M57" s="30">
        <v>859.99999999999989</v>
      </c>
      <c r="N57" s="15">
        <v>521.09090909090912</v>
      </c>
      <c r="O57" s="32">
        <v>12</v>
      </c>
      <c r="P57" s="17">
        <v>31.44</v>
      </c>
      <c r="Q57" s="14">
        <v>3.8260869565217392</v>
      </c>
      <c r="R57" s="16">
        <v>69</v>
      </c>
      <c r="S57" s="15">
        <v>-35.045454545454547</v>
      </c>
      <c r="T57" s="18">
        <v>129</v>
      </c>
      <c r="U57" s="17">
        <v>337.98</v>
      </c>
      <c r="V57" s="14">
        <v>9.1844660194174761</v>
      </c>
      <c r="W57" s="16">
        <v>309</v>
      </c>
      <c r="X57" s="15">
        <v>-81.681818181818187</v>
      </c>
      <c r="Y57" s="18">
        <v>56</v>
      </c>
      <c r="Z57" s="17">
        <v>146.72</v>
      </c>
      <c r="AA57" s="14">
        <v>23.69230769230769</v>
      </c>
      <c r="AB57" s="16">
        <v>52</v>
      </c>
      <c r="AC57" s="15">
        <v>20.545454545454547</v>
      </c>
      <c r="AD57" s="19">
        <v>1213</v>
      </c>
      <c r="AE57" s="20">
        <v>3178.06</v>
      </c>
      <c r="AF57" s="21">
        <v>1047.1428571428571</v>
      </c>
      <c r="AG57" s="22">
        <v>11.583901773533425</v>
      </c>
      <c r="AH57" s="23">
        <v>1.1583901773533425</v>
      </c>
      <c r="AI57" s="26">
        <v>165.85714285714289</v>
      </c>
      <c r="AJ57" s="27">
        <v>523.57142857142856</v>
      </c>
      <c r="AK57" s="25">
        <v>357.71428571428567</v>
      </c>
      <c r="AL57" s="28">
        <v>202.16666666666666</v>
      </c>
    </row>
    <row r="58" spans="2:39" x14ac:dyDescent="0.25">
      <c r="B58" s="10">
        <v>151502</v>
      </c>
      <c r="C58" s="29" t="s">
        <v>80</v>
      </c>
      <c r="D58" s="12">
        <v>2.62</v>
      </c>
      <c r="E58" s="13">
        <v>236</v>
      </c>
      <c r="F58" s="14">
        <v>618.32000000000005</v>
      </c>
      <c r="G58" s="14">
        <v>12.303317535545023</v>
      </c>
      <c r="H58" s="30">
        <v>422</v>
      </c>
      <c r="I58" s="15">
        <v>44.181818181818159</v>
      </c>
      <c r="J58" s="32">
        <v>321</v>
      </c>
      <c r="K58" s="13">
        <v>841.02</v>
      </c>
      <c r="L58" s="14">
        <v>17.351351351351351</v>
      </c>
      <c r="M58" s="30">
        <v>407</v>
      </c>
      <c r="N58" s="15">
        <v>136</v>
      </c>
      <c r="O58" s="32">
        <v>21</v>
      </c>
      <c r="P58" s="17">
        <v>55.02</v>
      </c>
      <c r="Q58" s="14">
        <v>10.266666666666667</v>
      </c>
      <c r="R58" s="16">
        <v>45</v>
      </c>
      <c r="S58" s="15">
        <v>-9.6818181818181799</v>
      </c>
      <c r="T58" s="18">
        <v>68</v>
      </c>
      <c r="U58" s="17">
        <v>178.16</v>
      </c>
      <c r="V58" s="14">
        <v>13.477477477477477</v>
      </c>
      <c r="W58" s="16">
        <v>111</v>
      </c>
      <c r="X58" s="15">
        <v>-7.681818181818187</v>
      </c>
      <c r="Y58" s="18">
        <v>39</v>
      </c>
      <c r="Z58" s="17">
        <v>102.18</v>
      </c>
      <c r="AA58" s="14">
        <v>16.823529411764703</v>
      </c>
      <c r="AB58" s="16">
        <v>51</v>
      </c>
      <c r="AC58" s="15">
        <v>4.2272727272727266</v>
      </c>
      <c r="AD58" s="19">
        <v>685</v>
      </c>
      <c r="AE58" s="20">
        <v>1794.7</v>
      </c>
      <c r="AF58" s="21">
        <v>493.33333333333337</v>
      </c>
      <c r="AG58" s="22">
        <v>13.885135135135135</v>
      </c>
      <c r="AH58" s="23">
        <v>1.3885135135135134</v>
      </c>
      <c r="AI58" s="26">
        <v>191.66666666666663</v>
      </c>
      <c r="AJ58" s="27">
        <v>246.66666666666669</v>
      </c>
      <c r="AK58" s="25">
        <v>55.000000000000057</v>
      </c>
      <c r="AL58" s="28">
        <v>114.16666666666667</v>
      </c>
      <c r="AM58" s="62" t="s">
        <v>16</v>
      </c>
    </row>
    <row r="59" spans="2:39" x14ac:dyDescent="0.25">
      <c r="B59" s="33">
        <v>151503</v>
      </c>
      <c r="C59" s="11" t="s">
        <v>81</v>
      </c>
      <c r="D59" s="12">
        <v>2.62</v>
      </c>
      <c r="E59" s="13">
        <v>85</v>
      </c>
      <c r="F59" s="14">
        <v>222.70000000000002</v>
      </c>
      <c r="G59" s="14">
        <v>3.6738703339882122</v>
      </c>
      <c r="H59" s="30">
        <v>509</v>
      </c>
      <c r="I59" s="15">
        <v>-146.36363636363637</v>
      </c>
      <c r="J59" s="32">
        <v>131</v>
      </c>
      <c r="K59" s="13">
        <v>343.22</v>
      </c>
      <c r="L59" s="14">
        <v>7.1336633663366342</v>
      </c>
      <c r="M59" s="30">
        <v>404</v>
      </c>
      <c r="N59" s="15">
        <v>-52.636363636363626</v>
      </c>
      <c r="O59" s="32">
        <v>0</v>
      </c>
      <c r="P59" s="17">
        <v>0</v>
      </c>
      <c r="Q59" s="14">
        <v>0</v>
      </c>
      <c r="R59" s="16">
        <v>26</v>
      </c>
      <c r="S59" s="15">
        <v>-17.727272727272727</v>
      </c>
      <c r="T59" s="18">
        <v>70</v>
      </c>
      <c r="U59" s="17">
        <v>183.4</v>
      </c>
      <c r="V59" s="14">
        <v>7.897435897435896</v>
      </c>
      <c r="W59" s="16">
        <v>195.00000000000003</v>
      </c>
      <c r="X59" s="15">
        <v>-62.954545454545467</v>
      </c>
      <c r="Y59" s="18">
        <v>32</v>
      </c>
      <c r="Z59" s="17">
        <v>83.84</v>
      </c>
      <c r="AA59" s="14">
        <v>25.142857142857142</v>
      </c>
      <c r="AB59" s="16">
        <v>28</v>
      </c>
      <c r="AC59" s="15">
        <v>12.90909090909091</v>
      </c>
      <c r="AD59" s="19">
        <v>318</v>
      </c>
      <c r="AE59" s="20">
        <v>833.16000000000008</v>
      </c>
      <c r="AF59" s="21">
        <v>553.33333333333337</v>
      </c>
      <c r="AG59" s="22">
        <v>5.7469879518072284</v>
      </c>
      <c r="AH59" s="23">
        <v>0.57469879518072287</v>
      </c>
      <c r="AI59" s="26">
        <v>-235.33333333333337</v>
      </c>
      <c r="AJ59" s="27">
        <v>276.66666666666669</v>
      </c>
      <c r="AK59" s="25">
        <v>512</v>
      </c>
      <c r="AL59" s="28">
        <v>53</v>
      </c>
      <c r="AM59" s="63">
        <f>SUM(AL52:AL59)</f>
        <v>3614.333333333333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158358.28571428574</v>
      </c>
    </row>
    <row r="61" spans="2:39" x14ac:dyDescent="0.25">
      <c r="B61" s="39" t="s">
        <v>2</v>
      </c>
      <c r="C61" s="40"/>
      <c r="D61" s="40"/>
      <c r="E61" s="67" t="s">
        <v>3</v>
      </c>
      <c r="F61" s="67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8" t="s">
        <v>4</v>
      </c>
      <c r="C62" s="68"/>
      <c r="D62" s="42">
        <f>SUM(F13:F59)</f>
        <v>112653.98000000003</v>
      </c>
      <c r="E62" s="64">
        <f>D62*100/D67</f>
        <v>30.293251439839953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189822.16</v>
      </c>
      <c r="E63" s="64">
        <f>D63*100/D67</f>
        <v>51.044183452138384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9946.9400000000023</v>
      </c>
      <c r="E64" s="64">
        <f>D64*100/D67</f>
        <v>2.674784809884228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51467.850000000006</v>
      </c>
      <c r="E65" s="64">
        <f>D65*100/D67</f>
        <v>13.839977257065987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7987.2100000000009</v>
      </c>
      <c r="E66" s="64">
        <f>D66*100/D67</f>
        <v>2.1478030410714655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8" t="s">
        <v>8</v>
      </c>
      <c r="C67" s="68"/>
      <c r="D67" s="44">
        <f>SUM(AE13:AE59)</f>
        <v>371878.13999999996</v>
      </c>
      <c r="E67" s="69">
        <f>D67*100/D67</f>
        <v>99.999999999999986</v>
      </c>
      <c r="F67" s="69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8" t="s">
        <v>10</v>
      </c>
      <c r="C70" s="68"/>
      <c r="D70" s="3">
        <f>SUM(E13:E59)</f>
        <v>90530</v>
      </c>
      <c r="E70" s="64">
        <f>D70*100/D75</f>
        <v>32.332604751496447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139589</v>
      </c>
      <c r="E71" s="64">
        <f>D71*100/D75</f>
        <v>49.853926484664065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7426</v>
      </c>
      <c r="E72" s="64">
        <f>D72*100/D75</f>
        <v>2.6521807454392206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36982</v>
      </c>
      <c r="E73" s="64">
        <f>D73*100/D75</f>
        <v>13.208045829226132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5469</v>
      </c>
      <c r="E74" s="64">
        <f>D74*100/D75</f>
        <v>1.9532421891741309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8" t="s">
        <v>14</v>
      </c>
      <c r="C75" s="68"/>
      <c r="D75" s="49">
        <f>SUM(AD13:AD59)</f>
        <v>279996</v>
      </c>
      <c r="E75" s="69">
        <f>D75*100/D75</f>
        <v>100</v>
      </c>
      <c r="F75" s="69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72:F72"/>
    <mergeCell ref="E73:F73"/>
    <mergeCell ref="E74:F74"/>
    <mergeCell ref="B75:C75"/>
    <mergeCell ref="E75:F75"/>
    <mergeCell ref="E66:F66"/>
    <mergeCell ref="E67:F67"/>
    <mergeCell ref="E71:F71"/>
    <mergeCell ref="B67:C67"/>
    <mergeCell ref="B70:C70"/>
    <mergeCell ref="E70:F70"/>
    <mergeCell ref="E65:F65"/>
    <mergeCell ref="E63:F63"/>
    <mergeCell ref="E64:F64"/>
    <mergeCell ref="B1:AE6"/>
    <mergeCell ref="AF1:AL6"/>
    <mergeCell ref="E61:F61"/>
    <mergeCell ref="B62:C62"/>
    <mergeCell ref="E62:F62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2026-09-07T12:11:13Z</dcterms:modified>
</cp:coreProperties>
</file>