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AD6FA20D-EC61-4E1C-A820-0DAA49CEBE58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49" i="1"/>
  <c r="AA28" i="1"/>
  <c r="AA30" i="1"/>
  <c r="M28" i="1"/>
  <c r="M29" i="1"/>
  <c r="AA13" i="1"/>
  <c r="AA50" i="1"/>
  <c r="AA29" i="1"/>
  <c r="M3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49" i="1" l="1"/>
  <c r="AD49" i="1"/>
  <c r="AC49" i="1"/>
  <c r="AE49" i="1"/>
  <c r="AB35" i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49" i="1" l="1"/>
  <c r="AF13" i="1"/>
  <c r="AF61" i="1"/>
  <c r="AF58" i="1"/>
  <c r="AF54" i="1"/>
  <c r="AF51" i="1"/>
  <c r="AF47" i="1"/>
  <c r="AF46" i="1"/>
  <c r="AF44" i="1"/>
  <c r="AF35" i="1"/>
  <c r="AF34" i="1"/>
  <c r="AF33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28" i="1"/>
  <c r="AF30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<sst xmlns="http://schemas.openxmlformats.org/spreadsheetml/2006/main" count="111" uniqueCount="101">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</sst>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11712.105263157893</v>
          </cell>
          <cell r="AB13">
            <v>8.5424437154540964</v>
          </cell>
          <cell r="AC13">
            <v>0.85424437154540966</v>
          </cell>
          <cell r="AD13">
            <v>-1707.1052631578932</v>
          </cell>
          <cell r="AE13">
            <v>5856.0526315789466</v>
          </cell>
          <cell r="AF13">
            <v>7563.1578947368398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722.1052631578948</v>
          </cell>
          <cell r="AB14">
            <v>7.7412536443148685</v>
          </cell>
          <cell r="AC14">
            <v>0.77412536443148683</v>
          </cell>
          <cell r="AD14">
            <v>-163.1052631578948</v>
          </cell>
          <cell r="AE14">
            <v>361.0526315789474</v>
          </cell>
          <cell r="AF14">
            <v>524.1578947368422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4932.6315789473683</v>
          </cell>
          <cell r="AB15">
            <v>6.9577464788732399</v>
          </cell>
          <cell r="AC15">
            <v>0.6957746478873239</v>
          </cell>
          <cell r="AD15">
            <v>-1500.6315789473683</v>
          </cell>
          <cell r="AE15">
            <v>2466.3157894736842</v>
          </cell>
          <cell r="AF15">
            <v>3966.9473684210525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872.1052631578948</v>
          </cell>
          <cell r="AB16">
            <v>2.3621001810500903</v>
          </cell>
          <cell r="AC16">
            <v>0.23621001810500902</v>
          </cell>
          <cell r="AD16">
            <v>-666.1052631578948</v>
          </cell>
          <cell r="AE16">
            <v>436.0526315789474</v>
          </cell>
          <cell r="AF16">
            <v>1102.1578947368421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115.26315789473685</v>
          </cell>
          <cell r="AB17">
            <v>18.392694063926939</v>
          </cell>
          <cell r="AC17">
            <v>1.839269406392694</v>
          </cell>
          <cell r="AD17">
            <v>96.73684210526315</v>
          </cell>
          <cell r="AE17">
            <v>57.631578947368425</v>
          </cell>
          <cell r="AF17">
            <v>-39.105263157894726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14376.315789473683</v>
          </cell>
          <cell r="AB18">
            <v>5.8269449020684609</v>
          </cell>
          <cell r="AC18">
            <v>0.58269449020684605</v>
          </cell>
          <cell r="AD18">
            <v>-5999.3157894736833</v>
          </cell>
          <cell r="AE18">
            <v>7188.1578947368416</v>
          </cell>
          <cell r="AF18">
            <v>13187.473684210525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1421.578947368421</v>
          </cell>
          <cell r="AB19">
            <v>10.600888559792669</v>
          </cell>
          <cell r="AC19">
            <v>1.0600888559792669</v>
          </cell>
          <cell r="AD19">
            <v>85.421052631578959</v>
          </cell>
          <cell r="AE19">
            <v>710.78947368421052</v>
          </cell>
          <cell r="AF19">
            <v>625.36842105263156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3270.5263157894733</v>
          </cell>
          <cell r="AB20">
            <v>12.12648857418732</v>
          </cell>
          <cell r="AC20">
            <v>1.212648857418732</v>
          </cell>
          <cell r="AD20">
            <v>695.4736842105267</v>
          </cell>
          <cell r="AE20">
            <v>1635.2631578947367</v>
          </cell>
          <cell r="AF20">
            <v>939.78947368420995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7474.7368421052633</v>
          </cell>
          <cell r="AB21">
            <v>10.2184199408534</v>
          </cell>
          <cell r="AC21">
            <v>1.02184199408534</v>
          </cell>
          <cell r="AD21">
            <v>163.26315789473665</v>
          </cell>
          <cell r="AE21">
            <v>3737.3684210526317</v>
          </cell>
          <cell r="AF21">
            <v>3574.105263157895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3484.2105263157896</v>
          </cell>
          <cell r="AB22">
            <v>10.794410876132931</v>
          </cell>
          <cell r="AC22">
            <v>1.0794410876132929</v>
          </cell>
          <cell r="AD22">
            <v>276.78947368421041</v>
          </cell>
          <cell r="AE22">
            <v>1742.1052631578948</v>
          </cell>
          <cell r="AF22">
            <v>1465.3157894736844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34597.368421052633</v>
          </cell>
          <cell r="AB23">
            <v>9.5865672777059405</v>
          </cell>
          <cell r="AC23">
            <v>0.95865672777059396</v>
          </cell>
          <cell r="AD23">
            <v>-1430.3684210526335</v>
          </cell>
          <cell r="AE23">
            <v>17298.684210526317</v>
          </cell>
          <cell r="AF23">
            <v>18729.05263157895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22536.315789473683</v>
          </cell>
          <cell r="AB24">
            <v>11.114061514748126</v>
          </cell>
          <cell r="AC24">
            <v>1.1114061514748126</v>
          </cell>
          <cell r="AD24">
            <v>2510.6842105263167</v>
          </cell>
          <cell r="AE24">
            <v>11268.157894736842</v>
          </cell>
          <cell r="AF24">
            <v>8757.4736842105249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21916.315789473683</v>
          </cell>
          <cell r="AB25">
            <v>11.816310847482049</v>
          </cell>
          <cell r="AC25">
            <v>1.181631084748205</v>
          </cell>
          <cell r="AD25">
            <v>3980.6842105263167</v>
          </cell>
          <cell r="AE25">
            <v>10958.157894736842</v>
          </cell>
          <cell r="AF25">
            <v>6977.4736842105249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26250</v>
          </cell>
          <cell r="AB26">
            <v>11.287238095238095</v>
          </cell>
          <cell r="AC26">
            <v>1.1287238095238095</v>
          </cell>
          <cell r="AD26">
            <v>3379</v>
          </cell>
          <cell r="AE26">
            <v>13125</v>
          </cell>
          <cell r="AF26">
            <v>9746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150.52631578947367</v>
          </cell>
          <cell r="AB27">
            <v>100.71328671328672</v>
          </cell>
          <cell r="AC27">
            <v>10.071328671328672</v>
          </cell>
          <cell r="AD27">
            <v>1365.4736842105262</v>
          </cell>
          <cell r="AE27">
            <v>75.263157894736835</v>
          </cell>
          <cell r="AF27">
            <v>-1290.2105263157894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8.3015552995391708</v>
          </cell>
          <cell r="M28">
            <v>8040.4210526315783</v>
          </cell>
          <cell r="N28">
            <v>-2448.1052631578941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3654.7368421052629</v>
          </cell>
          <cell r="AB28">
            <v>13.169210829493089</v>
          </cell>
          <cell r="AC28">
            <v>1.3169210829493088</v>
          </cell>
          <cell r="AD28">
            <v>1158.2631578947371</v>
          </cell>
          <cell r="AE28">
            <v>1827.3684210526314</v>
          </cell>
          <cell r="AF28">
            <v>669.10526315789434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6.9176875957120982</v>
          </cell>
          <cell r="M29">
            <v>9073.2631578947367</v>
          </cell>
          <cell r="N29">
            <v>-3333.3157894736842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4124.21052631579</v>
          </cell>
          <cell r="AB29">
            <v>11.039688616641142</v>
          </cell>
          <cell r="AC29">
            <v>1.1039688616641141</v>
          </cell>
          <cell r="AD29">
            <v>428.78947368420995</v>
          </cell>
          <cell r="AE29">
            <v>2062.105263157895</v>
          </cell>
          <cell r="AF29">
            <v>1633.3157894736851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7.1837997847147461</v>
          </cell>
          <cell r="M30">
            <v>8605.4736842105267</v>
          </cell>
          <cell r="N30">
            <v>-3057.3684210526317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3911.5789473684208</v>
          </cell>
          <cell r="AB30">
            <v>15.410656620021529</v>
          </cell>
          <cell r="AC30">
            <v>1.541065662002153</v>
          </cell>
          <cell r="AD30">
            <v>2116.4210526315792</v>
          </cell>
          <cell r="AE30">
            <v>1955.7894736842104</v>
          </cell>
          <cell r="AF30">
            <v>-160.63157894736878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2312.6315789473683</v>
          </cell>
          <cell r="AB31">
            <v>5.9283113336367776</v>
          </cell>
          <cell r="AC31">
            <v>0.59283113336367776</v>
          </cell>
          <cell r="AD31">
            <v>-941.63157894736833</v>
          </cell>
          <cell r="AE31">
            <v>1156.3157894736842</v>
          </cell>
          <cell r="AF31">
            <v>2097.9473684210525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1350.5263157894738</v>
          </cell>
          <cell r="AB32">
            <v>7.2564302416212003</v>
          </cell>
          <cell r="AC32">
            <v>0.72564302416212001</v>
          </cell>
          <cell r="AD32">
            <v>-370.52631578947376</v>
          </cell>
          <cell r="AE32">
            <v>675.26315789473688</v>
          </cell>
          <cell r="AF32">
            <v>1045.7894736842106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5045.78947368421</v>
          </cell>
          <cell r="AB33">
            <v>6.5440700949202055</v>
          </cell>
          <cell r="AC33">
            <v>0.65440700949202046</v>
          </cell>
          <cell r="AD33">
            <v>-1743.78947368421</v>
          </cell>
          <cell r="AE33">
            <v>2522.894736842105</v>
          </cell>
          <cell r="AF33">
            <v>4266.6842105263149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7976.3157894736842</v>
          </cell>
          <cell r="AB34">
            <v>7.9071593533487299</v>
          </cell>
          <cell r="AC34">
            <v>0.79071593533487294</v>
          </cell>
          <cell r="AD34">
            <v>-1669.3157894736842</v>
          </cell>
          <cell r="AE34">
            <v>3988.1578947368421</v>
          </cell>
          <cell r="AF34">
            <v>5657.4736842105267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670.52631578947376</v>
          </cell>
          <cell r="AB35">
            <v>0</v>
          </cell>
          <cell r="AC35">
            <v>0</v>
          </cell>
          <cell r="AD35">
            <v>-670.52631578947376</v>
          </cell>
          <cell r="AE35">
            <v>335.26315789473688</v>
          </cell>
          <cell r="AF35">
            <v>1005.7894736842106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7127.894736842105</v>
          </cell>
          <cell r="AB36">
            <v>0.76179576164808394</v>
          </cell>
          <cell r="AC36">
            <v>7.6179576164808388E-2</v>
          </cell>
          <cell r="AD36">
            <v>-6584.894736842105</v>
          </cell>
          <cell r="AE36">
            <v>3563.9473684210525</v>
          </cell>
          <cell r="AF36">
            <v>10148.842105263157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11818.42105263158</v>
          </cell>
          <cell r="AB37">
            <v>8.6035181474059232</v>
          </cell>
          <cell r="AC37">
            <v>0.86035181474059219</v>
          </cell>
          <cell r="AD37">
            <v>-1650.4210526315801</v>
          </cell>
          <cell r="AE37">
            <v>5909.21052631579</v>
          </cell>
          <cell r="AF37">
            <v>7559.6315789473701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5122.6315789473683</v>
          </cell>
          <cell r="AB38">
            <v>19.244015206000203</v>
          </cell>
          <cell r="AC38">
            <v>1.9244015206000207</v>
          </cell>
          <cell r="AD38">
            <v>4735.3684210526317</v>
          </cell>
          <cell r="AE38">
            <v>2561.3157894736842</v>
          </cell>
          <cell r="AF38">
            <v>-2174.0526315789475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3974.2105263157896</v>
          </cell>
          <cell r="AB39">
            <v>4.9468944510660835</v>
          </cell>
          <cell r="AC39">
            <v>0.49468944510660839</v>
          </cell>
          <cell r="AD39">
            <v>-2008.2105263157896</v>
          </cell>
          <cell r="AE39">
            <v>1987.1052631578948</v>
          </cell>
          <cell r="AF39">
            <v>3995.3157894736842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734.73684210526312</v>
          </cell>
          <cell r="AB40">
            <v>61.872492836676216</v>
          </cell>
          <cell r="AC40">
            <v>6.1872492836676223</v>
          </cell>
          <cell r="AD40">
            <v>3811.2631578947367</v>
          </cell>
          <cell r="AE40">
            <v>367.36842105263156</v>
          </cell>
          <cell r="AF40">
            <v>-3443.894736842105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1321.578947368421</v>
          </cell>
          <cell r="AB43">
            <v>5.0015929908403027</v>
          </cell>
          <cell r="AC43">
            <v>0.50015929908403023</v>
          </cell>
          <cell r="AD43">
            <v>-660.57894736842104</v>
          </cell>
          <cell r="AE43">
            <v>660.78947368421052</v>
          </cell>
          <cell r="AF43">
            <v>1321.3684210526317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6458.4210526315792</v>
          </cell>
          <cell r="AB44">
            <v>1.7573954852905223</v>
          </cell>
          <cell r="AC44">
            <v>0.17573954852905224</v>
          </cell>
          <cell r="AD44">
            <v>-5323.4210526315792</v>
          </cell>
          <cell r="AE44">
            <v>3229.2105263157896</v>
          </cell>
          <cell r="AF44">
            <v>8552.6315789473683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6298.4210526315792</v>
          </cell>
          <cell r="AB45">
            <v>6.5921283529706693</v>
          </cell>
          <cell r="AC45">
            <v>0.65921283529706687</v>
          </cell>
          <cell r="AD45">
            <v>-2146.4210526315792</v>
          </cell>
          <cell r="AE45">
            <v>3149.2105263157896</v>
          </cell>
          <cell r="AF45">
            <v>5295.6315789473683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8365.2631578947367</v>
          </cell>
          <cell r="AB46">
            <v>10.223228891405562</v>
          </cell>
          <cell r="AC46">
            <v>1.0223228891405562</v>
          </cell>
          <cell r="AD46">
            <v>186.73684210526335</v>
          </cell>
          <cell r="AE46">
            <v>4182.6315789473683</v>
          </cell>
          <cell r="AF46">
            <v>3995.894736842105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5688.4210526315792</v>
          </cell>
          <cell r="AB47">
            <v>11.836324944485566</v>
          </cell>
          <cell r="AC47">
            <v>1.1836324944485566</v>
          </cell>
          <cell r="AD47">
            <v>1044.5789473684208</v>
          </cell>
          <cell r="AE47">
            <v>2844.2105263157896</v>
          </cell>
          <cell r="AF47">
            <v>1799.6315789473688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24.736842105263158</v>
          </cell>
          <cell r="AB48">
            <v>2113.0425531914893</v>
          </cell>
          <cell r="AC48">
            <v>211.30425531914895</v>
          </cell>
          <cell r="AD48">
            <v>5202.2631578947367</v>
          </cell>
          <cell r="AE48">
            <v>12.368421052631579</v>
          </cell>
          <cell r="AF48">
            <v>-5189.894736842105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 t="e">
            <v>#REF!</v>
          </cell>
          <cell r="AB49" t="e">
            <v>#REF!</v>
          </cell>
          <cell r="AC49" t="e">
            <v>#REF!</v>
          </cell>
          <cell r="AD49" t="e">
            <v>#REF!</v>
          </cell>
          <cell r="AE49" t="e">
            <v>#REF!</v>
          </cell>
          <cell r="AF49" t="e">
            <v>#REF!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567.89473684210532</v>
          </cell>
          <cell r="AB50">
            <v>0</v>
          </cell>
          <cell r="AC50">
            <v>0</v>
          </cell>
          <cell r="AD50">
            <v>-556.89473684210532</v>
          </cell>
          <cell r="AE50">
            <v>283.94736842105266</v>
          </cell>
          <cell r="AF50">
            <v>840.84210526315792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4.7368421052631575</v>
          </cell>
          <cell r="AB51">
            <v>90.777777777777786</v>
          </cell>
          <cell r="AC51">
            <v>9.0777777777777793</v>
          </cell>
          <cell r="AD51">
            <v>38.263157894736842</v>
          </cell>
          <cell r="AE51">
            <v>2.3684210526315788</v>
          </cell>
          <cell r="AF51">
            <v>-35.89473684210526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5240.5263157894742</v>
          </cell>
          <cell r="AB53">
            <v>7.6328211308627093E-3</v>
          </cell>
          <cell r="AC53">
            <v>7.6328211308627093E-4</v>
          </cell>
          <cell r="AD53">
            <v>-5236.5263157894742</v>
          </cell>
          <cell r="AE53">
            <v>2620.2631578947371</v>
          </cell>
          <cell r="AF53">
            <v>7856.7894736842118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590.52631578947376</v>
          </cell>
          <cell r="AB54">
            <v>382.25222816399281</v>
          </cell>
          <cell r="AC54">
            <v>38.225222816399281</v>
          </cell>
          <cell r="AD54">
            <v>21982.473684210527</v>
          </cell>
          <cell r="AE54">
            <v>295.26315789473688</v>
          </cell>
          <cell r="AF54">
            <v>-21687.21052631579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3006.3157894736842</v>
          </cell>
          <cell r="AB55">
            <v>97.225315126050418</v>
          </cell>
          <cell r="AC55">
            <v>9.7225315126050429</v>
          </cell>
          <cell r="AD55">
            <v>26222.684210526317</v>
          </cell>
          <cell r="AE55">
            <v>1503.1578947368421</v>
          </cell>
          <cell r="AF55">
            <v>-24719.526315789473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5310.5263157894742</v>
          </cell>
          <cell r="AB56">
            <v>30.411298315163528</v>
          </cell>
          <cell r="AC56">
            <v>3.0411298315163524</v>
          </cell>
          <cell r="AD56">
            <v>10839.473684210527</v>
          </cell>
          <cell r="AE56">
            <v>2655.2631578947371</v>
          </cell>
          <cell r="AF56">
            <v>-8184.21052631579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3101.0526315789475</v>
          </cell>
          <cell r="AB57">
            <v>62.207909029192123</v>
          </cell>
          <cell r="AC57">
            <v>6.2207909029192123</v>
          </cell>
          <cell r="AD57">
            <v>16189.947368421053</v>
          </cell>
          <cell r="AE57">
            <v>1550.5263157894738</v>
          </cell>
          <cell r="AF57">
            <v>-14639.42105263158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2907.894736842105</v>
          </cell>
          <cell r="AB58">
            <v>2.4588235294117649</v>
          </cell>
          <cell r="AC58">
            <v>0.2458823529411765</v>
          </cell>
          <cell r="AD58">
            <v>-2192.894736842105</v>
          </cell>
          <cell r="AE58">
            <v>1453.9473684210525</v>
          </cell>
          <cell r="AF58">
            <v>3646.8421052631575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587.36842105263156</v>
          </cell>
          <cell r="AB59">
            <v>6.5716845878136203</v>
          </cell>
          <cell r="AC59">
            <v>0.65716845878136199</v>
          </cell>
          <cell r="AD59">
            <v>-201.36842105263156</v>
          </cell>
          <cell r="AE59">
            <v>293.68421052631578</v>
          </cell>
          <cell r="AF59">
            <v>495.05263157894734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1076.8421052631579</v>
          </cell>
          <cell r="AB60">
            <v>2.767350928641251</v>
          </cell>
          <cell r="AC60">
            <v>0.27673509286412512</v>
          </cell>
          <cell r="AD60">
            <v>-778.84210526315792</v>
          </cell>
          <cell r="AE60">
            <v>538.42105263157896</v>
          </cell>
          <cell r="AF60">
            <v>1317.2631578947369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511.0526315789474</v>
          </cell>
          <cell r="AB61">
            <v>2.8568486096807413</v>
          </cell>
          <cell r="AC61">
            <v>0.28568486096807416</v>
          </cell>
          <cell r="AD61">
            <v>-365.0526315789474</v>
          </cell>
          <cell r="AE61">
            <v>255.5263157894737</v>
          </cell>
          <cell r="AF61">
            <v>620.57894736842104</v>
          </cell>
          <cell r="AG61">
            <v>24.333333333333332</v>
          </cell>
        </row>
        <row r="62">
          <cell r="AE62" t="str">
            <v>Units Produce</v>
          </cell>
          <cell r="AF62">
            <v>155940.89473684211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I21" sqref="I21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11712.105263157893</v>
      </c>
      <c r="AB13" s="25">
        <f ca="1">'[1]INVENTARIO NACIONAL 17-08-26'!AB13</f>
        <v>8.5424437154540964</v>
      </c>
      <c r="AC13" s="26">
        <f ca="1">'[1]INVENTARIO NACIONAL 17-08-26'!AC13</f>
        <v>0.85424437154540966</v>
      </c>
      <c r="AD13" s="27">
        <f ca="1">'[1]INVENTARIO NACIONAL 17-08-26'!AD13</f>
        <v>-1707.1052631578932</v>
      </c>
      <c r="AE13" s="27">
        <f ca="1">'[1]INVENTARIO NACIONAL 17-08-26'!AE13</f>
        <v>5856.0526315789466</v>
      </c>
      <c r="AF13" s="28">
        <f ca="1">'[1]INVENTARIO NACIONAL 17-08-26'!AF13</f>
        <v>7563.1578947368398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722.1052631578948</v>
      </c>
      <c r="AB14" s="25">
        <f ca="1">'[1]INVENTARIO NACIONAL 17-08-26'!AB14</f>
        <v>7.7412536443148685</v>
      </c>
      <c r="AC14" s="26">
        <f ca="1">'[1]INVENTARIO NACIONAL 17-08-26'!AC14</f>
        <v>0.77412536443148683</v>
      </c>
      <c r="AD14" s="29">
        <f ca="1">'[1]INVENTARIO NACIONAL 17-08-26'!AD14</f>
        <v>-163.1052631578948</v>
      </c>
      <c r="AE14" s="30">
        <f ca="1">'[1]INVENTARIO NACIONAL 17-08-26'!AE14</f>
        <v>361.0526315789474</v>
      </c>
      <c r="AF14" s="28">
        <f ca="1">'[1]INVENTARIO NACIONAL 17-08-26'!AF14</f>
        <v>524.1578947368422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4932.6315789473683</v>
      </c>
      <c r="AB15" s="25">
        <f ca="1">'[1]INVENTARIO NACIONAL 17-08-26'!AB15</f>
        <v>6.9577464788732399</v>
      </c>
      <c r="AC15" s="26">
        <f ca="1">'[1]INVENTARIO NACIONAL 17-08-26'!AC15</f>
        <v>0.6957746478873239</v>
      </c>
      <c r="AD15" s="29">
        <f ca="1">'[1]INVENTARIO NACIONAL 17-08-26'!AD15</f>
        <v>-1500.6315789473683</v>
      </c>
      <c r="AE15" s="30">
        <f ca="1">'[1]INVENTARIO NACIONAL 17-08-26'!AE15</f>
        <v>2466.3157894736842</v>
      </c>
      <c r="AF15" s="28">
        <f ca="1">'[1]INVENTARIO NACIONAL 17-08-26'!AF15</f>
        <v>3966.9473684210525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872.1052631578948</v>
      </c>
      <c r="AB16" s="25">
        <f ca="1">'[1]INVENTARIO NACIONAL 17-08-26'!AB16</f>
        <v>2.3621001810500903</v>
      </c>
      <c r="AC16" s="26">
        <f ca="1">'[1]INVENTARIO NACIONAL 17-08-26'!AC16</f>
        <v>0.23621001810500902</v>
      </c>
      <c r="AD16" s="29">
        <f ca="1">'[1]INVENTARIO NACIONAL 17-08-26'!AD16</f>
        <v>-666.1052631578948</v>
      </c>
      <c r="AE16" s="30">
        <f ca="1">'[1]INVENTARIO NACIONAL 17-08-26'!AE16</f>
        <v>436.0526315789474</v>
      </c>
      <c r="AF16" s="28">
        <f ca="1">'[1]INVENTARIO NACIONAL 17-08-26'!AF16</f>
        <v>1102.1578947368421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115.26315789473685</v>
      </c>
      <c r="AB17" s="25">
        <f ca="1">'[1]INVENTARIO NACIONAL 17-08-26'!AB17</f>
        <v>18.392694063926939</v>
      </c>
      <c r="AC17" s="26">
        <f ca="1">'[1]INVENTARIO NACIONAL 17-08-26'!AC17</f>
        <v>1.839269406392694</v>
      </c>
      <c r="AD17" s="29">
        <f ca="1">'[1]INVENTARIO NACIONAL 17-08-26'!AD17</f>
        <v>96.73684210526315</v>
      </c>
      <c r="AE17" s="30">
        <f ca="1">'[1]INVENTARIO NACIONAL 17-08-26'!AE17</f>
        <v>57.631578947368425</v>
      </c>
      <c r="AF17" s="28">
        <f ca="1">'[1]INVENTARIO NACIONAL 17-08-26'!AF17</f>
        <v>-39.105263157894726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14376.315789473683</v>
      </c>
      <c r="AB18" s="25">
        <f ca="1">'[1]INVENTARIO NACIONAL 17-08-26'!AB18</f>
        <v>5.8269449020684609</v>
      </c>
      <c r="AC18" s="26">
        <f ca="1">'[1]INVENTARIO NACIONAL 17-08-26'!AC18</f>
        <v>0.58269449020684605</v>
      </c>
      <c r="AD18" s="29">
        <f ca="1">'[1]INVENTARIO NACIONAL 17-08-26'!AD18</f>
        <v>-5999.3157894736833</v>
      </c>
      <c r="AE18" s="30">
        <f ca="1">'[1]INVENTARIO NACIONAL 17-08-26'!AE18</f>
        <v>7188.1578947368416</v>
      </c>
      <c r="AF18" s="28">
        <f ca="1">'[1]INVENTARIO NACIONAL 17-08-26'!AF18</f>
        <v>13187.473684210525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1421.578947368421</v>
      </c>
      <c r="AB19" s="25">
        <f ca="1">'[1]INVENTARIO NACIONAL 17-08-26'!AB19</f>
        <v>10.600888559792669</v>
      </c>
      <c r="AC19" s="26">
        <f ca="1">'[1]INVENTARIO NACIONAL 17-08-26'!AC19</f>
        <v>1.0600888559792669</v>
      </c>
      <c r="AD19" s="29">
        <f ca="1">'[1]INVENTARIO NACIONAL 17-08-26'!AD19</f>
        <v>85.421052631578959</v>
      </c>
      <c r="AE19" s="30">
        <f ca="1">'[1]INVENTARIO NACIONAL 17-08-26'!AE19</f>
        <v>710.78947368421052</v>
      </c>
      <c r="AF19" s="28">
        <f ca="1">'[1]INVENTARIO NACIONAL 17-08-26'!AF19</f>
        <v>625.36842105263156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3270.5263157894733</v>
      </c>
      <c r="AB20" s="25">
        <f ca="1">'[1]INVENTARIO NACIONAL 17-08-26'!AB20</f>
        <v>12.12648857418732</v>
      </c>
      <c r="AC20" s="26">
        <f ca="1">'[1]INVENTARIO NACIONAL 17-08-26'!AC20</f>
        <v>1.212648857418732</v>
      </c>
      <c r="AD20" s="29">
        <f ca="1">'[1]INVENTARIO NACIONAL 17-08-26'!AD20</f>
        <v>695.4736842105267</v>
      </c>
      <c r="AE20" s="30">
        <f ca="1">'[1]INVENTARIO NACIONAL 17-08-26'!AE20</f>
        <v>1635.2631578947367</v>
      </c>
      <c r="AF20" s="28">
        <f ca="1">'[1]INVENTARIO NACIONAL 17-08-26'!AF20</f>
        <v>939.78947368420995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7474.7368421052633</v>
      </c>
      <c r="AB21" s="25">
        <f ca="1">'[1]INVENTARIO NACIONAL 17-08-26'!AB21</f>
        <v>10.2184199408534</v>
      </c>
      <c r="AC21" s="26">
        <f ca="1">'[1]INVENTARIO NACIONAL 17-08-26'!AC21</f>
        <v>1.02184199408534</v>
      </c>
      <c r="AD21" s="29">
        <f ca="1">'[1]INVENTARIO NACIONAL 17-08-26'!AD21</f>
        <v>163.26315789473665</v>
      </c>
      <c r="AE21" s="30">
        <f ca="1">'[1]INVENTARIO NACIONAL 17-08-26'!AE21</f>
        <v>3737.3684210526317</v>
      </c>
      <c r="AF21" s="28">
        <f ca="1">'[1]INVENTARIO NACIONAL 17-08-26'!AF21</f>
        <v>3574.105263157895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3484.2105263157896</v>
      </c>
      <c r="AB22" s="25">
        <f ca="1">'[1]INVENTARIO NACIONAL 17-08-26'!AB22</f>
        <v>10.794410876132931</v>
      </c>
      <c r="AC22" s="26">
        <f ca="1">'[1]INVENTARIO NACIONAL 17-08-26'!AC22</f>
        <v>1.0794410876132929</v>
      </c>
      <c r="AD22" s="29">
        <f ca="1">'[1]INVENTARIO NACIONAL 17-08-26'!AD22</f>
        <v>276.78947368421041</v>
      </c>
      <c r="AE22" s="30">
        <f ca="1">'[1]INVENTARIO NACIONAL 17-08-26'!AE22</f>
        <v>1742.1052631578948</v>
      </c>
      <c r="AF22" s="28">
        <f ca="1">'[1]INVENTARIO NACIONAL 17-08-26'!AF22</f>
        <v>1465.3157894736844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34597.368421052633</v>
      </c>
      <c r="AB23" s="25">
        <f ca="1">'[1]INVENTARIO NACIONAL 17-08-26'!AB23</f>
        <v>9.5865672777059405</v>
      </c>
      <c r="AC23" s="26">
        <f ca="1">'[1]INVENTARIO NACIONAL 17-08-26'!AC23</f>
        <v>0.95865672777059396</v>
      </c>
      <c r="AD23" s="29">
        <f ca="1">'[1]INVENTARIO NACIONAL 17-08-26'!AD23</f>
        <v>-1430.3684210526335</v>
      </c>
      <c r="AE23" s="30">
        <f ca="1">'[1]INVENTARIO NACIONAL 17-08-26'!AE23</f>
        <v>17298.684210526317</v>
      </c>
      <c r="AF23" s="28">
        <f ca="1">'[1]INVENTARIO NACIONAL 17-08-26'!AF23</f>
        <v>18729.05263157895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22536.315789473683</v>
      </c>
      <c r="AB24" s="25">
        <f ca="1">'[1]INVENTARIO NACIONAL 17-08-26'!AB24</f>
        <v>11.114061514748126</v>
      </c>
      <c r="AC24" s="26">
        <f ca="1">'[1]INVENTARIO NACIONAL 17-08-26'!AC24</f>
        <v>1.1114061514748126</v>
      </c>
      <c r="AD24" s="29">
        <f ca="1">'[1]INVENTARIO NACIONAL 17-08-26'!AD24</f>
        <v>2510.6842105263167</v>
      </c>
      <c r="AE24" s="30">
        <f ca="1">'[1]INVENTARIO NACIONAL 17-08-26'!AE24</f>
        <v>11268.157894736842</v>
      </c>
      <c r="AF24" s="28">
        <f ca="1">'[1]INVENTARIO NACIONAL 17-08-26'!AF24</f>
        <v>8757.4736842105249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21916.315789473683</v>
      </c>
      <c r="AB25" s="25">
        <f ca="1">'[1]INVENTARIO NACIONAL 17-08-26'!AB25</f>
        <v>11.816310847482049</v>
      </c>
      <c r="AC25" s="26">
        <f ca="1">'[1]INVENTARIO NACIONAL 17-08-26'!AC25</f>
        <v>1.181631084748205</v>
      </c>
      <c r="AD25" s="29">
        <f ca="1">'[1]INVENTARIO NACIONAL 17-08-26'!AD25</f>
        <v>3980.6842105263167</v>
      </c>
      <c r="AE25" s="30">
        <f ca="1">'[1]INVENTARIO NACIONAL 17-08-26'!AE25</f>
        <v>10958.157894736842</v>
      </c>
      <c r="AF25" s="28">
        <f ca="1">'[1]INVENTARIO NACIONAL 17-08-26'!AF25</f>
        <v>6977.4736842105249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26250</v>
      </c>
      <c r="AB26" s="25">
        <f ca="1">'[1]INVENTARIO NACIONAL 17-08-26'!AB26</f>
        <v>11.287238095238095</v>
      </c>
      <c r="AC26" s="26">
        <f ca="1">'[1]INVENTARIO NACIONAL 17-08-26'!AC26</f>
        <v>1.1287238095238095</v>
      </c>
      <c r="AD26" s="29">
        <f ca="1">'[1]INVENTARIO NACIONAL 17-08-26'!AD26</f>
        <v>3379</v>
      </c>
      <c r="AE26" s="30">
        <f ca="1">'[1]INVENTARIO NACIONAL 17-08-26'!AE26</f>
        <v>13125</v>
      </c>
      <c r="AF26" s="28">
        <f ca="1">'[1]INVENTARIO NACIONAL 17-08-26'!AF26</f>
        <v>9746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150.52631578947367</v>
      </c>
      <c r="AB27" s="25">
        <f ca="1">'[1]INVENTARIO NACIONAL 17-08-26'!AB27</f>
        <v>100.71328671328672</v>
      </c>
      <c r="AC27" s="26">
        <f ca="1">'[1]INVENTARIO NACIONAL 17-08-26'!AC27</f>
        <v>10.071328671328672</v>
      </c>
      <c r="AD27" s="29">
        <f ca="1">'[1]INVENTARIO NACIONAL 17-08-26'!AD27</f>
        <v>1365.4736842105262</v>
      </c>
      <c r="AE27" s="30">
        <f ca="1">'[1]INVENTARIO NACIONAL 17-08-26'!AE27</f>
        <v>75.263157894736835</v>
      </c>
      <c r="AF27" s="28">
        <f ca="1">'[1]INVENTARIO NACIONAL 17-08-26'!AF27</f>
        <v>-1290.2105263157894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8.3015552995391708</v>
      </c>
      <c r="M28" s="33">
        <f ca="1">'[1]INVENTARIO NACIONAL 17-08-26'!M28</f>
        <v>8040.4210526315783</v>
      </c>
      <c r="N28" s="18">
        <f ca="1">'[1]INVENTARIO NACIONAL 17-08-26'!N28</f>
        <v>-2448.1052631578941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3654.7368421052629</v>
      </c>
      <c r="AB28" s="25">
        <f ca="1">'[1]INVENTARIO NACIONAL 17-08-26'!AB28</f>
        <v>13.169210829493089</v>
      </c>
      <c r="AC28" s="26">
        <f ca="1">'[1]INVENTARIO NACIONAL 17-08-26'!AC28</f>
        <v>1.3169210829493088</v>
      </c>
      <c r="AD28" s="29">
        <f ca="1">'[1]INVENTARIO NACIONAL 17-08-26'!AD28</f>
        <v>1158.2631578947371</v>
      </c>
      <c r="AE28" s="30">
        <f ca="1">'[1]INVENTARIO NACIONAL 17-08-26'!AE28</f>
        <v>1827.3684210526314</v>
      </c>
      <c r="AF28" s="28">
        <f ca="1">'[1]INVENTARIO NACIONAL 17-08-26'!AF28</f>
        <v>669.10526315789434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6.9176875957120982</v>
      </c>
      <c r="M29" s="33">
        <f ca="1">'[1]INVENTARIO NACIONAL 17-08-26'!M29</f>
        <v>9073.2631578947367</v>
      </c>
      <c r="N29" s="18">
        <f ca="1">'[1]INVENTARIO NACIONAL 17-08-26'!N29</f>
        <v>-3333.3157894736842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4124.21052631579</v>
      </c>
      <c r="AB29" s="25">
        <f ca="1">'[1]INVENTARIO NACIONAL 17-08-26'!AB29</f>
        <v>11.039688616641142</v>
      </c>
      <c r="AC29" s="26">
        <f ca="1">'[1]INVENTARIO NACIONAL 17-08-26'!AC29</f>
        <v>1.1039688616641141</v>
      </c>
      <c r="AD29" s="29">
        <f ca="1">'[1]INVENTARIO NACIONAL 17-08-26'!AD29</f>
        <v>428.78947368420995</v>
      </c>
      <c r="AE29" s="30">
        <f ca="1">'[1]INVENTARIO NACIONAL 17-08-26'!AE29</f>
        <v>2062.105263157895</v>
      </c>
      <c r="AF29" s="28">
        <f ca="1">'[1]INVENTARIO NACIONAL 17-08-26'!AF29</f>
        <v>1633.3157894736851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7.1837997847147461</v>
      </c>
      <c r="M30" s="33">
        <f ca="1">'[1]INVENTARIO NACIONAL 17-08-26'!M30</f>
        <v>8605.4736842105267</v>
      </c>
      <c r="N30" s="18">
        <f ca="1">'[1]INVENTARIO NACIONAL 17-08-26'!N30</f>
        <v>-3057.3684210526317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3911.5789473684208</v>
      </c>
      <c r="AB30" s="25">
        <f ca="1">'[1]INVENTARIO NACIONAL 17-08-26'!AB30</f>
        <v>15.410656620021529</v>
      </c>
      <c r="AC30" s="26">
        <f ca="1">'[1]INVENTARIO NACIONAL 17-08-26'!AC30</f>
        <v>1.541065662002153</v>
      </c>
      <c r="AD30" s="29">
        <f ca="1">'[1]INVENTARIO NACIONAL 17-08-26'!AD30</f>
        <v>2116.4210526315792</v>
      </c>
      <c r="AE30" s="30">
        <f ca="1">'[1]INVENTARIO NACIONAL 17-08-26'!AE30</f>
        <v>1955.7894736842104</v>
      </c>
      <c r="AF30" s="28">
        <f ca="1">'[1]INVENTARIO NACIONAL 17-08-26'!AF30</f>
        <v>-160.63157894736878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2312.6315789473683</v>
      </c>
      <c r="AB31" s="25">
        <f ca="1">'[1]INVENTARIO NACIONAL 17-08-26'!AB31</f>
        <v>5.9283113336367776</v>
      </c>
      <c r="AC31" s="26">
        <f ca="1">'[1]INVENTARIO NACIONAL 17-08-26'!AC31</f>
        <v>0.59283113336367776</v>
      </c>
      <c r="AD31" s="29">
        <f ca="1">'[1]INVENTARIO NACIONAL 17-08-26'!AD31</f>
        <v>-941.63157894736833</v>
      </c>
      <c r="AE31" s="30">
        <f ca="1">'[1]INVENTARIO NACIONAL 17-08-26'!AE31</f>
        <v>1156.3157894736842</v>
      </c>
      <c r="AF31" s="28">
        <f ca="1">'[1]INVENTARIO NACIONAL 17-08-26'!AF31</f>
        <v>2097.9473684210525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1350.5263157894738</v>
      </c>
      <c r="AB32" s="25">
        <f ca="1">'[1]INVENTARIO NACIONAL 17-08-26'!AB32</f>
        <v>7.2564302416212003</v>
      </c>
      <c r="AC32" s="26">
        <f ca="1">'[1]INVENTARIO NACIONAL 17-08-26'!AC32</f>
        <v>0.72564302416212001</v>
      </c>
      <c r="AD32" s="29">
        <f ca="1">'[1]INVENTARIO NACIONAL 17-08-26'!AD32</f>
        <v>-370.52631578947376</v>
      </c>
      <c r="AE32" s="30">
        <f ca="1">'[1]INVENTARIO NACIONAL 17-08-26'!AE32</f>
        <v>675.26315789473688</v>
      </c>
      <c r="AF32" s="28">
        <f ca="1">'[1]INVENTARIO NACIONAL 17-08-26'!AF32</f>
        <v>1045.7894736842106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5045.78947368421</v>
      </c>
      <c r="AB33" s="25">
        <f ca="1">'[1]INVENTARIO NACIONAL 17-08-26'!AB33</f>
        <v>6.5440700949202055</v>
      </c>
      <c r="AC33" s="26">
        <f ca="1">'[1]INVENTARIO NACIONAL 17-08-26'!AC33</f>
        <v>0.65440700949202046</v>
      </c>
      <c r="AD33" s="29">
        <f ca="1">'[1]INVENTARIO NACIONAL 17-08-26'!AD33</f>
        <v>-1743.78947368421</v>
      </c>
      <c r="AE33" s="30">
        <f ca="1">'[1]INVENTARIO NACIONAL 17-08-26'!AE33</f>
        <v>2522.894736842105</v>
      </c>
      <c r="AF33" s="28">
        <f ca="1">'[1]INVENTARIO NACIONAL 17-08-26'!AF33</f>
        <v>4266.6842105263149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7976.3157894736842</v>
      </c>
      <c r="AB34" s="25">
        <f ca="1">'[1]INVENTARIO NACIONAL 17-08-26'!AB34</f>
        <v>7.9071593533487299</v>
      </c>
      <c r="AC34" s="26">
        <f ca="1">'[1]INVENTARIO NACIONAL 17-08-26'!AC34</f>
        <v>0.79071593533487294</v>
      </c>
      <c r="AD34" s="29">
        <f ca="1">'[1]INVENTARIO NACIONAL 17-08-26'!AD34</f>
        <v>-1669.3157894736842</v>
      </c>
      <c r="AE34" s="30">
        <f ca="1">'[1]INVENTARIO NACIONAL 17-08-26'!AE34</f>
        <v>3988.1578947368421</v>
      </c>
      <c r="AF34" s="28">
        <f ca="1">'[1]INVENTARIO NACIONAL 17-08-26'!AF34</f>
        <v>5657.4736842105267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670.52631578947376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-670.52631578947376</v>
      </c>
      <c r="AE35" s="30">
        <f ca="1">'[1]INVENTARIO NACIONAL 17-08-26'!AE35</f>
        <v>335.26315789473688</v>
      </c>
      <c r="AF35" s="28">
        <f ca="1">'[1]INVENTARIO NACIONAL 17-08-26'!AF35</f>
        <v>1005.7894736842106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7127.894736842105</v>
      </c>
      <c r="AB36" s="25">
        <f ca="1">'[1]INVENTARIO NACIONAL 17-08-26'!AB36</f>
        <v>0.76179576164808394</v>
      </c>
      <c r="AC36" s="26">
        <f ca="1">'[1]INVENTARIO NACIONAL 17-08-26'!AC36</f>
        <v>7.6179576164808388E-2</v>
      </c>
      <c r="AD36" s="29">
        <f ca="1">'[1]INVENTARIO NACIONAL 17-08-26'!AD36</f>
        <v>-6584.894736842105</v>
      </c>
      <c r="AE36" s="30">
        <f ca="1">'[1]INVENTARIO NACIONAL 17-08-26'!AE36</f>
        <v>3563.9473684210525</v>
      </c>
      <c r="AF36" s="28">
        <f ca="1">'[1]INVENTARIO NACIONAL 17-08-26'!AF36</f>
        <v>10148.842105263157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11818.42105263158</v>
      </c>
      <c r="AB37" s="25">
        <f ca="1">'[1]INVENTARIO NACIONAL 17-08-26'!AB37</f>
        <v>8.6035181474059232</v>
      </c>
      <c r="AC37" s="26">
        <f ca="1">'[1]INVENTARIO NACIONAL 17-08-26'!AC37</f>
        <v>0.86035181474059219</v>
      </c>
      <c r="AD37" s="29">
        <f ca="1">'[1]INVENTARIO NACIONAL 17-08-26'!AD37</f>
        <v>-1650.4210526315801</v>
      </c>
      <c r="AE37" s="30">
        <f ca="1">'[1]INVENTARIO NACIONAL 17-08-26'!AE37</f>
        <v>5909.21052631579</v>
      </c>
      <c r="AF37" s="28">
        <f ca="1">'[1]INVENTARIO NACIONAL 17-08-26'!AF37</f>
        <v>7559.6315789473701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5122.6315789473683</v>
      </c>
      <c r="AB38" s="25">
        <f ca="1">'[1]INVENTARIO NACIONAL 17-08-26'!AB38</f>
        <v>19.244015206000203</v>
      </c>
      <c r="AC38" s="26">
        <f ca="1">'[1]INVENTARIO NACIONAL 17-08-26'!AC38</f>
        <v>1.9244015206000207</v>
      </c>
      <c r="AD38" s="29">
        <f ca="1">'[1]INVENTARIO NACIONAL 17-08-26'!AD38</f>
        <v>4735.3684210526317</v>
      </c>
      <c r="AE38" s="30">
        <f ca="1">'[1]INVENTARIO NACIONAL 17-08-26'!AE38</f>
        <v>2561.3157894736842</v>
      </c>
      <c r="AF38" s="28">
        <f ca="1">'[1]INVENTARIO NACIONAL 17-08-26'!AF38</f>
        <v>-2174.0526315789475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3974.2105263157896</v>
      </c>
      <c r="AB39" s="25">
        <f ca="1">'[1]INVENTARIO NACIONAL 17-08-26'!AB39</f>
        <v>4.9468944510660835</v>
      </c>
      <c r="AC39" s="26">
        <f ca="1">'[1]INVENTARIO NACIONAL 17-08-26'!AC39</f>
        <v>0.49468944510660839</v>
      </c>
      <c r="AD39" s="29">
        <f ca="1">'[1]INVENTARIO NACIONAL 17-08-26'!AD39</f>
        <v>-2008.2105263157896</v>
      </c>
      <c r="AE39" s="30">
        <f ca="1">'[1]INVENTARIO NACIONAL 17-08-26'!AE39</f>
        <v>1987.1052631578948</v>
      </c>
      <c r="AF39" s="28">
        <f ca="1">'[1]INVENTARIO NACIONAL 17-08-26'!AF39</f>
        <v>3995.3157894736842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734.73684210526312</v>
      </c>
      <c r="AB40" s="25">
        <f ca="1">'[1]INVENTARIO NACIONAL 17-08-26'!AB40</f>
        <v>61.872492836676216</v>
      </c>
      <c r="AC40" s="26">
        <f ca="1">'[1]INVENTARIO NACIONAL 17-08-26'!AC40</f>
        <v>6.1872492836676223</v>
      </c>
      <c r="AD40" s="29">
        <f ca="1">'[1]INVENTARIO NACIONAL 17-08-26'!AD40</f>
        <v>3811.2631578947367</v>
      </c>
      <c r="AE40" s="30">
        <f ca="1">'[1]INVENTARIO NACIONAL 17-08-26'!AE40</f>
        <v>367.36842105263156</v>
      </c>
      <c r="AF40" s="28">
        <f ca="1">'[1]INVENTARIO NACIONAL 17-08-26'!AF40</f>
        <v>-3443.894736842105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1321.578947368421</v>
      </c>
      <c r="AB43" s="25">
        <f ca="1">'[1]INVENTARIO NACIONAL 17-08-26'!AB43</f>
        <v>5.0015929908403027</v>
      </c>
      <c r="AC43" s="26">
        <f ca="1">'[1]INVENTARIO NACIONAL 17-08-26'!AC43</f>
        <v>0.50015929908403023</v>
      </c>
      <c r="AD43" s="29">
        <f ca="1">'[1]INVENTARIO NACIONAL 17-08-26'!AD43</f>
        <v>-660.57894736842104</v>
      </c>
      <c r="AE43" s="30">
        <f ca="1">'[1]INVENTARIO NACIONAL 17-08-26'!AE43</f>
        <v>660.78947368421052</v>
      </c>
      <c r="AF43" s="28">
        <f ca="1">'[1]INVENTARIO NACIONAL 17-08-26'!AF43</f>
        <v>1321.3684210526317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6458.4210526315792</v>
      </c>
      <c r="AB44" s="25">
        <f ca="1">'[1]INVENTARIO NACIONAL 17-08-26'!AB44</f>
        <v>1.7573954852905223</v>
      </c>
      <c r="AC44" s="26">
        <f ca="1">'[1]INVENTARIO NACIONAL 17-08-26'!AC44</f>
        <v>0.17573954852905224</v>
      </c>
      <c r="AD44" s="29">
        <f ca="1">'[1]INVENTARIO NACIONAL 17-08-26'!AD44</f>
        <v>-5323.4210526315792</v>
      </c>
      <c r="AE44" s="30">
        <f ca="1">'[1]INVENTARIO NACIONAL 17-08-26'!AE44</f>
        <v>3229.2105263157896</v>
      </c>
      <c r="AF44" s="28">
        <f ca="1">'[1]INVENTARIO NACIONAL 17-08-26'!AF44</f>
        <v>8552.6315789473683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6298.4210526315792</v>
      </c>
      <c r="AB45" s="25">
        <f ca="1">'[1]INVENTARIO NACIONAL 17-08-26'!AB45</f>
        <v>6.5921283529706693</v>
      </c>
      <c r="AC45" s="26">
        <f ca="1">'[1]INVENTARIO NACIONAL 17-08-26'!AC45</f>
        <v>0.65921283529706687</v>
      </c>
      <c r="AD45" s="29">
        <f ca="1">'[1]INVENTARIO NACIONAL 17-08-26'!AD45</f>
        <v>-2146.4210526315792</v>
      </c>
      <c r="AE45" s="30">
        <f ca="1">'[1]INVENTARIO NACIONAL 17-08-26'!AE45</f>
        <v>3149.2105263157896</v>
      </c>
      <c r="AF45" s="28">
        <f ca="1">'[1]INVENTARIO NACIONAL 17-08-26'!AF45</f>
        <v>5295.6315789473683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8365.2631578947367</v>
      </c>
      <c r="AB46" s="25">
        <f ca="1">'[1]INVENTARIO NACIONAL 17-08-26'!AB46</f>
        <v>10.223228891405562</v>
      </c>
      <c r="AC46" s="26">
        <f ca="1">'[1]INVENTARIO NACIONAL 17-08-26'!AC46</f>
        <v>1.0223228891405562</v>
      </c>
      <c r="AD46" s="29">
        <f ca="1">'[1]INVENTARIO NACIONAL 17-08-26'!AD46</f>
        <v>186.73684210526335</v>
      </c>
      <c r="AE46" s="30">
        <f ca="1">'[1]INVENTARIO NACIONAL 17-08-26'!AE46</f>
        <v>4182.6315789473683</v>
      </c>
      <c r="AF46" s="28">
        <f ca="1">'[1]INVENTARIO NACIONAL 17-08-26'!AF46</f>
        <v>3995.894736842105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5688.4210526315792</v>
      </c>
      <c r="AB47" s="25">
        <f ca="1">'[1]INVENTARIO NACIONAL 17-08-26'!AB47</f>
        <v>11.836324944485566</v>
      </c>
      <c r="AC47" s="26">
        <f ca="1">'[1]INVENTARIO NACIONAL 17-08-26'!AC47</f>
        <v>1.1836324944485566</v>
      </c>
      <c r="AD47" s="29">
        <f ca="1">'[1]INVENTARIO NACIONAL 17-08-26'!AD47</f>
        <v>1044.5789473684208</v>
      </c>
      <c r="AE47" s="30">
        <f ca="1">'[1]INVENTARIO NACIONAL 17-08-26'!AE47</f>
        <v>2844.2105263157896</v>
      </c>
      <c r="AF47" s="28">
        <f ca="1">'[1]INVENTARIO NACIONAL 17-08-26'!AF47</f>
        <v>1799.6315789473688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24.736842105263158</v>
      </c>
      <c r="AB48" s="25">
        <f ca="1">'[1]INVENTARIO NACIONAL 17-08-26'!AB48</f>
        <v>2113.0425531914893</v>
      </c>
      <c r="AC48" s="26">
        <f ca="1">'[1]INVENTARIO NACIONAL 17-08-26'!AC48</f>
        <v>211.30425531914895</v>
      </c>
      <c r="AD48" s="29">
        <f ca="1">'[1]INVENTARIO NACIONAL 17-08-26'!AD48</f>
        <v>5202.2631578947367</v>
      </c>
      <c r="AE48" s="30">
        <f ca="1">'[1]INVENTARIO NACIONAL 17-08-26'!AE48</f>
        <v>12.368421052631579</v>
      </c>
      <c r="AF48" s="28">
        <f ca="1">'[1]INVENTARIO NACIONAL 17-08-26'!AF48</f>
        <v>-5189.894736842105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 t="e">
        <f>'[1]INVENTARIO NACIONAL 17-08-26'!AA49</f>
        <v>#REF!</v>
      </c>
      <c r="AB49" s="25" t="e">
        <f>'[1]INVENTARIO NACIONAL 17-08-26'!AB49</f>
        <v>#REF!</v>
      </c>
      <c r="AC49" s="26" t="e">
        <f>'[1]INVENTARIO NACIONAL 17-08-26'!AC49</f>
        <v>#REF!</v>
      </c>
      <c r="AD49" s="29" t="e">
        <f>'[1]INVENTARIO NACIONAL 17-08-26'!AD49</f>
        <v>#REF!</v>
      </c>
      <c r="AE49" s="30" t="e">
        <f>'[1]INVENTARIO NACIONAL 17-08-26'!AE49</f>
        <v>#REF!</v>
      </c>
      <c r="AF49" s="28" t="e">
        <f>'[1]INVENTARIO NACIONAL 17-08-26'!AF49</f>
        <v>#REF!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567.89473684210532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-556.89473684210532</v>
      </c>
      <c r="AE50" s="30">
        <f ca="1">'[1]INVENTARIO NACIONAL 17-08-26'!AE50</f>
        <v>283.94736842105266</v>
      </c>
      <c r="AF50" s="28">
        <f ca="1">'[1]INVENTARIO NACIONAL 17-08-26'!AF50</f>
        <v>840.84210526315792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4.7368421052631575</v>
      </c>
      <c r="AB51" s="25">
        <f ca="1">'[1]INVENTARIO NACIONAL 17-08-26'!AB51</f>
        <v>90.777777777777786</v>
      </c>
      <c r="AC51" s="26">
        <f ca="1">'[1]INVENTARIO NACIONAL 17-08-26'!AC51</f>
        <v>9.0777777777777793</v>
      </c>
      <c r="AD51" s="29">
        <f ca="1">'[1]INVENTARIO NACIONAL 17-08-26'!AD51</f>
        <v>38.263157894736842</v>
      </c>
      <c r="AE51" s="30">
        <f ca="1">'[1]INVENTARIO NACIONAL 17-08-26'!AE51</f>
        <v>2.3684210526315788</v>
      </c>
      <c r="AF51" s="28">
        <f ca="1">'[1]INVENTARIO NACIONAL 17-08-26'!AF51</f>
        <v>-35.89473684210526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5240.5263157894742</v>
      </c>
      <c r="AB53" s="25">
        <f ca="1">'[1]INVENTARIO NACIONAL 17-08-26'!AB53</f>
        <v>7.6328211308627093E-3</v>
      </c>
      <c r="AC53" s="26">
        <f ca="1">'[1]INVENTARIO NACIONAL 17-08-26'!AC53</f>
        <v>7.6328211308627093E-4</v>
      </c>
      <c r="AD53" s="29">
        <f ca="1">'[1]INVENTARIO NACIONAL 17-08-26'!AD53</f>
        <v>-5236.5263157894742</v>
      </c>
      <c r="AE53" s="30">
        <f ca="1">'[1]INVENTARIO NACIONAL 17-08-26'!AE53</f>
        <v>2620.2631578947371</v>
      </c>
      <c r="AF53" s="28">
        <f ca="1">'[1]INVENTARIO NACIONAL 17-08-26'!AF53</f>
        <v>7856.7894736842118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590.52631578947376</v>
      </c>
      <c r="AB54" s="25">
        <f ca="1">'[1]INVENTARIO NACIONAL 17-08-26'!AB54</f>
        <v>382.25222816399281</v>
      </c>
      <c r="AC54" s="26">
        <f ca="1">'[1]INVENTARIO NACIONAL 17-08-26'!AC54</f>
        <v>38.225222816399281</v>
      </c>
      <c r="AD54" s="29">
        <f ca="1">'[1]INVENTARIO NACIONAL 17-08-26'!AD54</f>
        <v>21982.473684210527</v>
      </c>
      <c r="AE54" s="30">
        <f ca="1">'[1]INVENTARIO NACIONAL 17-08-26'!AE54</f>
        <v>295.26315789473688</v>
      </c>
      <c r="AF54" s="28">
        <f ca="1">'[1]INVENTARIO NACIONAL 17-08-26'!AF54</f>
        <v>-21687.21052631579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3006.3157894736842</v>
      </c>
      <c r="AB55" s="25">
        <f ca="1">'[1]INVENTARIO NACIONAL 17-08-26'!AB55</f>
        <v>97.225315126050418</v>
      </c>
      <c r="AC55" s="26">
        <f ca="1">'[1]INVENTARIO NACIONAL 17-08-26'!AC55</f>
        <v>9.7225315126050429</v>
      </c>
      <c r="AD55" s="29">
        <f ca="1">'[1]INVENTARIO NACIONAL 17-08-26'!AD55</f>
        <v>26222.684210526317</v>
      </c>
      <c r="AE55" s="30">
        <f ca="1">'[1]INVENTARIO NACIONAL 17-08-26'!AE55</f>
        <v>1503.1578947368421</v>
      </c>
      <c r="AF55" s="28">
        <f ca="1">'[1]INVENTARIO NACIONAL 17-08-26'!AF55</f>
        <v>-24719.526315789473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5310.5263157894742</v>
      </c>
      <c r="AB56" s="25">
        <f ca="1">'[1]INVENTARIO NACIONAL 17-08-26'!AB56</f>
        <v>30.411298315163528</v>
      </c>
      <c r="AC56" s="26">
        <f ca="1">'[1]INVENTARIO NACIONAL 17-08-26'!AC56</f>
        <v>3.0411298315163524</v>
      </c>
      <c r="AD56" s="29">
        <f ca="1">'[1]INVENTARIO NACIONAL 17-08-26'!AD56</f>
        <v>10839.473684210527</v>
      </c>
      <c r="AE56" s="30">
        <f ca="1">'[1]INVENTARIO NACIONAL 17-08-26'!AE56</f>
        <v>2655.2631578947371</v>
      </c>
      <c r="AF56" s="28">
        <f ca="1">'[1]INVENTARIO NACIONAL 17-08-26'!AF56</f>
        <v>-8184.21052631579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3101.0526315789475</v>
      </c>
      <c r="AB57" s="25">
        <f ca="1">'[1]INVENTARIO NACIONAL 17-08-26'!AB57</f>
        <v>62.207909029192123</v>
      </c>
      <c r="AC57" s="26">
        <f ca="1">'[1]INVENTARIO NACIONAL 17-08-26'!AC57</f>
        <v>6.2207909029192123</v>
      </c>
      <c r="AD57" s="29">
        <f ca="1">'[1]INVENTARIO NACIONAL 17-08-26'!AD57</f>
        <v>16189.947368421053</v>
      </c>
      <c r="AE57" s="30">
        <f ca="1">'[1]INVENTARIO NACIONAL 17-08-26'!AE57</f>
        <v>1550.5263157894738</v>
      </c>
      <c r="AF57" s="28">
        <f ca="1">'[1]INVENTARIO NACIONAL 17-08-26'!AF57</f>
        <v>-14639.42105263158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2907.894736842105</v>
      </c>
      <c r="AB58" s="25">
        <f ca="1">'[1]INVENTARIO NACIONAL 17-08-26'!AB58</f>
        <v>2.4588235294117649</v>
      </c>
      <c r="AC58" s="26">
        <f ca="1">'[1]INVENTARIO NACIONAL 17-08-26'!AC58</f>
        <v>0.2458823529411765</v>
      </c>
      <c r="AD58" s="29">
        <f ca="1">'[1]INVENTARIO NACIONAL 17-08-26'!AD58</f>
        <v>-2192.894736842105</v>
      </c>
      <c r="AE58" s="30">
        <f ca="1">'[1]INVENTARIO NACIONAL 17-08-26'!AE58</f>
        <v>1453.9473684210525</v>
      </c>
      <c r="AF58" s="28">
        <f ca="1">'[1]INVENTARIO NACIONAL 17-08-26'!AF58</f>
        <v>3646.8421052631575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587.36842105263156</v>
      </c>
      <c r="AB59" s="25">
        <f ca="1">'[1]INVENTARIO NACIONAL 17-08-26'!AB59</f>
        <v>6.5716845878136203</v>
      </c>
      <c r="AC59" s="26">
        <f ca="1">'[1]INVENTARIO NACIONAL 17-08-26'!AC59</f>
        <v>0.65716845878136199</v>
      </c>
      <c r="AD59" s="29">
        <f ca="1">'[1]INVENTARIO NACIONAL 17-08-26'!AD59</f>
        <v>-201.36842105263156</v>
      </c>
      <c r="AE59" s="30">
        <f ca="1">'[1]INVENTARIO NACIONAL 17-08-26'!AE59</f>
        <v>293.68421052631578</v>
      </c>
      <c r="AF59" s="28">
        <f ca="1">'[1]INVENTARIO NACIONAL 17-08-26'!AF59</f>
        <v>495.05263157894734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1076.8421052631579</v>
      </c>
      <c r="AB60" s="25">
        <f ca="1">'[1]INVENTARIO NACIONAL 17-08-26'!AB60</f>
        <v>2.767350928641251</v>
      </c>
      <c r="AC60" s="26">
        <f ca="1">'[1]INVENTARIO NACIONAL 17-08-26'!AC60</f>
        <v>0.27673509286412512</v>
      </c>
      <c r="AD60" s="29">
        <f ca="1">'[1]INVENTARIO NACIONAL 17-08-26'!AD60</f>
        <v>-778.84210526315792</v>
      </c>
      <c r="AE60" s="30">
        <f ca="1">'[1]INVENTARIO NACIONAL 17-08-26'!AE60</f>
        <v>538.42105263157896</v>
      </c>
      <c r="AF60" s="28">
        <f ca="1">'[1]INVENTARIO NACIONAL 17-08-26'!AF60</f>
        <v>1317.2631578947369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511.0526315789474</v>
      </c>
      <c r="AB61" s="25">
        <f ca="1">'[1]INVENTARIO NACIONAL 17-08-26'!AB61</f>
        <v>2.8568486096807413</v>
      </c>
      <c r="AC61" s="26">
        <f ca="1">'[1]INVENTARIO NACIONAL 17-08-26'!AC61</f>
        <v>0.28568486096807416</v>
      </c>
      <c r="AD61" s="29">
        <f ca="1">'[1]INVENTARIO NACIONAL 17-08-26'!AD61</f>
        <v>-365.0526315789474</v>
      </c>
      <c r="AE61" s="30">
        <f ca="1">'[1]INVENTARIO NACIONAL 17-08-26'!AE61</f>
        <v>255.5263157894737</v>
      </c>
      <c r="AF61" s="28">
        <f ca="1">'[1]INVENTARIO NACIONAL 17-08-26'!AF61</f>
        <v>620.57894736842104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155940.89473684211</v>
      </c>
    </row>
    <row r="63" spans="2:33" x14ac:dyDescent="0.25">
      <c r="B63" s="45" t="s">
        <v>86</v>
      </c>
      <c r="C63" s="46"/>
      <c r="D63" s="46"/>
      <c r="E63" s="67" t="s">
        <v>87</v>
      </c>
      <c r="F63" s="67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3" t="s">
        <v>88</v>
      </c>
      <c r="C64" s="63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3" t="s">
        <v>92</v>
      </c>
      <c r="C68" s="63"/>
      <c r="D68" s="50">
        <f>SUM(Z13:Z61)</f>
        <v>421177.93000000017</v>
      </c>
      <c r="E68" s="64">
        <f>D68*100/D68</f>
        <v>100</v>
      </c>
      <c r="F68" s="64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3" t="s">
        <v>94</v>
      </c>
      <c r="C71" s="63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2">
        <f>D74*100/D75</f>
        <v>11.039956032533535</v>
      </c>
      <c r="F74" s="62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3" t="s">
        <v>98</v>
      </c>
      <c r="C75" s="63"/>
      <c r="D75" s="55">
        <f>SUM(Y13:Y61)</f>
        <v>334793</v>
      </c>
      <c r="E75" s="62">
        <f>D75*100/D75</f>
        <v>100</v>
      </c>
      <c r="F75" s="62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65:F65"/>
    <mergeCell ref="B1:Z6"/>
    <mergeCell ref="AA1:AG6"/>
    <mergeCell ref="E63:F63"/>
    <mergeCell ref="B64:C64"/>
    <mergeCell ref="E64:F64"/>
    <mergeCell ref="E66:F66"/>
    <mergeCell ref="E67:F67"/>
    <mergeCell ref="B68:C68"/>
    <mergeCell ref="E68:F68"/>
    <mergeCell ref="B71:C71"/>
    <mergeCell ref="E71:F71"/>
    <mergeCell ref="E72:F72"/>
    <mergeCell ref="E73:F73"/>
    <mergeCell ref="E74:F74"/>
    <mergeCell ref="B75:C75"/>
    <mergeCell ref="E75:F75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2026-08-28T12:01:34Z</dcterms:modified>
</cp:coreProperties>
</file>