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80FF0E40-0F04-4866-9EE0-41DDACFB05A3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4" i="1" l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65" i="1" l="1"/>
  <c r="D66" i="1"/>
  <c r="D62" i="1"/>
  <c r="D67" i="1"/>
  <c r="E67" i="1" s="1"/>
  <c r="D63" i="1"/>
  <c r="E63" i="1" s="1"/>
  <c r="D74" i="1"/>
  <c r="D70" i="1"/>
  <c r="D72" i="1"/>
  <c r="AK60" i="1"/>
  <c r="AM59" i="1"/>
  <c r="D71" i="1"/>
  <c r="D73" i="1"/>
  <c r="D75" i="1"/>
  <c r="AM51" i="1"/>
  <c r="E62" i="1"/>
  <c r="E66" i="1" l="1"/>
  <c r="E65" i="1"/>
  <c r="E74" i="1"/>
  <c r="E64" i="1"/>
  <c r="E73" i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<sst xmlns="http://schemas.openxmlformats.org/spreadsheetml/2006/main" count="81" uniqueCount="81">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</sst>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EN%202026/Inventario/Septiembre/Inventario%20Nacional%20Producto%20Terminado/Corte%20Diario%20Inventario%20Nacional%20Producto%20Terminado%20SEPTIEMBRE%202026.xlsx" TargetMode="External"/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/ALMACEN%202026/Inventario/Septiembre/Inventario%20Nacional%20Producto%20Terminado/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G1" t="str">
            <v>DASHBOARD</v>
          </cell>
        </row>
      </sheetData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D13" sqref="D13:AE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3770</v>
      </c>
      <c r="F13" s="14">
        <v>5127.2000000000007</v>
      </c>
      <c r="G13" s="14">
        <v>6.2784008074464515</v>
      </c>
      <c r="H13" s="30">
        <v>13210.370370370369</v>
      </c>
      <c r="I13" s="15">
        <v>-2234.7138047138033</v>
      </c>
      <c r="J13" s="16">
        <v>2172</v>
      </c>
      <c r="K13" s="13">
        <v>2953.92</v>
      </c>
      <c r="L13" s="14">
        <v>12.845161290322581</v>
      </c>
      <c r="M13" s="30">
        <v>3720</v>
      </c>
      <c r="N13" s="15">
        <v>481.09090909090901</v>
      </c>
      <c r="O13" s="16">
        <v>560</v>
      </c>
      <c r="P13" s="17">
        <v>761.6</v>
      </c>
      <c r="Q13" s="14">
        <v>17.199586349534641</v>
      </c>
      <c r="R13" s="16">
        <v>716.2962962962963</v>
      </c>
      <c r="S13" s="15">
        <v>-91.178451178451269</v>
      </c>
      <c r="T13" s="18">
        <v>651</v>
      </c>
      <c r="U13" s="17">
        <v>885.36</v>
      </c>
      <c r="V13" s="14">
        <v>17.140691489361704</v>
      </c>
      <c r="W13" s="16">
        <v>835.55555555555554</v>
      </c>
      <c r="X13" s="15">
        <v>43.323232323232332</v>
      </c>
      <c r="Y13" s="18">
        <v>300</v>
      </c>
      <c r="Z13" s="17">
        <v>408.00000000000006</v>
      </c>
      <c r="AA13" s="14">
        <v>12.056833558863328</v>
      </c>
      <c r="AB13" s="16">
        <v>547.40740740740739</v>
      </c>
      <c r="AC13" s="15">
        <v>-247.40740740740739</v>
      </c>
      <c r="AD13" s="19">
        <v>7453</v>
      </c>
      <c r="AE13" s="20">
        <v>10136.08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348.14814814814815</v>
      </c>
      <c r="I14" s="15">
        <v>-158.24915824915826</v>
      </c>
      <c r="J14" s="16">
        <v>8</v>
      </c>
      <c r="K14" s="13">
        <v>12.72</v>
      </c>
      <c r="L14" s="14">
        <v>0.95421686746987966</v>
      </c>
      <c r="M14" s="30">
        <v>184.44444444444443</v>
      </c>
      <c r="N14" s="15">
        <v>-75.83838383838382</v>
      </c>
      <c r="O14" s="16">
        <v>58</v>
      </c>
      <c r="P14" s="17">
        <v>92.22</v>
      </c>
      <c r="Q14" s="14">
        <v>15.380357142857143</v>
      </c>
      <c r="R14" s="16">
        <v>82.962962962962962</v>
      </c>
      <c r="S14" s="15">
        <v>-17.420875420875419</v>
      </c>
      <c r="T14" s="18">
        <v>7</v>
      </c>
      <c r="U14" s="17">
        <v>11.13</v>
      </c>
      <c r="V14" s="14">
        <v>7.7</v>
      </c>
      <c r="W14" s="16">
        <v>20</v>
      </c>
      <c r="X14" s="15">
        <v>-7.545454545454545</v>
      </c>
      <c r="Y14" s="18">
        <v>7</v>
      </c>
      <c r="Z14" s="17">
        <v>11.13</v>
      </c>
      <c r="AA14" s="14">
        <v>2.3099999999999996</v>
      </c>
      <c r="AB14" s="16">
        <v>66.666666666666671</v>
      </c>
      <c r="AC14" s="15">
        <v>-59.666666666666671</v>
      </c>
      <c r="AD14" s="19">
        <v>80</v>
      </c>
      <c r="AE14" s="20">
        <v>127.2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1977</v>
      </c>
      <c r="F15" s="14">
        <v>4013.3099999999995</v>
      </c>
      <c r="G15" s="14">
        <v>7.8383259911894276</v>
      </c>
      <c r="H15" s="30">
        <v>5548.8888888888887</v>
      </c>
      <c r="I15" s="15">
        <v>-545.22222222222217</v>
      </c>
      <c r="J15" s="16">
        <v>1427</v>
      </c>
      <c r="K15" s="13">
        <v>2896.81</v>
      </c>
      <c r="L15" s="14">
        <v>17.477072164948456</v>
      </c>
      <c r="M15" s="30">
        <v>1796.2962962962961</v>
      </c>
      <c r="N15" s="15">
        <v>610.5016835016836</v>
      </c>
      <c r="O15" s="16">
        <v>41</v>
      </c>
      <c r="P15" s="17">
        <v>83.22999999999999</v>
      </c>
      <c r="Q15" s="14">
        <v>4.3028268551236755</v>
      </c>
      <c r="R15" s="16">
        <v>209.62962962962962</v>
      </c>
      <c r="S15" s="15">
        <v>-149.57239057239056</v>
      </c>
      <c r="T15" s="18">
        <v>227</v>
      </c>
      <c r="U15" s="17">
        <v>460.80999999999995</v>
      </c>
      <c r="V15" s="14">
        <v>17.331362467866324</v>
      </c>
      <c r="W15" s="16">
        <v>288.14814814814815</v>
      </c>
      <c r="X15" s="15">
        <v>17.437710437710422</v>
      </c>
      <c r="Y15" s="18">
        <v>137</v>
      </c>
      <c r="Z15" s="17">
        <v>278.10999999999996</v>
      </c>
      <c r="AA15" s="14">
        <v>18.925116279069766</v>
      </c>
      <c r="AB15" s="16">
        <v>159.25925925925927</v>
      </c>
      <c r="AC15" s="15">
        <v>-22.259259259259267</v>
      </c>
      <c r="AD15" s="19">
        <v>3809</v>
      </c>
      <c r="AE15" s="20">
        <v>7732.2699999999995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222</v>
      </c>
      <c r="F16" s="14">
        <v>801.42</v>
      </c>
      <c r="G16" s="14">
        <v>3.8557894736842102</v>
      </c>
      <c r="H16" s="30">
        <v>1266.6666666666667</v>
      </c>
      <c r="I16" s="15">
        <v>-353.75757575757575</v>
      </c>
      <c r="J16" s="16">
        <v>226</v>
      </c>
      <c r="K16" s="13">
        <v>815.86</v>
      </c>
      <c r="L16" s="14">
        <v>12.137793851717902</v>
      </c>
      <c r="M16" s="30">
        <v>409.62962962962962</v>
      </c>
      <c r="N16" s="15">
        <v>39.804713804713799</v>
      </c>
      <c r="O16" s="16">
        <v>12</v>
      </c>
      <c r="P16" s="17">
        <v>43.32</v>
      </c>
      <c r="Q16" s="14">
        <v>6.6000000000000005</v>
      </c>
      <c r="R16" s="16">
        <v>40</v>
      </c>
      <c r="S16" s="15">
        <v>-24.36363636363636</v>
      </c>
      <c r="T16" s="18">
        <v>28</v>
      </c>
      <c r="U16" s="17">
        <v>101.08</v>
      </c>
      <c r="V16" s="14">
        <v>30.8</v>
      </c>
      <c r="W16" s="16">
        <v>20</v>
      </c>
      <c r="X16" s="15">
        <v>13.454545454545455</v>
      </c>
      <c r="Y16" s="18">
        <v>50</v>
      </c>
      <c r="Z16" s="17">
        <v>180.5</v>
      </c>
      <c r="AA16" s="14">
        <v>20.91549295774648</v>
      </c>
      <c r="AB16" s="16">
        <v>52.592592592592595</v>
      </c>
      <c r="AC16" s="15">
        <v>-2.5925925925925952</v>
      </c>
      <c r="AD16" s="19">
        <v>538</v>
      </c>
      <c r="AE16" s="20">
        <v>1942.1799999999998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21</v>
      </c>
      <c r="F17" s="14">
        <v>184.38</v>
      </c>
      <c r="G17" s="14">
        <v>2.4081081081081077</v>
      </c>
      <c r="H17" s="30">
        <v>191.85185185185188</v>
      </c>
      <c r="I17" s="15">
        <v>-66.205387205387211</v>
      </c>
      <c r="J17" s="16">
        <v>17</v>
      </c>
      <c r="K17" s="13">
        <v>149.26</v>
      </c>
      <c r="L17" s="14">
        <v>10.74255319148936</v>
      </c>
      <c r="M17" s="30">
        <v>34.814814814814817</v>
      </c>
      <c r="N17" s="15">
        <v>1.175084175084173</v>
      </c>
      <c r="O17" s="16">
        <v>6</v>
      </c>
      <c r="P17" s="17">
        <v>52.679999999999993</v>
      </c>
      <c r="Q17" s="14">
        <v>16.200000000000003</v>
      </c>
      <c r="R17" s="16">
        <v>8.148148148148147</v>
      </c>
      <c r="S17" s="15">
        <v>-1.4074074074074057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3</v>
      </c>
      <c r="Z17" s="17">
        <v>26.339999999999996</v>
      </c>
      <c r="AA17" s="14">
        <v>9.9000000000000021</v>
      </c>
      <c r="AB17" s="16">
        <v>6.6666666666666661</v>
      </c>
      <c r="AC17" s="15">
        <v>-3.6666666666666661</v>
      </c>
      <c r="AD17" s="19">
        <v>63</v>
      </c>
      <c r="AE17" s="20">
        <v>553.14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5836</v>
      </c>
      <c r="F18" s="14">
        <v>3676.68</v>
      </c>
      <c r="G18" s="14">
        <v>9.6112454253077502</v>
      </c>
      <c r="H18" s="30">
        <v>13358.51851851852</v>
      </c>
      <c r="I18" s="15">
        <v>-236.05387205387342</v>
      </c>
      <c r="J18" s="16">
        <v>3086</v>
      </c>
      <c r="K18" s="13">
        <v>1944.18</v>
      </c>
      <c r="L18" s="14">
        <v>12.27621216180016</v>
      </c>
      <c r="M18" s="30">
        <v>5530.3703703703704</v>
      </c>
      <c r="N18" s="15">
        <v>572.19528619528592</v>
      </c>
      <c r="O18" s="16">
        <v>524</v>
      </c>
      <c r="P18" s="17">
        <v>330.12</v>
      </c>
      <c r="Q18" s="14">
        <v>11.999074787972244</v>
      </c>
      <c r="R18" s="16">
        <v>960.74074074074076</v>
      </c>
      <c r="S18" s="15">
        <v>-349.40067340067333</v>
      </c>
      <c r="T18" s="18">
        <v>1760</v>
      </c>
      <c r="U18" s="17">
        <v>1108.8</v>
      </c>
      <c r="V18" s="14">
        <v>13.983948635634027</v>
      </c>
      <c r="W18" s="16">
        <v>2768.8888888888891</v>
      </c>
      <c r="X18" s="15">
        <v>-253.7373737373739</v>
      </c>
      <c r="Y18" s="18">
        <v>79</v>
      </c>
      <c r="Z18" s="17">
        <v>49.77</v>
      </c>
      <c r="AA18" s="14">
        <v>5.7087591240875906</v>
      </c>
      <c r="AB18" s="16">
        <v>304.44444444444446</v>
      </c>
      <c r="AC18" s="15">
        <v>-225.44444444444446</v>
      </c>
      <c r="AD18" s="19">
        <v>11285</v>
      </c>
      <c r="AE18" s="20">
        <v>7109.55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416</v>
      </c>
      <c r="F19" s="14">
        <v>262.08</v>
      </c>
      <c r="G19" s="14">
        <v>8.6642356241234229</v>
      </c>
      <c r="H19" s="30">
        <v>1056.2962962962963</v>
      </c>
      <c r="I19" s="15">
        <v>-64.134680134680139</v>
      </c>
      <c r="J19" s="16">
        <v>339</v>
      </c>
      <c r="K19" s="13">
        <v>213.57</v>
      </c>
      <c r="L19" s="14">
        <v>8.5036317567567554</v>
      </c>
      <c r="M19" s="30">
        <v>877.03703703703707</v>
      </c>
      <c r="N19" s="15">
        <v>-59.653198653198672</v>
      </c>
      <c r="O19" s="16">
        <v>111</v>
      </c>
      <c r="P19" s="17">
        <v>69.930000000000007</v>
      </c>
      <c r="Q19" s="14">
        <v>32.640594059405935</v>
      </c>
      <c r="R19" s="16">
        <v>74.814814814814824</v>
      </c>
      <c r="S19" s="15">
        <v>42.986531986531986</v>
      </c>
      <c r="T19" s="18">
        <v>226</v>
      </c>
      <c r="U19" s="17">
        <v>142.38</v>
      </c>
      <c r="V19" s="14">
        <v>17.571204188481673</v>
      </c>
      <c r="W19" s="16">
        <v>282.96296296296299</v>
      </c>
      <c r="X19" s="15">
        <v>20.208754208754186</v>
      </c>
      <c r="Y19" s="18">
        <v>169</v>
      </c>
      <c r="Z19" s="17">
        <v>106.47</v>
      </c>
      <c r="AA19" s="14">
        <v>23.345581395348834</v>
      </c>
      <c r="AB19" s="16">
        <v>159.25925925925927</v>
      </c>
      <c r="AC19" s="15">
        <v>9.7407407407407334</v>
      </c>
      <c r="AD19" s="19">
        <v>1261</v>
      </c>
      <c r="AE19" s="20">
        <v>794.43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856</v>
      </c>
      <c r="F20" s="14">
        <v>539.28</v>
      </c>
      <c r="G20" s="14">
        <v>8.2892729051190095</v>
      </c>
      <c r="H20" s="30">
        <v>2271.8518518518517</v>
      </c>
      <c r="I20" s="15">
        <v>-176.65993265993257</v>
      </c>
      <c r="J20" s="16">
        <v>829</v>
      </c>
      <c r="K20" s="13">
        <v>522.27</v>
      </c>
      <c r="L20" s="14">
        <v>8.7620284697508879</v>
      </c>
      <c r="M20" s="30">
        <v>2081.4814814814818</v>
      </c>
      <c r="N20" s="15">
        <v>-117.1279461279463</v>
      </c>
      <c r="O20" s="16">
        <v>152</v>
      </c>
      <c r="P20" s="17">
        <v>95.76</v>
      </c>
      <c r="Q20" s="14">
        <v>22.2384236453202</v>
      </c>
      <c r="R20" s="16">
        <v>150.37037037037035</v>
      </c>
      <c r="S20" s="15">
        <v>15.299663299663337</v>
      </c>
      <c r="T20" s="18">
        <v>505</v>
      </c>
      <c r="U20" s="17">
        <v>318.14999999999998</v>
      </c>
      <c r="V20" s="14">
        <v>17.542105263157893</v>
      </c>
      <c r="W20" s="16">
        <v>633.33333333333337</v>
      </c>
      <c r="X20" s="15">
        <v>44.393939393939377</v>
      </c>
      <c r="Y20" s="18">
        <v>90</v>
      </c>
      <c r="Z20" s="17">
        <v>56.7</v>
      </c>
      <c r="AA20" s="14">
        <v>7.615384615384615</v>
      </c>
      <c r="AB20" s="16">
        <v>260</v>
      </c>
      <c r="AC20" s="15">
        <v>-170</v>
      </c>
      <c r="AD20" s="19">
        <v>2432</v>
      </c>
      <c r="AE20" s="20">
        <v>1532.16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1324</v>
      </c>
      <c r="F21" s="14">
        <v>1443.16</v>
      </c>
      <c r="G21" s="14">
        <v>5.6710124026535906</v>
      </c>
      <c r="H21" s="30">
        <v>5136.2962962962965</v>
      </c>
      <c r="I21" s="15">
        <v>-1010.6801346801349</v>
      </c>
      <c r="J21" s="16">
        <v>6835</v>
      </c>
      <c r="K21" s="13">
        <v>7450.1500000000005</v>
      </c>
      <c r="L21" s="14">
        <v>26.661347517730494</v>
      </c>
      <c r="M21" s="30">
        <v>5640</v>
      </c>
      <c r="N21" s="15">
        <v>4271.363636363636</v>
      </c>
      <c r="O21" s="16">
        <v>321</v>
      </c>
      <c r="P21" s="17">
        <v>349.89000000000004</v>
      </c>
      <c r="Q21" s="14">
        <v>14.919718309859155</v>
      </c>
      <c r="R21" s="16">
        <v>473.33333333333337</v>
      </c>
      <c r="S21" s="15">
        <v>-109.30303030303031</v>
      </c>
      <c r="T21" s="18">
        <v>1042</v>
      </c>
      <c r="U21" s="17">
        <v>1135.78</v>
      </c>
      <c r="V21" s="14">
        <v>14.750905624404194</v>
      </c>
      <c r="W21" s="16">
        <v>1554.0740740740741</v>
      </c>
      <c r="X21" s="15">
        <v>-88.235690235690299</v>
      </c>
      <c r="Y21" s="18">
        <v>129</v>
      </c>
      <c r="Z21" s="17">
        <v>140.61000000000001</v>
      </c>
      <c r="AA21" s="14">
        <v>7.9985386221294359</v>
      </c>
      <c r="AB21" s="16">
        <v>354.81481481481478</v>
      </c>
      <c r="AC21" s="15">
        <v>-225.81481481481484</v>
      </c>
      <c r="AD21" s="19">
        <v>9651</v>
      </c>
      <c r="AE21" s="20">
        <v>10519.59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990</v>
      </c>
      <c r="F22" s="14">
        <v>1079.1000000000001</v>
      </c>
      <c r="G22" s="14">
        <v>6.7114813969413367</v>
      </c>
      <c r="H22" s="30">
        <v>3245.1851851851852</v>
      </c>
      <c r="I22" s="15">
        <v>-485.08417508417529</v>
      </c>
      <c r="J22" s="16">
        <v>4687</v>
      </c>
      <c r="K22" s="13">
        <v>5108.83</v>
      </c>
      <c r="L22" s="14">
        <v>41.516224276767069</v>
      </c>
      <c r="M22" s="30">
        <v>2483.7037037037039</v>
      </c>
      <c r="N22" s="15">
        <v>3558.0437710437709</v>
      </c>
      <c r="O22" s="16">
        <v>59</v>
      </c>
      <c r="P22" s="17">
        <v>64.31</v>
      </c>
      <c r="Q22" s="14">
        <v>10.013142857142856</v>
      </c>
      <c r="R22" s="16">
        <v>129.62962962962965</v>
      </c>
      <c r="S22" s="15">
        <v>-58.845117845117855</v>
      </c>
      <c r="T22" s="18">
        <v>333</v>
      </c>
      <c r="U22" s="17">
        <v>362.97</v>
      </c>
      <c r="V22" s="14">
        <v>16.133931484502451</v>
      </c>
      <c r="W22" s="16">
        <v>454.07407407407402</v>
      </c>
      <c r="X22" s="15">
        <v>2.7643097643098145</v>
      </c>
      <c r="Y22" s="18">
        <v>0</v>
      </c>
      <c r="Z22" s="17">
        <v>0</v>
      </c>
      <c r="AA22" s="14">
        <v>0</v>
      </c>
      <c r="AB22" s="16">
        <v>134.81481481481481</v>
      </c>
      <c r="AC22" s="15">
        <v>-134.81481481481481</v>
      </c>
      <c r="AD22" s="19">
        <v>6069</v>
      </c>
      <c r="AE22" s="20">
        <v>6615.21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16953</v>
      </c>
      <c r="F23" s="14">
        <v>19665.48</v>
      </c>
      <c r="G23" s="14">
        <v>13.875223214285715</v>
      </c>
      <c r="H23" s="30">
        <v>26880</v>
      </c>
      <c r="I23" s="15">
        <v>-1374.2727272727279</v>
      </c>
      <c r="J23" s="16">
        <v>9196</v>
      </c>
      <c r="K23" s="13">
        <v>10667.359999999999</v>
      </c>
      <c r="L23" s="14">
        <v>12.865476470865328</v>
      </c>
      <c r="M23" s="30">
        <v>15725.185185185184</v>
      </c>
      <c r="N23" s="15">
        <v>2048.1885521885533</v>
      </c>
      <c r="O23" s="16">
        <v>1385</v>
      </c>
      <c r="P23" s="17">
        <v>1606.6</v>
      </c>
      <c r="Q23" s="14">
        <v>12.105503237198352</v>
      </c>
      <c r="R23" s="16">
        <v>2517.037037037037</v>
      </c>
      <c r="S23" s="15">
        <v>-903.21548821548822</v>
      </c>
      <c r="T23" s="18">
        <v>4186</v>
      </c>
      <c r="U23" s="17">
        <v>4855.7599999999993</v>
      </c>
      <c r="V23" s="14">
        <v>9.4838813029216578</v>
      </c>
      <c r="W23" s="16">
        <v>9710.3703703703704</v>
      </c>
      <c r="X23" s="15">
        <v>-2876.0875420875418</v>
      </c>
      <c r="Y23" s="18">
        <v>595</v>
      </c>
      <c r="Z23" s="17">
        <v>690.19999999999993</v>
      </c>
      <c r="AA23" s="14">
        <v>13.969565217391304</v>
      </c>
      <c r="AB23" s="16">
        <v>937.03703703703707</v>
      </c>
      <c r="AC23" s="15">
        <v>-342.03703703703707</v>
      </c>
      <c r="AD23" s="19">
        <v>32315</v>
      </c>
      <c r="AE23" s="20">
        <v>37485.399999999994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7490</v>
      </c>
      <c r="F24" s="14">
        <v>8688.4</v>
      </c>
      <c r="G24" s="14">
        <v>9.0612219959266795</v>
      </c>
      <c r="H24" s="30">
        <v>18185.185185185186</v>
      </c>
      <c r="I24" s="15">
        <v>-775.99326599326741</v>
      </c>
      <c r="J24" s="16">
        <v>5298</v>
      </c>
      <c r="K24" s="13">
        <v>6145.6799999999994</v>
      </c>
      <c r="L24" s="14">
        <v>12.162835278658111</v>
      </c>
      <c r="M24" s="30">
        <v>9582.9629629629635</v>
      </c>
      <c r="N24" s="15">
        <v>942.1077441077432</v>
      </c>
      <c r="O24" s="16">
        <v>857</v>
      </c>
      <c r="P24" s="17">
        <v>994.11999999999989</v>
      </c>
      <c r="Q24" s="14">
        <v>12.946541200406919</v>
      </c>
      <c r="R24" s="16">
        <v>1456.2962962962961</v>
      </c>
      <c r="S24" s="15">
        <v>-466.90572390572379</v>
      </c>
      <c r="T24" s="18">
        <v>3144</v>
      </c>
      <c r="U24" s="17">
        <v>3647.04</v>
      </c>
      <c r="V24" s="14">
        <v>13.526988265971317</v>
      </c>
      <c r="W24" s="16">
        <v>5113.333333333333</v>
      </c>
      <c r="X24" s="15">
        <v>-574.78787878787853</v>
      </c>
      <c r="Y24" s="18">
        <v>300</v>
      </c>
      <c r="Z24" s="17">
        <v>348</v>
      </c>
      <c r="AA24" s="14">
        <v>9.4787234042553195</v>
      </c>
      <c r="AB24" s="16">
        <v>696.2962962962963</v>
      </c>
      <c r="AC24" s="15">
        <v>-396.2962962962963</v>
      </c>
      <c r="AD24" s="19">
        <v>17089</v>
      </c>
      <c r="AE24" s="20">
        <v>19823.239999999998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7258</v>
      </c>
      <c r="F25" s="14">
        <v>8419.2799999999988</v>
      </c>
      <c r="G25" s="14">
        <v>9.0812908118127815</v>
      </c>
      <c r="H25" s="30">
        <v>17582.962962962964</v>
      </c>
      <c r="I25" s="15">
        <v>-734.25589225589283</v>
      </c>
      <c r="J25" s="16">
        <v>11714</v>
      </c>
      <c r="K25" s="13">
        <v>13588.24</v>
      </c>
      <c r="L25" s="14">
        <v>25.63219627201061</v>
      </c>
      <c r="M25" s="30">
        <v>10054.074074074073</v>
      </c>
      <c r="N25" s="15">
        <v>7143.9663299663298</v>
      </c>
      <c r="O25" s="16">
        <v>1136</v>
      </c>
      <c r="P25" s="17">
        <v>1317.76</v>
      </c>
      <c r="Q25" s="14">
        <v>14.122729175387192</v>
      </c>
      <c r="R25" s="16">
        <v>1769.6296296296296</v>
      </c>
      <c r="S25" s="15">
        <v>-472.75420875420878</v>
      </c>
      <c r="T25" s="18">
        <v>2967</v>
      </c>
      <c r="U25" s="17">
        <v>3441.72</v>
      </c>
      <c r="V25" s="14">
        <v>12.386828788304753</v>
      </c>
      <c r="W25" s="16">
        <v>5269.6296296296296</v>
      </c>
      <c r="X25" s="15">
        <v>-865.45791245791224</v>
      </c>
      <c r="Y25" s="18">
        <v>202</v>
      </c>
      <c r="Z25" s="17">
        <v>234.32</v>
      </c>
      <c r="AA25" s="14">
        <v>8.7967741935483854</v>
      </c>
      <c r="AB25" s="16">
        <v>505.18518518518522</v>
      </c>
      <c r="AC25" s="15">
        <v>-303.18518518518522</v>
      </c>
      <c r="AD25" s="19">
        <v>23277</v>
      </c>
      <c r="AE25" s="20">
        <v>27001.32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14561</v>
      </c>
      <c r="F26" s="14">
        <v>16890.759999999998</v>
      </c>
      <c r="G26" s="14">
        <v>14.16699534822774</v>
      </c>
      <c r="H26" s="30">
        <v>22611.851851851854</v>
      </c>
      <c r="I26" s="15">
        <v>-856.17171717171732</v>
      </c>
      <c r="J26" s="16">
        <v>12131</v>
      </c>
      <c r="K26" s="13">
        <v>14071.96</v>
      </c>
      <c r="L26" s="14">
        <v>22.470419109392541</v>
      </c>
      <c r="M26" s="30">
        <v>11877.037037037036</v>
      </c>
      <c r="N26" s="15">
        <v>6732.3468013468009</v>
      </c>
      <c r="O26" s="16">
        <v>709</v>
      </c>
      <c r="P26" s="17">
        <v>822.43999999999994</v>
      </c>
      <c r="Q26" s="14">
        <v>10.938857142857144</v>
      </c>
      <c r="R26" s="16">
        <v>1425.9259259259259</v>
      </c>
      <c r="S26" s="15">
        <v>-587.29629629629608</v>
      </c>
      <c r="T26" s="18">
        <v>2816</v>
      </c>
      <c r="U26" s="17">
        <v>3266.56</v>
      </c>
      <c r="V26" s="14">
        <v>9.4749291945168235</v>
      </c>
      <c r="W26" s="16">
        <v>6538.5185185185182</v>
      </c>
      <c r="X26" s="15">
        <v>-1939.2861952861949</v>
      </c>
      <c r="Y26" s="18">
        <v>408</v>
      </c>
      <c r="Z26" s="17">
        <v>473.28</v>
      </c>
      <c r="AA26" s="14">
        <v>11.442492917847026</v>
      </c>
      <c r="AB26" s="16">
        <v>784.44444444444446</v>
      </c>
      <c r="AC26" s="15">
        <v>-376.44444444444434</v>
      </c>
      <c r="AD26" s="19">
        <v>30625</v>
      </c>
      <c r="AE26" s="20">
        <v>35525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1871</v>
      </c>
      <c r="F27" s="14">
        <v>2170.3599999999997</v>
      </c>
      <c r="G27" s="14">
        <v>6.9617514407416694</v>
      </c>
      <c r="H27" s="30">
        <v>5912.5925925925922</v>
      </c>
      <c r="I27" s="15">
        <v>-816.5420875420873</v>
      </c>
      <c r="J27" s="16">
        <v>2399</v>
      </c>
      <c r="K27" s="13">
        <v>2782.8399999999997</v>
      </c>
      <c r="L27" s="14">
        <v>16.83608223062382</v>
      </c>
      <c r="M27" s="30">
        <v>3134.8148148148148</v>
      </c>
      <c r="N27" s="15">
        <v>974.08417508417529</v>
      </c>
      <c r="O27" s="16">
        <v>421</v>
      </c>
      <c r="P27" s="17">
        <v>488.35999999999996</v>
      </c>
      <c r="Q27" s="14">
        <v>19.506552262090484</v>
      </c>
      <c r="R27" s="16">
        <v>474.81481481481478</v>
      </c>
      <c r="S27" s="15">
        <v>-10.64983164983164</v>
      </c>
      <c r="T27" s="18">
        <v>1077</v>
      </c>
      <c r="U27" s="17">
        <v>1249.32</v>
      </c>
      <c r="V27" s="14">
        <v>11.095005202913631</v>
      </c>
      <c r="W27" s="16">
        <v>2135.5555555555557</v>
      </c>
      <c r="X27" s="15">
        <v>-476.13131313131316</v>
      </c>
      <c r="Y27" s="18">
        <v>142</v>
      </c>
      <c r="Z27" s="17">
        <v>164.72</v>
      </c>
      <c r="AA27" s="14">
        <v>14.247972972972972</v>
      </c>
      <c r="AB27" s="16">
        <v>219.25925925925927</v>
      </c>
      <c r="AC27" s="15">
        <v>-77.259259259259267</v>
      </c>
      <c r="AD27" s="19">
        <v>5910</v>
      </c>
      <c r="AE27" s="20">
        <v>6855.5999999999995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2830</v>
      </c>
      <c r="F28" s="14">
        <v>3282.7999999999997</v>
      </c>
      <c r="G28" s="14">
        <v>10.129067245119307</v>
      </c>
      <c r="H28" s="30">
        <v>6146.6666666666661</v>
      </c>
      <c r="I28" s="15">
        <v>36.060606060606005</v>
      </c>
      <c r="J28" s="16">
        <v>3816</v>
      </c>
      <c r="K28" s="13">
        <v>4426.5599999999995</v>
      </c>
      <c r="L28" s="14">
        <v>18.467524849274888</v>
      </c>
      <c r="M28" s="30">
        <v>4545.9259259259261</v>
      </c>
      <c r="N28" s="15">
        <v>1749.6700336700333</v>
      </c>
      <c r="O28" s="16">
        <v>464</v>
      </c>
      <c r="P28" s="17">
        <v>538.24</v>
      </c>
      <c r="Q28" s="14">
        <v>15.044541484716158</v>
      </c>
      <c r="R28" s="16">
        <v>678.51851851851848</v>
      </c>
      <c r="S28" s="15">
        <v>-152.83501683501686</v>
      </c>
      <c r="T28" s="18">
        <v>282</v>
      </c>
      <c r="U28" s="17">
        <v>327.12</v>
      </c>
      <c r="V28" s="14">
        <v>2.44251968503937</v>
      </c>
      <c r="W28" s="16">
        <v>2540</v>
      </c>
      <c r="X28" s="15">
        <v>-1565.2727272727273</v>
      </c>
      <c r="Y28" s="18">
        <v>194</v>
      </c>
      <c r="Z28" s="17">
        <v>225.04</v>
      </c>
      <c r="AA28" s="14">
        <v>13.493676814988291</v>
      </c>
      <c r="AB28" s="16">
        <v>316.2962962962963</v>
      </c>
      <c r="AC28" s="15">
        <v>-122.2962962962963</v>
      </c>
      <c r="AD28" s="19">
        <v>7586</v>
      </c>
      <c r="AE28" s="20">
        <v>8799.76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1067</v>
      </c>
      <c r="F29" s="14">
        <v>1237.72</v>
      </c>
      <c r="G29" s="14">
        <v>3.6105616953400936</v>
      </c>
      <c r="H29" s="30">
        <v>6501.4814814814818</v>
      </c>
      <c r="I29" s="15">
        <v>-1888.218855218855</v>
      </c>
      <c r="J29" s="16">
        <v>2882</v>
      </c>
      <c r="K29" s="13">
        <v>3343.12</v>
      </c>
      <c r="L29" s="14">
        <v>15.265810593900483</v>
      </c>
      <c r="M29" s="30">
        <v>4153.333333333333</v>
      </c>
      <c r="N29" s="15">
        <v>994.12121212121224</v>
      </c>
      <c r="O29" s="16">
        <v>450</v>
      </c>
      <c r="P29" s="17">
        <v>522</v>
      </c>
      <c r="Q29" s="14">
        <v>14.386437029063512</v>
      </c>
      <c r="R29" s="16">
        <v>688.14814814814804</v>
      </c>
      <c r="S29" s="15">
        <v>-175.58922558922541</v>
      </c>
      <c r="T29" s="18">
        <v>266</v>
      </c>
      <c r="U29" s="17">
        <v>308.56</v>
      </c>
      <c r="V29" s="14">
        <v>2.3147377673600937</v>
      </c>
      <c r="W29" s="16">
        <v>2528.1481481481483</v>
      </c>
      <c r="X29" s="15">
        <v>-1572.6531986531988</v>
      </c>
      <c r="Y29" s="18">
        <v>156</v>
      </c>
      <c r="Z29" s="17">
        <v>180.95999999999998</v>
      </c>
      <c r="AA29" s="14">
        <v>11.81938775510204</v>
      </c>
      <c r="AB29" s="16">
        <v>290.37037037037038</v>
      </c>
      <c r="AC29" s="15">
        <v>-134.37037037037038</v>
      </c>
      <c r="AD29" s="19">
        <v>4821</v>
      </c>
      <c r="AE29" s="20">
        <v>5592.36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633</v>
      </c>
      <c r="F30" s="14">
        <v>2329.44</v>
      </c>
      <c r="G30" s="14">
        <v>7.7018025399426469</v>
      </c>
      <c r="H30" s="30">
        <v>1808.148148148148</v>
      </c>
      <c r="I30" s="15">
        <v>-188.88552188552183</v>
      </c>
      <c r="J30" s="16">
        <v>1391</v>
      </c>
      <c r="K30" s="13">
        <v>5118.88</v>
      </c>
      <c r="L30" s="14">
        <v>15.323701780415432</v>
      </c>
      <c r="M30" s="30">
        <v>1997.037037037037</v>
      </c>
      <c r="N30" s="15">
        <v>483.25589225589238</v>
      </c>
      <c r="O30" s="16">
        <v>104</v>
      </c>
      <c r="P30" s="17">
        <v>382.72</v>
      </c>
      <c r="Q30" s="14">
        <v>22.88</v>
      </c>
      <c r="R30" s="16">
        <v>100</v>
      </c>
      <c r="S30" s="15">
        <v>13.090909090909079</v>
      </c>
      <c r="T30" s="18">
        <v>324</v>
      </c>
      <c r="U30" s="17">
        <v>1192.3200000000002</v>
      </c>
      <c r="V30" s="14">
        <v>13.364999999999998</v>
      </c>
      <c r="W30" s="16">
        <v>533.33333333333337</v>
      </c>
      <c r="X30" s="15">
        <v>-63.878787878787932</v>
      </c>
      <c r="Y30" s="18">
        <v>30</v>
      </c>
      <c r="Z30" s="17">
        <v>110.4</v>
      </c>
      <c r="AA30" s="14">
        <v>6.1448275862068966</v>
      </c>
      <c r="AB30" s="16">
        <v>107.4074074074074</v>
      </c>
      <c r="AC30" s="15">
        <v>-77.407407407407419</v>
      </c>
      <c r="AD30" s="19">
        <v>2482</v>
      </c>
      <c r="AE30" s="20">
        <v>9133.76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263</v>
      </c>
      <c r="F31" s="14">
        <v>967.84</v>
      </c>
      <c r="G31" s="14">
        <v>6.397297297297297</v>
      </c>
      <c r="H31" s="30">
        <v>904.44444444444446</v>
      </c>
      <c r="I31" s="15">
        <v>-148.11111111111114</v>
      </c>
      <c r="J31" s="16">
        <v>1315</v>
      </c>
      <c r="K31" s="13">
        <v>4839.2</v>
      </c>
      <c r="L31" s="14">
        <v>24.891969407265776</v>
      </c>
      <c r="M31" s="30">
        <v>1162.2222222222222</v>
      </c>
      <c r="N31" s="15">
        <v>786.71717171717182</v>
      </c>
      <c r="O31" s="16">
        <v>13</v>
      </c>
      <c r="P31" s="17">
        <v>47.84</v>
      </c>
      <c r="Q31" s="14">
        <v>12.065625000000001</v>
      </c>
      <c r="R31" s="16">
        <v>23.703703703703702</v>
      </c>
      <c r="S31" s="15">
        <v>-8.5488215488215502</v>
      </c>
      <c r="T31" s="18">
        <v>170</v>
      </c>
      <c r="U31" s="17">
        <v>625.6</v>
      </c>
      <c r="V31" s="14">
        <v>19.197718631178709</v>
      </c>
      <c r="W31" s="16">
        <v>194.81481481481481</v>
      </c>
      <c r="X31" s="15">
        <v>28.316498316498325</v>
      </c>
      <c r="Y31" s="18">
        <v>22</v>
      </c>
      <c r="Z31" s="17">
        <v>80.960000000000008</v>
      </c>
      <c r="AA31" s="14">
        <v>18.150000000000002</v>
      </c>
      <c r="AB31" s="16">
        <v>26.666666666666664</v>
      </c>
      <c r="AC31" s="15">
        <v>-4.6666666666666643</v>
      </c>
      <c r="AD31" s="19">
        <v>1783</v>
      </c>
      <c r="AE31" s="20">
        <v>6561.4400000000005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1478</v>
      </c>
      <c r="F32" s="14">
        <v>6133.7000000000007</v>
      </c>
      <c r="G32" s="14">
        <v>8.6105531581012169</v>
      </c>
      <c r="H32" s="30">
        <v>3776.2962962962961</v>
      </c>
      <c r="I32" s="15">
        <v>-238.4983164983164</v>
      </c>
      <c r="J32" s="16">
        <v>1384</v>
      </c>
      <c r="K32" s="13">
        <v>5743.6</v>
      </c>
      <c r="L32" s="14">
        <v>10.294214876033056</v>
      </c>
      <c r="M32" s="30">
        <v>2957.7777777777778</v>
      </c>
      <c r="N32" s="15">
        <v>39.555555555555429</v>
      </c>
      <c r="O32" s="16">
        <v>140</v>
      </c>
      <c r="P32" s="17">
        <v>581</v>
      </c>
      <c r="Q32" s="14">
        <v>13.03448275862069</v>
      </c>
      <c r="R32" s="16">
        <v>236.2962962962963</v>
      </c>
      <c r="S32" s="15">
        <v>-74.81481481481481</v>
      </c>
      <c r="T32" s="18">
        <v>615</v>
      </c>
      <c r="U32" s="17">
        <v>2552.25</v>
      </c>
      <c r="V32" s="14">
        <v>9.2296614451743295</v>
      </c>
      <c r="W32" s="16">
        <v>1465.9259259259259</v>
      </c>
      <c r="X32" s="15">
        <v>-451.12794612794619</v>
      </c>
      <c r="Y32" s="18">
        <v>218</v>
      </c>
      <c r="Z32" s="17">
        <v>904.7</v>
      </c>
      <c r="AA32" s="14">
        <v>65.400000000000006</v>
      </c>
      <c r="AB32" s="16">
        <v>73.333333333333329</v>
      </c>
      <c r="AC32" s="15">
        <v>144.66666666666669</v>
      </c>
      <c r="AD32" s="19">
        <v>3835</v>
      </c>
      <c r="AE32" s="20">
        <v>15915.250000000002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2728</v>
      </c>
      <c r="F33" s="14">
        <v>11321.2</v>
      </c>
      <c r="G33" s="14">
        <v>8.0179713013359741</v>
      </c>
      <c r="H33" s="30">
        <v>7485.1851851851843</v>
      </c>
      <c r="I33" s="15">
        <v>-674.35690235690163</v>
      </c>
      <c r="J33" s="16">
        <v>3881</v>
      </c>
      <c r="K33" s="13">
        <v>16106.150000000001</v>
      </c>
      <c r="L33" s="14">
        <v>18.97377777777778</v>
      </c>
      <c r="M33" s="30">
        <v>4500</v>
      </c>
      <c r="N33" s="15">
        <v>1835.5454545454547</v>
      </c>
      <c r="O33" s="16">
        <v>249</v>
      </c>
      <c r="P33" s="17">
        <v>1033.3500000000001</v>
      </c>
      <c r="Q33" s="14">
        <v>17.158468677494199</v>
      </c>
      <c r="R33" s="16">
        <v>319.2592592592593</v>
      </c>
      <c r="S33" s="15">
        <v>-41.235690235690299</v>
      </c>
      <c r="T33" s="18">
        <v>576</v>
      </c>
      <c r="U33" s="17">
        <v>2390.4</v>
      </c>
      <c r="V33" s="14">
        <v>6.7351181102362201</v>
      </c>
      <c r="W33" s="16">
        <v>1881.4814814814815</v>
      </c>
      <c r="X33" s="15">
        <v>-792.35016835016836</v>
      </c>
      <c r="Y33" s="18">
        <v>51</v>
      </c>
      <c r="Z33" s="17">
        <v>211.65</v>
      </c>
      <c r="AA33" s="14">
        <v>4.2192200557103066</v>
      </c>
      <c r="AB33" s="16">
        <v>265.92592592592592</v>
      </c>
      <c r="AC33" s="15">
        <v>-214.92592592592592</v>
      </c>
      <c r="AD33" s="19">
        <v>7485</v>
      </c>
      <c r="AE33" s="20">
        <v>31062.750000000004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474</v>
      </c>
      <c r="F34" s="14">
        <v>1967.1000000000001</v>
      </c>
      <c r="G34" s="14">
        <v>11.634545454545455</v>
      </c>
      <c r="H34" s="30">
        <v>896.2962962962963</v>
      </c>
      <c r="I34" s="15">
        <v>66.592592592592609</v>
      </c>
      <c r="J34" s="16">
        <v>0</v>
      </c>
      <c r="K34" s="13">
        <v>0</v>
      </c>
      <c r="L34" s="14">
        <v>0</v>
      </c>
      <c r="M34" s="30">
        <v>0</v>
      </c>
      <c r="N34" s="15">
        <v>0</v>
      </c>
      <c r="O34" s="16">
        <v>0</v>
      </c>
      <c r="P34" s="17"/>
      <c r="Q34" s="14">
        <v>0</v>
      </c>
      <c r="R34" s="16">
        <v>59.259259259259252</v>
      </c>
      <c r="S34" s="15">
        <v>-53.872053872053868</v>
      </c>
      <c r="T34" s="18">
        <v>82</v>
      </c>
      <c r="U34" s="17">
        <v>340.3</v>
      </c>
      <c r="V34" s="14">
        <v>16.235999999999997</v>
      </c>
      <c r="W34" s="16">
        <v>111.11111111111111</v>
      </c>
      <c r="X34" s="15">
        <v>1.1919191919191832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588</v>
      </c>
      <c r="AE34" s="20">
        <v>2440.2000000000003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2465</v>
      </c>
      <c r="F35" s="14">
        <v>4017.95</v>
      </c>
      <c r="G35" s="14">
        <v>7.5873665664835732</v>
      </c>
      <c r="H35" s="30">
        <v>7147.4074074074078</v>
      </c>
      <c r="I35" s="15">
        <v>-783.82154882154919</v>
      </c>
      <c r="J35" s="16">
        <v>4160</v>
      </c>
      <c r="K35" s="13">
        <v>6780.7999999999993</v>
      </c>
      <c r="L35" s="14">
        <v>33.775833788955708</v>
      </c>
      <c r="M35" s="30">
        <v>2709.62962962963</v>
      </c>
      <c r="N35" s="15">
        <v>2928.3501683501681</v>
      </c>
      <c r="O35" s="16">
        <v>351</v>
      </c>
      <c r="P35" s="17">
        <v>572.13</v>
      </c>
      <c r="Q35" s="14">
        <v>12.192631578947369</v>
      </c>
      <c r="R35" s="16">
        <v>633.33333333333337</v>
      </c>
      <c r="S35" s="15">
        <v>-224.75757575757575</v>
      </c>
      <c r="T35" s="18">
        <v>602</v>
      </c>
      <c r="U35" s="17">
        <v>981.26</v>
      </c>
      <c r="V35" s="14">
        <v>16.616542750929369</v>
      </c>
      <c r="W35" s="16">
        <v>797.03703703703707</v>
      </c>
      <c r="X35" s="15">
        <v>22.336700336700346</v>
      </c>
      <c r="Y35" s="18">
        <v>110</v>
      </c>
      <c r="Z35" s="17">
        <v>179.29999999999998</v>
      </c>
      <c r="AA35" s="14">
        <v>9.5806451612903221</v>
      </c>
      <c r="AB35" s="16">
        <v>252.59259259259261</v>
      </c>
      <c r="AC35" s="15">
        <v>-142.59259259259261</v>
      </c>
      <c r="AD35" s="19">
        <v>7688</v>
      </c>
      <c r="AE35" s="20">
        <v>12531.439999999999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4264</v>
      </c>
      <c r="F36" s="14">
        <v>6950.32</v>
      </c>
      <c r="G36" s="14">
        <v>9.021927762342381</v>
      </c>
      <c r="H36" s="30">
        <v>10397.777777777777</v>
      </c>
      <c r="I36" s="15">
        <v>-462.26262626262542</v>
      </c>
      <c r="J36" s="16">
        <v>3943</v>
      </c>
      <c r="K36" s="13">
        <v>6427.0899999999992</v>
      </c>
      <c r="L36" s="14">
        <v>22.984710500490678</v>
      </c>
      <c r="M36" s="30">
        <v>3774.0740740740739</v>
      </c>
      <c r="N36" s="15">
        <v>2227.5117845117848</v>
      </c>
      <c r="O36" s="16">
        <v>983</v>
      </c>
      <c r="P36" s="17">
        <v>1602.29</v>
      </c>
      <c r="Q36" s="14">
        <v>14.283317025440311</v>
      </c>
      <c r="R36" s="16">
        <v>1514.0740740740741</v>
      </c>
      <c r="S36" s="15">
        <v>-393.43097643097667</v>
      </c>
      <c r="T36" s="18">
        <v>1119</v>
      </c>
      <c r="U36" s="17">
        <v>1823.9699999999998</v>
      </c>
      <c r="V36" s="14">
        <v>13.905564853556486</v>
      </c>
      <c r="W36" s="16">
        <v>1770.3703703703704</v>
      </c>
      <c r="X36" s="15">
        <v>-168.54208754208753</v>
      </c>
      <c r="Y36" s="18">
        <v>206</v>
      </c>
      <c r="Z36" s="17">
        <v>335.78</v>
      </c>
      <c r="AA36" s="14">
        <v>9.4855813953488379</v>
      </c>
      <c r="AB36" s="16">
        <v>477.77777777777777</v>
      </c>
      <c r="AC36" s="15">
        <v>-271.77777777777777</v>
      </c>
      <c r="AD36" s="19">
        <v>10515</v>
      </c>
      <c r="AE36" s="20">
        <v>17139.449999999997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1932</v>
      </c>
      <c r="F37" s="14">
        <v>3149.16</v>
      </c>
      <c r="G37" s="14">
        <v>8.8236813778256202</v>
      </c>
      <c r="H37" s="30">
        <v>4817.0370370370365</v>
      </c>
      <c r="I37" s="15">
        <v>-257.56228956228915</v>
      </c>
      <c r="J37" s="16">
        <v>2222</v>
      </c>
      <c r="K37" s="13">
        <v>3621.8599999999997</v>
      </c>
      <c r="L37" s="14">
        <v>21.131412103746396</v>
      </c>
      <c r="M37" s="30">
        <v>2313.3333333333335</v>
      </c>
      <c r="N37" s="15">
        <v>1170.4848484848485</v>
      </c>
      <c r="O37" s="16">
        <v>529</v>
      </c>
      <c r="P37" s="17">
        <v>862.27</v>
      </c>
      <c r="Q37" s="14">
        <v>11.830798192771084</v>
      </c>
      <c r="R37" s="16">
        <v>983.7037037037037</v>
      </c>
      <c r="S37" s="15">
        <v>-365.27609427609423</v>
      </c>
      <c r="T37" s="18">
        <v>551</v>
      </c>
      <c r="U37" s="17">
        <v>898.13</v>
      </c>
      <c r="V37" s="14">
        <v>12.597921478060046</v>
      </c>
      <c r="W37" s="16">
        <v>962.22222222222229</v>
      </c>
      <c r="X37" s="15">
        <v>-148.79797979797979</v>
      </c>
      <c r="Y37" s="18">
        <v>4</v>
      </c>
      <c r="Z37" s="17">
        <v>6.52</v>
      </c>
      <c r="AA37" s="14">
        <v>0.27310344827586208</v>
      </c>
      <c r="AB37" s="16">
        <v>322.22222222222223</v>
      </c>
      <c r="AC37" s="15">
        <v>-318.22222222222223</v>
      </c>
      <c r="AD37" s="19">
        <v>5238</v>
      </c>
      <c r="AE37" s="20">
        <v>8537.9399999999987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1401</v>
      </c>
      <c r="F38" s="14">
        <v>2283.6299999999997</v>
      </c>
      <c r="G38" s="14">
        <v>8.365440289505429</v>
      </c>
      <c r="H38" s="30">
        <v>3684.4444444444443</v>
      </c>
      <c r="I38" s="15">
        <v>-273.7474747474746</v>
      </c>
      <c r="J38" s="16">
        <v>2460</v>
      </c>
      <c r="K38" s="13">
        <v>4009.7999999999997</v>
      </c>
      <c r="L38" s="14">
        <v>28.046833013435702</v>
      </c>
      <c r="M38" s="30">
        <v>1929.6296296296296</v>
      </c>
      <c r="N38" s="15">
        <v>1582.8956228956231</v>
      </c>
      <c r="O38" s="16">
        <v>252</v>
      </c>
      <c r="P38" s="17">
        <v>410.76</v>
      </c>
      <c r="Q38" s="14">
        <v>8.251819184123482</v>
      </c>
      <c r="R38" s="16">
        <v>671.85185185185196</v>
      </c>
      <c r="S38" s="15">
        <v>-358.77441077441085</v>
      </c>
      <c r="T38" s="18">
        <v>438</v>
      </c>
      <c r="U38" s="17">
        <v>713.93999999999994</v>
      </c>
      <c r="V38" s="14">
        <v>15.250410316529894</v>
      </c>
      <c r="W38" s="16">
        <v>631.85185185185185</v>
      </c>
      <c r="X38" s="15">
        <v>-21.528619528619515</v>
      </c>
      <c r="Y38" s="18">
        <v>151</v>
      </c>
      <c r="Z38" s="17">
        <v>246.13</v>
      </c>
      <c r="AA38" s="14">
        <v>6.1603021978021975</v>
      </c>
      <c r="AB38" s="16">
        <v>539.25925925925924</v>
      </c>
      <c r="AC38" s="15">
        <v>-388.25925925925924</v>
      </c>
      <c r="AD38" s="19">
        <v>4702</v>
      </c>
      <c r="AE38" s="20">
        <v>7664.2599999999993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717</v>
      </c>
      <c r="F39" s="14">
        <v>1168.71</v>
      </c>
      <c r="G39" s="14">
        <v>9.7281407035175871</v>
      </c>
      <c r="H39" s="30">
        <v>1621.4814814814815</v>
      </c>
      <c r="I39" s="15">
        <v>-20.037037037037067</v>
      </c>
      <c r="J39" s="16">
        <v>985</v>
      </c>
      <c r="K39" s="13">
        <v>1605.55</v>
      </c>
      <c r="L39" s="14">
        <v>23.497590361445781</v>
      </c>
      <c r="M39" s="30">
        <v>922.22222222222229</v>
      </c>
      <c r="N39" s="15">
        <v>565.80808080808083</v>
      </c>
      <c r="O39" s="16">
        <v>375</v>
      </c>
      <c r="P39" s="17">
        <v>611.25</v>
      </c>
      <c r="Q39" s="14">
        <v>17.108294930875577</v>
      </c>
      <c r="R39" s="16">
        <v>482.22222222222223</v>
      </c>
      <c r="S39" s="15">
        <v>-63.383838383838395</v>
      </c>
      <c r="T39" s="18">
        <v>750</v>
      </c>
      <c r="U39" s="17">
        <v>1222.5</v>
      </c>
      <c r="V39" s="14">
        <v>17.580899763220206</v>
      </c>
      <c r="W39" s="16">
        <v>938.51851851851848</v>
      </c>
      <c r="X39" s="15">
        <v>67.441077441077482</v>
      </c>
      <c r="Y39" s="18">
        <v>306</v>
      </c>
      <c r="Z39" s="17">
        <v>498.78</v>
      </c>
      <c r="AA39" s="14">
        <v>65.382733812949638</v>
      </c>
      <c r="AB39" s="16">
        <v>102.96296296296296</v>
      </c>
      <c r="AC39" s="15">
        <v>203.03703703703704</v>
      </c>
      <c r="AD39" s="19">
        <v>3133</v>
      </c>
      <c r="AE39" s="20">
        <v>5106.79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662</v>
      </c>
      <c r="F40" s="14">
        <v>1079.06</v>
      </c>
      <c r="G40" s="14">
        <v>6.8103221337028064</v>
      </c>
      <c r="H40" s="30">
        <v>2138.5185185185182</v>
      </c>
      <c r="I40" s="15">
        <v>-310.05387205387194</v>
      </c>
      <c r="J40" s="16">
        <v>0</v>
      </c>
      <c r="K40" s="13">
        <v>0</v>
      </c>
      <c r="L40" s="14">
        <v>0</v>
      </c>
      <c r="M40" s="30">
        <v>1094.0740740740741</v>
      </c>
      <c r="N40" s="15">
        <v>-497.30639730639729</v>
      </c>
      <c r="O40" s="16">
        <v>443</v>
      </c>
      <c r="P40" s="17">
        <v>722.08999999999992</v>
      </c>
      <c r="Q40" s="14">
        <v>16.243333333333332</v>
      </c>
      <c r="R40" s="16">
        <v>600</v>
      </c>
      <c r="S40" s="15">
        <v>-102.4545454545455</v>
      </c>
      <c r="T40" s="18">
        <v>399</v>
      </c>
      <c r="U40" s="17">
        <v>650.37</v>
      </c>
      <c r="V40" s="14">
        <v>8.1895646164478215</v>
      </c>
      <c r="W40" s="16">
        <v>1071.851851851852</v>
      </c>
      <c r="X40" s="15">
        <v>-380.52861952861963</v>
      </c>
      <c r="Y40" s="18">
        <v>306</v>
      </c>
      <c r="Z40" s="17">
        <v>498.78</v>
      </c>
      <c r="AA40" s="14">
        <v>62.677241379310345</v>
      </c>
      <c r="AB40" s="16">
        <v>107.4074074074074</v>
      </c>
      <c r="AC40" s="15">
        <v>198.59259259259258</v>
      </c>
      <c r="AD40" s="19">
        <v>1810</v>
      </c>
      <c r="AE40" s="20">
        <v>2950.2999999999997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579</v>
      </c>
      <c r="F41" s="14">
        <v>3560.8500000000004</v>
      </c>
      <c r="G41" s="14">
        <v>10.7476875</v>
      </c>
      <c r="H41" s="30">
        <v>1185.1851851851852</v>
      </c>
      <c r="I41" s="15">
        <v>40.279461279461202</v>
      </c>
      <c r="J41" s="16">
        <v>818</v>
      </c>
      <c r="K41" s="13">
        <v>5030.7000000000007</v>
      </c>
      <c r="L41" s="14">
        <v>29.519562575941681</v>
      </c>
      <c r="M41" s="30">
        <v>609.62962962962956</v>
      </c>
      <c r="N41" s="15">
        <v>540.89562289562286</v>
      </c>
      <c r="O41" s="16">
        <v>26</v>
      </c>
      <c r="P41" s="17">
        <v>159.9</v>
      </c>
      <c r="Q41" s="14">
        <v>5.9860465116279071</v>
      </c>
      <c r="R41" s="16">
        <v>95.555555555555557</v>
      </c>
      <c r="S41" s="15">
        <v>-60.868686868686865</v>
      </c>
      <c r="T41" s="18">
        <v>190</v>
      </c>
      <c r="U41" s="17">
        <v>1168.5</v>
      </c>
      <c r="V41" s="14">
        <v>18.623762376237625</v>
      </c>
      <c r="W41" s="16">
        <v>224.44444444444443</v>
      </c>
      <c r="X41" s="15">
        <v>26.767676767676789</v>
      </c>
      <c r="Y41" s="18">
        <v>0</v>
      </c>
      <c r="Z41" s="17">
        <v>0</v>
      </c>
      <c r="AA41" s="14">
        <v>0</v>
      </c>
      <c r="AB41" s="16">
        <v>98.518518518518505</v>
      </c>
      <c r="AC41" s="15">
        <v>-98.518518518518505</v>
      </c>
      <c r="AD41" s="19">
        <v>1613</v>
      </c>
      <c r="AE41" s="20">
        <v>9919.9500000000007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1</v>
      </c>
      <c r="F42" s="14">
        <v>6.15</v>
      </c>
      <c r="G42" s="14">
        <v>1.6770186335403725E-2</v>
      </c>
      <c r="H42" s="30">
        <v>1311.851851851852</v>
      </c>
      <c r="I42" s="15">
        <v>-595.2962962962963</v>
      </c>
      <c r="J42" s="16">
        <v>1189</v>
      </c>
      <c r="K42" s="13">
        <v>7312.35</v>
      </c>
      <c r="L42" s="14">
        <v>39.32438752783964</v>
      </c>
      <c r="M42" s="30">
        <v>665.18518518518522</v>
      </c>
      <c r="N42" s="15">
        <v>886.64309764309769</v>
      </c>
      <c r="O42" s="16">
        <v>67</v>
      </c>
      <c r="P42" s="17">
        <v>412.05</v>
      </c>
      <c r="Q42" s="14">
        <v>12.515094339622641</v>
      </c>
      <c r="R42" s="16">
        <v>117.77777777777779</v>
      </c>
      <c r="S42" s="15">
        <v>-40.070707070707073</v>
      </c>
      <c r="T42" s="18">
        <v>270</v>
      </c>
      <c r="U42" s="17">
        <v>1660.5</v>
      </c>
      <c r="V42" s="14">
        <v>19.898263027295286</v>
      </c>
      <c r="W42" s="16">
        <v>298.51851851851853</v>
      </c>
      <c r="X42" s="15">
        <v>52.895622895622893</v>
      </c>
      <c r="Y42" s="18">
        <v>14</v>
      </c>
      <c r="Z42" s="17">
        <v>86.100000000000009</v>
      </c>
      <c r="AA42" s="14">
        <v>5.1975000000000007</v>
      </c>
      <c r="AB42" s="16">
        <v>59.259259259259252</v>
      </c>
      <c r="AC42" s="15">
        <v>-45.259259259259252</v>
      </c>
      <c r="AD42" s="19">
        <v>1541</v>
      </c>
      <c r="AE42" s="20">
        <v>9477.1500000000015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1600</v>
      </c>
      <c r="F43" s="14">
        <v>1855.9999999999998</v>
      </c>
      <c r="G43" s="14">
        <v>6.1355713363460307</v>
      </c>
      <c r="H43" s="30">
        <v>5737.0370370370365</v>
      </c>
      <c r="I43" s="15">
        <v>-1007.7441077441072</v>
      </c>
      <c r="J43" s="16">
        <v>4093</v>
      </c>
      <c r="K43" s="13">
        <v>4747.88</v>
      </c>
      <c r="L43" s="14">
        <v>22.190963855421685</v>
      </c>
      <c r="M43" s="30">
        <v>4057.7777777777778</v>
      </c>
      <c r="N43" s="15">
        <v>2248.5555555555557</v>
      </c>
      <c r="O43" s="16">
        <v>326</v>
      </c>
      <c r="P43" s="17">
        <v>378.15999999999997</v>
      </c>
      <c r="Q43" s="14">
        <v>8.478283712784588</v>
      </c>
      <c r="R43" s="16">
        <v>845.92592592592598</v>
      </c>
      <c r="S43" s="15">
        <v>-443.02356902356917</v>
      </c>
      <c r="T43" s="18">
        <v>1033</v>
      </c>
      <c r="U43" s="17">
        <v>1198.28</v>
      </c>
      <c r="V43" s="14">
        <v>11.012239770279971</v>
      </c>
      <c r="W43" s="16">
        <v>2063.7037037037039</v>
      </c>
      <c r="X43" s="15">
        <v>-467.87542087542101</v>
      </c>
      <c r="Y43" s="18">
        <v>240</v>
      </c>
      <c r="Z43" s="17">
        <v>278.39999999999998</v>
      </c>
      <c r="AA43" s="14">
        <v>9.955307262569832</v>
      </c>
      <c r="AB43" s="16">
        <v>530.37037037037044</v>
      </c>
      <c r="AC43" s="15">
        <v>-290.37037037037044</v>
      </c>
      <c r="AD43" s="19">
        <v>7292</v>
      </c>
      <c r="AE43" s="20">
        <v>8458.7199999999993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1296</v>
      </c>
      <c r="F44" s="14">
        <v>1503.36</v>
      </c>
      <c r="G44" s="14">
        <v>5.9044638748274281</v>
      </c>
      <c r="H44" s="30">
        <v>4828.8888888888887</v>
      </c>
      <c r="I44" s="15">
        <v>-898.94949494949469</v>
      </c>
      <c r="J44" s="16">
        <v>3488</v>
      </c>
      <c r="K44" s="13">
        <v>4046.08</v>
      </c>
      <c r="L44" s="14">
        <v>24.255115897916173</v>
      </c>
      <c r="M44" s="30">
        <v>3163.7037037037039</v>
      </c>
      <c r="N44" s="15">
        <v>2049.9528619528619</v>
      </c>
      <c r="O44" s="16">
        <v>303</v>
      </c>
      <c r="P44" s="17">
        <v>351.47999999999996</v>
      </c>
      <c r="Q44" s="14">
        <v>13.887500000000001</v>
      </c>
      <c r="R44" s="16">
        <v>480</v>
      </c>
      <c r="S44" s="15">
        <v>-133.36363636363632</v>
      </c>
      <c r="T44" s="18">
        <v>921</v>
      </c>
      <c r="U44" s="17">
        <v>1068.3599999999999</v>
      </c>
      <c r="V44" s="14">
        <v>18.407604306864062</v>
      </c>
      <c r="W44" s="16">
        <v>1100.7407407407409</v>
      </c>
      <c r="X44" s="15">
        <v>120.46127946127933</v>
      </c>
      <c r="Y44" s="18">
        <v>110</v>
      </c>
      <c r="Z44" s="17">
        <v>127.6</v>
      </c>
      <c r="AA44" s="14">
        <v>4.4268292682926829</v>
      </c>
      <c r="AB44" s="16">
        <v>546.66666666666663</v>
      </c>
      <c r="AC44" s="15">
        <v>-436.66666666666663</v>
      </c>
      <c r="AD44" s="19">
        <v>6118</v>
      </c>
      <c r="AE44" s="20">
        <v>7096.8799999999992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2206</v>
      </c>
      <c r="F45" s="14">
        <v>2558.96</v>
      </c>
      <c r="G45" s="14">
        <v>7.61573869580379</v>
      </c>
      <c r="H45" s="30">
        <v>6372.5925925925922</v>
      </c>
      <c r="I45" s="15">
        <v>-690.63299663299676</v>
      </c>
      <c r="J45" s="16">
        <v>2563</v>
      </c>
      <c r="K45" s="13">
        <v>2973.08</v>
      </c>
      <c r="L45" s="14">
        <v>13.740270758122744</v>
      </c>
      <c r="M45" s="30">
        <v>4103.7037037037035</v>
      </c>
      <c r="N45" s="15">
        <v>697.68013468013487</v>
      </c>
      <c r="O45" s="16">
        <v>343</v>
      </c>
      <c r="P45" s="17">
        <v>397.88</v>
      </c>
      <c r="Q45" s="14">
        <v>9.6927687916270227</v>
      </c>
      <c r="R45" s="16">
        <v>778.51851851851848</v>
      </c>
      <c r="S45" s="15">
        <v>-364.74410774410762</v>
      </c>
      <c r="T45" s="18">
        <v>1071</v>
      </c>
      <c r="U45" s="17">
        <v>1242.3599999999999</v>
      </c>
      <c r="V45" s="14">
        <v>14.289622641509434</v>
      </c>
      <c r="W45" s="16">
        <v>1648.8888888888889</v>
      </c>
      <c r="X45" s="15">
        <v>-128.19191919191917</v>
      </c>
      <c r="Y45" s="18">
        <v>131</v>
      </c>
      <c r="Z45" s="17">
        <v>151.95999999999998</v>
      </c>
      <c r="AA45" s="14">
        <v>5.4491596638655464</v>
      </c>
      <c r="AB45" s="16">
        <v>528.88888888888891</v>
      </c>
      <c r="AC45" s="15">
        <v>-397.88888888888891</v>
      </c>
      <c r="AD45" s="19">
        <v>6314</v>
      </c>
      <c r="AE45" s="20">
        <v>7324.24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1488</v>
      </c>
      <c r="F46" s="14">
        <v>1726.08</v>
      </c>
      <c r="G46" s="14">
        <v>6.8987823915079618</v>
      </c>
      <c r="H46" s="30">
        <v>4745.1851851851852</v>
      </c>
      <c r="I46" s="15">
        <v>-668.90235690235659</v>
      </c>
      <c r="J46" s="16">
        <v>2255</v>
      </c>
      <c r="K46" s="13">
        <v>2615.7999999999997</v>
      </c>
      <c r="L46" s="14">
        <v>18.818066872717058</v>
      </c>
      <c r="M46" s="30">
        <v>2636.2962962962961</v>
      </c>
      <c r="N46" s="15">
        <v>1056.6835016835016</v>
      </c>
      <c r="O46" s="16">
        <v>243</v>
      </c>
      <c r="P46" s="17">
        <v>281.88</v>
      </c>
      <c r="Q46" s="14">
        <v>11.120338983050848</v>
      </c>
      <c r="R46" s="16">
        <v>480.74074074074076</v>
      </c>
      <c r="S46" s="15">
        <v>-194.03703703703701</v>
      </c>
      <c r="T46" s="18">
        <v>492</v>
      </c>
      <c r="U46" s="17">
        <v>570.71999999999991</v>
      </c>
      <c r="V46" s="14">
        <v>16.64282460136674</v>
      </c>
      <c r="W46" s="16">
        <v>650.37037037037044</v>
      </c>
      <c r="X46" s="15">
        <v>19.003367003366975</v>
      </c>
      <c r="Y46" s="18">
        <v>270</v>
      </c>
      <c r="Z46" s="17">
        <v>313.2</v>
      </c>
      <c r="AA46" s="14">
        <v>13.849740932642487</v>
      </c>
      <c r="AB46" s="16">
        <v>428.88888888888886</v>
      </c>
      <c r="AC46" s="15">
        <v>-158.88888888888891</v>
      </c>
      <c r="AD46" s="19">
        <v>4748</v>
      </c>
      <c r="AE46" s="20">
        <v>5507.6799999999994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>
        <v>0</v>
      </c>
      <c r="F47" s="14">
        <v>0</v>
      </c>
      <c r="G47" s="14">
        <v>0</v>
      </c>
      <c r="H47" s="30">
        <v>0</v>
      </c>
      <c r="I47" s="15">
        <v>0</v>
      </c>
      <c r="J47" s="16">
        <v>18</v>
      </c>
      <c r="K47" s="13">
        <v>324</v>
      </c>
      <c r="L47" s="14">
        <v>8.91</v>
      </c>
      <c r="M47" s="30">
        <v>44.444444444444443</v>
      </c>
      <c r="N47" s="15">
        <v>-2.2020202020202042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12</v>
      </c>
      <c r="U47" s="17">
        <v>216</v>
      </c>
      <c r="V47" s="14">
        <v>16.200000000000003</v>
      </c>
      <c r="W47" s="16">
        <v>16.296296296296294</v>
      </c>
      <c r="X47" s="15">
        <v>0.14814814814815058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30</v>
      </c>
      <c r="AE47" s="20">
        <v>540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>
        <v>549</v>
      </c>
      <c r="F48" s="14">
        <v>9882</v>
      </c>
      <c r="G48" s="14">
        <v>0</v>
      </c>
      <c r="H48" s="30">
        <v>0</v>
      </c>
      <c r="I48" s="15">
        <v>549</v>
      </c>
      <c r="J48" s="16">
        <v>4</v>
      </c>
      <c r="K48" s="13">
        <v>72</v>
      </c>
      <c r="L48" s="14">
        <v>10.800000000000002</v>
      </c>
      <c r="M48" s="30">
        <v>8.148148148148147</v>
      </c>
      <c r="N48" s="15">
        <v>0.29629629629629717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553</v>
      </c>
      <c r="AE48" s="20">
        <v>9954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1248</v>
      </c>
      <c r="F49" s="14">
        <v>1447.6799999999998</v>
      </c>
      <c r="G49" s="14">
        <v>34.934590009425072</v>
      </c>
      <c r="H49" s="30">
        <v>785.92592592592598</v>
      </c>
      <c r="I49" s="15">
        <v>890.76094276094273</v>
      </c>
      <c r="J49" s="16">
        <v>1</v>
      </c>
      <c r="K49" s="13">
        <v>1.1599999999999999</v>
      </c>
      <c r="L49" s="14">
        <v>2.6144366197183098E-2</v>
      </c>
      <c r="M49" s="30">
        <v>841.48148148148152</v>
      </c>
      <c r="N49" s="15">
        <v>-381.49158249158251</v>
      </c>
      <c r="O49" s="16">
        <v>0</v>
      </c>
      <c r="P49" s="17">
        <v>0</v>
      </c>
      <c r="Q49" s="14">
        <v>0</v>
      </c>
      <c r="R49" s="16">
        <v>125.18518518518519</v>
      </c>
      <c r="S49" s="15">
        <v>-113.8047138047138</v>
      </c>
      <c r="T49" s="18">
        <v>1</v>
      </c>
      <c r="U49" s="17">
        <v>1.1599999999999999</v>
      </c>
      <c r="V49" s="14">
        <v>0.12692307692307694</v>
      </c>
      <c r="W49" s="16">
        <v>173.33333333333331</v>
      </c>
      <c r="X49" s="15">
        <v>-125.06060606060605</v>
      </c>
      <c r="Y49" s="18">
        <v>0</v>
      </c>
      <c r="Z49" s="17">
        <v>0</v>
      </c>
      <c r="AA49" s="14">
        <v>0</v>
      </c>
      <c r="AB49" s="16">
        <v>78.518518518518519</v>
      </c>
      <c r="AC49" s="15">
        <v>-78.518518518518519</v>
      </c>
      <c r="AD49" s="19">
        <v>1250</v>
      </c>
      <c r="AE49" s="20">
        <v>1450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493</v>
      </c>
      <c r="F50" s="14">
        <v>571.88</v>
      </c>
      <c r="G50" s="14">
        <v>2.2512453874538747</v>
      </c>
      <c r="H50" s="30">
        <v>4817.7777777777774</v>
      </c>
      <c r="I50" s="15">
        <v>-1696.8989898989894</v>
      </c>
      <c r="J50" s="16">
        <v>24</v>
      </c>
      <c r="K50" s="13">
        <v>27.839999999999996</v>
      </c>
      <c r="L50" s="14">
        <v>0.16083032490974727</v>
      </c>
      <c r="M50" s="30">
        <v>3282.962962962963</v>
      </c>
      <c r="N50" s="15">
        <v>-1468.2558922558924</v>
      </c>
      <c r="O50" s="16">
        <v>0</v>
      </c>
      <c r="P50" s="17">
        <v>0</v>
      </c>
      <c r="Q50" s="14">
        <v>0</v>
      </c>
      <c r="R50" s="16">
        <v>694.81481481481478</v>
      </c>
      <c r="S50" s="15">
        <v>-631.64983164983164</v>
      </c>
      <c r="T50" s="18">
        <v>80</v>
      </c>
      <c r="U50" s="17">
        <v>92.8</v>
      </c>
      <c r="V50" s="14">
        <v>2.2061281337047354</v>
      </c>
      <c r="W50" s="16">
        <v>797.77777777777771</v>
      </c>
      <c r="X50" s="15">
        <v>-500.20202020202021</v>
      </c>
      <c r="Y50" s="18">
        <v>0</v>
      </c>
      <c r="Z50" s="17">
        <v>0</v>
      </c>
      <c r="AA50" s="14">
        <v>0</v>
      </c>
      <c r="AB50" s="16">
        <v>177.77777777777777</v>
      </c>
      <c r="AC50" s="15">
        <v>-177.7777777777778</v>
      </c>
      <c r="AD50" s="19">
        <v>597</v>
      </c>
      <c r="AE50" s="20">
        <v>692.52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1191</v>
      </c>
      <c r="F51" s="14">
        <v>1381.56</v>
      </c>
      <c r="G51" s="14">
        <v>7.841432054976722</v>
      </c>
      <c r="H51" s="30">
        <v>3341.4814814814818</v>
      </c>
      <c r="I51" s="15">
        <v>-327.85521885521916</v>
      </c>
      <c r="J51" s="16">
        <v>594</v>
      </c>
      <c r="K51" s="13">
        <v>689.04</v>
      </c>
      <c r="L51" s="14">
        <v>4.8149017467248907</v>
      </c>
      <c r="M51" s="30">
        <v>2714.0740740740739</v>
      </c>
      <c r="N51" s="15">
        <v>-639.67003367003372</v>
      </c>
      <c r="O51" s="16">
        <v>152</v>
      </c>
      <c r="P51" s="17">
        <v>176.32</v>
      </c>
      <c r="Q51" s="14">
        <v>15.675000000000002</v>
      </c>
      <c r="R51" s="16">
        <v>213.33333333333331</v>
      </c>
      <c r="S51" s="15">
        <v>-41.939393939393909</v>
      </c>
      <c r="T51" s="18">
        <v>126</v>
      </c>
      <c r="U51" s="17">
        <v>146.16</v>
      </c>
      <c r="V51" s="14">
        <v>4.4656324582338902</v>
      </c>
      <c r="W51" s="16">
        <v>620.74074074074076</v>
      </c>
      <c r="X51" s="15">
        <v>-325.44781144781149</v>
      </c>
      <c r="Y51" s="18">
        <v>12</v>
      </c>
      <c r="Z51" s="17">
        <v>13.919999999999998</v>
      </c>
      <c r="AA51" s="14">
        <v>2.7415384615384615</v>
      </c>
      <c r="AB51" s="16">
        <v>96.296296296296305</v>
      </c>
      <c r="AC51" s="15">
        <v>-84.296296296296305</v>
      </c>
      <c r="AD51" s="19">
        <v>2075</v>
      </c>
      <c r="AE51" s="20">
        <v>2407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1632</v>
      </c>
      <c r="F52" s="14">
        <v>1321.92</v>
      </c>
      <c r="G52" s="14">
        <v>12.371209800918836</v>
      </c>
      <c r="H52" s="30">
        <v>2902.2222222222222</v>
      </c>
      <c r="I52" s="15">
        <v>312.80808080808083</v>
      </c>
      <c r="J52" s="16">
        <v>7909</v>
      </c>
      <c r="K52" s="13">
        <v>6406.2900000000009</v>
      </c>
      <c r="L52" s="14">
        <v>197.55870479394449</v>
      </c>
      <c r="M52" s="30">
        <v>880.74074074074076</v>
      </c>
      <c r="N52" s="15">
        <v>7508.6632996632998</v>
      </c>
      <c r="O52" s="16">
        <v>0</v>
      </c>
      <c r="P52" s="17">
        <v>0</v>
      </c>
      <c r="Q52" s="14">
        <v>0</v>
      </c>
      <c r="R52" s="16">
        <v>197.77777777777777</v>
      </c>
      <c r="S52" s="15">
        <v>-179.79797979797979</v>
      </c>
      <c r="T52" s="18">
        <v>81</v>
      </c>
      <c r="U52" s="17">
        <v>65.61</v>
      </c>
      <c r="V52" s="14">
        <v>4.3581521739130435</v>
      </c>
      <c r="W52" s="16">
        <v>408.88888888888886</v>
      </c>
      <c r="X52" s="15">
        <v>-216.37373737373736</v>
      </c>
      <c r="Y52" s="18">
        <v>29</v>
      </c>
      <c r="Z52" s="17">
        <v>23.490000000000002</v>
      </c>
      <c r="AA52" s="14">
        <v>11.798630136986301</v>
      </c>
      <c r="AB52" s="16">
        <v>54.074074074074076</v>
      </c>
      <c r="AC52" s="15">
        <v>-25.074074074074076</v>
      </c>
      <c r="AD52" s="19">
        <v>9651</v>
      </c>
      <c r="AE52" s="20">
        <v>7817.31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180</v>
      </c>
      <c r="F53" s="14">
        <v>145.80000000000001</v>
      </c>
      <c r="G53" s="14">
        <v>0.85195219123505961</v>
      </c>
      <c r="H53" s="30">
        <v>4648.1481481481487</v>
      </c>
      <c r="I53" s="15">
        <v>-1932.7946127946134</v>
      </c>
      <c r="J53" s="16">
        <v>6750</v>
      </c>
      <c r="K53" s="13">
        <v>5467.5</v>
      </c>
      <c r="L53" s="14">
        <v>75.028068862275447</v>
      </c>
      <c r="M53" s="30">
        <v>1979.2592592592591</v>
      </c>
      <c r="N53" s="15">
        <v>5850.3367003367002</v>
      </c>
      <c r="O53" s="16">
        <v>73</v>
      </c>
      <c r="P53" s="17">
        <v>59.13</v>
      </c>
      <c r="Q53" s="14">
        <v>2.9102013422818795</v>
      </c>
      <c r="R53" s="16">
        <v>551.85185185185185</v>
      </c>
      <c r="S53" s="15">
        <v>-428.68350168350167</v>
      </c>
      <c r="T53" s="18">
        <v>288</v>
      </c>
      <c r="U53" s="17">
        <v>233.28000000000003</v>
      </c>
      <c r="V53" s="14">
        <v>6.7831879460745439</v>
      </c>
      <c r="W53" s="16">
        <v>934.07407407407402</v>
      </c>
      <c r="X53" s="15">
        <v>-391.32659932659931</v>
      </c>
      <c r="Y53" s="18">
        <v>158</v>
      </c>
      <c r="Z53" s="17">
        <v>127.98</v>
      </c>
      <c r="AA53" s="14">
        <v>26.968965517241383</v>
      </c>
      <c r="AB53" s="16">
        <v>128.88888888888889</v>
      </c>
      <c r="AC53" s="15">
        <v>29.111111111111114</v>
      </c>
      <c r="AD53" s="19">
        <v>7449</v>
      </c>
      <c r="AE53" s="20">
        <v>6033.6900000000005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345</v>
      </c>
      <c r="F54" s="14">
        <v>279.45000000000005</v>
      </c>
      <c r="G54" s="14">
        <v>2.1866197183098595</v>
      </c>
      <c r="H54" s="30">
        <v>3471.1111111111109</v>
      </c>
      <c r="I54" s="15">
        <v>-1232.7777777777778</v>
      </c>
      <c r="J54" s="16">
        <v>1455</v>
      </c>
      <c r="K54" s="13">
        <v>1178.5500000000002</v>
      </c>
      <c r="L54" s="14">
        <v>33.49883720930233</v>
      </c>
      <c r="M54" s="30">
        <v>955.55555555555554</v>
      </c>
      <c r="N54" s="15">
        <v>1020.6565656565657</v>
      </c>
      <c r="O54" s="16">
        <v>89</v>
      </c>
      <c r="P54" s="17">
        <v>72.09</v>
      </c>
      <c r="Q54" s="14">
        <v>7.9617469879518072</v>
      </c>
      <c r="R54" s="16">
        <v>245.92592592592592</v>
      </c>
      <c r="S54" s="15">
        <v>-134.56902356902356</v>
      </c>
      <c r="T54" s="18">
        <v>320</v>
      </c>
      <c r="U54" s="17">
        <v>259.20000000000005</v>
      </c>
      <c r="V54" s="14">
        <v>19.636363636363633</v>
      </c>
      <c r="W54" s="16">
        <v>358.51851851851853</v>
      </c>
      <c r="X54" s="15">
        <v>59.259259259259238</v>
      </c>
      <c r="Y54" s="18">
        <v>159</v>
      </c>
      <c r="Z54" s="17">
        <v>128.79000000000002</v>
      </c>
      <c r="AA54" s="14">
        <v>24.216923076923074</v>
      </c>
      <c r="AB54" s="16">
        <v>144.44444444444446</v>
      </c>
      <c r="AC54" s="15">
        <v>14.555555555555543</v>
      </c>
      <c r="AD54" s="19">
        <v>2368</v>
      </c>
      <c r="AE54" s="20">
        <v>1918.0800000000002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287</v>
      </c>
      <c r="F55" s="14">
        <v>232.47000000000003</v>
      </c>
      <c r="G55" s="14">
        <v>2.1574031890660592</v>
      </c>
      <c r="H55" s="30">
        <v>2926.666666666667</v>
      </c>
      <c r="I55" s="15">
        <v>-1043.3030303030303</v>
      </c>
      <c r="J55" s="16">
        <v>5536</v>
      </c>
      <c r="K55" s="13">
        <v>4484.16</v>
      </c>
      <c r="L55" s="14">
        <v>105.32940422805893</v>
      </c>
      <c r="M55" s="30">
        <v>1156.2962962962963</v>
      </c>
      <c r="N55" s="15">
        <v>5010.4107744107741</v>
      </c>
      <c r="O55" s="16">
        <v>113</v>
      </c>
      <c r="P55" s="17">
        <v>91.53</v>
      </c>
      <c r="Q55" s="14">
        <v>7.6974770642201831</v>
      </c>
      <c r="R55" s="16">
        <v>322.96296296296299</v>
      </c>
      <c r="S55" s="15">
        <v>-180.60269360269365</v>
      </c>
      <c r="T55" s="18">
        <v>289</v>
      </c>
      <c r="U55" s="17">
        <v>234.09</v>
      </c>
      <c r="V55" s="14">
        <v>15.354740608228981</v>
      </c>
      <c r="W55" s="16">
        <v>414.07407407407402</v>
      </c>
      <c r="X55" s="15">
        <v>-12.14478114478112</v>
      </c>
      <c r="Y55" s="18">
        <v>175</v>
      </c>
      <c r="Z55" s="17">
        <v>141.75</v>
      </c>
      <c r="AA55" s="14">
        <v>26.517857142857142</v>
      </c>
      <c r="AB55" s="16">
        <v>145.18518518518519</v>
      </c>
      <c r="AC55" s="15">
        <v>29.81481481481481</v>
      </c>
      <c r="AD55" s="19">
        <v>6400</v>
      </c>
      <c r="AE55" s="20">
        <v>5184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118</v>
      </c>
      <c r="F56" s="14">
        <v>309.16000000000003</v>
      </c>
      <c r="G56" s="14">
        <v>4.4138539042821163</v>
      </c>
      <c r="H56" s="30">
        <v>588.14814814814815</v>
      </c>
      <c r="I56" s="15">
        <v>-149.34006734006732</v>
      </c>
      <c r="J56" s="32">
        <v>176</v>
      </c>
      <c r="K56" s="13">
        <v>461.12</v>
      </c>
      <c r="L56" s="14">
        <v>17.659459459459459</v>
      </c>
      <c r="M56" s="30">
        <v>219.25925925925927</v>
      </c>
      <c r="N56" s="15">
        <v>76.336700336700332</v>
      </c>
      <c r="O56" s="32">
        <v>38</v>
      </c>
      <c r="P56" s="17">
        <v>99.56</v>
      </c>
      <c r="Q56" s="14">
        <v>18.809999999999999</v>
      </c>
      <c r="R56" s="16">
        <v>44.444444444444443</v>
      </c>
      <c r="S56" s="15">
        <v>-2.4040404040404084</v>
      </c>
      <c r="T56" s="18">
        <v>68</v>
      </c>
      <c r="U56" s="17">
        <v>178.16</v>
      </c>
      <c r="V56" s="14">
        <v>12.946153846153846</v>
      </c>
      <c r="W56" s="16">
        <v>115.55555555555556</v>
      </c>
      <c r="X56" s="15">
        <v>-16.040404040404042</v>
      </c>
      <c r="Y56" s="18">
        <v>30</v>
      </c>
      <c r="Z56" s="17">
        <v>78.600000000000009</v>
      </c>
      <c r="AA56" s="14">
        <v>20.720930232558139</v>
      </c>
      <c r="AB56" s="16">
        <v>31.851851851851851</v>
      </c>
      <c r="AC56" s="15">
        <v>-1.8518518518518547</v>
      </c>
      <c r="AD56" s="19">
        <v>430</v>
      </c>
      <c r="AE56" s="20">
        <v>1126.6000000000001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43</v>
      </c>
      <c r="F57" s="14">
        <v>112.66000000000001</v>
      </c>
      <c r="G57" s="14">
        <v>0.94951672862453529</v>
      </c>
      <c r="H57" s="30">
        <v>996.2962962962963</v>
      </c>
      <c r="I57" s="15">
        <v>-409.86195286195289</v>
      </c>
      <c r="J57" s="32">
        <v>139</v>
      </c>
      <c r="K57" s="13">
        <v>364.18</v>
      </c>
      <c r="L57" s="14">
        <v>7.3326820603907645</v>
      </c>
      <c r="M57" s="30">
        <v>417.03703703703701</v>
      </c>
      <c r="N57" s="15">
        <v>-50.56228956228955</v>
      </c>
      <c r="O57" s="32">
        <v>11</v>
      </c>
      <c r="P57" s="17">
        <v>28.82</v>
      </c>
      <c r="Q57" s="14">
        <v>2.2376712328767123</v>
      </c>
      <c r="R57" s="16">
        <v>108.14814814814815</v>
      </c>
      <c r="S57" s="15">
        <v>-87.316498316498325</v>
      </c>
      <c r="T57" s="18">
        <v>4</v>
      </c>
      <c r="U57" s="17">
        <v>10.48</v>
      </c>
      <c r="V57" s="14">
        <v>0.26517857142857143</v>
      </c>
      <c r="W57" s="16">
        <v>331.85185185185185</v>
      </c>
      <c r="X57" s="15">
        <v>-237.34680134680136</v>
      </c>
      <c r="Y57" s="18">
        <v>38</v>
      </c>
      <c r="Z57" s="17">
        <v>99.56</v>
      </c>
      <c r="AA57" s="14">
        <v>25.650000000000006</v>
      </c>
      <c r="AB57" s="16">
        <v>32.592592592592588</v>
      </c>
      <c r="AC57" s="15">
        <v>5.4074074074074119</v>
      </c>
      <c r="AD57" s="19">
        <v>235</v>
      </c>
      <c r="AE57" s="20">
        <v>615.70000000000005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/>
      <c r="F58" s="14">
        <v>0</v>
      </c>
      <c r="G58" s="14">
        <v>0</v>
      </c>
      <c r="H58" s="30">
        <v>380.74074074074076</v>
      </c>
      <c r="I58" s="15">
        <v>-173.06397306397309</v>
      </c>
      <c r="J58" s="32">
        <v>37</v>
      </c>
      <c r="K58" s="13">
        <v>96.94</v>
      </c>
      <c r="L58" s="14">
        <v>5.3867647058823529</v>
      </c>
      <c r="M58" s="30">
        <v>151.11111111111111</v>
      </c>
      <c r="N58" s="15">
        <v>-31.686868686868678</v>
      </c>
      <c r="O58" s="32">
        <v>9</v>
      </c>
      <c r="P58" s="17">
        <v>23.580000000000002</v>
      </c>
      <c r="Q58" s="14">
        <v>6.0750000000000011</v>
      </c>
      <c r="R58" s="16">
        <v>32.592592592592588</v>
      </c>
      <c r="S58" s="15">
        <v>-20.629629629629623</v>
      </c>
      <c r="T58" s="18">
        <v>48</v>
      </c>
      <c r="U58" s="17">
        <v>125.76</v>
      </c>
      <c r="V58" s="14">
        <v>12.843243243243245</v>
      </c>
      <c r="W58" s="16">
        <v>82.222222222222214</v>
      </c>
      <c r="X58" s="15">
        <v>-11.797979797979792</v>
      </c>
      <c r="Y58" s="18">
        <v>39</v>
      </c>
      <c r="Z58" s="17">
        <v>102.18</v>
      </c>
      <c r="AA58" s="14">
        <v>35.1</v>
      </c>
      <c r="AB58" s="16">
        <v>24.444444444444446</v>
      </c>
      <c r="AC58" s="15">
        <v>14.555555555555554</v>
      </c>
      <c r="AD58" s="19">
        <v>133</v>
      </c>
      <c r="AE58" s="20">
        <v>348.46000000000004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/>
      <c r="F59" s="14">
        <v>0</v>
      </c>
      <c r="G59" s="14">
        <v>0</v>
      </c>
      <c r="H59" s="30">
        <v>468.88888888888886</v>
      </c>
      <c r="I59" s="15">
        <v>-213.13131313131311</v>
      </c>
      <c r="J59" s="32">
        <v>174</v>
      </c>
      <c r="K59" s="13">
        <v>455.88</v>
      </c>
      <c r="L59" s="14">
        <v>21.532499999999999</v>
      </c>
      <c r="M59" s="30">
        <v>177.77777777777777</v>
      </c>
      <c r="N59" s="15">
        <v>93.191919191919183</v>
      </c>
      <c r="O59" s="32">
        <v>17</v>
      </c>
      <c r="P59" s="17">
        <v>44.54</v>
      </c>
      <c r="Q59" s="14">
        <v>7.3173913043478267</v>
      </c>
      <c r="R59" s="16">
        <v>51.111111111111107</v>
      </c>
      <c r="S59" s="15">
        <v>-29.464646464646464</v>
      </c>
      <c r="T59" s="18">
        <v>45</v>
      </c>
      <c r="U59" s="17">
        <v>117.9</v>
      </c>
      <c r="V59" s="14">
        <v>9.8999999999999986</v>
      </c>
      <c r="W59" s="16">
        <v>100</v>
      </c>
      <c r="X59" s="15">
        <v>-27.727272727272734</v>
      </c>
      <c r="Y59" s="18">
        <v>44</v>
      </c>
      <c r="Z59" s="17">
        <v>115.28</v>
      </c>
      <c r="AA59" s="14">
        <v>62.228571428571428</v>
      </c>
      <c r="AB59" s="16">
        <v>15.555555555555555</v>
      </c>
      <c r="AC59" s="15">
        <v>28.444444444444443</v>
      </c>
      <c r="AD59" s="19">
        <v>280</v>
      </c>
      <c r="AE59" s="20">
        <v>733.6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145745.50000000003</v>
      </c>
      <c r="E62" s="64">
        <f>D62*100/D67</f>
        <v>37.010627266336073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178100.81</v>
      </c>
      <c r="E63" s="64">
        <f>D63*100/D67</f>
        <v>45.226938016903013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17635.2</v>
      </c>
      <c r="E64" s="64">
        <f>D64*100/D67</f>
        <v>4.4782845025560976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43743.380000000019</v>
      </c>
      <c r="E65" s="64">
        <f>D65*100/D67</f>
        <v>11.108198418130922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8568.76</v>
      </c>
      <c r="E66" s="64">
        <f>D66*100/D67</f>
        <v>2.1759517960739081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393793.65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97715</v>
      </c>
      <c r="E70" s="64">
        <f>D70*100/D75</f>
        <v>35.845561261922228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126026</v>
      </c>
      <c r="E71" s="64">
        <f>D71*100/D75</f>
        <v>46.231107850330154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12515</v>
      </c>
      <c r="E72" s="64">
        <f>D72*100/D75</f>
        <v>4.5909757887013942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30498</v>
      </c>
      <c r="E73" s="64">
        <f>D73*100/D75</f>
        <v>11.187820983125459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5846</v>
      </c>
      <c r="E74" s="64">
        <f>D74*100/D75</f>
        <v>2.1445341159207629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272600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2026-10-09T12:16:28Z</dcterms:modified>
</cp:coreProperties>
</file>