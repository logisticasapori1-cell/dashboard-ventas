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E91F245-B5D0-40B5-A90F-FDDA76C31C86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AM51" i="1"/>
  <c r="E62" i="1"/>
  <c r="E64" i="1"/>
  <c r="E65" i="1"/>
  <c r="E74" i="1"/>
  <c r="E63" i="1"/>
  <c r="E66" i="1"/>
  <c r="E73" i="1" l="1"/>
  <c r="E75" i="1"/>
  <c r="E72" i="1"/>
  <c r="E71" i="1"/>
  <c r="E70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<sst xmlns="http://schemas.openxmlformats.org/spreadsheetml/2006/main" count="81" uniqueCount="81">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</sst>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INVENTARIO NACIONAL 29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I20" sqref="I20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 t="s">
        <v>1</v>
      </c>
      <c r="AG1" s="68"/>
      <c r="AH1" s="68"/>
      <c r="AI1" s="68"/>
      <c r="AJ1" s="68"/>
      <c r="AK1" s="68"/>
      <c r="AL1" s="68"/>
    </row>
    <row r="2" spans="1:38" ht="15" customHeight="1" x14ac:dyDescent="0.25"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8"/>
      <c r="AG2" s="68"/>
      <c r="AH2" s="68"/>
      <c r="AI2" s="68"/>
      <c r="AJ2" s="68"/>
      <c r="AK2" s="68"/>
      <c r="AL2" s="68"/>
    </row>
    <row r="3" spans="1:38" ht="15" customHeight="1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8"/>
      <c r="AG3" s="68"/>
      <c r="AH3" s="68"/>
      <c r="AI3" s="68"/>
      <c r="AJ3" s="68"/>
      <c r="AK3" s="68"/>
      <c r="AL3" s="68"/>
    </row>
    <row r="4" spans="1:38" ht="15" customHeight="1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8"/>
      <c r="AG4" s="68"/>
      <c r="AH4" s="68"/>
      <c r="AI4" s="68"/>
      <c r="AJ4" s="68"/>
      <c r="AK4" s="68"/>
      <c r="AL4" s="68"/>
    </row>
    <row r="5" spans="1:38" ht="15" customHeight="1" x14ac:dyDescent="0.25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  <c r="AG5" s="68"/>
      <c r="AH5" s="68"/>
      <c r="AI5" s="68"/>
      <c r="AJ5" s="68"/>
      <c r="AK5" s="68"/>
      <c r="AL5" s="68"/>
    </row>
    <row r="6" spans="1:38" ht="17.25" customHeight="1" x14ac:dyDescent="0.25"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8"/>
      <c r="AG6" s="68"/>
      <c r="AH6" s="68"/>
      <c r="AI6" s="68"/>
      <c r="AJ6" s="68"/>
      <c r="AK6" s="68"/>
      <c r="AL6" s="68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5369</v>
      </c>
      <c r="F13" s="14">
        <v>7301.84</v>
      </c>
      <c r="G13" s="14">
        <v>6.9019154132921967</v>
      </c>
      <c r="H13" s="30">
        <v>17113.8</v>
      </c>
      <c r="I13" s="15">
        <v>-2410</v>
      </c>
      <c r="J13" s="16">
        <v>2121</v>
      </c>
      <c r="K13" s="13">
        <v>2884.5600000000004</v>
      </c>
      <c r="L13" s="14">
        <v>8.8559498956158667</v>
      </c>
      <c r="M13" s="30">
        <v>5269</v>
      </c>
      <c r="N13" s="15">
        <v>-274</v>
      </c>
      <c r="O13" s="16">
        <v>904</v>
      </c>
      <c r="P13" s="17">
        <v>1229.44</v>
      </c>
      <c r="Q13" s="14">
        <v>20.429378531073446</v>
      </c>
      <c r="R13" s="16">
        <v>973.5</v>
      </c>
      <c r="S13" s="15">
        <v>19</v>
      </c>
      <c r="T13" s="18">
        <v>590</v>
      </c>
      <c r="U13" s="17">
        <v>802.40000000000009</v>
      </c>
      <c r="V13" s="14">
        <v>12.407991587802314</v>
      </c>
      <c r="W13" s="16">
        <v>1046.0999999999999</v>
      </c>
      <c r="X13" s="15">
        <v>-170.79999999999995</v>
      </c>
      <c r="Y13" s="18">
        <v>640</v>
      </c>
      <c r="Z13" s="17">
        <v>870.40000000000009</v>
      </c>
      <c r="AA13" s="14">
        <v>22.377622377622377</v>
      </c>
      <c r="AB13" s="16">
        <v>629.20000000000005</v>
      </c>
      <c r="AC13" s="15">
        <v>10.799999999999955</v>
      </c>
      <c r="AD13" s="19">
        <v>9624</v>
      </c>
      <c r="AE13" s="20">
        <v>13088.640000000001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512.6</v>
      </c>
      <c r="I14" s="15">
        <v>-233</v>
      </c>
      <c r="J14" s="16">
        <v>0</v>
      </c>
      <c r="K14" s="13">
        <v>0</v>
      </c>
      <c r="L14" s="14">
        <v>0</v>
      </c>
      <c r="M14" s="30">
        <v>273.89999999999998</v>
      </c>
      <c r="N14" s="15">
        <v>-124.5</v>
      </c>
      <c r="O14" s="16">
        <v>88</v>
      </c>
      <c r="P14" s="17">
        <v>139.92000000000002</v>
      </c>
      <c r="Q14" s="14">
        <v>16.923076923076923</v>
      </c>
      <c r="R14" s="16">
        <v>114.4</v>
      </c>
      <c r="S14" s="15">
        <v>-16</v>
      </c>
      <c r="T14" s="18">
        <v>7</v>
      </c>
      <c r="U14" s="17">
        <v>11.13</v>
      </c>
      <c r="V14" s="14">
        <v>5.1851851851851851</v>
      </c>
      <c r="W14" s="16">
        <v>29.700000000000003</v>
      </c>
      <c r="X14" s="15">
        <v>-14.600000000000001</v>
      </c>
      <c r="Y14" s="18">
        <v>17</v>
      </c>
      <c r="Z14" s="17">
        <v>27.03</v>
      </c>
      <c r="AA14" s="14">
        <v>4.25</v>
      </c>
      <c r="AB14" s="16">
        <v>88</v>
      </c>
      <c r="AC14" s="15">
        <v>-71</v>
      </c>
      <c r="AD14" s="19">
        <v>112</v>
      </c>
      <c r="AE14" s="20">
        <v>178.08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2661</v>
      </c>
      <c r="F15" s="14">
        <v>5401.83</v>
      </c>
      <c r="G15" s="14">
        <v>7.8774422735346352</v>
      </c>
      <c r="H15" s="30">
        <v>7431.6</v>
      </c>
      <c r="I15" s="15">
        <v>-717</v>
      </c>
      <c r="J15" s="16">
        <v>1936</v>
      </c>
      <c r="K15" s="13">
        <v>3930.0799999999995</v>
      </c>
      <c r="L15" s="14">
        <v>17.36322869955157</v>
      </c>
      <c r="M15" s="30">
        <v>2453</v>
      </c>
      <c r="N15" s="15">
        <v>821</v>
      </c>
      <c r="O15" s="16">
        <v>190</v>
      </c>
      <c r="P15" s="17">
        <v>385.7</v>
      </c>
      <c r="Q15" s="14">
        <v>16.309012875536482</v>
      </c>
      <c r="R15" s="16">
        <v>256.3</v>
      </c>
      <c r="S15" s="15">
        <v>-43</v>
      </c>
      <c r="T15" s="18">
        <v>131</v>
      </c>
      <c r="U15" s="17">
        <v>265.92999999999995</v>
      </c>
      <c r="V15" s="14">
        <v>7.7976190476190474</v>
      </c>
      <c r="W15" s="16">
        <v>369.6</v>
      </c>
      <c r="X15" s="15">
        <v>-137.80000000000001</v>
      </c>
      <c r="Y15" s="18">
        <v>212</v>
      </c>
      <c r="Z15" s="17">
        <v>430.35999999999996</v>
      </c>
      <c r="AA15" s="14">
        <v>23.820224719101123</v>
      </c>
      <c r="AB15" s="16">
        <v>195.8</v>
      </c>
      <c r="AC15" s="15">
        <v>16.199999999999989</v>
      </c>
      <c r="AD15" s="19">
        <v>5130</v>
      </c>
      <c r="AE15" s="20">
        <v>10413.9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286</v>
      </c>
      <c r="F16" s="14">
        <v>1032.46</v>
      </c>
      <c r="G16" s="14">
        <v>3.9667128987517342</v>
      </c>
      <c r="H16" s="30">
        <v>1586.1999999999998</v>
      </c>
      <c r="I16" s="15">
        <v>-435</v>
      </c>
      <c r="J16" s="16">
        <v>217</v>
      </c>
      <c r="K16" s="13">
        <v>783.37</v>
      </c>
      <c r="L16" s="14">
        <v>8.6111111111111107</v>
      </c>
      <c r="M16" s="30">
        <v>554.4</v>
      </c>
      <c r="N16" s="15">
        <v>-35</v>
      </c>
      <c r="O16" s="16">
        <v>36</v>
      </c>
      <c r="P16" s="17">
        <v>129.96</v>
      </c>
      <c r="Q16" s="14">
        <v>13.846153846153845</v>
      </c>
      <c r="R16" s="16">
        <v>57.2</v>
      </c>
      <c r="S16" s="15">
        <v>-16</v>
      </c>
      <c r="T16" s="18">
        <v>39</v>
      </c>
      <c r="U16" s="17">
        <v>140.79</v>
      </c>
      <c r="V16" s="14">
        <v>37.142857142857139</v>
      </c>
      <c r="W16" s="16">
        <v>23.1</v>
      </c>
      <c r="X16" s="15">
        <v>22.2</v>
      </c>
      <c r="Y16" s="18">
        <v>81</v>
      </c>
      <c r="Z16" s="17">
        <v>292.40999999999997</v>
      </c>
      <c r="AA16" s="14">
        <v>28.421052631578945</v>
      </c>
      <c r="AB16" s="16">
        <v>62.7</v>
      </c>
      <c r="AC16" s="15">
        <v>18.299999999999997</v>
      </c>
      <c r="AD16" s="19">
        <v>659</v>
      </c>
      <c r="AE16" s="20">
        <v>2378.9899999999998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50</v>
      </c>
      <c r="F17" s="14">
        <v>438.99999999999994</v>
      </c>
      <c r="G17" s="14">
        <v>4.6511627906976747</v>
      </c>
      <c r="H17" s="30">
        <v>236.5</v>
      </c>
      <c r="I17" s="15">
        <v>-57.5</v>
      </c>
      <c r="J17" s="16">
        <v>47</v>
      </c>
      <c r="K17" s="13">
        <v>412.65999999999997</v>
      </c>
      <c r="L17" s="14">
        <v>24.102564102564102</v>
      </c>
      <c r="M17" s="30">
        <v>42.9</v>
      </c>
      <c r="N17" s="15">
        <v>27.5</v>
      </c>
      <c r="O17" s="16">
        <v>12</v>
      </c>
      <c r="P17" s="17">
        <v>105.35999999999999</v>
      </c>
      <c r="Q17" s="14">
        <v>21.818181818181817</v>
      </c>
      <c r="R17" s="16">
        <v>12.100000000000001</v>
      </c>
      <c r="S17" s="15">
        <v>1</v>
      </c>
      <c r="T17" s="18">
        <v>16</v>
      </c>
      <c r="U17" s="17">
        <v>140.47999999999999</v>
      </c>
      <c r="V17" s="14">
        <v>176</v>
      </c>
      <c r="W17" s="16">
        <v>2</v>
      </c>
      <c r="X17" s="15">
        <v>14.545454545454545</v>
      </c>
      <c r="Y17" s="18">
        <v>13</v>
      </c>
      <c r="Z17" s="17">
        <v>114.13999999999999</v>
      </c>
      <c r="AA17" s="14">
        <v>28.888888888888889</v>
      </c>
      <c r="AB17" s="16">
        <v>9.9</v>
      </c>
      <c r="AC17" s="15">
        <v>3.0999999999999996</v>
      </c>
      <c r="AD17" s="19">
        <v>138</v>
      </c>
      <c r="AE17" s="20">
        <v>1211.6399999999999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7069</v>
      </c>
      <c r="F18" s="14">
        <v>4453.47</v>
      </c>
      <c r="G18" s="14">
        <v>8.5271411338962597</v>
      </c>
      <c r="H18" s="30">
        <v>18238</v>
      </c>
      <c r="I18" s="15">
        <v>-1221</v>
      </c>
      <c r="J18" s="16">
        <v>13400</v>
      </c>
      <c r="K18" s="13">
        <v>8442</v>
      </c>
      <c r="L18" s="14">
        <v>40.391861341371516</v>
      </c>
      <c r="M18" s="30">
        <v>7298.5</v>
      </c>
      <c r="N18" s="15">
        <v>10082.5</v>
      </c>
      <c r="O18" s="16">
        <v>1000</v>
      </c>
      <c r="P18" s="17">
        <v>630</v>
      </c>
      <c r="Q18" s="14">
        <v>16.849199663016005</v>
      </c>
      <c r="R18" s="16">
        <v>1305.7</v>
      </c>
      <c r="S18" s="15">
        <v>-187</v>
      </c>
      <c r="T18" s="18">
        <v>2079</v>
      </c>
      <c r="U18" s="17">
        <v>1309.77</v>
      </c>
      <c r="V18" s="14">
        <v>12.82541640962369</v>
      </c>
      <c r="W18" s="16">
        <v>3566.2</v>
      </c>
      <c r="X18" s="15">
        <v>-514.59999999999991</v>
      </c>
      <c r="Y18" s="18">
        <v>297</v>
      </c>
      <c r="Z18" s="17">
        <v>187.11</v>
      </c>
      <c r="AA18" s="14">
        <v>20.553633217993081</v>
      </c>
      <c r="AB18" s="16">
        <v>317.89999999999998</v>
      </c>
      <c r="AC18" s="15">
        <v>-20.899999999999977</v>
      </c>
      <c r="AD18" s="19">
        <v>23845</v>
      </c>
      <c r="AE18" s="20">
        <v>15022.35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237</v>
      </c>
      <c r="F19" s="14">
        <v>149.31</v>
      </c>
      <c r="G19" s="14">
        <v>3.7559429477020601</v>
      </c>
      <c r="H19" s="30">
        <v>1388.2</v>
      </c>
      <c r="I19" s="15">
        <v>-394</v>
      </c>
      <c r="J19" s="16">
        <v>67</v>
      </c>
      <c r="K19" s="13">
        <v>42.21</v>
      </c>
      <c r="L19" s="14">
        <v>1.2170753860127157</v>
      </c>
      <c r="M19" s="30">
        <v>1211.0999999999999</v>
      </c>
      <c r="N19" s="15">
        <v>-483.5</v>
      </c>
      <c r="O19" s="16">
        <v>126</v>
      </c>
      <c r="P19" s="17">
        <v>79.38</v>
      </c>
      <c r="Q19" s="14">
        <v>27.39130434782609</v>
      </c>
      <c r="R19" s="16">
        <v>101.19999999999999</v>
      </c>
      <c r="S19" s="15">
        <v>34</v>
      </c>
      <c r="T19" s="18">
        <v>153</v>
      </c>
      <c r="U19" s="17">
        <v>96.39</v>
      </c>
      <c r="V19" s="14">
        <v>11.29151291512915</v>
      </c>
      <c r="W19" s="16">
        <v>298.10000000000002</v>
      </c>
      <c r="X19" s="15">
        <v>-63.800000000000011</v>
      </c>
      <c r="Y19" s="18">
        <v>230</v>
      </c>
      <c r="Z19" s="17">
        <v>144.9</v>
      </c>
      <c r="AA19" s="14">
        <v>23.711340206185568</v>
      </c>
      <c r="AB19" s="16">
        <v>213.39999999999998</v>
      </c>
      <c r="AC19" s="15">
        <v>16.600000000000023</v>
      </c>
      <c r="AD19" s="19">
        <v>813</v>
      </c>
      <c r="AE19" s="20">
        <v>512.19000000000005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1213</v>
      </c>
      <c r="F20" s="14">
        <v>764.19</v>
      </c>
      <c r="G20" s="14">
        <v>9.0454884414615968</v>
      </c>
      <c r="H20" s="30">
        <v>2950.2</v>
      </c>
      <c r="I20" s="15">
        <v>-128</v>
      </c>
      <c r="J20" s="16">
        <v>3260</v>
      </c>
      <c r="K20" s="13">
        <v>2053.8000000000002</v>
      </c>
      <c r="L20" s="14">
        <v>26.21632488942501</v>
      </c>
      <c r="M20" s="30">
        <v>2735.7</v>
      </c>
      <c r="N20" s="15">
        <v>2016.5</v>
      </c>
      <c r="O20" s="16">
        <v>211</v>
      </c>
      <c r="P20" s="17">
        <v>132.93</v>
      </c>
      <c r="Q20" s="14">
        <v>22.328042328042329</v>
      </c>
      <c r="R20" s="16">
        <v>207.89999999999998</v>
      </c>
      <c r="S20" s="15">
        <v>22</v>
      </c>
      <c r="T20" s="18">
        <v>365</v>
      </c>
      <c r="U20" s="17">
        <v>229.95</v>
      </c>
      <c r="V20" s="14">
        <v>11.774193548387096</v>
      </c>
      <c r="W20" s="16">
        <v>682</v>
      </c>
      <c r="X20" s="15">
        <v>-131</v>
      </c>
      <c r="Y20" s="18">
        <v>275</v>
      </c>
      <c r="Z20" s="17">
        <v>173.25</v>
      </c>
      <c r="AA20" s="14">
        <v>20.912547528517109</v>
      </c>
      <c r="AB20" s="16">
        <v>289.3</v>
      </c>
      <c r="AC20" s="15">
        <v>-14.300000000000011</v>
      </c>
      <c r="AD20" s="19">
        <v>5324</v>
      </c>
      <c r="AE20" s="20">
        <v>3354.12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1812</v>
      </c>
      <c r="F21" s="14">
        <v>1975.0800000000002</v>
      </c>
      <c r="G21" s="14">
        <v>6.1133603238866403</v>
      </c>
      <c r="H21" s="30">
        <v>6520.7999999999993</v>
      </c>
      <c r="I21" s="15">
        <v>-1152</v>
      </c>
      <c r="J21" s="16">
        <v>5365</v>
      </c>
      <c r="K21" s="13">
        <v>5847.85</v>
      </c>
      <c r="L21" s="14">
        <v>16.324357218925911</v>
      </c>
      <c r="M21" s="30">
        <v>7230.2999999999993</v>
      </c>
      <c r="N21" s="15">
        <v>2078.5</v>
      </c>
      <c r="O21" s="16">
        <v>486</v>
      </c>
      <c r="P21" s="17">
        <v>529.74</v>
      </c>
      <c r="Q21" s="14">
        <v>17.142857142857142</v>
      </c>
      <c r="R21" s="16">
        <v>623.70000000000005</v>
      </c>
      <c r="S21" s="15">
        <v>-81</v>
      </c>
      <c r="T21" s="18">
        <v>738</v>
      </c>
      <c r="U21" s="17">
        <v>804.42000000000007</v>
      </c>
      <c r="V21" s="14">
        <v>8.3959044368600679</v>
      </c>
      <c r="W21" s="16">
        <v>1933.8000000000002</v>
      </c>
      <c r="X21" s="15">
        <v>-668.40000000000009</v>
      </c>
      <c r="Y21" s="18">
        <v>378</v>
      </c>
      <c r="Z21" s="17">
        <v>412.02000000000004</v>
      </c>
      <c r="AA21" s="14">
        <v>20.941828254847646</v>
      </c>
      <c r="AB21" s="16">
        <v>397.1</v>
      </c>
      <c r="AC21" s="15">
        <v>-19.100000000000023</v>
      </c>
      <c r="AD21" s="19">
        <v>8779</v>
      </c>
      <c r="AE21" s="20">
        <v>9569.11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2142</v>
      </c>
      <c r="F22" s="14">
        <v>2334.7800000000002</v>
      </c>
      <c r="G22" s="14">
        <v>11.847345132743362</v>
      </c>
      <c r="H22" s="30">
        <v>3977.6000000000004</v>
      </c>
      <c r="I22" s="15">
        <v>334</v>
      </c>
      <c r="J22" s="16">
        <v>1744</v>
      </c>
      <c r="K22" s="13">
        <v>1900.96</v>
      </c>
      <c r="L22" s="14">
        <v>11.900375298532923</v>
      </c>
      <c r="M22" s="30">
        <v>3224.1000000000004</v>
      </c>
      <c r="N22" s="15">
        <v>278.5</v>
      </c>
      <c r="O22" s="16">
        <v>122</v>
      </c>
      <c r="P22" s="17">
        <v>132.98000000000002</v>
      </c>
      <c r="Q22" s="14">
        <v>16.827586206896552</v>
      </c>
      <c r="R22" s="16">
        <v>159.5</v>
      </c>
      <c r="S22" s="15">
        <v>-23</v>
      </c>
      <c r="T22" s="18">
        <v>270</v>
      </c>
      <c r="U22" s="17">
        <v>294.3</v>
      </c>
      <c r="V22" s="14">
        <v>10.207939508506616</v>
      </c>
      <c r="W22" s="16">
        <v>581.9</v>
      </c>
      <c r="X22" s="15">
        <v>-153.19999999999999</v>
      </c>
      <c r="Y22" s="18">
        <v>45</v>
      </c>
      <c r="Z22" s="17">
        <v>49.050000000000004</v>
      </c>
      <c r="AA22" s="14">
        <v>5.8441558441558437</v>
      </c>
      <c r="AB22" s="16">
        <v>169.4</v>
      </c>
      <c r="AC22" s="15">
        <v>-124.4</v>
      </c>
      <c r="AD22" s="19">
        <v>4323</v>
      </c>
      <c r="AE22" s="20">
        <v>4712.0700000000006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23343</v>
      </c>
      <c r="F23" s="14">
        <v>27077.879999999997</v>
      </c>
      <c r="G23" s="14">
        <v>14.339332882855212</v>
      </c>
      <c r="H23" s="30">
        <v>35813.800000000003</v>
      </c>
      <c r="I23" s="15">
        <v>-1075.5</v>
      </c>
      <c r="J23" s="16">
        <v>16373</v>
      </c>
      <c r="K23" s="13">
        <v>18992.68</v>
      </c>
      <c r="L23" s="14">
        <v>17.480382213206642</v>
      </c>
      <c r="M23" s="30">
        <v>20606.3</v>
      </c>
      <c r="N23" s="15">
        <v>7006.5</v>
      </c>
      <c r="O23" s="16">
        <v>2445</v>
      </c>
      <c r="P23" s="17">
        <v>2836.2</v>
      </c>
      <c r="Q23" s="14">
        <v>15.825242718446601</v>
      </c>
      <c r="R23" s="16">
        <v>3399</v>
      </c>
      <c r="S23" s="15">
        <v>-645</v>
      </c>
      <c r="T23" s="18">
        <v>5945</v>
      </c>
      <c r="U23" s="17">
        <v>6896.2</v>
      </c>
      <c r="V23" s="14">
        <v>10.582999554962171</v>
      </c>
      <c r="W23" s="16">
        <v>12358.5</v>
      </c>
      <c r="X23" s="15">
        <v>-3043</v>
      </c>
      <c r="Y23" s="18">
        <v>1243</v>
      </c>
      <c r="Z23" s="17">
        <v>1441.8799999999999</v>
      </c>
      <c r="AA23" s="14">
        <v>27.288693743139408</v>
      </c>
      <c r="AB23" s="16">
        <v>1002.0999999999999</v>
      </c>
      <c r="AC23" s="15">
        <v>240.90000000000009</v>
      </c>
      <c r="AD23" s="19">
        <v>49349</v>
      </c>
      <c r="AE23" s="20">
        <v>57244.84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10222</v>
      </c>
      <c r="F24" s="14">
        <v>11857.519999999999</v>
      </c>
      <c r="G24" s="14">
        <v>9.2880832311117167</v>
      </c>
      <c r="H24" s="30">
        <v>24212.1</v>
      </c>
      <c r="I24" s="15">
        <v>-783.5</v>
      </c>
      <c r="J24" s="16">
        <v>8207</v>
      </c>
      <c r="K24" s="13">
        <v>9520.119999999999</v>
      </c>
      <c r="L24" s="14">
        <v>14.381845264172435</v>
      </c>
      <c r="M24" s="30">
        <v>12554.3</v>
      </c>
      <c r="N24" s="15">
        <v>2500.5</v>
      </c>
      <c r="O24" s="16">
        <v>1427</v>
      </c>
      <c r="P24" s="17">
        <v>1655.32</v>
      </c>
      <c r="Q24" s="14">
        <v>15.89086859688196</v>
      </c>
      <c r="R24" s="16">
        <v>1975.6</v>
      </c>
      <c r="S24" s="15">
        <v>-369</v>
      </c>
      <c r="T24" s="18">
        <v>3393</v>
      </c>
      <c r="U24" s="17">
        <v>3935.8799999999997</v>
      </c>
      <c r="V24" s="14">
        <v>11.293060409385921</v>
      </c>
      <c r="W24" s="16">
        <v>6609.9</v>
      </c>
      <c r="X24" s="15">
        <v>-1414.1999999999998</v>
      </c>
      <c r="Y24" s="18">
        <v>722</v>
      </c>
      <c r="Z24" s="17">
        <v>837.52</v>
      </c>
      <c r="AA24" s="14">
        <v>19.304812834224599</v>
      </c>
      <c r="AB24" s="16">
        <v>822.8</v>
      </c>
      <c r="AC24" s="15">
        <v>-100.79999999999995</v>
      </c>
      <c r="AD24" s="19">
        <v>23971</v>
      </c>
      <c r="AE24" s="20">
        <v>27806.359999999997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9186</v>
      </c>
      <c r="F25" s="14">
        <v>10655.759999999998</v>
      </c>
      <c r="G25" s="14">
        <v>8.6541994441565784</v>
      </c>
      <c r="H25" s="30">
        <v>23351.9</v>
      </c>
      <c r="I25" s="15">
        <v>-1428.5</v>
      </c>
      <c r="J25" s="16">
        <v>15934</v>
      </c>
      <c r="K25" s="13">
        <v>18483.439999999999</v>
      </c>
      <c r="L25" s="14">
        <v>26.407026847862117</v>
      </c>
      <c r="M25" s="30">
        <v>13274.8</v>
      </c>
      <c r="N25" s="15">
        <v>9900</v>
      </c>
      <c r="O25" s="16">
        <v>1729</v>
      </c>
      <c r="P25" s="17">
        <v>2005.6399999999999</v>
      </c>
      <c r="Q25" s="14">
        <v>15.604693140794224</v>
      </c>
      <c r="R25" s="16">
        <v>2437.6</v>
      </c>
      <c r="S25" s="15">
        <v>-487</v>
      </c>
      <c r="T25" s="18">
        <v>3436</v>
      </c>
      <c r="U25" s="17">
        <v>3985.7599999999998</v>
      </c>
      <c r="V25" s="14">
        <v>11.278516330215002</v>
      </c>
      <c r="W25" s="16">
        <v>6702.2999999999993</v>
      </c>
      <c r="X25" s="15">
        <v>-1438.3999999999996</v>
      </c>
      <c r="Y25" s="18">
        <v>519</v>
      </c>
      <c r="Z25" s="17">
        <v>602.04</v>
      </c>
      <c r="AA25" s="14">
        <v>19.186691312384472</v>
      </c>
      <c r="AB25" s="16">
        <v>595.1</v>
      </c>
      <c r="AC25" s="15">
        <v>-76.100000000000023</v>
      </c>
      <c r="AD25" s="19">
        <v>30804</v>
      </c>
      <c r="AE25" s="20">
        <v>35732.639999999999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18913</v>
      </c>
      <c r="F26" s="14">
        <v>21939.079999999998</v>
      </c>
      <c r="G26" s="14">
        <v>13.819736217164152</v>
      </c>
      <c r="H26" s="30">
        <v>30108.1</v>
      </c>
      <c r="I26" s="15">
        <v>-1615.25</v>
      </c>
      <c r="J26" s="16">
        <v>11989</v>
      </c>
      <c r="K26" s="13">
        <v>13907.24</v>
      </c>
      <c r="L26" s="14">
        <v>16.871657754010695</v>
      </c>
      <c r="M26" s="30">
        <v>15633.2</v>
      </c>
      <c r="N26" s="15">
        <v>4883</v>
      </c>
      <c r="O26" s="16">
        <v>1346</v>
      </c>
      <c r="P26" s="17">
        <v>1561.36</v>
      </c>
      <c r="Q26" s="14">
        <v>15.286768881317434</v>
      </c>
      <c r="R26" s="16">
        <v>1937.1</v>
      </c>
      <c r="S26" s="15">
        <v>-415</v>
      </c>
      <c r="T26" s="18">
        <v>4008</v>
      </c>
      <c r="U26" s="17">
        <v>4649.28</v>
      </c>
      <c r="V26" s="14">
        <v>10.481171548117155</v>
      </c>
      <c r="W26" s="16">
        <v>8412.7999999999993</v>
      </c>
      <c r="X26" s="15">
        <v>-2110.3999999999996</v>
      </c>
      <c r="Y26" s="18">
        <v>896</v>
      </c>
      <c r="Z26" s="17">
        <v>1039.3599999999999</v>
      </c>
      <c r="AA26" s="14">
        <v>22.150803461063038</v>
      </c>
      <c r="AB26" s="16">
        <v>889.90000000000009</v>
      </c>
      <c r="AC26" s="15">
        <v>6.0999999999999091</v>
      </c>
      <c r="AD26" s="19">
        <v>37152</v>
      </c>
      <c r="AE26" s="20">
        <v>43096.32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1749</v>
      </c>
      <c r="F27" s="14">
        <v>2028.84</v>
      </c>
      <c r="G27" s="14">
        <v>4.958888573858804</v>
      </c>
      <c r="H27" s="30">
        <v>7759.4</v>
      </c>
      <c r="I27" s="15">
        <v>-1778</v>
      </c>
      <c r="J27" s="16">
        <v>2799</v>
      </c>
      <c r="K27" s="13">
        <v>3246.8399999999997</v>
      </c>
      <c r="L27" s="14">
        <v>14.739336492890995</v>
      </c>
      <c r="M27" s="30">
        <v>4177.8</v>
      </c>
      <c r="N27" s="15">
        <v>900</v>
      </c>
      <c r="O27" s="16">
        <v>568</v>
      </c>
      <c r="P27" s="17">
        <v>658.88</v>
      </c>
      <c r="Q27" s="14">
        <v>19.68804159445407</v>
      </c>
      <c r="R27" s="16">
        <v>634.70000000000005</v>
      </c>
      <c r="S27" s="15">
        <v>-9</v>
      </c>
      <c r="T27" s="18">
        <v>1512</v>
      </c>
      <c r="U27" s="17">
        <v>1753.9199999999998</v>
      </c>
      <c r="V27" s="14">
        <v>12.873563218390805</v>
      </c>
      <c r="W27" s="16">
        <v>2583.9</v>
      </c>
      <c r="X27" s="15">
        <v>-367.20000000000005</v>
      </c>
      <c r="Y27" s="18">
        <v>333</v>
      </c>
      <c r="Z27" s="17">
        <v>386.28</v>
      </c>
      <c r="AA27" s="14">
        <v>26.428571428571431</v>
      </c>
      <c r="AB27" s="16">
        <v>277.2</v>
      </c>
      <c r="AC27" s="15">
        <v>55.800000000000011</v>
      </c>
      <c r="AD27" s="19">
        <v>6961</v>
      </c>
      <c r="AE27" s="20">
        <v>8074.7599999999993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3231</v>
      </c>
      <c r="F28" s="14">
        <v>3747.9599999999996</v>
      </c>
      <c r="G28" s="14">
        <v>9.0087829360100375</v>
      </c>
      <c r="H28" s="30">
        <v>7890.2999999999993</v>
      </c>
      <c r="I28" s="15">
        <v>-355.5</v>
      </c>
      <c r="J28" s="16">
        <v>4668</v>
      </c>
      <c r="K28" s="13">
        <v>5414.8799999999992</v>
      </c>
      <c r="L28" s="14">
        <v>17.237813884785819</v>
      </c>
      <c r="M28" s="30">
        <v>5957.6</v>
      </c>
      <c r="N28" s="15">
        <v>1960</v>
      </c>
      <c r="O28" s="16">
        <v>692</v>
      </c>
      <c r="P28" s="17">
        <v>802.71999999999991</v>
      </c>
      <c r="Q28" s="14">
        <v>16.594724220623501</v>
      </c>
      <c r="R28" s="16">
        <v>917.40000000000009</v>
      </c>
      <c r="S28" s="15">
        <v>-142</v>
      </c>
      <c r="T28" s="18">
        <v>847</v>
      </c>
      <c r="U28" s="17">
        <v>982.52</v>
      </c>
      <c r="V28" s="14">
        <v>5.8193060803847469</v>
      </c>
      <c r="W28" s="16">
        <v>3202.1000000000004</v>
      </c>
      <c r="X28" s="15">
        <v>-1481.8000000000002</v>
      </c>
      <c r="Y28" s="18">
        <v>405</v>
      </c>
      <c r="Z28" s="17">
        <v>469.79999999999995</v>
      </c>
      <c r="AA28" s="14">
        <v>23.342939481268008</v>
      </c>
      <c r="AB28" s="16">
        <v>381.70000000000005</v>
      </c>
      <c r="AC28" s="15">
        <v>23.299999999999955</v>
      </c>
      <c r="AD28" s="19">
        <v>9843</v>
      </c>
      <c r="AE28" s="20">
        <v>11417.88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1499</v>
      </c>
      <c r="F29" s="14">
        <v>1738.84</v>
      </c>
      <c r="G29" s="14">
        <v>3.9174180060107151</v>
      </c>
      <c r="H29" s="30">
        <v>8418.2999999999993</v>
      </c>
      <c r="I29" s="15">
        <v>-2327.5</v>
      </c>
      <c r="J29" s="16">
        <v>202</v>
      </c>
      <c r="K29" s="13">
        <v>234.32</v>
      </c>
      <c r="L29" s="14">
        <v>0.79324563125859016</v>
      </c>
      <c r="M29" s="30">
        <v>5602.3</v>
      </c>
      <c r="N29" s="15">
        <v>-2344.5</v>
      </c>
      <c r="O29" s="16">
        <v>703</v>
      </c>
      <c r="P29" s="17">
        <v>815.4799999999999</v>
      </c>
      <c r="Q29" s="14">
        <v>16.580188679245282</v>
      </c>
      <c r="R29" s="16">
        <v>932.8</v>
      </c>
      <c r="S29" s="15">
        <v>-145</v>
      </c>
      <c r="T29" s="18">
        <v>826</v>
      </c>
      <c r="U29" s="17">
        <v>958.16</v>
      </c>
      <c r="V29" s="14">
        <v>5.6965517241379313</v>
      </c>
      <c r="W29" s="16">
        <v>3190</v>
      </c>
      <c r="X29" s="15">
        <v>-1494</v>
      </c>
      <c r="Y29" s="18">
        <v>367</v>
      </c>
      <c r="Z29" s="17">
        <v>425.71999999999997</v>
      </c>
      <c r="AA29" s="14">
        <v>22.242424242424242</v>
      </c>
      <c r="AB29" s="16">
        <v>363</v>
      </c>
      <c r="AC29" s="15">
        <v>4</v>
      </c>
      <c r="AD29" s="19">
        <v>3597</v>
      </c>
      <c r="AE29" s="20">
        <v>4172.5199999999995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349</v>
      </c>
      <c r="F30" s="14">
        <v>1284.3200000000002</v>
      </c>
      <c r="G30" s="14">
        <v>3.2831608654750708</v>
      </c>
      <c r="H30" s="30">
        <v>2338.6</v>
      </c>
      <c r="I30" s="15">
        <v>-714</v>
      </c>
      <c r="J30" s="16">
        <v>1029</v>
      </c>
      <c r="K30" s="13">
        <v>3786.7200000000003</v>
      </c>
      <c r="L30" s="14">
        <v>8.7761194029850742</v>
      </c>
      <c r="M30" s="30">
        <v>2579.5</v>
      </c>
      <c r="N30" s="15">
        <v>-143.5</v>
      </c>
      <c r="O30" s="16">
        <v>119</v>
      </c>
      <c r="P30" s="17">
        <v>437.92</v>
      </c>
      <c r="Q30" s="14">
        <v>19.833333333333332</v>
      </c>
      <c r="R30" s="16">
        <v>132</v>
      </c>
      <c r="S30" s="15">
        <v>-1</v>
      </c>
      <c r="T30" s="18">
        <v>335</v>
      </c>
      <c r="U30" s="17">
        <v>1232.8</v>
      </c>
      <c r="V30" s="14">
        <v>11.375212224108658</v>
      </c>
      <c r="W30" s="16">
        <v>647.9</v>
      </c>
      <c r="X30" s="15">
        <v>-136.19999999999999</v>
      </c>
      <c r="Y30" s="18">
        <v>128</v>
      </c>
      <c r="Z30" s="17">
        <v>471.04</v>
      </c>
      <c r="AA30" s="14">
        <v>27.526881720430104</v>
      </c>
      <c r="AB30" s="16">
        <v>102.30000000000001</v>
      </c>
      <c r="AC30" s="15">
        <v>25.699999999999989</v>
      </c>
      <c r="AD30" s="19">
        <v>1960</v>
      </c>
      <c r="AE30" s="20">
        <v>7212.8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470</v>
      </c>
      <c r="F31" s="14">
        <v>1729.6000000000001</v>
      </c>
      <c r="G31" s="14">
        <v>9.1976516634050878</v>
      </c>
      <c r="H31" s="30">
        <v>1124.2</v>
      </c>
      <c r="I31" s="15">
        <v>-41</v>
      </c>
      <c r="J31" s="16">
        <v>1080</v>
      </c>
      <c r="K31" s="13">
        <v>3974.4</v>
      </c>
      <c r="L31" s="14">
        <v>16.314199395770391</v>
      </c>
      <c r="M31" s="30">
        <v>1456.4</v>
      </c>
      <c r="N31" s="15">
        <v>418</v>
      </c>
      <c r="O31" s="16">
        <v>34</v>
      </c>
      <c r="P31" s="17">
        <v>125.12</v>
      </c>
      <c r="Q31" s="14">
        <v>37.777777777777779</v>
      </c>
      <c r="R31" s="16">
        <v>19.8</v>
      </c>
      <c r="S31" s="15">
        <v>16</v>
      </c>
      <c r="T31" s="18">
        <v>76</v>
      </c>
      <c r="U31" s="17">
        <v>279.68</v>
      </c>
      <c r="V31" s="14">
        <v>7.1698113207547172</v>
      </c>
      <c r="W31" s="16">
        <v>233.2</v>
      </c>
      <c r="X31" s="15">
        <v>-93.6</v>
      </c>
      <c r="Y31" s="18">
        <v>44</v>
      </c>
      <c r="Z31" s="17">
        <v>161.92000000000002</v>
      </c>
      <c r="AA31" s="14">
        <v>36.666666666666671</v>
      </c>
      <c r="AB31" s="16">
        <v>26.4</v>
      </c>
      <c r="AC31" s="15">
        <v>17.600000000000001</v>
      </c>
      <c r="AD31" s="19">
        <v>1704</v>
      </c>
      <c r="AE31" s="20">
        <v>6270.72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1169</v>
      </c>
      <c r="F32" s="14">
        <v>4851.3500000000004</v>
      </c>
      <c r="G32" s="14">
        <v>5.2824220515137821</v>
      </c>
      <c r="H32" s="30">
        <v>4868.6000000000004</v>
      </c>
      <c r="I32" s="15">
        <v>-1044</v>
      </c>
      <c r="J32" s="16">
        <v>3212</v>
      </c>
      <c r="K32" s="13">
        <v>13329.800000000001</v>
      </c>
      <c r="L32" s="14">
        <v>18.105975197294249</v>
      </c>
      <c r="M32" s="30">
        <v>3902.8</v>
      </c>
      <c r="N32" s="15">
        <v>1438</v>
      </c>
      <c r="O32" s="16">
        <v>250</v>
      </c>
      <c r="P32" s="17">
        <v>1037.5</v>
      </c>
      <c r="Q32" s="14">
        <v>17.730496453900709</v>
      </c>
      <c r="R32" s="16">
        <v>310.2</v>
      </c>
      <c r="S32" s="15">
        <v>-32</v>
      </c>
      <c r="T32" s="18">
        <v>910</v>
      </c>
      <c r="U32" s="17">
        <v>3776.5000000000005</v>
      </c>
      <c r="V32" s="14">
        <v>10.859188544152746</v>
      </c>
      <c r="W32" s="16">
        <v>1843.6</v>
      </c>
      <c r="X32" s="15">
        <v>-430.79999999999995</v>
      </c>
      <c r="Y32" s="18">
        <v>275</v>
      </c>
      <c r="Z32" s="17">
        <v>1141.25</v>
      </c>
      <c r="AA32" s="14">
        <v>73.333333333333329</v>
      </c>
      <c r="AB32" s="16">
        <v>82.5</v>
      </c>
      <c r="AC32" s="15">
        <v>192.5</v>
      </c>
      <c r="AD32" s="19">
        <v>5816</v>
      </c>
      <c r="AE32" s="20">
        <v>24136.400000000001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3115</v>
      </c>
      <c r="F33" s="14">
        <v>12927.250000000002</v>
      </c>
      <c r="G33" s="14">
        <v>7.139582855833142</v>
      </c>
      <c r="H33" s="30">
        <v>9598.6</v>
      </c>
      <c r="I33" s="15">
        <v>-1248</v>
      </c>
      <c r="J33" s="16">
        <v>3764</v>
      </c>
      <c r="K33" s="13">
        <v>15620.600000000002</v>
      </c>
      <c r="L33" s="14">
        <v>14.252177205603937</v>
      </c>
      <c r="M33" s="30">
        <v>5810.2000000000007</v>
      </c>
      <c r="N33" s="15">
        <v>1123</v>
      </c>
      <c r="O33" s="16">
        <v>352</v>
      </c>
      <c r="P33" s="17">
        <v>1460.8000000000002</v>
      </c>
      <c r="Q33" s="14">
        <v>18.097686375321338</v>
      </c>
      <c r="R33" s="16">
        <v>427.9</v>
      </c>
      <c r="S33" s="15">
        <v>-37</v>
      </c>
      <c r="T33" s="18">
        <v>1021</v>
      </c>
      <c r="U33" s="17">
        <v>4237.1500000000005</v>
      </c>
      <c r="V33" s="14">
        <v>9.5065176908752331</v>
      </c>
      <c r="W33" s="16">
        <v>2362.8000000000002</v>
      </c>
      <c r="X33" s="15">
        <v>-697.40000000000009</v>
      </c>
      <c r="Y33" s="18">
        <v>232</v>
      </c>
      <c r="Z33" s="17">
        <v>962.80000000000007</v>
      </c>
      <c r="AA33" s="14">
        <v>18.70967741935484</v>
      </c>
      <c r="AB33" s="16">
        <v>272.8</v>
      </c>
      <c r="AC33" s="15">
        <v>-40.800000000000011</v>
      </c>
      <c r="AD33" s="19">
        <v>8484</v>
      </c>
      <c r="AE33" s="20">
        <v>35208.600000000006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678</v>
      </c>
      <c r="F34" s="14">
        <v>2813.7000000000003</v>
      </c>
      <c r="G34" s="14">
        <v>13.425742574257425</v>
      </c>
      <c r="H34" s="30">
        <v>1111</v>
      </c>
      <c r="I34" s="15">
        <v>173</v>
      </c>
      <c r="J34" s="16">
        <v>0</v>
      </c>
      <c r="K34" s="13">
        <v>0</v>
      </c>
      <c r="L34" s="14">
        <v>0</v>
      </c>
      <c r="M34" s="30">
        <v>0</v>
      </c>
      <c r="N34" s="15">
        <v>0</v>
      </c>
      <c r="O34" s="16">
        <v>0</v>
      </c>
      <c r="P34" s="17"/>
      <c r="Q34" s="14">
        <v>0</v>
      </c>
      <c r="R34" s="16">
        <v>88</v>
      </c>
      <c r="S34" s="15">
        <v>-80</v>
      </c>
      <c r="T34" s="18">
        <v>122</v>
      </c>
      <c r="U34" s="17">
        <v>506.30000000000007</v>
      </c>
      <c r="V34" s="14">
        <v>22.181818181818183</v>
      </c>
      <c r="W34" s="16">
        <v>121</v>
      </c>
      <c r="X34" s="15">
        <v>34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832</v>
      </c>
      <c r="AE34" s="20">
        <v>3452.8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1446</v>
      </c>
      <c r="F35" s="14">
        <v>2356.98</v>
      </c>
      <c r="G35" s="14">
        <v>3.3414211438474868</v>
      </c>
      <c r="H35" s="30">
        <v>9520.5</v>
      </c>
      <c r="I35" s="15">
        <v>-2881.5</v>
      </c>
      <c r="J35" s="16">
        <v>2541</v>
      </c>
      <c r="K35" s="13">
        <v>4141.83</v>
      </c>
      <c r="L35" s="14">
        <v>15.527039413382218</v>
      </c>
      <c r="M35" s="30">
        <v>3600.3</v>
      </c>
      <c r="N35" s="15">
        <v>904.5</v>
      </c>
      <c r="O35" s="16">
        <v>708</v>
      </c>
      <c r="P35" s="17">
        <v>1154.04</v>
      </c>
      <c r="Q35" s="14">
        <v>19.213025780189959</v>
      </c>
      <c r="R35" s="16">
        <v>810.7</v>
      </c>
      <c r="S35" s="15">
        <v>-29</v>
      </c>
      <c r="T35" s="18">
        <v>445</v>
      </c>
      <c r="U35" s="17">
        <v>725.34999999999991</v>
      </c>
      <c r="V35" s="14">
        <v>9.2708333333333339</v>
      </c>
      <c r="W35" s="16">
        <v>1056</v>
      </c>
      <c r="X35" s="15">
        <v>-323</v>
      </c>
      <c r="Y35" s="18">
        <v>278</v>
      </c>
      <c r="Z35" s="17">
        <v>453.14</v>
      </c>
      <c r="AA35" s="14">
        <v>21.384615384615383</v>
      </c>
      <c r="AB35" s="16">
        <v>286</v>
      </c>
      <c r="AC35" s="15">
        <v>-8</v>
      </c>
      <c r="AD35" s="19">
        <v>5418</v>
      </c>
      <c r="AE35" s="20">
        <v>8831.34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5729</v>
      </c>
      <c r="F36" s="14">
        <v>9338.2699999999986</v>
      </c>
      <c r="G36" s="14">
        <v>9.0184966548602912</v>
      </c>
      <c r="H36" s="30">
        <v>13975.5</v>
      </c>
      <c r="I36" s="15">
        <v>-623.5</v>
      </c>
      <c r="J36" s="16">
        <v>1742</v>
      </c>
      <c r="K36" s="13">
        <v>2839.46</v>
      </c>
      <c r="L36" s="14">
        <v>7.7715815302252951</v>
      </c>
      <c r="M36" s="30">
        <v>4931.3</v>
      </c>
      <c r="N36" s="15">
        <v>-499.5</v>
      </c>
      <c r="O36" s="16">
        <v>1555</v>
      </c>
      <c r="P36" s="17">
        <v>2534.6499999999996</v>
      </c>
      <c r="Q36" s="14">
        <v>16.838115863562535</v>
      </c>
      <c r="R36" s="16">
        <v>2031.6999999999998</v>
      </c>
      <c r="S36" s="15">
        <v>-292</v>
      </c>
      <c r="T36" s="18">
        <v>1193</v>
      </c>
      <c r="U36" s="17">
        <v>1944.59</v>
      </c>
      <c r="V36" s="14">
        <v>11.196621304551854</v>
      </c>
      <c r="W36" s="16">
        <v>2344.1</v>
      </c>
      <c r="X36" s="15">
        <v>-511.79999999999995</v>
      </c>
      <c r="Y36" s="18">
        <v>480</v>
      </c>
      <c r="Z36" s="17">
        <v>782.4</v>
      </c>
      <c r="AA36" s="14">
        <v>19.277108433734941</v>
      </c>
      <c r="AB36" s="16">
        <v>547.79999999999995</v>
      </c>
      <c r="AC36" s="15">
        <v>-67.799999999999955</v>
      </c>
      <c r="AD36" s="19">
        <v>10699</v>
      </c>
      <c r="AE36" s="20">
        <v>17439.37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616</v>
      </c>
      <c r="F37" s="14">
        <v>1004.0799999999999</v>
      </c>
      <c r="G37" s="14">
        <v>2.1482127288578901</v>
      </c>
      <c r="H37" s="30">
        <v>6308.5</v>
      </c>
      <c r="I37" s="15">
        <v>-2251.5</v>
      </c>
      <c r="J37" s="16">
        <v>3225</v>
      </c>
      <c r="K37" s="13">
        <v>5256.75</v>
      </c>
      <c r="L37" s="14">
        <v>24.431818181818183</v>
      </c>
      <c r="M37" s="30">
        <v>2904</v>
      </c>
      <c r="N37" s="15">
        <v>1905</v>
      </c>
      <c r="O37" s="16">
        <v>989</v>
      </c>
      <c r="P37" s="17">
        <v>1612.07</v>
      </c>
      <c r="Q37" s="14">
        <v>16.691983122362871</v>
      </c>
      <c r="R37" s="16">
        <v>1303.5</v>
      </c>
      <c r="S37" s="15">
        <v>-196</v>
      </c>
      <c r="T37" s="18">
        <v>370</v>
      </c>
      <c r="U37" s="17">
        <v>603.09999999999991</v>
      </c>
      <c r="V37" s="14">
        <v>6.6606660666066606</v>
      </c>
      <c r="W37" s="16">
        <v>1222.0999999999999</v>
      </c>
      <c r="X37" s="15">
        <v>-518.79999999999995</v>
      </c>
      <c r="Y37" s="18">
        <v>216</v>
      </c>
      <c r="Z37" s="17">
        <v>352.08</v>
      </c>
      <c r="AA37" s="14">
        <v>17.560975609756095</v>
      </c>
      <c r="AB37" s="16">
        <v>270.60000000000002</v>
      </c>
      <c r="AC37" s="15">
        <v>-54.600000000000023</v>
      </c>
      <c r="AD37" s="19">
        <v>5416</v>
      </c>
      <c r="AE37" s="20">
        <v>8828.08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1658</v>
      </c>
      <c r="F38" s="14">
        <v>2702.54</v>
      </c>
      <c r="G38" s="14">
        <v>8.1414191013994603</v>
      </c>
      <c r="H38" s="30">
        <v>4480.3</v>
      </c>
      <c r="I38" s="15">
        <v>-378.5</v>
      </c>
      <c r="J38" s="16">
        <v>1784</v>
      </c>
      <c r="K38" s="13">
        <v>2907.9199999999996</v>
      </c>
      <c r="L38" s="14">
        <v>15.808595480726629</v>
      </c>
      <c r="M38" s="30">
        <v>2482.6999999999998</v>
      </c>
      <c r="N38" s="15">
        <v>655.5</v>
      </c>
      <c r="O38" s="16">
        <v>633</v>
      </c>
      <c r="P38" s="17">
        <v>1031.79</v>
      </c>
      <c r="Q38" s="14">
        <v>16.356589147286819</v>
      </c>
      <c r="R38" s="16">
        <v>851.40000000000009</v>
      </c>
      <c r="S38" s="15">
        <v>-141</v>
      </c>
      <c r="T38" s="18">
        <v>2207</v>
      </c>
      <c r="U38" s="17">
        <v>3597.41</v>
      </c>
      <c r="V38" s="14">
        <v>58.386243386243393</v>
      </c>
      <c r="W38" s="16">
        <v>831.59999999999991</v>
      </c>
      <c r="X38" s="15">
        <v>1602.2</v>
      </c>
      <c r="Y38" s="18">
        <v>451</v>
      </c>
      <c r="Z38" s="17">
        <v>735.13</v>
      </c>
      <c r="AA38" s="14">
        <v>16.954887218045112</v>
      </c>
      <c r="AB38" s="16">
        <v>585.20000000000005</v>
      </c>
      <c r="AC38" s="15">
        <v>-134.20000000000005</v>
      </c>
      <c r="AD38" s="19">
        <v>6733</v>
      </c>
      <c r="AE38" s="20">
        <v>10974.789999999999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970</v>
      </c>
      <c r="F39" s="14">
        <v>1581.1</v>
      </c>
      <c r="G39" s="14">
        <v>9.2161520190023758</v>
      </c>
      <c r="H39" s="30">
        <v>2315.5</v>
      </c>
      <c r="I39" s="15">
        <v>-82.5</v>
      </c>
      <c r="J39" s="16">
        <v>2480</v>
      </c>
      <c r="K39" s="13">
        <v>4042.3999999999996</v>
      </c>
      <c r="L39" s="14">
        <v>44.644464446444644</v>
      </c>
      <c r="M39" s="30">
        <v>1222.0999999999999</v>
      </c>
      <c r="N39" s="15">
        <v>1924.5</v>
      </c>
      <c r="O39" s="16">
        <v>602</v>
      </c>
      <c r="P39" s="17">
        <v>981.26</v>
      </c>
      <c r="Q39" s="14">
        <v>21.234567901234566</v>
      </c>
      <c r="R39" s="16">
        <v>623.70000000000005</v>
      </c>
      <c r="S39" s="15">
        <v>35</v>
      </c>
      <c r="T39" s="18">
        <v>549</v>
      </c>
      <c r="U39" s="17">
        <v>894.86999999999989</v>
      </c>
      <c r="V39" s="14">
        <v>9.6740088105726869</v>
      </c>
      <c r="W39" s="16">
        <v>1248.5</v>
      </c>
      <c r="X39" s="15">
        <v>-359</v>
      </c>
      <c r="Y39" s="18">
        <v>415</v>
      </c>
      <c r="Z39" s="17">
        <v>676.44999999999993</v>
      </c>
      <c r="AA39" s="14">
        <v>83.838383838383834</v>
      </c>
      <c r="AB39" s="16">
        <v>108.9</v>
      </c>
      <c r="AC39" s="15">
        <v>306.10000000000002</v>
      </c>
      <c r="AD39" s="19">
        <v>5016</v>
      </c>
      <c r="AE39" s="20">
        <v>8176.079999999999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1418</v>
      </c>
      <c r="F40" s="14">
        <v>2311.3399999999997</v>
      </c>
      <c r="G40" s="14">
        <v>10.339044841414509</v>
      </c>
      <c r="H40" s="30">
        <v>3017.3</v>
      </c>
      <c r="I40" s="15">
        <v>46.5</v>
      </c>
      <c r="J40" s="16">
        <v>634</v>
      </c>
      <c r="K40" s="13">
        <v>1033.4199999999998</v>
      </c>
      <c r="L40" s="14">
        <v>9.3303899926416474</v>
      </c>
      <c r="M40" s="30">
        <v>1494.9</v>
      </c>
      <c r="N40" s="15">
        <v>-45.5</v>
      </c>
      <c r="O40" s="16">
        <v>721</v>
      </c>
      <c r="P40" s="17">
        <v>1175.23</v>
      </c>
      <c r="Q40" s="14">
        <v>20.027777777777779</v>
      </c>
      <c r="R40" s="16">
        <v>792</v>
      </c>
      <c r="S40" s="15">
        <v>1</v>
      </c>
      <c r="T40" s="18">
        <v>664</v>
      </c>
      <c r="U40" s="17">
        <v>1082.32</v>
      </c>
      <c r="V40" s="14">
        <v>10.114242193450114</v>
      </c>
      <c r="W40" s="16">
        <v>1444.3000000000002</v>
      </c>
      <c r="X40" s="15">
        <v>-386.40000000000009</v>
      </c>
      <c r="Y40" s="18">
        <v>429</v>
      </c>
      <c r="Z40" s="17">
        <v>699.27</v>
      </c>
      <c r="AA40" s="14">
        <v>92.258064516129025</v>
      </c>
      <c r="AB40" s="16">
        <v>102.30000000000001</v>
      </c>
      <c r="AC40" s="15">
        <v>326.7</v>
      </c>
      <c r="AD40" s="19">
        <v>3866</v>
      </c>
      <c r="AE40" s="20">
        <v>6301.58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616</v>
      </c>
      <c r="F41" s="14">
        <v>3788.4</v>
      </c>
      <c r="G41" s="14">
        <v>9.2008961911874536</v>
      </c>
      <c r="H41" s="30">
        <v>1472.9</v>
      </c>
      <c r="I41" s="15">
        <v>-53.5</v>
      </c>
      <c r="J41" s="16">
        <v>333</v>
      </c>
      <c r="K41" s="13">
        <v>2047.95</v>
      </c>
      <c r="L41" s="14">
        <v>8.9156626506024086</v>
      </c>
      <c r="M41" s="30">
        <v>821.7</v>
      </c>
      <c r="N41" s="15">
        <v>-40.5</v>
      </c>
      <c r="O41" s="16">
        <v>60</v>
      </c>
      <c r="P41" s="17">
        <v>369</v>
      </c>
      <c r="Q41" s="14">
        <v>12.76595744680851</v>
      </c>
      <c r="R41" s="16">
        <v>103.4</v>
      </c>
      <c r="S41" s="15">
        <v>-34</v>
      </c>
      <c r="T41" s="18">
        <v>106</v>
      </c>
      <c r="U41" s="17">
        <v>651.90000000000009</v>
      </c>
      <c r="V41" s="14">
        <v>8.346456692913387</v>
      </c>
      <c r="W41" s="16">
        <v>279.39999999999998</v>
      </c>
      <c r="X41" s="15">
        <v>-97.199999999999989</v>
      </c>
      <c r="Y41" s="18">
        <v>96</v>
      </c>
      <c r="Z41" s="17">
        <v>590.40000000000009</v>
      </c>
      <c r="AA41" s="14">
        <v>23.414634146341466</v>
      </c>
      <c r="AB41" s="16">
        <v>90.199999999999989</v>
      </c>
      <c r="AC41" s="15">
        <v>5.8000000000000114</v>
      </c>
      <c r="AD41" s="19">
        <v>1211</v>
      </c>
      <c r="AE41" s="20">
        <v>7447.6500000000005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389</v>
      </c>
      <c r="F42" s="14">
        <v>2392.3500000000004</v>
      </c>
      <c r="G42" s="14">
        <v>5.1901267511674449</v>
      </c>
      <c r="H42" s="30">
        <v>1648.9</v>
      </c>
      <c r="I42" s="15">
        <v>-360.5</v>
      </c>
      <c r="J42" s="16">
        <v>352</v>
      </c>
      <c r="K42" s="13">
        <v>2164.8000000000002</v>
      </c>
      <c r="L42" s="14">
        <v>8.7890137328339577</v>
      </c>
      <c r="M42" s="30">
        <v>881.09999999999991</v>
      </c>
      <c r="N42" s="15">
        <v>-48.5</v>
      </c>
      <c r="O42" s="16">
        <v>115</v>
      </c>
      <c r="P42" s="17">
        <v>707.25</v>
      </c>
      <c r="Q42" s="14">
        <v>16.546762589928058</v>
      </c>
      <c r="R42" s="16">
        <v>152.9</v>
      </c>
      <c r="S42" s="15">
        <v>-24</v>
      </c>
      <c r="T42" s="18">
        <v>197</v>
      </c>
      <c r="U42" s="17">
        <v>1211.5500000000002</v>
      </c>
      <c r="V42" s="14">
        <v>11.005586592178771</v>
      </c>
      <c r="W42" s="16">
        <v>393.79999999999995</v>
      </c>
      <c r="X42" s="15">
        <v>-89.399999999999977</v>
      </c>
      <c r="Y42" s="18">
        <v>82</v>
      </c>
      <c r="Z42" s="17">
        <v>504.3</v>
      </c>
      <c r="AA42" s="14">
        <v>27.796610169491522</v>
      </c>
      <c r="AB42" s="16">
        <v>64.900000000000006</v>
      </c>
      <c r="AC42" s="15">
        <v>17.099999999999994</v>
      </c>
      <c r="AD42" s="19">
        <v>1135</v>
      </c>
      <c r="AE42" s="20">
        <v>6980.25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2452</v>
      </c>
      <c r="F43" s="14">
        <v>2844.3199999999997</v>
      </c>
      <c r="G43" s="14">
        <v>7.2856930619521618</v>
      </c>
      <c r="H43" s="30">
        <v>7404.1</v>
      </c>
      <c r="I43" s="15">
        <v>-913.5</v>
      </c>
      <c r="J43" s="16">
        <v>3846</v>
      </c>
      <c r="K43" s="13">
        <v>4461.3599999999997</v>
      </c>
      <c r="L43" s="14">
        <v>15.981716185331393</v>
      </c>
      <c r="M43" s="30">
        <v>5294.3</v>
      </c>
      <c r="N43" s="15">
        <v>1439.5</v>
      </c>
      <c r="O43" s="16">
        <v>772</v>
      </c>
      <c r="P43" s="17">
        <v>895.52</v>
      </c>
      <c r="Q43" s="14">
        <v>16.40807651434644</v>
      </c>
      <c r="R43" s="16">
        <v>1035.0999999999999</v>
      </c>
      <c r="S43" s="15">
        <v>-169</v>
      </c>
      <c r="T43" s="18">
        <v>1236</v>
      </c>
      <c r="U43" s="17">
        <v>1433.76</v>
      </c>
      <c r="V43" s="14">
        <v>10.189612530915086</v>
      </c>
      <c r="W43" s="16">
        <v>2668.6</v>
      </c>
      <c r="X43" s="15">
        <v>-704.8</v>
      </c>
      <c r="Y43" s="18">
        <v>548</v>
      </c>
      <c r="Z43" s="17">
        <v>635.67999999999995</v>
      </c>
      <c r="AA43" s="14">
        <v>19.46714031971581</v>
      </c>
      <c r="AB43" s="16">
        <v>619.29999999999995</v>
      </c>
      <c r="AC43" s="15">
        <v>-71.299999999999955</v>
      </c>
      <c r="AD43" s="19">
        <v>8854</v>
      </c>
      <c r="AE43" s="20">
        <v>10270.64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2725</v>
      </c>
      <c r="F44" s="14">
        <v>3161</v>
      </c>
      <c r="G44" s="14">
        <v>9.4997385393062572</v>
      </c>
      <c r="H44" s="30">
        <v>6310.7000000000007</v>
      </c>
      <c r="I44" s="15">
        <v>-143.5</v>
      </c>
      <c r="J44" s="16">
        <v>6479</v>
      </c>
      <c r="K44" s="13">
        <v>7515.6399999999994</v>
      </c>
      <c r="L44" s="14">
        <v>35.173724212812161</v>
      </c>
      <c r="M44" s="30">
        <v>4052.3999999999996</v>
      </c>
      <c r="N44" s="15">
        <v>4637</v>
      </c>
      <c r="O44" s="16">
        <v>535</v>
      </c>
      <c r="P44" s="17">
        <v>620.59999999999991</v>
      </c>
      <c r="Q44" s="14">
        <v>19.597069597069595</v>
      </c>
      <c r="R44" s="16">
        <v>600.6</v>
      </c>
      <c r="S44" s="15">
        <v>-11</v>
      </c>
      <c r="T44" s="18">
        <v>776</v>
      </c>
      <c r="U44" s="17">
        <v>900.16</v>
      </c>
      <c r="V44" s="14">
        <v>11.829268292682928</v>
      </c>
      <c r="W44" s="16">
        <v>1443.1999999999998</v>
      </c>
      <c r="X44" s="15">
        <v>-273.59999999999991</v>
      </c>
      <c r="Y44" s="18">
        <v>457</v>
      </c>
      <c r="Z44" s="17">
        <v>530.12</v>
      </c>
      <c r="AA44" s="14">
        <v>16.350626118067979</v>
      </c>
      <c r="AB44" s="16">
        <v>614.9</v>
      </c>
      <c r="AC44" s="15">
        <v>-157.89999999999998</v>
      </c>
      <c r="AD44" s="19">
        <v>10972</v>
      </c>
      <c r="AE44" s="20">
        <v>12727.519999999999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2956</v>
      </c>
      <c r="F45" s="14">
        <v>3428.9599999999996</v>
      </c>
      <c r="G45" s="14">
        <v>7.7099634846113725</v>
      </c>
      <c r="H45" s="30">
        <v>8434.7999999999993</v>
      </c>
      <c r="I45" s="15">
        <v>-878</v>
      </c>
      <c r="J45" s="16">
        <v>7427</v>
      </c>
      <c r="K45" s="13">
        <v>8615.32</v>
      </c>
      <c r="L45" s="14">
        <v>30.209477323571285</v>
      </c>
      <c r="M45" s="30">
        <v>5408.7</v>
      </c>
      <c r="N45" s="15">
        <v>4968.5</v>
      </c>
      <c r="O45" s="16">
        <v>707</v>
      </c>
      <c r="P45" s="17">
        <v>820.11999999999989</v>
      </c>
      <c r="Q45" s="14">
        <v>15.693673695893454</v>
      </c>
      <c r="R45" s="16">
        <v>991.09999999999991</v>
      </c>
      <c r="S45" s="15">
        <v>-194</v>
      </c>
      <c r="T45" s="18">
        <v>1163</v>
      </c>
      <c r="U45" s="17">
        <v>1349.08</v>
      </c>
      <c r="V45" s="14">
        <v>12.152560083594565</v>
      </c>
      <c r="W45" s="16">
        <v>2105.4</v>
      </c>
      <c r="X45" s="15">
        <v>-368.20000000000005</v>
      </c>
      <c r="Y45" s="18">
        <v>472</v>
      </c>
      <c r="Z45" s="17">
        <v>547.52</v>
      </c>
      <c r="AA45" s="14">
        <v>17.912713472485766</v>
      </c>
      <c r="AB45" s="16">
        <v>579.70000000000005</v>
      </c>
      <c r="AC45" s="15">
        <v>-107.70000000000005</v>
      </c>
      <c r="AD45" s="19">
        <v>12725</v>
      </c>
      <c r="AE45" s="20">
        <v>14760.999999999998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2398</v>
      </c>
      <c r="F46" s="14">
        <v>2781.68</v>
      </c>
      <c r="G46" s="14">
        <v>8.5934420354775121</v>
      </c>
      <c r="H46" s="30">
        <v>6139.1</v>
      </c>
      <c r="I46" s="15">
        <v>-392.5</v>
      </c>
      <c r="J46" s="16">
        <v>5041</v>
      </c>
      <c r="K46" s="13">
        <v>5847.5599999999995</v>
      </c>
      <c r="L46" s="14">
        <v>32.648963730569946</v>
      </c>
      <c r="M46" s="30">
        <v>3396.8</v>
      </c>
      <c r="N46" s="15">
        <v>3497</v>
      </c>
      <c r="O46" s="16">
        <v>491</v>
      </c>
      <c r="P46" s="17">
        <v>569.55999999999995</v>
      </c>
      <c r="Q46" s="14">
        <v>18.528301886792452</v>
      </c>
      <c r="R46" s="16">
        <v>583</v>
      </c>
      <c r="S46" s="15">
        <v>-39</v>
      </c>
      <c r="T46" s="18">
        <v>584</v>
      </c>
      <c r="U46" s="17">
        <v>677.43999999999994</v>
      </c>
      <c r="V46" s="14">
        <v>14.784810126582279</v>
      </c>
      <c r="W46" s="16">
        <v>869</v>
      </c>
      <c r="X46" s="15">
        <v>-48</v>
      </c>
      <c r="Y46" s="18">
        <v>540</v>
      </c>
      <c r="Z46" s="17">
        <v>626.4</v>
      </c>
      <c r="AA46" s="14">
        <v>25.352112676056336</v>
      </c>
      <c r="AB46" s="16">
        <v>468.6</v>
      </c>
      <c r="AC46" s="15">
        <v>71.399999999999977</v>
      </c>
      <c r="AD46" s="19">
        <v>9054</v>
      </c>
      <c r="AE46" s="20">
        <v>10502.64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19</v>
      </c>
      <c r="K47" s="13">
        <v>342</v>
      </c>
      <c r="L47" s="14">
        <v>6.333333333333333</v>
      </c>
      <c r="M47" s="30">
        <v>66</v>
      </c>
      <c r="N47" s="15">
        <v>-11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15</v>
      </c>
      <c r="U47" s="17">
        <v>270</v>
      </c>
      <c r="V47" s="14">
        <v>15</v>
      </c>
      <c r="W47" s="16">
        <v>22</v>
      </c>
      <c r="X47" s="15">
        <v>-1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34</v>
      </c>
      <c r="AE47" s="20">
        <v>612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6</v>
      </c>
      <c r="K48" s="13">
        <v>108</v>
      </c>
      <c r="L48" s="14">
        <v>10.909090909090908</v>
      </c>
      <c r="M48" s="30">
        <v>12.100000000000001</v>
      </c>
      <c r="N48" s="15">
        <v>0.5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6</v>
      </c>
      <c r="AE48" s="20">
        <v>108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27</v>
      </c>
      <c r="F49" s="14">
        <v>31.319999999999997</v>
      </c>
      <c r="G49" s="14">
        <v>0.51625239005736145</v>
      </c>
      <c r="H49" s="30">
        <v>1150.5999999999999</v>
      </c>
      <c r="I49" s="15">
        <v>-496</v>
      </c>
      <c r="J49" s="16">
        <v>0</v>
      </c>
      <c r="K49" s="13">
        <v>0</v>
      </c>
      <c r="L49" s="14">
        <v>0</v>
      </c>
      <c r="M49" s="30">
        <v>1238.5999999999999</v>
      </c>
      <c r="N49" s="15">
        <v>-563</v>
      </c>
      <c r="O49" s="16">
        <v>38</v>
      </c>
      <c r="P49" s="17">
        <v>44.08</v>
      </c>
      <c r="Q49" s="14">
        <v>5.1006711409395971</v>
      </c>
      <c r="R49" s="16">
        <v>163.9</v>
      </c>
      <c r="S49" s="15">
        <v>-111</v>
      </c>
      <c r="T49" s="18">
        <v>5</v>
      </c>
      <c r="U49" s="17">
        <v>5.8</v>
      </c>
      <c r="V49" s="14">
        <v>0.43478260869565216</v>
      </c>
      <c r="W49" s="16">
        <v>253</v>
      </c>
      <c r="X49" s="15">
        <v>-179</v>
      </c>
      <c r="Y49" s="18">
        <v>18</v>
      </c>
      <c r="Z49" s="17">
        <v>20.88</v>
      </c>
      <c r="AA49" s="14">
        <v>3.75</v>
      </c>
      <c r="AB49" s="16">
        <v>105.6</v>
      </c>
      <c r="AC49" s="15">
        <v>-87.6</v>
      </c>
      <c r="AD49" s="19">
        <v>88</v>
      </c>
      <c r="AE49" s="20">
        <v>102.08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1712</v>
      </c>
      <c r="F50" s="14">
        <v>1985.9199999999998</v>
      </c>
      <c r="G50" s="14">
        <v>5.9361997226074896</v>
      </c>
      <c r="H50" s="30">
        <v>6344.7999999999993</v>
      </c>
      <c r="I50" s="15">
        <v>-1172</v>
      </c>
      <c r="J50" s="16">
        <v>1187</v>
      </c>
      <c r="K50" s="13">
        <v>1376.9199999999998</v>
      </c>
      <c r="L50" s="14">
        <v>6.4827962861824142</v>
      </c>
      <c r="M50" s="30">
        <v>4028.2</v>
      </c>
      <c r="N50" s="15">
        <v>-644</v>
      </c>
      <c r="O50" s="16">
        <v>120</v>
      </c>
      <c r="P50" s="17">
        <v>139.19999999999999</v>
      </c>
      <c r="Q50" s="14">
        <v>2.7874564459930316</v>
      </c>
      <c r="R50" s="16">
        <v>947.09999999999991</v>
      </c>
      <c r="S50" s="15">
        <v>-741</v>
      </c>
      <c r="T50" s="18">
        <v>561</v>
      </c>
      <c r="U50" s="17">
        <v>650.76</v>
      </c>
      <c r="V50" s="14">
        <v>14.571428571428571</v>
      </c>
      <c r="W50" s="16">
        <v>847</v>
      </c>
      <c r="X50" s="15">
        <v>-55</v>
      </c>
      <c r="Y50" s="18">
        <v>27</v>
      </c>
      <c r="Z50" s="17">
        <v>31.319999999999997</v>
      </c>
      <c r="AA50" s="14">
        <v>2.5352112676056335</v>
      </c>
      <c r="AB50" s="16">
        <v>234.3</v>
      </c>
      <c r="AC50" s="15">
        <v>-207.3</v>
      </c>
      <c r="AD50" s="19">
        <v>3607</v>
      </c>
      <c r="AE50" s="20">
        <v>4184.12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1272</v>
      </c>
      <c r="F51" s="14">
        <v>1475.52</v>
      </c>
      <c r="G51" s="14">
        <v>6.7230443974630028</v>
      </c>
      <c r="H51" s="30">
        <v>4162.3999999999996</v>
      </c>
      <c r="I51" s="15">
        <v>-620</v>
      </c>
      <c r="J51" s="16">
        <v>1249</v>
      </c>
      <c r="K51" s="13">
        <v>1448.84</v>
      </c>
      <c r="L51" s="14">
        <v>7.6837896031990152</v>
      </c>
      <c r="M51" s="30">
        <v>3576.1000000000004</v>
      </c>
      <c r="N51" s="15">
        <v>-376.5</v>
      </c>
      <c r="O51" s="16">
        <v>251</v>
      </c>
      <c r="P51" s="17">
        <v>291.15999999999997</v>
      </c>
      <c r="Q51" s="14">
        <v>18.801498127340825</v>
      </c>
      <c r="R51" s="16">
        <v>293.7</v>
      </c>
      <c r="S51" s="15">
        <v>-16</v>
      </c>
      <c r="T51" s="18">
        <v>446</v>
      </c>
      <c r="U51" s="17">
        <v>517.36</v>
      </c>
      <c r="V51" s="14">
        <v>13.313432835820896</v>
      </c>
      <c r="W51" s="16">
        <v>737</v>
      </c>
      <c r="X51" s="15">
        <v>-90</v>
      </c>
      <c r="Y51" s="18">
        <v>126</v>
      </c>
      <c r="Z51" s="17">
        <v>146.16</v>
      </c>
      <c r="AA51" s="14">
        <v>29.647058823529413</v>
      </c>
      <c r="AB51" s="16">
        <v>93.5</v>
      </c>
      <c r="AC51" s="15">
        <v>32.5</v>
      </c>
      <c r="AD51" s="19">
        <v>3344</v>
      </c>
      <c r="AE51" s="20">
        <v>3879.0399999999995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1860</v>
      </c>
      <c r="F52" s="14">
        <v>1506.6000000000001</v>
      </c>
      <c r="G52" s="14">
        <v>11.824539097266369</v>
      </c>
      <c r="H52" s="30">
        <v>3460.6000000000004</v>
      </c>
      <c r="I52" s="15">
        <v>287</v>
      </c>
      <c r="J52" s="16">
        <v>3888</v>
      </c>
      <c r="K52" s="13">
        <v>3149.28</v>
      </c>
      <c r="L52" s="14">
        <v>80.24767801857584</v>
      </c>
      <c r="M52" s="30">
        <v>1065.9000000000001</v>
      </c>
      <c r="N52" s="15">
        <v>3403.5</v>
      </c>
      <c r="O52" s="16">
        <v>41</v>
      </c>
      <c r="P52" s="17">
        <v>33.21</v>
      </c>
      <c r="Q52" s="14">
        <v>3.5344827586206899</v>
      </c>
      <c r="R52" s="16">
        <v>255.2</v>
      </c>
      <c r="S52" s="15">
        <v>-191</v>
      </c>
      <c r="T52" s="18">
        <v>276</v>
      </c>
      <c r="U52" s="17">
        <v>223.56</v>
      </c>
      <c r="V52" s="14">
        <v>11.358024691358024</v>
      </c>
      <c r="W52" s="16">
        <v>534.6</v>
      </c>
      <c r="X52" s="15">
        <v>-112.80000000000001</v>
      </c>
      <c r="Y52" s="18">
        <v>120</v>
      </c>
      <c r="Z52" s="17">
        <v>97.2</v>
      </c>
      <c r="AA52" s="14">
        <v>104.34782608695653</v>
      </c>
      <c r="AB52" s="16">
        <v>25.299999999999997</v>
      </c>
      <c r="AC52" s="15">
        <v>94.7</v>
      </c>
      <c r="AD52" s="19">
        <v>6185</v>
      </c>
      <c r="AE52" s="20">
        <v>5009.8500000000004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480</v>
      </c>
      <c r="F53" s="14">
        <v>388.8</v>
      </c>
      <c r="G53" s="14">
        <v>1.7413386540903322</v>
      </c>
      <c r="H53" s="30">
        <v>6064.2999999999993</v>
      </c>
      <c r="I53" s="15">
        <v>-2276.5</v>
      </c>
      <c r="J53" s="16">
        <v>0</v>
      </c>
      <c r="K53" s="13">
        <v>0</v>
      </c>
      <c r="L53" s="14">
        <v>0</v>
      </c>
      <c r="M53" s="30">
        <v>2633.4</v>
      </c>
      <c r="N53" s="15">
        <v>-1197</v>
      </c>
      <c r="O53" s="16">
        <v>432</v>
      </c>
      <c r="P53" s="17">
        <v>349.92</v>
      </c>
      <c r="Q53" s="14">
        <v>13.692551505546751</v>
      </c>
      <c r="R53" s="16">
        <v>694.1</v>
      </c>
      <c r="S53" s="15">
        <v>-199</v>
      </c>
      <c r="T53" s="18">
        <v>676</v>
      </c>
      <c r="U53" s="17">
        <v>547.56000000000006</v>
      </c>
      <c r="V53" s="14">
        <v>12.358318098720291</v>
      </c>
      <c r="W53" s="16">
        <v>1203.4000000000001</v>
      </c>
      <c r="X53" s="15">
        <v>-199.20000000000005</v>
      </c>
      <c r="Y53" s="18">
        <v>240</v>
      </c>
      <c r="Z53" s="17">
        <v>194.4</v>
      </c>
      <c r="AA53" s="14">
        <v>40.336134453781511</v>
      </c>
      <c r="AB53" s="16">
        <v>130.9</v>
      </c>
      <c r="AC53" s="15">
        <v>109.1</v>
      </c>
      <c r="AD53" s="19">
        <v>1828</v>
      </c>
      <c r="AE53" s="20">
        <v>1480.68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3051</v>
      </c>
      <c r="F54" s="14">
        <v>2471.31</v>
      </c>
      <c r="G54" s="14">
        <v>15.927956147220046</v>
      </c>
      <c r="H54" s="30">
        <v>4214.1000000000004</v>
      </c>
      <c r="I54" s="15">
        <v>1135.5</v>
      </c>
      <c r="J54" s="16">
        <v>1988</v>
      </c>
      <c r="K54" s="13">
        <v>1610.2800000000002</v>
      </c>
      <c r="L54" s="14">
        <v>32.064516129032256</v>
      </c>
      <c r="M54" s="30">
        <v>1364</v>
      </c>
      <c r="N54" s="15">
        <v>1368</v>
      </c>
      <c r="O54" s="16">
        <v>216</v>
      </c>
      <c r="P54" s="17">
        <v>174.96</v>
      </c>
      <c r="Q54" s="14">
        <v>16.941176470588236</v>
      </c>
      <c r="R54" s="16">
        <v>280.5</v>
      </c>
      <c r="S54" s="15">
        <v>-39</v>
      </c>
      <c r="T54" s="18">
        <v>428</v>
      </c>
      <c r="U54" s="17">
        <v>346.68</v>
      </c>
      <c r="V54" s="14">
        <v>18.730853391684899</v>
      </c>
      <c r="W54" s="16">
        <v>502.70000000000005</v>
      </c>
      <c r="X54" s="15">
        <v>62.399999999999977</v>
      </c>
      <c r="Y54" s="18">
        <v>211</v>
      </c>
      <c r="Z54" s="17">
        <v>170.91000000000003</v>
      </c>
      <c r="AA54" s="14">
        <v>26.708860759493671</v>
      </c>
      <c r="AB54" s="16">
        <v>173.8</v>
      </c>
      <c r="AC54" s="15">
        <v>37.199999999999989</v>
      </c>
      <c r="AD54" s="19">
        <v>5894</v>
      </c>
      <c r="AE54" s="20">
        <v>4774.1400000000003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1884</v>
      </c>
      <c r="F55" s="14">
        <v>1526.0400000000002</v>
      </c>
      <c r="G55" s="14">
        <v>11.237697584252908</v>
      </c>
      <c r="H55" s="30">
        <v>3688.3</v>
      </c>
      <c r="I55" s="15">
        <v>207.5</v>
      </c>
      <c r="J55" s="16">
        <v>6183</v>
      </c>
      <c r="K55" s="13">
        <v>5008.2300000000005</v>
      </c>
      <c r="L55" s="14">
        <v>82.715719063545151</v>
      </c>
      <c r="M55" s="30">
        <v>1644.5</v>
      </c>
      <c r="N55" s="15">
        <v>5435.5</v>
      </c>
      <c r="O55" s="16">
        <v>321</v>
      </c>
      <c r="P55" s="17">
        <v>260.01</v>
      </c>
      <c r="Q55" s="14">
        <v>18.238636363636363</v>
      </c>
      <c r="R55" s="16">
        <v>387.20000000000005</v>
      </c>
      <c r="S55" s="15">
        <v>-31</v>
      </c>
      <c r="T55" s="18">
        <v>413</v>
      </c>
      <c r="U55" s="17">
        <v>334.53000000000003</v>
      </c>
      <c r="V55" s="14">
        <v>15.976789168278529</v>
      </c>
      <c r="W55" s="16">
        <v>568.70000000000005</v>
      </c>
      <c r="X55" s="15">
        <v>-0.60000000000002274</v>
      </c>
      <c r="Y55" s="18">
        <v>222</v>
      </c>
      <c r="Z55" s="17">
        <v>179.82000000000002</v>
      </c>
      <c r="AA55" s="14">
        <v>27.073170731707318</v>
      </c>
      <c r="AB55" s="16">
        <v>180.39999999999998</v>
      </c>
      <c r="AC55" s="15">
        <v>41.600000000000023</v>
      </c>
      <c r="AD55" s="19">
        <v>9023</v>
      </c>
      <c r="AE55" s="20">
        <v>7308.63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699</v>
      </c>
      <c r="F56" s="14">
        <v>1831.38</v>
      </c>
      <c r="G56" s="14">
        <v>23.456375838926174</v>
      </c>
      <c r="H56" s="30">
        <v>655.6</v>
      </c>
      <c r="I56" s="15">
        <v>401</v>
      </c>
      <c r="J56" s="32">
        <v>52</v>
      </c>
      <c r="K56" s="13">
        <v>136.24</v>
      </c>
      <c r="L56" s="14">
        <v>4.0944881889763778</v>
      </c>
      <c r="M56" s="30">
        <v>279.39999999999998</v>
      </c>
      <c r="N56" s="15">
        <v>-75</v>
      </c>
      <c r="O56" s="32">
        <v>42</v>
      </c>
      <c r="P56" s="17">
        <v>110.04</v>
      </c>
      <c r="Q56" s="14">
        <v>14</v>
      </c>
      <c r="R56" s="16">
        <v>66</v>
      </c>
      <c r="S56" s="15">
        <v>-18</v>
      </c>
      <c r="T56" s="18">
        <v>108</v>
      </c>
      <c r="U56" s="17">
        <v>282.96000000000004</v>
      </c>
      <c r="V56" s="14">
        <v>15.319148936170214</v>
      </c>
      <c r="W56" s="16">
        <v>155.1</v>
      </c>
      <c r="X56" s="15">
        <v>-4.7999999999999972</v>
      </c>
      <c r="Y56" s="18">
        <v>45</v>
      </c>
      <c r="Z56" s="17">
        <v>117.9</v>
      </c>
      <c r="AA56" s="14">
        <v>29.032258064516128</v>
      </c>
      <c r="AB56" s="16">
        <v>34.1</v>
      </c>
      <c r="AC56" s="15">
        <v>10.899999999999999</v>
      </c>
      <c r="AD56" s="19">
        <v>946</v>
      </c>
      <c r="AE56" s="20">
        <v>2478.52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132</v>
      </c>
      <c r="F57" s="14">
        <v>345.84000000000003</v>
      </c>
      <c r="G57" s="14">
        <v>2.0576773187840995</v>
      </c>
      <c r="H57" s="30">
        <v>1411.3000000000002</v>
      </c>
      <c r="I57" s="15">
        <v>-509.5</v>
      </c>
      <c r="J57" s="32">
        <v>30</v>
      </c>
      <c r="K57" s="13">
        <v>78.600000000000009</v>
      </c>
      <c r="L57" s="14">
        <v>1.125703564727955</v>
      </c>
      <c r="M57" s="30">
        <v>586.29999999999995</v>
      </c>
      <c r="N57" s="15">
        <v>-236.5</v>
      </c>
      <c r="O57" s="32">
        <v>69</v>
      </c>
      <c r="P57" s="17">
        <v>180.78</v>
      </c>
      <c r="Q57" s="14">
        <v>9.4520547945205475</v>
      </c>
      <c r="R57" s="16">
        <v>160.6</v>
      </c>
      <c r="S57" s="15">
        <v>-77</v>
      </c>
      <c r="T57" s="18">
        <v>48</v>
      </c>
      <c r="U57" s="17">
        <v>125.76</v>
      </c>
      <c r="V57" s="14">
        <v>2.3762376237623761</v>
      </c>
      <c r="W57" s="16">
        <v>444.4</v>
      </c>
      <c r="X57" s="15">
        <v>-275.2</v>
      </c>
      <c r="Y57" s="18">
        <v>60</v>
      </c>
      <c r="Z57" s="17">
        <v>157.20000000000002</v>
      </c>
      <c r="AA57" s="14">
        <v>37.5</v>
      </c>
      <c r="AB57" s="16">
        <v>35.200000000000003</v>
      </c>
      <c r="AC57" s="15">
        <v>24.799999999999997</v>
      </c>
      <c r="AD57" s="19">
        <v>339</v>
      </c>
      <c r="AE57" s="20">
        <v>888.18000000000006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>
        <v>60</v>
      </c>
      <c r="F58" s="14">
        <v>157.20000000000002</v>
      </c>
      <c r="G58" s="14">
        <v>2.5423728813559321</v>
      </c>
      <c r="H58" s="30">
        <v>519.20000000000005</v>
      </c>
      <c r="I58" s="15">
        <v>-176</v>
      </c>
      <c r="J58" s="32">
        <v>48</v>
      </c>
      <c r="K58" s="13">
        <v>125.76</v>
      </c>
      <c r="L58" s="14">
        <v>5.5813953488372094</v>
      </c>
      <c r="M58" s="30">
        <v>189.2</v>
      </c>
      <c r="N58" s="15">
        <v>-38</v>
      </c>
      <c r="O58" s="32">
        <v>25</v>
      </c>
      <c r="P58" s="17">
        <v>65.5</v>
      </c>
      <c r="Q58" s="14">
        <v>15.625</v>
      </c>
      <c r="R58" s="16">
        <v>35.200000000000003</v>
      </c>
      <c r="S58" s="15">
        <v>-7</v>
      </c>
      <c r="T58" s="18">
        <v>94</v>
      </c>
      <c r="U58" s="17">
        <v>246.28</v>
      </c>
      <c r="V58" s="14">
        <v>18.98989898989899</v>
      </c>
      <c r="W58" s="16">
        <v>108.9</v>
      </c>
      <c r="X58" s="15">
        <v>14.799999999999997</v>
      </c>
      <c r="Y58" s="18">
        <v>42</v>
      </c>
      <c r="Z58" s="17">
        <v>110.04</v>
      </c>
      <c r="AA58" s="14">
        <v>31.111111111111111</v>
      </c>
      <c r="AB58" s="16">
        <v>29.700000000000003</v>
      </c>
      <c r="AC58" s="15">
        <v>12.299999999999997</v>
      </c>
      <c r="AD58" s="19">
        <v>269</v>
      </c>
      <c r="AE58" s="20">
        <v>704.78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>
        <v>138</v>
      </c>
      <c r="F59" s="14">
        <v>361.56</v>
      </c>
      <c r="G59" s="14">
        <v>4.5695364238410594</v>
      </c>
      <c r="H59" s="30">
        <v>664.4</v>
      </c>
      <c r="I59" s="15">
        <v>-164</v>
      </c>
      <c r="J59" s="32">
        <v>45</v>
      </c>
      <c r="K59" s="13">
        <v>117.9</v>
      </c>
      <c r="L59" s="14">
        <v>4.1474654377880187</v>
      </c>
      <c r="M59" s="30">
        <v>238.7</v>
      </c>
      <c r="N59" s="15">
        <v>-63.5</v>
      </c>
      <c r="O59" s="32">
        <v>20</v>
      </c>
      <c r="P59" s="17">
        <v>52.400000000000006</v>
      </c>
      <c r="Q59" s="14">
        <v>5.7971014492753623</v>
      </c>
      <c r="R59" s="16">
        <v>75.900000000000006</v>
      </c>
      <c r="S59" s="15">
        <v>-49</v>
      </c>
      <c r="T59" s="18">
        <v>96</v>
      </c>
      <c r="U59" s="17">
        <v>251.52</v>
      </c>
      <c r="V59" s="14">
        <v>16.410256410256412</v>
      </c>
      <c r="W59" s="16">
        <v>128.69999999999999</v>
      </c>
      <c r="X59" s="15">
        <v>2.4000000000000057</v>
      </c>
      <c r="Y59" s="18">
        <v>53</v>
      </c>
      <c r="Z59" s="17">
        <v>138.86000000000001</v>
      </c>
      <c r="AA59" s="14">
        <v>70.666666666666671</v>
      </c>
      <c r="AB59" s="16">
        <v>16.5</v>
      </c>
      <c r="AC59" s="15">
        <v>36.5</v>
      </c>
      <c r="AD59" s="19">
        <v>352</v>
      </c>
      <c r="AE59" s="20">
        <v>922.24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9" t="s">
        <v>3</v>
      </c>
      <c r="F61" s="69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5" t="s">
        <v>4</v>
      </c>
      <c r="C62" s="65"/>
      <c r="D62" s="42">
        <f>SUM(F13:F59)</f>
        <v>176276.57</v>
      </c>
      <c r="E62" s="64">
        <f>D62*100/D67</f>
        <v>36.727274863810258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197184.99000000002</v>
      </c>
      <c r="E63" s="64">
        <f>D63*100/D67</f>
        <v>41.083550279811313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31064.699999999997</v>
      </c>
      <c r="E64" s="64">
        <f>D64*100/D67</f>
        <v>6.4723393214526821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56164.01</v>
      </c>
      <c r="E65" s="64">
        <f>D65*100/D67</f>
        <v>11.70178789344374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19270.660000000003</v>
      </c>
      <c r="E66" s="64">
        <f>D66*100/D67</f>
        <v>4.015047641481984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5" t="s">
        <v>8</v>
      </c>
      <c r="C67" s="65"/>
      <c r="D67" s="44">
        <f>SUM(AE13:AE59)</f>
        <v>479960.93000000017</v>
      </c>
      <c r="E67" s="66">
        <f>D67*100/D67</f>
        <v>100</v>
      </c>
      <c r="F67" s="66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5" t="s">
        <v>10</v>
      </c>
      <c r="C70" s="65"/>
      <c r="D70" s="3">
        <f>SUM(E13:E59)</f>
        <v>129451</v>
      </c>
      <c r="E70" s="64">
        <f>D70*100/D75</f>
        <v>36.751420930404223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147993</v>
      </c>
      <c r="E71" s="64">
        <f>D71*100/D75</f>
        <v>42.015535127216566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22303</v>
      </c>
      <c r="E72" s="64">
        <f>D72*100/D75</f>
        <v>6.3318702907726117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39475</v>
      </c>
      <c r="E73" s="64">
        <f>D73*100/D75</f>
        <v>11.20703850281347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13012</v>
      </c>
      <c r="E74" s="64">
        <f>D74*100/D75</f>
        <v>3.6941351487931318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5" t="s">
        <v>14</v>
      </c>
      <c r="C75" s="65"/>
      <c r="D75" s="49">
        <f>SUM(AD13:AD59)</f>
        <v>352234</v>
      </c>
      <c r="E75" s="66">
        <f>D75*100/D75</f>
        <v>100</v>
      </c>
      <c r="F75" s="66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65:F65"/>
    <mergeCell ref="E63:F63"/>
    <mergeCell ref="E64:F64"/>
    <mergeCell ref="B1:AE6"/>
    <mergeCell ref="AF1:AL6"/>
    <mergeCell ref="E61:F61"/>
    <mergeCell ref="B62:C62"/>
    <mergeCell ref="E62:F62"/>
    <mergeCell ref="E66:F66"/>
    <mergeCell ref="E67:F67"/>
    <mergeCell ref="E71:F71"/>
    <mergeCell ref="B67:C67"/>
    <mergeCell ref="B70:C70"/>
    <mergeCell ref="E70:F70"/>
    <mergeCell ref="E72:F72"/>
    <mergeCell ref="E73:F73"/>
    <mergeCell ref="E74:F74"/>
    <mergeCell ref="B75:C75"/>
    <mergeCell ref="E75:F75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2026-09-29T12:25:02Z</dcterms:modified>
</cp:coreProperties>
</file>