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ED352C4B-DD2C-4B50-A022-F18BAA4EC641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9" i="1"/>
  <c r="AA30" i="1"/>
  <c r="M28" i="1"/>
  <c r="M29" i="1"/>
  <c r="M30" i="1"/>
  <c r="AA28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D46" i="1" l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B49" i="1"/>
  <c r="AD49" i="1"/>
  <c r="AC49" i="1"/>
  <c r="AE49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AB35" i="1"/>
  <c r="AC35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F27" i="1" l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49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<sst xmlns="http://schemas.openxmlformats.org/spreadsheetml/2006/main" count="111" uniqueCount="101">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</sst>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11620.833333333332</v>
          </cell>
          <cell r="AB13">
            <v>8.6095374686267476</v>
          </cell>
          <cell r="AC13">
            <v>0.8609537468626749</v>
          </cell>
          <cell r="AD13">
            <v>-1615.8333333333321</v>
          </cell>
          <cell r="AE13">
            <v>5810.4166666666661</v>
          </cell>
          <cell r="AF13">
            <v>7426.2499999999982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830.83333333333326</v>
          </cell>
          <cell r="AB14">
            <v>6.7281845536609834</v>
          </cell>
          <cell r="AC14">
            <v>0.67281845536609841</v>
          </cell>
          <cell r="AD14">
            <v>-271.83333333333326</v>
          </cell>
          <cell r="AE14">
            <v>415.41666666666663</v>
          </cell>
          <cell r="AF14">
            <v>687.24999999999989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4660.833333333333</v>
          </cell>
          <cell r="AB15">
            <v>7.363490076881817</v>
          </cell>
          <cell r="AC15">
            <v>0.73634900768818168</v>
          </cell>
          <cell r="AD15">
            <v>-1228.833333333333</v>
          </cell>
          <cell r="AE15">
            <v>2330.4166666666665</v>
          </cell>
          <cell r="AF15">
            <v>3559.2499999999995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908.33333333333326</v>
          </cell>
          <cell r="AB16">
            <v>2.2678899082568806</v>
          </cell>
          <cell r="AC16">
            <v>0.2267889908256881</v>
          </cell>
          <cell r="AD16">
            <v>-702.33333333333326</v>
          </cell>
          <cell r="AE16">
            <v>454.16666666666663</v>
          </cell>
          <cell r="AF16">
            <v>1156.5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94.166666666666657</v>
          </cell>
          <cell r="AB17">
            <v>22.513274336283189</v>
          </cell>
          <cell r="AC17">
            <v>2.2513274336283189</v>
          </cell>
          <cell r="AD17">
            <v>117.83333333333334</v>
          </cell>
          <cell r="AE17">
            <v>47.083333333333329</v>
          </cell>
          <cell r="AF17">
            <v>-70.750000000000014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13972.5</v>
          </cell>
          <cell r="AB18">
            <v>5.9953480050098404</v>
          </cell>
          <cell r="AC18">
            <v>0.59953480050098407</v>
          </cell>
          <cell r="AD18">
            <v>-5595.5</v>
          </cell>
          <cell r="AE18">
            <v>6986.25</v>
          </cell>
          <cell r="AF18">
            <v>12581.75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1384.1666666666665</v>
          </cell>
          <cell r="AB19">
            <v>10.887417218543048</v>
          </cell>
          <cell r="AC19">
            <v>1.0887417218543047</v>
          </cell>
          <cell r="AD19">
            <v>122.83333333333348</v>
          </cell>
          <cell r="AE19">
            <v>692.08333333333326</v>
          </cell>
          <cell r="AF19">
            <v>569.24999999999977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3075.833333333333</v>
          </cell>
          <cell r="AB20">
            <v>12.894066648604715</v>
          </cell>
          <cell r="AC20">
            <v>1.2894066648604716</v>
          </cell>
          <cell r="AD20">
            <v>890.16666666666697</v>
          </cell>
          <cell r="AE20">
            <v>1537.9166666666665</v>
          </cell>
          <cell r="AF20">
            <v>647.74999999999955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7126.6666666666661</v>
          </cell>
          <cell r="AB21">
            <v>10.717492984097287</v>
          </cell>
          <cell r="AC21">
            <v>1.0717492984097288</v>
          </cell>
          <cell r="AD21">
            <v>511.33333333333394</v>
          </cell>
          <cell r="AE21">
            <v>3563.333333333333</v>
          </cell>
          <cell r="AF21">
            <v>3051.9999999999991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3344.166666666667</v>
          </cell>
          <cell r="AB22">
            <v>11.246449040617991</v>
          </cell>
          <cell r="AC22">
            <v>1.124644904061799</v>
          </cell>
          <cell r="AD22">
            <v>416.83333333333303</v>
          </cell>
          <cell r="AE22">
            <v>1672.0833333333335</v>
          </cell>
          <cell r="AF22">
            <v>1255.2500000000005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36112.5</v>
          </cell>
          <cell r="AB23">
            <v>9.1843544479058501</v>
          </cell>
          <cell r="AC23">
            <v>0.91843544479058503</v>
          </cell>
          <cell r="AD23">
            <v>-2945.5</v>
          </cell>
          <cell r="AE23">
            <v>18056.25</v>
          </cell>
          <cell r="AF23">
            <v>21001.75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23759.166666666664</v>
          </cell>
          <cell r="AB24">
            <v>10.542036407000808</v>
          </cell>
          <cell r="AC24">
            <v>1.0542036407000808</v>
          </cell>
          <cell r="AD24">
            <v>1287.8333333333358</v>
          </cell>
          <cell r="AE24">
            <v>11879.583333333332</v>
          </cell>
          <cell r="AF24">
            <v>10591.749999999996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22936.666666666664</v>
          </cell>
          <cell r="AB25">
            <v>11.290655427990119</v>
          </cell>
          <cell r="AC25">
            <v>1.1290655427990119</v>
          </cell>
          <cell r="AD25">
            <v>2960.3333333333358</v>
          </cell>
          <cell r="AE25">
            <v>11468.333333333332</v>
          </cell>
          <cell r="AF25">
            <v>8507.9999999999964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27655.833333333336</v>
          </cell>
          <cell r="AB26">
            <v>10.713472142706481</v>
          </cell>
          <cell r="AC26">
            <v>1.0713472142706479</v>
          </cell>
          <cell r="AD26">
            <v>1973.1666666666642</v>
          </cell>
          <cell r="AE26">
            <v>13827.916666666668</v>
          </cell>
          <cell r="AF26">
            <v>11854.750000000004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320.83333333333337</v>
          </cell>
          <cell r="AB27">
            <v>47.251948051948048</v>
          </cell>
          <cell r="AC27">
            <v>4.7251948051948043</v>
          </cell>
          <cell r="AD27">
            <v>1195.1666666666665</v>
          </cell>
          <cell r="AE27">
            <v>160.41666666666669</v>
          </cell>
          <cell r="AF27">
            <v>-1034.7499999999998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14.75202593192869</v>
          </cell>
          <cell r="M28">
            <v>4524.6666666666661</v>
          </cell>
          <cell r="N28">
            <v>-50.999999999999545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2056.6666666666665</v>
          </cell>
          <cell r="AB28">
            <v>23.401944894651542</v>
          </cell>
          <cell r="AC28">
            <v>2.3401944894651541</v>
          </cell>
          <cell r="AD28">
            <v>2756.3333333333335</v>
          </cell>
          <cell r="AE28">
            <v>1028.3333333333333</v>
          </cell>
          <cell r="AF28">
            <v>-1728.0000000000002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11.609359104781282</v>
          </cell>
          <cell r="M29">
            <v>5406.5</v>
          </cell>
          <cell r="N29">
            <v>-833.25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2457.5</v>
          </cell>
          <cell r="AB29">
            <v>18.526958290946084</v>
          </cell>
          <cell r="AC29">
            <v>1.8526958290946083</v>
          </cell>
          <cell r="AD29">
            <v>2095.5</v>
          </cell>
          <cell r="AE29">
            <v>1228.75</v>
          </cell>
          <cell r="AF29">
            <v>-866.75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12.064400715563508</v>
          </cell>
          <cell r="M30">
            <v>5124.1666666666661</v>
          </cell>
          <cell r="N30">
            <v>-683.74999999999955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2329.1666666666665</v>
          </cell>
          <cell r="AB30">
            <v>25.880500894454382</v>
          </cell>
          <cell r="AC30">
            <v>2.5880500894454386</v>
          </cell>
          <cell r="AD30">
            <v>3698.8333333333335</v>
          </cell>
          <cell r="AE30">
            <v>1164.5833333333333</v>
          </cell>
          <cell r="AF30">
            <v>-2534.25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2303.3333333333335</v>
          </cell>
          <cell r="AB31">
            <v>5.9522431259044861</v>
          </cell>
          <cell r="AC31">
            <v>0.59522431259044861</v>
          </cell>
          <cell r="AD31">
            <v>-932.33333333333348</v>
          </cell>
          <cell r="AE31">
            <v>1151.6666666666667</v>
          </cell>
          <cell r="AF31">
            <v>2084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1314.1666666666665</v>
          </cell>
          <cell r="AB32">
            <v>7.4571972098922013</v>
          </cell>
          <cell r="AC32">
            <v>0.74571972098922013</v>
          </cell>
          <cell r="AD32">
            <v>-334.16666666666652</v>
          </cell>
          <cell r="AE32">
            <v>657.08333333333326</v>
          </cell>
          <cell r="AF32">
            <v>991.24999999999977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5004.166666666667</v>
          </cell>
          <cell r="AB33">
            <v>6.5985012489592005</v>
          </cell>
          <cell r="AC33">
            <v>0.65985012489591999</v>
          </cell>
          <cell r="AD33">
            <v>-1702.166666666667</v>
          </cell>
          <cell r="AE33">
            <v>2502.0833333333335</v>
          </cell>
          <cell r="AF33">
            <v>4204.25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7844.1666666666661</v>
          </cell>
          <cell r="AB34">
            <v>8.0403697014766813</v>
          </cell>
          <cell r="AC34">
            <v>0.80403697014766817</v>
          </cell>
          <cell r="AD34">
            <v>-1537.1666666666661</v>
          </cell>
          <cell r="AE34">
            <v>3922.083333333333</v>
          </cell>
          <cell r="AF34">
            <v>5459.2499999999991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83.333333333333343</v>
          </cell>
          <cell r="AB35">
            <v>0</v>
          </cell>
          <cell r="AC35">
            <v>0</v>
          </cell>
          <cell r="AD35">
            <v>-83.333333333333343</v>
          </cell>
          <cell r="AE35">
            <v>41.666666666666671</v>
          </cell>
          <cell r="AF35">
            <v>125.00000000000001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1420</v>
          </cell>
          <cell r="AB36">
            <v>3.823943661971831</v>
          </cell>
          <cell r="AC36">
            <v>0.38239436619718309</v>
          </cell>
          <cell r="AD36">
            <v>-877</v>
          </cell>
          <cell r="AE36">
            <v>710</v>
          </cell>
          <cell r="AF36">
            <v>1587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6635.8333333333339</v>
          </cell>
          <cell r="AB37">
            <v>15.322868265728996</v>
          </cell>
          <cell r="AC37">
            <v>1.5322868265728995</v>
          </cell>
          <cell r="AD37">
            <v>3532.1666666666661</v>
          </cell>
          <cell r="AE37">
            <v>3317.916666666667</v>
          </cell>
          <cell r="AF37">
            <v>-214.24999999999909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10833.333333333332</v>
          </cell>
          <cell r="AB38">
            <v>9.0996923076923082</v>
          </cell>
          <cell r="AC38">
            <v>0.90996923076923086</v>
          </cell>
          <cell r="AD38">
            <v>-975.33333333333212</v>
          </cell>
          <cell r="AE38">
            <v>5416.6666666666661</v>
          </cell>
          <cell r="AF38">
            <v>6391.9999999999982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4935</v>
          </cell>
          <cell r="AB39">
            <v>3.9837892603850049</v>
          </cell>
          <cell r="AC39">
            <v>0.3983789260385005</v>
          </cell>
          <cell r="AD39">
            <v>-2969</v>
          </cell>
          <cell r="AE39">
            <v>2467.5</v>
          </cell>
          <cell r="AF39">
            <v>5436.5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3581.666666666667</v>
          </cell>
          <cell r="AB40">
            <v>12.692415076779897</v>
          </cell>
          <cell r="AC40">
            <v>1.2692415076779897</v>
          </cell>
          <cell r="AD40">
            <v>964.33333333333303</v>
          </cell>
          <cell r="AE40">
            <v>1790.8333333333335</v>
          </cell>
          <cell r="AF40">
            <v>826.50000000000045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1317.5</v>
          </cell>
          <cell r="AB43">
            <v>5.0170777988614796</v>
          </cell>
          <cell r="AC43">
            <v>0.50170777988614801</v>
          </cell>
          <cell r="AD43">
            <v>-656.5</v>
          </cell>
          <cell r="AE43">
            <v>658.75</v>
          </cell>
          <cell r="AF43">
            <v>1315.25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1275.8333333333333</v>
          </cell>
          <cell r="AB44">
            <v>8.8961463096015674</v>
          </cell>
          <cell r="AC44">
            <v>0.8896146309601568</v>
          </cell>
          <cell r="AD44">
            <v>-140.83333333333326</v>
          </cell>
          <cell r="AE44">
            <v>637.91666666666663</v>
          </cell>
          <cell r="AF44">
            <v>778.74999999999989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5877.5</v>
          </cell>
          <cell r="AB45">
            <v>7.0642279880901748</v>
          </cell>
          <cell r="AC45">
            <v>0.70642279880901748</v>
          </cell>
          <cell r="AD45">
            <v>-1725.5</v>
          </cell>
          <cell r="AE45">
            <v>2938.75</v>
          </cell>
          <cell r="AF45">
            <v>4664.25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6554.1666666666661</v>
          </cell>
          <cell r="AB46">
            <v>13.048188175460904</v>
          </cell>
          <cell r="AC46">
            <v>1.3048188175460904</v>
          </cell>
          <cell r="AD46">
            <v>1997.8333333333339</v>
          </cell>
          <cell r="AE46">
            <v>3277.083333333333</v>
          </cell>
          <cell r="AF46">
            <v>1279.2499999999991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8187.5</v>
          </cell>
          <cell r="AB47">
            <v>8.2235114503816789</v>
          </cell>
          <cell r="AC47">
            <v>0.82235114503816797</v>
          </cell>
          <cell r="AD47">
            <v>-1454.5</v>
          </cell>
          <cell r="AE47">
            <v>4093.75</v>
          </cell>
          <cell r="AF47">
            <v>5548.25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5705</v>
          </cell>
          <cell r="AB48">
            <v>9.1621384750219104</v>
          </cell>
          <cell r="AC48">
            <v>0.91621384750219104</v>
          </cell>
          <cell r="AD48">
            <v>-478</v>
          </cell>
          <cell r="AE48">
            <v>2852.5</v>
          </cell>
          <cell r="AF48">
            <v>3330.5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>
            <v>21.666666666666664</v>
          </cell>
          <cell r="AB49">
            <v>5.5384615384615392</v>
          </cell>
          <cell r="AC49">
            <v>0.55384615384615388</v>
          </cell>
          <cell r="AD49">
            <v>-9.6666666666666643</v>
          </cell>
          <cell r="AE49">
            <v>10.833333333333332</v>
          </cell>
          <cell r="AF49">
            <v>20.499999999999996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0</v>
          </cell>
          <cell r="AB50">
            <v>0</v>
          </cell>
          <cell r="AC50">
            <v>0</v>
          </cell>
          <cell r="AD50">
            <v>11</v>
          </cell>
          <cell r="AE50">
            <v>0</v>
          </cell>
          <cell r="AF50">
            <v>-11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248.33333333333331</v>
          </cell>
          <cell r="AB51">
            <v>1.731543624161074</v>
          </cell>
          <cell r="AC51">
            <v>0.1731543624161074</v>
          </cell>
          <cell r="AD51">
            <v>-205.33333333333331</v>
          </cell>
          <cell r="AE51">
            <v>124.16666666666666</v>
          </cell>
          <cell r="AF51">
            <v>329.5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593.33333333333337</v>
          </cell>
          <cell r="AB53">
            <v>6.741573033707865E-2</v>
          </cell>
          <cell r="AC53">
            <v>6.7415730337078645E-3</v>
          </cell>
          <cell r="AD53">
            <v>-589.33333333333337</v>
          </cell>
          <cell r="AE53">
            <v>296.66666666666669</v>
          </cell>
          <cell r="AF53">
            <v>886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2998.333333333333</v>
          </cell>
          <cell r="AB54">
            <v>75.285158421345201</v>
          </cell>
          <cell r="AC54">
            <v>7.52851584213452</v>
          </cell>
          <cell r="AD54">
            <v>19574.666666666668</v>
          </cell>
          <cell r="AE54">
            <v>1499.1666666666665</v>
          </cell>
          <cell r="AF54">
            <v>-18075.5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5197.5</v>
          </cell>
          <cell r="AB55">
            <v>56.236652236652233</v>
          </cell>
          <cell r="AC55">
            <v>5.623665223665224</v>
          </cell>
          <cell r="AD55">
            <v>24031.5</v>
          </cell>
          <cell r="AE55">
            <v>2598.75</v>
          </cell>
          <cell r="AF55">
            <v>-21432.75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3131.666666666667</v>
          </cell>
          <cell r="AB56">
            <v>51.569984034060667</v>
          </cell>
          <cell r="AC56">
            <v>5.1569984034060665</v>
          </cell>
          <cell r="AD56">
            <v>13018.333333333332</v>
          </cell>
          <cell r="AE56">
            <v>1565.8333333333335</v>
          </cell>
          <cell r="AF56">
            <v>-11452.499999999998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2761.666666666667</v>
          </cell>
          <cell r="AB57">
            <v>69.852745926372961</v>
          </cell>
          <cell r="AC57">
            <v>6.9852745926372952</v>
          </cell>
          <cell r="AD57">
            <v>16529.333333333332</v>
          </cell>
          <cell r="AE57">
            <v>1380.8333333333335</v>
          </cell>
          <cell r="AF57">
            <v>-15148.499999999998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461.66666666666663</v>
          </cell>
          <cell r="AB58">
            <v>15.48736462093863</v>
          </cell>
          <cell r="AC58">
            <v>1.5487364620938628</v>
          </cell>
          <cell r="AD58">
            <v>253.33333333333337</v>
          </cell>
          <cell r="AE58">
            <v>230.83333333333331</v>
          </cell>
          <cell r="AF58">
            <v>-22.500000000000057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896.66666666666674</v>
          </cell>
          <cell r="AB59">
            <v>4.3048327137546467</v>
          </cell>
          <cell r="AC59">
            <v>0.43048327137546466</v>
          </cell>
          <cell r="AD59">
            <v>-510.66666666666674</v>
          </cell>
          <cell r="AE59">
            <v>448.33333333333337</v>
          </cell>
          <cell r="AF59">
            <v>959.00000000000011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510</v>
          </cell>
          <cell r="AB60">
            <v>5.8431372549019605</v>
          </cell>
          <cell r="AC60">
            <v>0.58431372549019611</v>
          </cell>
          <cell r="AD60">
            <v>-212</v>
          </cell>
          <cell r="AE60">
            <v>255</v>
          </cell>
          <cell r="AF60">
            <v>467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430</v>
          </cell>
          <cell r="AB61">
            <v>3.3953488372093021</v>
          </cell>
          <cell r="AC61">
            <v>0.33953488372093021</v>
          </cell>
          <cell r="AD61">
            <v>-284</v>
          </cell>
          <cell r="AE61">
            <v>215</v>
          </cell>
          <cell r="AF61">
            <v>499</v>
          </cell>
          <cell r="AG61">
            <v>24.333333333333332</v>
          </cell>
        </row>
        <row r="62">
          <cell r="AE62" t="str">
            <v>Units Produce</v>
          </cell>
          <cell r="AF62">
            <v>135034.5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J14" sqref="J14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11620.833333333332</v>
      </c>
      <c r="AB13" s="25">
        <f ca="1">'[1]INVENTARIO NACIONAL 17-08-26'!AB13</f>
        <v>8.6095374686267476</v>
      </c>
      <c r="AC13" s="26">
        <f ca="1">'[1]INVENTARIO NACIONAL 17-08-26'!AC13</f>
        <v>0.8609537468626749</v>
      </c>
      <c r="AD13" s="27">
        <f ca="1">'[1]INVENTARIO NACIONAL 17-08-26'!AD13</f>
        <v>-1615.8333333333321</v>
      </c>
      <c r="AE13" s="27">
        <f ca="1">'[1]INVENTARIO NACIONAL 17-08-26'!AE13</f>
        <v>5810.4166666666661</v>
      </c>
      <c r="AF13" s="28">
        <f ca="1">'[1]INVENTARIO NACIONAL 17-08-26'!AF13</f>
        <v>7426.2499999999982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830.83333333333326</v>
      </c>
      <c r="AB14" s="25">
        <f ca="1">'[1]INVENTARIO NACIONAL 17-08-26'!AB14</f>
        <v>6.7281845536609834</v>
      </c>
      <c r="AC14" s="26">
        <f ca="1">'[1]INVENTARIO NACIONAL 17-08-26'!AC14</f>
        <v>0.67281845536609841</v>
      </c>
      <c r="AD14" s="29">
        <f ca="1">'[1]INVENTARIO NACIONAL 17-08-26'!AD14</f>
        <v>-271.83333333333326</v>
      </c>
      <c r="AE14" s="30">
        <f ca="1">'[1]INVENTARIO NACIONAL 17-08-26'!AE14</f>
        <v>415.41666666666663</v>
      </c>
      <c r="AF14" s="28">
        <f ca="1">'[1]INVENTARIO NACIONAL 17-08-26'!AF14</f>
        <v>687.24999999999989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4660.833333333333</v>
      </c>
      <c r="AB15" s="25">
        <f ca="1">'[1]INVENTARIO NACIONAL 17-08-26'!AB15</f>
        <v>7.363490076881817</v>
      </c>
      <c r="AC15" s="26">
        <f ca="1">'[1]INVENTARIO NACIONAL 17-08-26'!AC15</f>
        <v>0.73634900768818168</v>
      </c>
      <c r="AD15" s="29">
        <f ca="1">'[1]INVENTARIO NACIONAL 17-08-26'!AD15</f>
        <v>-1228.833333333333</v>
      </c>
      <c r="AE15" s="30">
        <f ca="1">'[1]INVENTARIO NACIONAL 17-08-26'!AE15</f>
        <v>2330.4166666666665</v>
      </c>
      <c r="AF15" s="28">
        <f ca="1">'[1]INVENTARIO NACIONAL 17-08-26'!AF15</f>
        <v>3559.2499999999995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908.33333333333326</v>
      </c>
      <c r="AB16" s="25">
        <f ca="1">'[1]INVENTARIO NACIONAL 17-08-26'!AB16</f>
        <v>2.2678899082568806</v>
      </c>
      <c r="AC16" s="26">
        <f ca="1">'[1]INVENTARIO NACIONAL 17-08-26'!AC16</f>
        <v>0.2267889908256881</v>
      </c>
      <c r="AD16" s="29">
        <f ca="1">'[1]INVENTARIO NACIONAL 17-08-26'!AD16</f>
        <v>-702.33333333333326</v>
      </c>
      <c r="AE16" s="30">
        <f ca="1">'[1]INVENTARIO NACIONAL 17-08-26'!AE16</f>
        <v>454.16666666666663</v>
      </c>
      <c r="AF16" s="28">
        <f ca="1">'[1]INVENTARIO NACIONAL 17-08-26'!AF16</f>
        <v>1156.5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94.166666666666657</v>
      </c>
      <c r="AB17" s="25">
        <f ca="1">'[1]INVENTARIO NACIONAL 17-08-26'!AB17</f>
        <v>22.513274336283189</v>
      </c>
      <c r="AC17" s="26">
        <f ca="1">'[1]INVENTARIO NACIONAL 17-08-26'!AC17</f>
        <v>2.2513274336283189</v>
      </c>
      <c r="AD17" s="29">
        <f ca="1">'[1]INVENTARIO NACIONAL 17-08-26'!AD17</f>
        <v>117.83333333333334</v>
      </c>
      <c r="AE17" s="30">
        <f ca="1">'[1]INVENTARIO NACIONAL 17-08-26'!AE17</f>
        <v>47.083333333333329</v>
      </c>
      <c r="AF17" s="28">
        <f ca="1">'[1]INVENTARIO NACIONAL 17-08-26'!AF17</f>
        <v>-70.750000000000014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13972.5</v>
      </c>
      <c r="AB18" s="25">
        <f ca="1">'[1]INVENTARIO NACIONAL 17-08-26'!AB18</f>
        <v>5.9953480050098404</v>
      </c>
      <c r="AC18" s="26">
        <f ca="1">'[1]INVENTARIO NACIONAL 17-08-26'!AC18</f>
        <v>0.59953480050098407</v>
      </c>
      <c r="AD18" s="29">
        <f ca="1">'[1]INVENTARIO NACIONAL 17-08-26'!AD18</f>
        <v>-5595.5</v>
      </c>
      <c r="AE18" s="30">
        <f ca="1">'[1]INVENTARIO NACIONAL 17-08-26'!AE18</f>
        <v>6986.25</v>
      </c>
      <c r="AF18" s="28">
        <f ca="1">'[1]INVENTARIO NACIONAL 17-08-26'!AF18</f>
        <v>12581.75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1384.1666666666665</v>
      </c>
      <c r="AB19" s="25">
        <f ca="1">'[1]INVENTARIO NACIONAL 17-08-26'!AB19</f>
        <v>10.887417218543048</v>
      </c>
      <c r="AC19" s="26">
        <f ca="1">'[1]INVENTARIO NACIONAL 17-08-26'!AC19</f>
        <v>1.0887417218543047</v>
      </c>
      <c r="AD19" s="29">
        <f ca="1">'[1]INVENTARIO NACIONAL 17-08-26'!AD19</f>
        <v>122.83333333333348</v>
      </c>
      <c r="AE19" s="30">
        <f ca="1">'[1]INVENTARIO NACIONAL 17-08-26'!AE19</f>
        <v>692.08333333333326</v>
      </c>
      <c r="AF19" s="28">
        <f ca="1">'[1]INVENTARIO NACIONAL 17-08-26'!AF19</f>
        <v>569.24999999999977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3075.833333333333</v>
      </c>
      <c r="AB20" s="25">
        <f ca="1">'[1]INVENTARIO NACIONAL 17-08-26'!AB20</f>
        <v>12.894066648604715</v>
      </c>
      <c r="AC20" s="26">
        <f ca="1">'[1]INVENTARIO NACIONAL 17-08-26'!AC20</f>
        <v>1.2894066648604716</v>
      </c>
      <c r="AD20" s="29">
        <f ca="1">'[1]INVENTARIO NACIONAL 17-08-26'!AD20</f>
        <v>890.16666666666697</v>
      </c>
      <c r="AE20" s="30">
        <f ca="1">'[1]INVENTARIO NACIONAL 17-08-26'!AE20</f>
        <v>1537.9166666666665</v>
      </c>
      <c r="AF20" s="28">
        <f ca="1">'[1]INVENTARIO NACIONAL 17-08-26'!AF20</f>
        <v>647.74999999999955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7126.6666666666661</v>
      </c>
      <c r="AB21" s="25">
        <f ca="1">'[1]INVENTARIO NACIONAL 17-08-26'!AB21</f>
        <v>10.717492984097287</v>
      </c>
      <c r="AC21" s="26">
        <f ca="1">'[1]INVENTARIO NACIONAL 17-08-26'!AC21</f>
        <v>1.0717492984097288</v>
      </c>
      <c r="AD21" s="29">
        <f ca="1">'[1]INVENTARIO NACIONAL 17-08-26'!AD21</f>
        <v>511.33333333333394</v>
      </c>
      <c r="AE21" s="30">
        <f ca="1">'[1]INVENTARIO NACIONAL 17-08-26'!AE21</f>
        <v>3563.333333333333</v>
      </c>
      <c r="AF21" s="28">
        <f ca="1">'[1]INVENTARIO NACIONAL 17-08-26'!AF21</f>
        <v>3051.9999999999991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3344.166666666667</v>
      </c>
      <c r="AB22" s="25">
        <f ca="1">'[1]INVENTARIO NACIONAL 17-08-26'!AB22</f>
        <v>11.246449040617991</v>
      </c>
      <c r="AC22" s="26">
        <f ca="1">'[1]INVENTARIO NACIONAL 17-08-26'!AC22</f>
        <v>1.124644904061799</v>
      </c>
      <c r="AD22" s="29">
        <f ca="1">'[1]INVENTARIO NACIONAL 17-08-26'!AD22</f>
        <v>416.83333333333303</v>
      </c>
      <c r="AE22" s="30">
        <f ca="1">'[1]INVENTARIO NACIONAL 17-08-26'!AE22</f>
        <v>1672.0833333333335</v>
      </c>
      <c r="AF22" s="28">
        <f ca="1">'[1]INVENTARIO NACIONAL 17-08-26'!AF22</f>
        <v>1255.2500000000005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36112.5</v>
      </c>
      <c r="AB23" s="25">
        <f ca="1">'[1]INVENTARIO NACIONAL 17-08-26'!AB23</f>
        <v>9.1843544479058501</v>
      </c>
      <c r="AC23" s="26">
        <f ca="1">'[1]INVENTARIO NACIONAL 17-08-26'!AC23</f>
        <v>0.91843544479058503</v>
      </c>
      <c r="AD23" s="29">
        <f ca="1">'[1]INVENTARIO NACIONAL 17-08-26'!AD23</f>
        <v>-2945.5</v>
      </c>
      <c r="AE23" s="30">
        <f ca="1">'[1]INVENTARIO NACIONAL 17-08-26'!AE23</f>
        <v>18056.25</v>
      </c>
      <c r="AF23" s="28">
        <f ca="1">'[1]INVENTARIO NACIONAL 17-08-26'!AF23</f>
        <v>21001.75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23759.166666666664</v>
      </c>
      <c r="AB24" s="25">
        <f ca="1">'[1]INVENTARIO NACIONAL 17-08-26'!AB24</f>
        <v>10.542036407000808</v>
      </c>
      <c r="AC24" s="26">
        <f ca="1">'[1]INVENTARIO NACIONAL 17-08-26'!AC24</f>
        <v>1.0542036407000808</v>
      </c>
      <c r="AD24" s="29">
        <f ca="1">'[1]INVENTARIO NACIONAL 17-08-26'!AD24</f>
        <v>1287.8333333333358</v>
      </c>
      <c r="AE24" s="30">
        <f ca="1">'[1]INVENTARIO NACIONAL 17-08-26'!AE24</f>
        <v>11879.583333333332</v>
      </c>
      <c r="AF24" s="28">
        <f ca="1">'[1]INVENTARIO NACIONAL 17-08-26'!AF24</f>
        <v>10591.749999999996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22936.666666666664</v>
      </c>
      <c r="AB25" s="25">
        <f ca="1">'[1]INVENTARIO NACIONAL 17-08-26'!AB25</f>
        <v>11.290655427990119</v>
      </c>
      <c r="AC25" s="26">
        <f ca="1">'[1]INVENTARIO NACIONAL 17-08-26'!AC25</f>
        <v>1.1290655427990119</v>
      </c>
      <c r="AD25" s="29">
        <f ca="1">'[1]INVENTARIO NACIONAL 17-08-26'!AD25</f>
        <v>2960.3333333333358</v>
      </c>
      <c r="AE25" s="30">
        <f ca="1">'[1]INVENTARIO NACIONAL 17-08-26'!AE25</f>
        <v>11468.333333333332</v>
      </c>
      <c r="AF25" s="28">
        <f ca="1">'[1]INVENTARIO NACIONAL 17-08-26'!AF25</f>
        <v>8507.9999999999964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27655.833333333336</v>
      </c>
      <c r="AB26" s="25">
        <f ca="1">'[1]INVENTARIO NACIONAL 17-08-26'!AB26</f>
        <v>10.713472142706481</v>
      </c>
      <c r="AC26" s="26">
        <f ca="1">'[1]INVENTARIO NACIONAL 17-08-26'!AC26</f>
        <v>1.0713472142706479</v>
      </c>
      <c r="AD26" s="29">
        <f ca="1">'[1]INVENTARIO NACIONAL 17-08-26'!AD26</f>
        <v>1973.1666666666642</v>
      </c>
      <c r="AE26" s="30">
        <f ca="1">'[1]INVENTARIO NACIONAL 17-08-26'!AE26</f>
        <v>13827.916666666668</v>
      </c>
      <c r="AF26" s="28">
        <f ca="1">'[1]INVENTARIO NACIONAL 17-08-26'!AF26</f>
        <v>11854.750000000004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320.83333333333337</v>
      </c>
      <c r="AB27" s="25">
        <f ca="1">'[1]INVENTARIO NACIONAL 17-08-26'!AB27</f>
        <v>47.251948051948048</v>
      </c>
      <c r="AC27" s="26">
        <f ca="1">'[1]INVENTARIO NACIONAL 17-08-26'!AC27</f>
        <v>4.7251948051948043</v>
      </c>
      <c r="AD27" s="29">
        <f ca="1">'[1]INVENTARIO NACIONAL 17-08-26'!AD27</f>
        <v>1195.1666666666665</v>
      </c>
      <c r="AE27" s="30">
        <f ca="1">'[1]INVENTARIO NACIONAL 17-08-26'!AE27</f>
        <v>160.41666666666669</v>
      </c>
      <c r="AF27" s="28">
        <f ca="1">'[1]INVENTARIO NACIONAL 17-08-26'!AF27</f>
        <v>-1034.7499999999998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14.75202593192869</v>
      </c>
      <c r="M28" s="33">
        <f ca="1">'[1]INVENTARIO NACIONAL 17-08-26'!M28</f>
        <v>4524.6666666666661</v>
      </c>
      <c r="N28" s="18">
        <f ca="1">'[1]INVENTARIO NACIONAL 17-08-26'!N28</f>
        <v>-50.999999999999545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2056.6666666666665</v>
      </c>
      <c r="AB28" s="25">
        <f ca="1">'[1]INVENTARIO NACIONAL 17-08-26'!AB28</f>
        <v>23.401944894651542</v>
      </c>
      <c r="AC28" s="26">
        <f ca="1">'[1]INVENTARIO NACIONAL 17-08-26'!AC28</f>
        <v>2.3401944894651541</v>
      </c>
      <c r="AD28" s="29">
        <f ca="1">'[1]INVENTARIO NACIONAL 17-08-26'!AD28</f>
        <v>2756.3333333333335</v>
      </c>
      <c r="AE28" s="30">
        <f ca="1">'[1]INVENTARIO NACIONAL 17-08-26'!AE28</f>
        <v>1028.3333333333333</v>
      </c>
      <c r="AF28" s="28">
        <f ca="1">'[1]INVENTARIO NACIONAL 17-08-26'!AF28</f>
        <v>-1728.0000000000002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11.609359104781282</v>
      </c>
      <c r="M29" s="33">
        <f ca="1">'[1]INVENTARIO NACIONAL 17-08-26'!M29</f>
        <v>5406.5</v>
      </c>
      <c r="N29" s="18">
        <f ca="1">'[1]INVENTARIO NACIONAL 17-08-26'!N29</f>
        <v>-833.25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2457.5</v>
      </c>
      <c r="AB29" s="25">
        <f ca="1">'[1]INVENTARIO NACIONAL 17-08-26'!AB29</f>
        <v>18.526958290946084</v>
      </c>
      <c r="AC29" s="26">
        <f ca="1">'[1]INVENTARIO NACIONAL 17-08-26'!AC29</f>
        <v>1.8526958290946083</v>
      </c>
      <c r="AD29" s="29">
        <f ca="1">'[1]INVENTARIO NACIONAL 17-08-26'!AD29</f>
        <v>2095.5</v>
      </c>
      <c r="AE29" s="30">
        <f ca="1">'[1]INVENTARIO NACIONAL 17-08-26'!AE29</f>
        <v>1228.75</v>
      </c>
      <c r="AF29" s="28">
        <f ca="1">'[1]INVENTARIO NACIONAL 17-08-26'!AF29</f>
        <v>-866.75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12.064400715563508</v>
      </c>
      <c r="M30" s="33">
        <f ca="1">'[1]INVENTARIO NACIONAL 17-08-26'!M30</f>
        <v>5124.1666666666661</v>
      </c>
      <c r="N30" s="18">
        <f ca="1">'[1]INVENTARIO NACIONAL 17-08-26'!N30</f>
        <v>-683.74999999999955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2329.1666666666665</v>
      </c>
      <c r="AB30" s="25">
        <f ca="1">'[1]INVENTARIO NACIONAL 17-08-26'!AB30</f>
        <v>25.880500894454382</v>
      </c>
      <c r="AC30" s="26">
        <f ca="1">'[1]INVENTARIO NACIONAL 17-08-26'!AC30</f>
        <v>2.5880500894454386</v>
      </c>
      <c r="AD30" s="29">
        <f ca="1">'[1]INVENTARIO NACIONAL 17-08-26'!AD30</f>
        <v>3698.8333333333335</v>
      </c>
      <c r="AE30" s="30">
        <f ca="1">'[1]INVENTARIO NACIONAL 17-08-26'!AE30</f>
        <v>1164.5833333333333</v>
      </c>
      <c r="AF30" s="28">
        <f ca="1">'[1]INVENTARIO NACIONAL 17-08-26'!AF30</f>
        <v>-2534.25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2303.3333333333335</v>
      </c>
      <c r="AB31" s="25">
        <f ca="1">'[1]INVENTARIO NACIONAL 17-08-26'!AB31</f>
        <v>5.9522431259044861</v>
      </c>
      <c r="AC31" s="26">
        <f ca="1">'[1]INVENTARIO NACIONAL 17-08-26'!AC31</f>
        <v>0.59522431259044861</v>
      </c>
      <c r="AD31" s="29">
        <f ca="1">'[1]INVENTARIO NACIONAL 17-08-26'!AD31</f>
        <v>-932.33333333333348</v>
      </c>
      <c r="AE31" s="30">
        <f ca="1">'[1]INVENTARIO NACIONAL 17-08-26'!AE31</f>
        <v>1151.6666666666667</v>
      </c>
      <c r="AF31" s="28">
        <f ca="1">'[1]INVENTARIO NACIONAL 17-08-26'!AF31</f>
        <v>2084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1314.1666666666665</v>
      </c>
      <c r="AB32" s="25">
        <f ca="1">'[1]INVENTARIO NACIONAL 17-08-26'!AB32</f>
        <v>7.4571972098922013</v>
      </c>
      <c r="AC32" s="26">
        <f ca="1">'[1]INVENTARIO NACIONAL 17-08-26'!AC32</f>
        <v>0.74571972098922013</v>
      </c>
      <c r="AD32" s="29">
        <f ca="1">'[1]INVENTARIO NACIONAL 17-08-26'!AD32</f>
        <v>-334.16666666666652</v>
      </c>
      <c r="AE32" s="30">
        <f ca="1">'[1]INVENTARIO NACIONAL 17-08-26'!AE32</f>
        <v>657.08333333333326</v>
      </c>
      <c r="AF32" s="28">
        <f ca="1">'[1]INVENTARIO NACIONAL 17-08-26'!AF32</f>
        <v>991.24999999999977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5004.166666666667</v>
      </c>
      <c r="AB33" s="25">
        <f ca="1">'[1]INVENTARIO NACIONAL 17-08-26'!AB33</f>
        <v>6.5985012489592005</v>
      </c>
      <c r="AC33" s="26">
        <f ca="1">'[1]INVENTARIO NACIONAL 17-08-26'!AC33</f>
        <v>0.65985012489591999</v>
      </c>
      <c r="AD33" s="29">
        <f ca="1">'[1]INVENTARIO NACIONAL 17-08-26'!AD33</f>
        <v>-1702.166666666667</v>
      </c>
      <c r="AE33" s="30">
        <f ca="1">'[1]INVENTARIO NACIONAL 17-08-26'!AE33</f>
        <v>2502.0833333333335</v>
      </c>
      <c r="AF33" s="28">
        <f ca="1">'[1]INVENTARIO NACIONAL 17-08-26'!AF33</f>
        <v>4204.25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7844.1666666666661</v>
      </c>
      <c r="AB34" s="25">
        <f ca="1">'[1]INVENTARIO NACIONAL 17-08-26'!AB34</f>
        <v>8.0403697014766813</v>
      </c>
      <c r="AC34" s="26">
        <f ca="1">'[1]INVENTARIO NACIONAL 17-08-26'!AC34</f>
        <v>0.80403697014766817</v>
      </c>
      <c r="AD34" s="29">
        <f ca="1">'[1]INVENTARIO NACIONAL 17-08-26'!AD34</f>
        <v>-1537.1666666666661</v>
      </c>
      <c r="AE34" s="30">
        <f ca="1">'[1]INVENTARIO NACIONAL 17-08-26'!AE34</f>
        <v>3922.083333333333</v>
      </c>
      <c r="AF34" s="28">
        <f ca="1">'[1]INVENTARIO NACIONAL 17-08-26'!AF34</f>
        <v>5459.2499999999991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83.333333333333343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-83.333333333333343</v>
      </c>
      <c r="AE35" s="30">
        <f ca="1">'[1]INVENTARIO NACIONAL 17-08-26'!AE35</f>
        <v>41.666666666666671</v>
      </c>
      <c r="AF35" s="28">
        <f ca="1">'[1]INVENTARIO NACIONAL 17-08-26'!AF35</f>
        <v>125.00000000000001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1420</v>
      </c>
      <c r="AB36" s="25">
        <f ca="1">'[1]INVENTARIO NACIONAL 17-08-26'!AB36</f>
        <v>3.823943661971831</v>
      </c>
      <c r="AC36" s="26">
        <f ca="1">'[1]INVENTARIO NACIONAL 17-08-26'!AC36</f>
        <v>0.38239436619718309</v>
      </c>
      <c r="AD36" s="29">
        <f ca="1">'[1]INVENTARIO NACIONAL 17-08-26'!AD36</f>
        <v>-877</v>
      </c>
      <c r="AE36" s="30">
        <f ca="1">'[1]INVENTARIO NACIONAL 17-08-26'!AE36</f>
        <v>710</v>
      </c>
      <c r="AF36" s="28">
        <f ca="1">'[1]INVENTARIO NACIONAL 17-08-26'!AF36</f>
        <v>1587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6635.8333333333339</v>
      </c>
      <c r="AB37" s="25">
        <f ca="1">'[1]INVENTARIO NACIONAL 17-08-26'!AB37</f>
        <v>15.322868265728996</v>
      </c>
      <c r="AC37" s="26">
        <f ca="1">'[1]INVENTARIO NACIONAL 17-08-26'!AC37</f>
        <v>1.5322868265728995</v>
      </c>
      <c r="AD37" s="29">
        <f ca="1">'[1]INVENTARIO NACIONAL 17-08-26'!AD37</f>
        <v>3532.1666666666661</v>
      </c>
      <c r="AE37" s="30">
        <f ca="1">'[1]INVENTARIO NACIONAL 17-08-26'!AE37</f>
        <v>3317.916666666667</v>
      </c>
      <c r="AF37" s="28">
        <f ca="1">'[1]INVENTARIO NACIONAL 17-08-26'!AF37</f>
        <v>-214.24999999999909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10833.333333333332</v>
      </c>
      <c r="AB38" s="25">
        <f ca="1">'[1]INVENTARIO NACIONAL 17-08-26'!AB38</f>
        <v>9.0996923076923082</v>
      </c>
      <c r="AC38" s="26">
        <f ca="1">'[1]INVENTARIO NACIONAL 17-08-26'!AC38</f>
        <v>0.90996923076923086</v>
      </c>
      <c r="AD38" s="29">
        <f ca="1">'[1]INVENTARIO NACIONAL 17-08-26'!AD38</f>
        <v>-975.33333333333212</v>
      </c>
      <c r="AE38" s="30">
        <f ca="1">'[1]INVENTARIO NACIONAL 17-08-26'!AE38</f>
        <v>5416.6666666666661</v>
      </c>
      <c r="AF38" s="28">
        <f ca="1">'[1]INVENTARIO NACIONAL 17-08-26'!AF38</f>
        <v>6391.9999999999982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4935</v>
      </c>
      <c r="AB39" s="25">
        <f ca="1">'[1]INVENTARIO NACIONAL 17-08-26'!AB39</f>
        <v>3.9837892603850049</v>
      </c>
      <c r="AC39" s="26">
        <f ca="1">'[1]INVENTARIO NACIONAL 17-08-26'!AC39</f>
        <v>0.3983789260385005</v>
      </c>
      <c r="AD39" s="29">
        <f ca="1">'[1]INVENTARIO NACIONAL 17-08-26'!AD39</f>
        <v>-2969</v>
      </c>
      <c r="AE39" s="30">
        <f ca="1">'[1]INVENTARIO NACIONAL 17-08-26'!AE39</f>
        <v>2467.5</v>
      </c>
      <c r="AF39" s="28">
        <f ca="1">'[1]INVENTARIO NACIONAL 17-08-26'!AF39</f>
        <v>5436.5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3581.666666666667</v>
      </c>
      <c r="AB40" s="25">
        <f ca="1">'[1]INVENTARIO NACIONAL 17-08-26'!AB40</f>
        <v>12.692415076779897</v>
      </c>
      <c r="AC40" s="26">
        <f ca="1">'[1]INVENTARIO NACIONAL 17-08-26'!AC40</f>
        <v>1.2692415076779897</v>
      </c>
      <c r="AD40" s="29">
        <f ca="1">'[1]INVENTARIO NACIONAL 17-08-26'!AD40</f>
        <v>964.33333333333303</v>
      </c>
      <c r="AE40" s="30">
        <f ca="1">'[1]INVENTARIO NACIONAL 17-08-26'!AE40</f>
        <v>1790.8333333333335</v>
      </c>
      <c r="AF40" s="28">
        <f ca="1">'[1]INVENTARIO NACIONAL 17-08-26'!AF40</f>
        <v>826.50000000000045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1317.5</v>
      </c>
      <c r="AB43" s="25">
        <f ca="1">'[1]INVENTARIO NACIONAL 17-08-26'!AB43</f>
        <v>5.0170777988614796</v>
      </c>
      <c r="AC43" s="26">
        <f ca="1">'[1]INVENTARIO NACIONAL 17-08-26'!AC43</f>
        <v>0.50170777988614801</v>
      </c>
      <c r="AD43" s="29">
        <f ca="1">'[1]INVENTARIO NACIONAL 17-08-26'!AD43</f>
        <v>-656.5</v>
      </c>
      <c r="AE43" s="30">
        <f ca="1">'[1]INVENTARIO NACIONAL 17-08-26'!AE43</f>
        <v>658.75</v>
      </c>
      <c r="AF43" s="28">
        <f ca="1">'[1]INVENTARIO NACIONAL 17-08-26'!AF43</f>
        <v>1315.25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1275.8333333333333</v>
      </c>
      <c r="AB44" s="25">
        <f ca="1">'[1]INVENTARIO NACIONAL 17-08-26'!AB44</f>
        <v>8.8961463096015674</v>
      </c>
      <c r="AC44" s="26">
        <f ca="1">'[1]INVENTARIO NACIONAL 17-08-26'!AC44</f>
        <v>0.8896146309601568</v>
      </c>
      <c r="AD44" s="29">
        <f ca="1">'[1]INVENTARIO NACIONAL 17-08-26'!AD44</f>
        <v>-140.83333333333326</v>
      </c>
      <c r="AE44" s="30">
        <f ca="1">'[1]INVENTARIO NACIONAL 17-08-26'!AE44</f>
        <v>637.91666666666663</v>
      </c>
      <c r="AF44" s="28">
        <f ca="1">'[1]INVENTARIO NACIONAL 17-08-26'!AF44</f>
        <v>778.74999999999989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5877.5</v>
      </c>
      <c r="AB45" s="25">
        <f ca="1">'[1]INVENTARIO NACIONAL 17-08-26'!AB45</f>
        <v>7.0642279880901748</v>
      </c>
      <c r="AC45" s="26">
        <f ca="1">'[1]INVENTARIO NACIONAL 17-08-26'!AC45</f>
        <v>0.70642279880901748</v>
      </c>
      <c r="AD45" s="29">
        <f ca="1">'[1]INVENTARIO NACIONAL 17-08-26'!AD45</f>
        <v>-1725.5</v>
      </c>
      <c r="AE45" s="30">
        <f ca="1">'[1]INVENTARIO NACIONAL 17-08-26'!AE45</f>
        <v>2938.75</v>
      </c>
      <c r="AF45" s="28">
        <f ca="1">'[1]INVENTARIO NACIONAL 17-08-26'!AF45</f>
        <v>4664.25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6554.1666666666661</v>
      </c>
      <c r="AB46" s="25">
        <f ca="1">'[1]INVENTARIO NACIONAL 17-08-26'!AB46</f>
        <v>13.048188175460904</v>
      </c>
      <c r="AC46" s="26">
        <f ca="1">'[1]INVENTARIO NACIONAL 17-08-26'!AC46</f>
        <v>1.3048188175460904</v>
      </c>
      <c r="AD46" s="29">
        <f ca="1">'[1]INVENTARIO NACIONAL 17-08-26'!AD46</f>
        <v>1997.8333333333339</v>
      </c>
      <c r="AE46" s="30">
        <f ca="1">'[1]INVENTARIO NACIONAL 17-08-26'!AE46</f>
        <v>3277.083333333333</v>
      </c>
      <c r="AF46" s="28">
        <f ca="1">'[1]INVENTARIO NACIONAL 17-08-26'!AF46</f>
        <v>1279.2499999999991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8187.5</v>
      </c>
      <c r="AB47" s="25">
        <f ca="1">'[1]INVENTARIO NACIONAL 17-08-26'!AB47</f>
        <v>8.2235114503816789</v>
      </c>
      <c r="AC47" s="26">
        <f ca="1">'[1]INVENTARIO NACIONAL 17-08-26'!AC47</f>
        <v>0.82235114503816797</v>
      </c>
      <c r="AD47" s="29">
        <f ca="1">'[1]INVENTARIO NACIONAL 17-08-26'!AD47</f>
        <v>-1454.5</v>
      </c>
      <c r="AE47" s="30">
        <f ca="1">'[1]INVENTARIO NACIONAL 17-08-26'!AE47</f>
        <v>4093.75</v>
      </c>
      <c r="AF47" s="28">
        <f ca="1">'[1]INVENTARIO NACIONAL 17-08-26'!AF47</f>
        <v>5548.25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5705</v>
      </c>
      <c r="AB48" s="25">
        <f ca="1">'[1]INVENTARIO NACIONAL 17-08-26'!AB48</f>
        <v>9.1621384750219104</v>
      </c>
      <c r="AC48" s="26">
        <f ca="1">'[1]INVENTARIO NACIONAL 17-08-26'!AC48</f>
        <v>0.91621384750219104</v>
      </c>
      <c r="AD48" s="29">
        <f ca="1">'[1]INVENTARIO NACIONAL 17-08-26'!AD48</f>
        <v>-478</v>
      </c>
      <c r="AE48" s="30">
        <f ca="1">'[1]INVENTARIO NACIONAL 17-08-26'!AE48</f>
        <v>2852.5</v>
      </c>
      <c r="AF48" s="28">
        <f ca="1">'[1]INVENTARIO NACIONAL 17-08-26'!AF48</f>
        <v>3330.5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>
        <f ca="1">'[1]INVENTARIO NACIONAL 17-08-26'!AA49</f>
        <v>21.666666666666664</v>
      </c>
      <c r="AB49" s="25">
        <f ca="1">'[1]INVENTARIO NACIONAL 17-08-26'!AB49</f>
        <v>5.5384615384615392</v>
      </c>
      <c r="AC49" s="26">
        <f ca="1">'[1]INVENTARIO NACIONAL 17-08-26'!AC49</f>
        <v>0.55384615384615388</v>
      </c>
      <c r="AD49" s="29">
        <f ca="1">'[1]INVENTARIO NACIONAL 17-08-26'!AD49</f>
        <v>-9.6666666666666643</v>
      </c>
      <c r="AE49" s="30">
        <f ca="1">'[1]INVENTARIO NACIONAL 17-08-26'!AE49</f>
        <v>10.833333333333332</v>
      </c>
      <c r="AF49" s="28">
        <f ca="1">'[1]INVENTARIO NACIONAL 17-08-26'!AF49</f>
        <v>20.499999999999996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0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11</v>
      </c>
      <c r="AE50" s="30">
        <f ca="1">'[1]INVENTARIO NACIONAL 17-08-26'!AE50</f>
        <v>0</v>
      </c>
      <c r="AF50" s="28">
        <f ca="1">'[1]INVENTARIO NACIONAL 17-08-26'!AF50</f>
        <v>-11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248.33333333333331</v>
      </c>
      <c r="AB51" s="25">
        <f ca="1">'[1]INVENTARIO NACIONAL 17-08-26'!AB51</f>
        <v>1.731543624161074</v>
      </c>
      <c r="AC51" s="26">
        <f ca="1">'[1]INVENTARIO NACIONAL 17-08-26'!AC51</f>
        <v>0.1731543624161074</v>
      </c>
      <c r="AD51" s="29">
        <f ca="1">'[1]INVENTARIO NACIONAL 17-08-26'!AD51</f>
        <v>-205.33333333333331</v>
      </c>
      <c r="AE51" s="30">
        <f ca="1">'[1]INVENTARIO NACIONAL 17-08-26'!AE51</f>
        <v>124.16666666666666</v>
      </c>
      <c r="AF51" s="28">
        <f ca="1">'[1]INVENTARIO NACIONAL 17-08-26'!AF51</f>
        <v>329.5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593.33333333333337</v>
      </c>
      <c r="AB53" s="25">
        <f ca="1">'[1]INVENTARIO NACIONAL 17-08-26'!AB53</f>
        <v>6.741573033707865E-2</v>
      </c>
      <c r="AC53" s="26">
        <f ca="1">'[1]INVENTARIO NACIONAL 17-08-26'!AC53</f>
        <v>6.7415730337078645E-3</v>
      </c>
      <c r="AD53" s="29">
        <f ca="1">'[1]INVENTARIO NACIONAL 17-08-26'!AD53</f>
        <v>-589.33333333333337</v>
      </c>
      <c r="AE53" s="30">
        <f ca="1">'[1]INVENTARIO NACIONAL 17-08-26'!AE53</f>
        <v>296.66666666666669</v>
      </c>
      <c r="AF53" s="28">
        <f ca="1">'[1]INVENTARIO NACIONAL 17-08-26'!AF53</f>
        <v>886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2998.333333333333</v>
      </c>
      <c r="AB54" s="25">
        <f ca="1">'[1]INVENTARIO NACIONAL 17-08-26'!AB54</f>
        <v>75.285158421345201</v>
      </c>
      <c r="AC54" s="26">
        <f ca="1">'[1]INVENTARIO NACIONAL 17-08-26'!AC54</f>
        <v>7.52851584213452</v>
      </c>
      <c r="AD54" s="29">
        <f ca="1">'[1]INVENTARIO NACIONAL 17-08-26'!AD54</f>
        <v>19574.666666666668</v>
      </c>
      <c r="AE54" s="30">
        <f ca="1">'[1]INVENTARIO NACIONAL 17-08-26'!AE54</f>
        <v>1499.1666666666665</v>
      </c>
      <c r="AF54" s="28">
        <f ca="1">'[1]INVENTARIO NACIONAL 17-08-26'!AF54</f>
        <v>-18075.5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5197.5</v>
      </c>
      <c r="AB55" s="25">
        <f ca="1">'[1]INVENTARIO NACIONAL 17-08-26'!AB55</f>
        <v>56.236652236652233</v>
      </c>
      <c r="AC55" s="26">
        <f ca="1">'[1]INVENTARIO NACIONAL 17-08-26'!AC55</f>
        <v>5.623665223665224</v>
      </c>
      <c r="AD55" s="29">
        <f ca="1">'[1]INVENTARIO NACIONAL 17-08-26'!AD55</f>
        <v>24031.5</v>
      </c>
      <c r="AE55" s="30">
        <f ca="1">'[1]INVENTARIO NACIONAL 17-08-26'!AE55</f>
        <v>2598.75</v>
      </c>
      <c r="AF55" s="28">
        <f ca="1">'[1]INVENTARIO NACIONAL 17-08-26'!AF55</f>
        <v>-21432.75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3131.666666666667</v>
      </c>
      <c r="AB56" s="25">
        <f ca="1">'[1]INVENTARIO NACIONAL 17-08-26'!AB56</f>
        <v>51.569984034060667</v>
      </c>
      <c r="AC56" s="26">
        <f ca="1">'[1]INVENTARIO NACIONAL 17-08-26'!AC56</f>
        <v>5.1569984034060665</v>
      </c>
      <c r="AD56" s="29">
        <f ca="1">'[1]INVENTARIO NACIONAL 17-08-26'!AD56</f>
        <v>13018.333333333332</v>
      </c>
      <c r="AE56" s="30">
        <f ca="1">'[1]INVENTARIO NACIONAL 17-08-26'!AE56</f>
        <v>1565.8333333333335</v>
      </c>
      <c r="AF56" s="28">
        <f ca="1">'[1]INVENTARIO NACIONAL 17-08-26'!AF56</f>
        <v>-11452.499999999998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2761.666666666667</v>
      </c>
      <c r="AB57" s="25">
        <f ca="1">'[1]INVENTARIO NACIONAL 17-08-26'!AB57</f>
        <v>69.852745926372961</v>
      </c>
      <c r="AC57" s="26">
        <f ca="1">'[1]INVENTARIO NACIONAL 17-08-26'!AC57</f>
        <v>6.9852745926372952</v>
      </c>
      <c r="AD57" s="29">
        <f ca="1">'[1]INVENTARIO NACIONAL 17-08-26'!AD57</f>
        <v>16529.333333333332</v>
      </c>
      <c r="AE57" s="30">
        <f ca="1">'[1]INVENTARIO NACIONAL 17-08-26'!AE57</f>
        <v>1380.8333333333335</v>
      </c>
      <c r="AF57" s="28">
        <f ca="1">'[1]INVENTARIO NACIONAL 17-08-26'!AF57</f>
        <v>-15148.499999999998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461.66666666666663</v>
      </c>
      <c r="AB58" s="25">
        <f ca="1">'[1]INVENTARIO NACIONAL 17-08-26'!AB58</f>
        <v>15.48736462093863</v>
      </c>
      <c r="AC58" s="26">
        <f ca="1">'[1]INVENTARIO NACIONAL 17-08-26'!AC58</f>
        <v>1.5487364620938628</v>
      </c>
      <c r="AD58" s="29">
        <f ca="1">'[1]INVENTARIO NACIONAL 17-08-26'!AD58</f>
        <v>253.33333333333337</v>
      </c>
      <c r="AE58" s="30">
        <f ca="1">'[1]INVENTARIO NACIONAL 17-08-26'!AE58</f>
        <v>230.83333333333331</v>
      </c>
      <c r="AF58" s="28">
        <f ca="1">'[1]INVENTARIO NACIONAL 17-08-26'!AF58</f>
        <v>-22.500000000000057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896.66666666666674</v>
      </c>
      <c r="AB59" s="25">
        <f ca="1">'[1]INVENTARIO NACIONAL 17-08-26'!AB59</f>
        <v>4.3048327137546467</v>
      </c>
      <c r="AC59" s="26">
        <f ca="1">'[1]INVENTARIO NACIONAL 17-08-26'!AC59</f>
        <v>0.43048327137546466</v>
      </c>
      <c r="AD59" s="29">
        <f ca="1">'[1]INVENTARIO NACIONAL 17-08-26'!AD59</f>
        <v>-510.66666666666674</v>
      </c>
      <c r="AE59" s="30">
        <f ca="1">'[1]INVENTARIO NACIONAL 17-08-26'!AE59</f>
        <v>448.33333333333337</v>
      </c>
      <c r="AF59" s="28">
        <f ca="1">'[1]INVENTARIO NACIONAL 17-08-26'!AF59</f>
        <v>959.00000000000011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510</v>
      </c>
      <c r="AB60" s="25">
        <f ca="1">'[1]INVENTARIO NACIONAL 17-08-26'!AB60</f>
        <v>5.8431372549019605</v>
      </c>
      <c r="AC60" s="26">
        <f ca="1">'[1]INVENTARIO NACIONAL 17-08-26'!AC60</f>
        <v>0.58431372549019611</v>
      </c>
      <c r="AD60" s="29">
        <f ca="1">'[1]INVENTARIO NACIONAL 17-08-26'!AD60</f>
        <v>-212</v>
      </c>
      <c r="AE60" s="30">
        <f ca="1">'[1]INVENTARIO NACIONAL 17-08-26'!AE60</f>
        <v>255</v>
      </c>
      <c r="AF60" s="28">
        <f ca="1">'[1]INVENTARIO NACIONAL 17-08-26'!AF60</f>
        <v>467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430</v>
      </c>
      <c r="AB61" s="25">
        <f ca="1">'[1]INVENTARIO NACIONAL 17-08-26'!AB61</f>
        <v>3.3953488372093021</v>
      </c>
      <c r="AC61" s="26">
        <f ca="1">'[1]INVENTARIO NACIONAL 17-08-26'!AC61</f>
        <v>0.33953488372093021</v>
      </c>
      <c r="AD61" s="29">
        <f ca="1">'[1]INVENTARIO NACIONAL 17-08-26'!AD61</f>
        <v>-284</v>
      </c>
      <c r="AE61" s="30">
        <f ca="1">'[1]INVENTARIO NACIONAL 17-08-26'!AE61</f>
        <v>215</v>
      </c>
      <c r="AF61" s="28">
        <f ca="1">'[1]INVENTARIO NACIONAL 17-08-26'!AF61</f>
        <v>499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135034.5</v>
      </c>
    </row>
    <row r="63" spans="2:33" x14ac:dyDescent="0.25">
      <c r="B63" s="45" t="s">
        <v>86</v>
      </c>
      <c r="C63" s="46"/>
      <c r="D63" s="46"/>
      <c r="E63" s="64" t="s">
        <v>87</v>
      </c>
      <c r="F63" s="64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5" t="s">
        <v>88</v>
      </c>
      <c r="C64" s="65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5" t="s">
        <v>92</v>
      </c>
      <c r="C68" s="65"/>
      <c r="D68" s="50">
        <f>SUM(Z13:Z61)</f>
        <v>421177.93000000017</v>
      </c>
      <c r="E68" s="66">
        <f>D68*100/D68</f>
        <v>100</v>
      </c>
      <c r="F68" s="66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5" t="s">
        <v>94</v>
      </c>
      <c r="C71" s="65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7">
        <f>D74*100/D75</f>
        <v>11.039956032533535</v>
      </c>
      <c r="F74" s="67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5" t="s">
        <v>98</v>
      </c>
      <c r="C75" s="65"/>
      <c r="D75" s="55">
        <f>SUM(Y13:Y61)</f>
        <v>334793</v>
      </c>
      <c r="E75" s="67">
        <f>D75*100/D75</f>
        <v>100</v>
      </c>
      <c r="F75" s="67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72:F72"/>
    <mergeCell ref="E73:F73"/>
    <mergeCell ref="E74:F74"/>
    <mergeCell ref="B75:C75"/>
    <mergeCell ref="E75:F75"/>
    <mergeCell ref="E66:F66"/>
    <mergeCell ref="E67:F67"/>
    <mergeCell ref="B68:C68"/>
    <mergeCell ref="E68:F68"/>
    <mergeCell ref="B71:C71"/>
    <mergeCell ref="E71:F71"/>
    <mergeCell ref="E65:F65"/>
    <mergeCell ref="B1:Z6"/>
    <mergeCell ref="AA1:AG6"/>
    <mergeCell ref="E63:F63"/>
    <mergeCell ref="B64:C64"/>
    <mergeCell ref="E64:F64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2026-08-19T13:54:02Z</dcterms:modified>
</cp:coreProperties>
</file>