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3DEECDEE-463A-42F6-A01A-8448DE9F3733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49" i="1"/>
  <c r="AA28" i="1"/>
  <c r="AA29" i="1"/>
  <c r="AA30" i="1"/>
  <c r="M28" i="1"/>
  <c r="M29" i="1"/>
  <c r="M30" i="1"/>
  <c r="AA13" i="1"/>
  <c r="AA5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49" i="1" l="1"/>
  <c r="AD49" i="1"/>
  <c r="AC49" i="1"/>
  <c r="AE49" i="1"/>
  <c r="AB35" i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49" i="1" l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<sst xmlns="http://schemas.openxmlformats.org/spreadsheetml/2006/main" count="111" uniqueCount="101">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</sst>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11850.555555555557</v>
          </cell>
          <cell r="AB13">
            <v>8.4426421639866849</v>
          </cell>
          <cell r="AC13">
            <v>0.84426421639866855</v>
          </cell>
          <cell r="AD13">
            <v>-1845.5555555555566</v>
          </cell>
          <cell r="AE13">
            <v>5925.2777777777783</v>
          </cell>
          <cell r="AF13">
            <v>7770.8333333333348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719.44444444444446</v>
          </cell>
          <cell r="AB14">
            <v>7.7698841698841701</v>
          </cell>
          <cell r="AC14">
            <v>0.77698841698841703</v>
          </cell>
          <cell r="AD14">
            <v>-160.44444444444446</v>
          </cell>
          <cell r="AE14">
            <v>359.72222222222223</v>
          </cell>
          <cell r="AF14">
            <v>520.16666666666674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4920</v>
          </cell>
          <cell r="AB15">
            <v>6.975609756097561</v>
          </cell>
          <cell r="AC15">
            <v>0.69756097560975605</v>
          </cell>
          <cell r="AD15">
            <v>-1488</v>
          </cell>
          <cell r="AE15">
            <v>2460</v>
          </cell>
          <cell r="AF15">
            <v>3948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857.22222222222229</v>
          </cell>
          <cell r="AB16">
            <v>2.4031108230719376</v>
          </cell>
          <cell r="AC16">
            <v>0.24031108230719375</v>
          </cell>
          <cell r="AD16">
            <v>-651.22222222222229</v>
          </cell>
          <cell r="AE16">
            <v>428.61111111111114</v>
          </cell>
          <cell r="AF16">
            <v>1079.8333333333335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110</v>
          </cell>
          <cell r="AB17">
            <v>19.272727272727273</v>
          </cell>
          <cell r="AC17">
            <v>1.9272727272727272</v>
          </cell>
          <cell r="AD17">
            <v>102</v>
          </cell>
          <cell r="AE17">
            <v>55</v>
          </cell>
          <cell r="AF17">
            <v>-47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14348.333333333332</v>
          </cell>
          <cell r="AB18">
            <v>5.8383087466604717</v>
          </cell>
          <cell r="AC18">
            <v>0.58383087466604722</v>
          </cell>
          <cell r="AD18">
            <v>-5971.3333333333321</v>
          </cell>
          <cell r="AE18">
            <v>7174.1666666666661</v>
          </cell>
          <cell r="AF18">
            <v>13145.499999999998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1439.4444444444446</v>
          </cell>
          <cell r="AB19">
            <v>10.469316866074873</v>
          </cell>
          <cell r="AC19">
            <v>1.0469316866074874</v>
          </cell>
          <cell r="AD19">
            <v>67.555555555555429</v>
          </cell>
          <cell r="AE19">
            <v>719.72222222222229</v>
          </cell>
          <cell r="AF19">
            <v>652.16666666666686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3217.7777777777778</v>
          </cell>
          <cell r="AB20">
            <v>12.325276243093922</v>
          </cell>
          <cell r="AC20">
            <v>1.2325276243093923</v>
          </cell>
          <cell r="AD20">
            <v>748.22222222222217</v>
          </cell>
          <cell r="AE20">
            <v>1608.8888888888889</v>
          </cell>
          <cell r="AF20">
            <v>860.66666666666674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7480</v>
          </cell>
          <cell r="AB21">
            <v>10.211229946524064</v>
          </cell>
          <cell r="AC21">
            <v>1.0211229946524065</v>
          </cell>
          <cell r="AD21">
            <v>158</v>
          </cell>
          <cell r="AE21">
            <v>3740</v>
          </cell>
          <cell r="AF21">
            <v>3582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3530</v>
          </cell>
          <cell r="AB22">
            <v>10.654390934844193</v>
          </cell>
          <cell r="AC22">
            <v>1.0654390934844193</v>
          </cell>
          <cell r="AD22">
            <v>231</v>
          </cell>
          <cell r="AE22">
            <v>1765</v>
          </cell>
          <cell r="AF22">
            <v>1534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34777.777777777781</v>
          </cell>
          <cell r="AB23">
            <v>9.5368370607028741</v>
          </cell>
          <cell r="AC23">
            <v>0.95368370607028741</v>
          </cell>
          <cell r="AD23">
            <v>-1610.777777777781</v>
          </cell>
          <cell r="AE23">
            <v>17388.888888888891</v>
          </cell>
          <cell r="AF23">
            <v>18999.666666666672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22680.555555555555</v>
          </cell>
          <cell r="AB24">
            <v>11.043380281690141</v>
          </cell>
          <cell r="AC24">
            <v>1.1043380281690141</v>
          </cell>
          <cell r="AD24">
            <v>2366.4444444444453</v>
          </cell>
          <cell r="AE24">
            <v>11340.277777777777</v>
          </cell>
          <cell r="AF24">
            <v>8973.8333333333321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22049.444444444445</v>
          </cell>
          <cell r="AB25">
            <v>11.744967119352969</v>
          </cell>
          <cell r="AC25">
            <v>1.1744967119352969</v>
          </cell>
          <cell r="AD25">
            <v>3847.5555555555547</v>
          </cell>
          <cell r="AE25">
            <v>11024.722222222223</v>
          </cell>
          <cell r="AF25">
            <v>7177.1666666666679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26370</v>
          </cell>
          <cell r="AB26">
            <v>11.235874099355328</v>
          </cell>
          <cell r="AC26">
            <v>1.1235874099355327</v>
          </cell>
          <cell r="AD26">
            <v>3259</v>
          </cell>
          <cell r="AE26">
            <v>13185</v>
          </cell>
          <cell r="AF26">
            <v>9926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178.33333333333331</v>
          </cell>
          <cell r="AB27">
            <v>85.00934579439253</v>
          </cell>
          <cell r="AC27">
            <v>8.500934579439253</v>
          </cell>
          <cell r="AD27">
            <v>1337.6666666666667</v>
          </cell>
          <cell r="AE27">
            <v>89.166666666666657</v>
          </cell>
          <cell r="AF27">
            <v>-1248.5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8.4591078066914491</v>
          </cell>
          <cell r="M28">
            <v>7890.666666666667</v>
          </cell>
          <cell r="N28">
            <v>-2346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3586.666666666667</v>
          </cell>
          <cell r="AB28">
            <v>13.419144981412639</v>
          </cell>
          <cell r="AC28">
            <v>1.3419144981412638</v>
          </cell>
          <cell r="AD28">
            <v>1226.333333333333</v>
          </cell>
          <cell r="AE28">
            <v>1793.3333333333335</v>
          </cell>
          <cell r="AF28">
            <v>567.00000000000045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6.9613664091093952</v>
          </cell>
          <cell r="M29">
            <v>9016.3333333333321</v>
          </cell>
          <cell r="N29">
            <v>-3294.4999999999991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4098.333333333333</v>
          </cell>
          <cell r="AB29">
            <v>11.109394062627084</v>
          </cell>
          <cell r="AC29">
            <v>1.1109394062627085</v>
          </cell>
          <cell r="AD29">
            <v>454.66666666666697</v>
          </cell>
          <cell r="AE29">
            <v>2049.1666666666665</v>
          </cell>
          <cell r="AF29">
            <v>1594.4999999999995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7.1653208669783242</v>
          </cell>
          <cell r="M30">
            <v>8627.6666666666679</v>
          </cell>
          <cell r="N30">
            <v>-3072.5000000000009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3921.666666666667</v>
          </cell>
          <cell r="AB30">
            <v>15.371015724606885</v>
          </cell>
          <cell r="AC30">
            <v>1.5371015724606885</v>
          </cell>
          <cell r="AD30">
            <v>2106.333333333333</v>
          </cell>
          <cell r="AE30">
            <v>1960.8333333333335</v>
          </cell>
          <cell r="AF30">
            <v>-145.49999999999955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2288.8888888888887</v>
          </cell>
          <cell r="AB31">
            <v>5.9898058252427191</v>
          </cell>
          <cell r="AC31">
            <v>0.59898058252427189</v>
          </cell>
          <cell r="AD31">
            <v>-917.88888888888869</v>
          </cell>
          <cell r="AE31">
            <v>1144.4444444444443</v>
          </cell>
          <cell r="AF31">
            <v>2062.333333333333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1353.3333333333335</v>
          </cell>
          <cell r="AB32">
            <v>7.2413793103448274</v>
          </cell>
          <cell r="AC32">
            <v>0.72413793103448265</v>
          </cell>
          <cell r="AD32">
            <v>-373.33333333333348</v>
          </cell>
          <cell r="AE32">
            <v>676.66666666666674</v>
          </cell>
          <cell r="AF32">
            <v>1050.0000000000002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5106.666666666667</v>
          </cell>
          <cell r="AB33">
            <v>6.4660574412532634</v>
          </cell>
          <cell r="AC33">
            <v>0.64660574412532634</v>
          </cell>
          <cell r="AD33">
            <v>-1804.666666666667</v>
          </cell>
          <cell r="AE33">
            <v>2553.3333333333335</v>
          </cell>
          <cell r="AF33">
            <v>4358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8115.5555555555557</v>
          </cell>
          <cell r="AB34">
            <v>7.7714950711938666</v>
          </cell>
          <cell r="AC34">
            <v>0.77714950711938657</v>
          </cell>
          <cell r="AD34">
            <v>-1808.5555555555557</v>
          </cell>
          <cell r="AE34">
            <v>4057.7777777777778</v>
          </cell>
          <cell r="AF34">
            <v>5866.3333333333339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696.66666666666674</v>
          </cell>
          <cell r="AB35">
            <v>0</v>
          </cell>
          <cell r="AC35">
            <v>0</v>
          </cell>
          <cell r="AD35">
            <v>-696.66666666666674</v>
          </cell>
          <cell r="AE35">
            <v>348.33333333333337</v>
          </cell>
          <cell r="AF35">
            <v>1045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7091.6666666666661</v>
          </cell>
          <cell r="AB36">
            <v>0.76568742655699185</v>
          </cell>
          <cell r="AC36">
            <v>7.6568742655699185E-2</v>
          </cell>
          <cell r="AD36">
            <v>-6548.6666666666661</v>
          </cell>
          <cell r="AE36">
            <v>3545.833333333333</v>
          </cell>
          <cell r="AF36">
            <v>10094.5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11621.666666666668</v>
          </cell>
          <cell r="AB37">
            <v>8.7491753907930576</v>
          </cell>
          <cell r="AC37">
            <v>0.87491753907930581</v>
          </cell>
          <cell r="AD37">
            <v>-1453.6666666666679</v>
          </cell>
          <cell r="AE37">
            <v>5810.8333333333339</v>
          </cell>
          <cell r="AF37">
            <v>7264.5000000000018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5161.1111111111113</v>
          </cell>
          <cell r="AB38">
            <v>19.100538213132403</v>
          </cell>
          <cell r="AC38">
            <v>1.9100538213132399</v>
          </cell>
          <cell r="AD38">
            <v>4696.8888888888887</v>
          </cell>
          <cell r="AE38">
            <v>2580.5555555555557</v>
          </cell>
          <cell r="AF38">
            <v>-2116.333333333333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3957.2222222222222</v>
          </cell>
          <cell r="AB39">
            <v>4.9681314053067531</v>
          </cell>
          <cell r="AC39">
            <v>0.49681314053067527</v>
          </cell>
          <cell r="AD39">
            <v>-1991.2222222222222</v>
          </cell>
          <cell r="AE39">
            <v>1978.6111111111111</v>
          </cell>
          <cell r="AF39">
            <v>3969.833333333333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677.22222222222229</v>
          </cell>
          <cell r="AB40">
            <v>67.127153404429848</v>
          </cell>
          <cell r="AC40">
            <v>6.7127153404429851</v>
          </cell>
          <cell r="AD40">
            <v>3868.7777777777778</v>
          </cell>
          <cell r="AE40">
            <v>338.61111111111114</v>
          </cell>
          <cell r="AF40">
            <v>-3530.1666666666665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1343.8888888888889</v>
          </cell>
          <cell r="AB43">
            <v>4.9185613890037203</v>
          </cell>
          <cell r="AC43">
            <v>0.49185613890037205</v>
          </cell>
          <cell r="AD43">
            <v>-682.88888888888891</v>
          </cell>
          <cell r="AE43">
            <v>671.94444444444446</v>
          </cell>
          <cell r="AF43">
            <v>1354.8333333333335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6372.2222222222217</v>
          </cell>
          <cell r="AB44">
            <v>1.7811682650392329</v>
          </cell>
          <cell r="AC44">
            <v>0.1781168265039233</v>
          </cell>
          <cell r="AD44">
            <v>-5237.2222222222217</v>
          </cell>
          <cell r="AE44">
            <v>3186.1111111111109</v>
          </cell>
          <cell r="AF44">
            <v>8423.3333333333321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6313.8888888888887</v>
          </cell>
          <cell r="AB45">
            <v>6.5759788825340957</v>
          </cell>
          <cell r="AC45">
            <v>0.65759788825340959</v>
          </cell>
          <cell r="AD45">
            <v>-2161.8888888888887</v>
          </cell>
          <cell r="AE45">
            <v>3156.9444444444443</v>
          </cell>
          <cell r="AF45">
            <v>5318.833333333333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8413.3333333333339</v>
          </cell>
          <cell r="AB46">
            <v>10.164817749603802</v>
          </cell>
          <cell r="AC46">
            <v>1.0164817749603803</v>
          </cell>
          <cell r="AD46">
            <v>138.66666666666606</v>
          </cell>
          <cell r="AE46">
            <v>4206.666666666667</v>
          </cell>
          <cell r="AF46">
            <v>4068.0000000000009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5701.6666666666661</v>
          </cell>
          <cell r="AB47">
            <v>11.808827828120434</v>
          </cell>
          <cell r="AC47">
            <v>1.1808827828120434</v>
          </cell>
          <cell r="AD47">
            <v>1031.3333333333339</v>
          </cell>
          <cell r="AE47">
            <v>2850.833333333333</v>
          </cell>
          <cell r="AF47">
            <v>1819.4999999999991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24.444444444444446</v>
          </cell>
          <cell r="AB48">
            <v>2138.3181818181815</v>
          </cell>
          <cell r="AC48">
            <v>213.83181818181816</v>
          </cell>
          <cell r="AD48">
            <v>5202.5555555555557</v>
          </cell>
          <cell r="AE48">
            <v>12.222222222222223</v>
          </cell>
          <cell r="AF48">
            <v>-5190.333333333333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 t="e">
            <v>#REF!</v>
          </cell>
          <cell r="AB49" t="e">
            <v>#REF!</v>
          </cell>
          <cell r="AC49" t="e">
            <v>#REF!</v>
          </cell>
          <cell r="AD49" t="e">
            <v>#REF!</v>
          </cell>
          <cell r="AE49" t="e">
            <v>#REF!</v>
          </cell>
          <cell r="AF49" t="e">
            <v>#REF!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575</v>
          </cell>
          <cell r="AB50">
            <v>0</v>
          </cell>
          <cell r="AC50">
            <v>0</v>
          </cell>
          <cell r="AD50">
            <v>-564</v>
          </cell>
          <cell r="AE50">
            <v>287.5</v>
          </cell>
          <cell r="AF50">
            <v>851.5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5</v>
          </cell>
          <cell r="AB51">
            <v>86</v>
          </cell>
          <cell r="AC51">
            <v>8.6</v>
          </cell>
          <cell r="AD51">
            <v>38</v>
          </cell>
          <cell r="AE51">
            <v>2.5</v>
          </cell>
          <cell r="AF51">
            <v>-35.5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5255.5555555555557</v>
          </cell>
          <cell r="AB53">
            <v>7.6109936575052854E-3</v>
          </cell>
          <cell r="AC53">
            <v>7.610993657505285E-4</v>
          </cell>
          <cell r="AD53">
            <v>-5251.5555555555557</v>
          </cell>
          <cell r="AE53">
            <v>2627.7777777777778</v>
          </cell>
          <cell r="AF53">
            <v>7879.3333333333339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380.55555555555554</v>
          </cell>
          <cell r="AB54">
            <v>593.15912408759118</v>
          </cell>
          <cell r="AC54">
            <v>59.315912408759125</v>
          </cell>
          <cell r="AD54">
            <v>22192.444444444445</v>
          </cell>
          <cell r="AE54">
            <v>190.27777777777777</v>
          </cell>
          <cell r="AF54">
            <v>-22002.166666666668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3025.5555555555557</v>
          </cell>
          <cell r="AB55">
            <v>96.607051046639739</v>
          </cell>
          <cell r="AC55">
            <v>9.6607051046639736</v>
          </cell>
          <cell r="AD55">
            <v>26203.444444444445</v>
          </cell>
          <cell r="AE55">
            <v>1512.7777777777778</v>
          </cell>
          <cell r="AF55">
            <v>-24690.666666666668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5395.5555555555557</v>
          </cell>
          <cell r="AB56">
            <v>29.932042833607909</v>
          </cell>
          <cell r="AC56">
            <v>2.9932042833607908</v>
          </cell>
          <cell r="AD56">
            <v>10754.444444444445</v>
          </cell>
          <cell r="AE56">
            <v>2697.7777777777778</v>
          </cell>
          <cell r="AF56">
            <v>-8056.6666666666679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3161.666666666667</v>
          </cell>
          <cell r="AB57">
            <v>61.015287295730097</v>
          </cell>
          <cell r="AC57">
            <v>6.1015287295730092</v>
          </cell>
          <cell r="AD57">
            <v>16129.333333333332</v>
          </cell>
          <cell r="AE57">
            <v>1580.8333333333335</v>
          </cell>
          <cell r="AF57">
            <v>-14548.499999999998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2933.8888888888891</v>
          </cell>
          <cell r="AB58">
            <v>2.4370384396894527</v>
          </cell>
          <cell r="AC58">
            <v>0.24370384396894526</v>
          </cell>
          <cell r="AD58">
            <v>-2218.8888888888891</v>
          </cell>
          <cell r="AE58">
            <v>1466.9444444444446</v>
          </cell>
          <cell r="AF58">
            <v>3685.8333333333339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608.33333333333337</v>
          </cell>
          <cell r="AB59">
            <v>6.3452054794520549</v>
          </cell>
          <cell r="AC59">
            <v>0.6345205479452054</v>
          </cell>
          <cell r="AD59">
            <v>-222.33333333333337</v>
          </cell>
          <cell r="AE59">
            <v>304.16666666666669</v>
          </cell>
          <cell r="AF59">
            <v>526.5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1091.6666666666667</v>
          </cell>
          <cell r="AB60">
            <v>2.729770992366412</v>
          </cell>
          <cell r="AC60">
            <v>0.27297709923664121</v>
          </cell>
          <cell r="AD60">
            <v>-793.66666666666674</v>
          </cell>
          <cell r="AE60">
            <v>545.83333333333337</v>
          </cell>
          <cell r="AF60">
            <v>1339.5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517.77777777777783</v>
          </cell>
          <cell r="AB61">
            <v>2.8197424892703857</v>
          </cell>
          <cell r="AC61">
            <v>0.2819742489270386</v>
          </cell>
          <cell r="AD61">
            <v>-371.77777777777783</v>
          </cell>
          <cell r="AE61">
            <v>258.88888888888891</v>
          </cell>
          <cell r="AF61">
            <v>630.66666666666674</v>
          </cell>
          <cell r="AG61">
            <v>24.333333333333332</v>
          </cell>
        </row>
        <row r="62">
          <cell r="AE62" t="str">
            <v>Units Produce</v>
          </cell>
          <cell r="AF62">
            <v>156899.66666666666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M20" sqref="M20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 t="s">
        <v>1</v>
      </c>
      <c r="AB1" s="63"/>
      <c r="AC1" s="63"/>
      <c r="AD1" s="63"/>
      <c r="AE1" s="63"/>
      <c r="AF1" s="63"/>
      <c r="AG1" s="63"/>
    </row>
    <row r="2" spans="2:33" x14ac:dyDescent="0.25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3"/>
      <c r="AB2" s="63"/>
      <c r="AC2" s="63"/>
      <c r="AD2" s="63"/>
      <c r="AE2" s="63"/>
      <c r="AF2" s="63"/>
      <c r="AG2" s="63"/>
    </row>
    <row r="3" spans="2:33" x14ac:dyDescent="0.2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3"/>
      <c r="AB3" s="63"/>
      <c r="AC3" s="63"/>
      <c r="AD3" s="63"/>
      <c r="AE3" s="63"/>
      <c r="AF3" s="63"/>
      <c r="AG3" s="63"/>
    </row>
    <row r="4" spans="2:33" x14ac:dyDescent="0.25"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3"/>
      <c r="AB4" s="63"/>
      <c r="AC4" s="63"/>
      <c r="AD4" s="63"/>
      <c r="AE4" s="63"/>
      <c r="AF4" s="63"/>
      <c r="AG4" s="63"/>
    </row>
    <row r="5" spans="2:33" x14ac:dyDescent="0.2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  <c r="AB5" s="63"/>
      <c r="AC5" s="63"/>
      <c r="AD5" s="63"/>
      <c r="AE5" s="63"/>
      <c r="AF5" s="63"/>
      <c r="AG5" s="63"/>
    </row>
    <row r="6" spans="2:33" x14ac:dyDescent="0.25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  <c r="AB6" s="63"/>
      <c r="AC6" s="63"/>
      <c r="AD6" s="63"/>
      <c r="AE6" s="63"/>
      <c r="AF6" s="63"/>
      <c r="AG6" s="63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11850.555555555557</v>
      </c>
      <c r="AB13" s="25">
        <f ca="1">'[1]INVENTARIO NACIONAL 17-08-26'!AB13</f>
        <v>8.4426421639866849</v>
      </c>
      <c r="AC13" s="26">
        <f ca="1">'[1]INVENTARIO NACIONAL 17-08-26'!AC13</f>
        <v>0.84426421639866855</v>
      </c>
      <c r="AD13" s="27">
        <f ca="1">'[1]INVENTARIO NACIONAL 17-08-26'!AD13</f>
        <v>-1845.5555555555566</v>
      </c>
      <c r="AE13" s="27">
        <f ca="1">'[1]INVENTARIO NACIONAL 17-08-26'!AE13</f>
        <v>5925.2777777777783</v>
      </c>
      <c r="AF13" s="28">
        <f ca="1">'[1]INVENTARIO NACIONAL 17-08-26'!AF13</f>
        <v>7770.8333333333348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719.44444444444446</v>
      </c>
      <c r="AB14" s="25">
        <f ca="1">'[1]INVENTARIO NACIONAL 17-08-26'!AB14</f>
        <v>7.7698841698841701</v>
      </c>
      <c r="AC14" s="26">
        <f ca="1">'[1]INVENTARIO NACIONAL 17-08-26'!AC14</f>
        <v>0.77698841698841703</v>
      </c>
      <c r="AD14" s="29">
        <f ca="1">'[1]INVENTARIO NACIONAL 17-08-26'!AD14</f>
        <v>-160.44444444444446</v>
      </c>
      <c r="AE14" s="30">
        <f ca="1">'[1]INVENTARIO NACIONAL 17-08-26'!AE14</f>
        <v>359.72222222222223</v>
      </c>
      <c r="AF14" s="28">
        <f ca="1">'[1]INVENTARIO NACIONAL 17-08-26'!AF14</f>
        <v>520.16666666666674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4920</v>
      </c>
      <c r="AB15" s="25">
        <f ca="1">'[1]INVENTARIO NACIONAL 17-08-26'!AB15</f>
        <v>6.975609756097561</v>
      </c>
      <c r="AC15" s="26">
        <f ca="1">'[1]INVENTARIO NACIONAL 17-08-26'!AC15</f>
        <v>0.69756097560975605</v>
      </c>
      <c r="AD15" s="29">
        <f ca="1">'[1]INVENTARIO NACIONAL 17-08-26'!AD15</f>
        <v>-1488</v>
      </c>
      <c r="AE15" s="30">
        <f ca="1">'[1]INVENTARIO NACIONAL 17-08-26'!AE15</f>
        <v>2460</v>
      </c>
      <c r="AF15" s="28">
        <f ca="1">'[1]INVENTARIO NACIONAL 17-08-26'!AF15</f>
        <v>3948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857.22222222222229</v>
      </c>
      <c r="AB16" s="25">
        <f ca="1">'[1]INVENTARIO NACIONAL 17-08-26'!AB16</f>
        <v>2.4031108230719376</v>
      </c>
      <c r="AC16" s="26">
        <f ca="1">'[1]INVENTARIO NACIONAL 17-08-26'!AC16</f>
        <v>0.24031108230719375</v>
      </c>
      <c r="AD16" s="29">
        <f ca="1">'[1]INVENTARIO NACIONAL 17-08-26'!AD16</f>
        <v>-651.22222222222229</v>
      </c>
      <c r="AE16" s="30">
        <f ca="1">'[1]INVENTARIO NACIONAL 17-08-26'!AE16</f>
        <v>428.61111111111114</v>
      </c>
      <c r="AF16" s="28">
        <f ca="1">'[1]INVENTARIO NACIONAL 17-08-26'!AF16</f>
        <v>1079.8333333333335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110</v>
      </c>
      <c r="AB17" s="25">
        <f ca="1">'[1]INVENTARIO NACIONAL 17-08-26'!AB17</f>
        <v>19.272727272727273</v>
      </c>
      <c r="AC17" s="26">
        <f ca="1">'[1]INVENTARIO NACIONAL 17-08-26'!AC17</f>
        <v>1.9272727272727272</v>
      </c>
      <c r="AD17" s="29">
        <f ca="1">'[1]INVENTARIO NACIONAL 17-08-26'!AD17</f>
        <v>102</v>
      </c>
      <c r="AE17" s="30">
        <f ca="1">'[1]INVENTARIO NACIONAL 17-08-26'!AE17</f>
        <v>55</v>
      </c>
      <c r="AF17" s="28">
        <f ca="1">'[1]INVENTARIO NACIONAL 17-08-26'!AF17</f>
        <v>-47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14348.333333333332</v>
      </c>
      <c r="AB18" s="25">
        <f ca="1">'[1]INVENTARIO NACIONAL 17-08-26'!AB18</f>
        <v>5.8383087466604717</v>
      </c>
      <c r="AC18" s="26">
        <f ca="1">'[1]INVENTARIO NACIONAL 17-08-26'!AC18</f>
        <v>0.58383087466604722</v>
      </c>
      <c r="AD18" s="29">
        <f ca="1">'[1]INVENTARIO NACIONAL 17-08-26'!AD18</f>
        <v>-5971.3333333333321</v>
      </c>
      <c r="AE18" s="30">
        <f ca="1">'[1]INVENTARIO NACIONAL 17-08-26'!AE18</f>
        <v>7174.1666666666661</v>
      </c>
      <c r="AF18" s="28">
        <f ca="1">'[1]INVENTARIO NACIONAL 17-08-26'!AF18</f>
        <v>13145.499999999998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1439.4444444444446</v>
      </c>
      <c r="AB19" s="25">
        <f ca="1">'[1]INVENTARIO NACIONAL 17-08-26'!AB19</f>
        <v>10.469316866074873</v>
      </c>
      <c r="AC19" s="26">
        <f ca="1">'[1]INVENTARIO NACIONAL 17-08-26'!AC19</f>
        <v>1.0469316866074874</v>
      </c>
      <c r="AD19" s="29">
        <f ca="1">'[1]INVENTARIO NACIONAL 17-08-26'!AD19</f>
        <v>67.555555555555429</v>
      </c>
      <c r="AE19" s="30">
        <f ca="1">'[1]INVENTARIO NACIONAL 17-08-26'!AE19</f>
        <v>719.72222222222229</v>
      </c>
      <c r="AF19" s="28">
        <f ca="1">'[1]INVENTARIO NACIONAL 17-08-26'!AF19</f>
        <v>652.16666666666686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3217.7777777777778</v>
      </c>
      <c r="AB20" s="25">
        <f ca="1">'[1]INVENTARIO NACIONAL 17-08-26'!AB20</f>
        <v>12.325276243093922</v>
      </c>
      <c r="AC20" s="26">
        <f ca="1">'[1]INVENTARIO NACIONAL 17-08-26'!AC20</f>
        <v>1.2325276243093923</v>
      </c>
      <c r="AD20" s="29">
        <f ca="1">'[1]INVENTARIO NACIONAL 17-08-26'!AD20</f>
        <v>748.22222222222217</v>
      </c>
      <c r="AE20" s="30">
        <f ca="1">'[1]INVENTARIO NACIONAL 17-08-26'!AE20</f>
        <v>1608.8888888888889</v>
      </c>
      <c r="AF20" s="28">
        <f ca="1">'[1]INVENTARIO NACIONAL 17-08-26'!AF20</f>
        <v>860.66666666666674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7480</v>
      </c>
      <c r="AB21" s="25">
        <f ca="1">'[1]INVENTARIO NACIONAL 17-08-26'!AB21</f>
        <v>10.211229946524064</v>
      </c>
      <c r="AC21" s="26">
        <f ca="1">'[1]INVENTARIO NACIONAL 17-08-26'!AC21</f>
        <v>1.0211229946524065</v>
      </c>
      <c r="AD21" s="29">
        <f ca="1">'[1]INVENTARIO NACIONAL 17-08-26'!AD21</f>
        <v>158</v>
      </c>
      <c r="AE21" s="30">
        <f ca="1">'[1]INVENTARIO NACIONAL 17-08-26'!AE21</f>
        <v>3740</v>
      </c>
      <c r="AF21" s="28">
        <f ca="1">'[1]INVENTARIO NACIONAL 17-08-26'!AF21</f>
        <v>3582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3530</v>
      </c>
      <c r="AB22" s="25">
        <f ca="1">'[1]INVENTARIO NACIONAL 17-08-26'!AB22</f>
        <v>10.654390934844193</v>
      </c>
      <c r="AC22" s="26">
        <f ca="1">'[1]INVENTARIO NACIONAL 17-08-26'!AC22</f>
        <v>1.0654390934844193</v>
      </c>
      <c r="AD22" s="29">
        <f ca="1">'[1]INVENTARIO NACIONAL 17-08-26'!AD22</f>
        <v>231</v>
      </c>
      <c r="AE22" s="30">
        <f ca="1">'[1]INVENTARIO NACIONAL 17-08-26'!AE22</f>
        <v>1765</v>
      </c>
      <c r="AF22" s="28">
        <f ca="1">'[1]INVENTARIO NACIONAL 17-08-26'!AF22</f>
        <v>1534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34777.777777777781</v>
      </c>
      <c r="AB23" s="25">
        <f ca="1">'[1]INVENTARIO NACIONAL 17-08-26'!AB23</f>
        <v>9.5368370607028741</v>
      </c>
      <c r="AC23" s="26">
        <f ca="1">'[1]INVENTARIO NACIONAL 17-08-26'!AC23</f>
        <v>0.95368370607028741</v>
      </c>
      <c r="AD23" s="29">
        <f ca="1">'[1]INVENTARIO NACIONAL 17-08-26'!AD23</f>
        <v>-1610.777777777781</v>
      </c>
      <c r="AE23" s="30">
        <f ca="1">'[1]INVENTARIO NACIONAL 17-08-26'!AE23</f>
        <v>17388.888888888891</v>
      </c>
      <c r="AF23" s="28">
        <f ca="1">'[1]INVENTARIO NACIONAL 17-08-26'!AF23</f>
        <v>18999.666666666672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22680.555555555555</v>
      </c>
      <c r="AB24" s="25">
        <f ca="1">'[1]INVENTARIO NACIONAL 17-08-26'!AB24</f>
        <v>11.043380281690141</v>
      </c>
      <c r="AC24" s="26">
        <f ca="1">'[1]INVENTARIO NACIONAL 17-08-26'!AC24</f>
        <v>1.1043380281690141</v>
      </c>
      <c r="AD24" s="29">
        <f ca="1">'[1]INVENTARIO NACIONAL 17-08-26'!AD24</f>
        <v>2366.4444444444453</v>
      </c>
      <c r="AE24" s="30">
        <f ca="1">'[1]INVENTARIO NACIONAL 17-08-26'!AE24</f>
        <v>11340.277777777777</v>
      </c>
      <c r="AF24" s="28">
        <f ca="1">'[1]INVENTARIO NACIONAL 17-08-26'!AF24</f>
        <v>8973.8333333333321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22049.444444444445</v>
      </c>
      <c r="AB25" s="25">
        <f ca="1">'[1]INVENTARIO NACIONAL 17-08-26'!AB25</f>
        <v>11.744967119352969</v>
      </c>
      <c r="AC25" s="26">
        <f ca="1">'[1]INVENTARIO NACIONAL 17-08-26'!AC25</f>
        <v>1.1744967119352969</v>
      </c>
      <c r="AD25" s="29">
        <f ca="1">'[1]INVENTARIO NACIONAL 17-08-26'!AD25</f>
        <v>3847.5555555555547</v>
      </c>
      <c r="AE25" s="30">
        <f ca="1">'[1]INVENTARIO NACIONAL 17-08-26'!AE25</f>
        <v>11024.722222222223</v>
      </c>
      <c r="AF25" s="28">
        <f ca="1">'[1]INVENTARIO NACIONAL 17-08-26'!AF25</f>
        <v>7177.1666666666679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26370</v>
      </c>
      <c r="AB26" s="25">
        <f ca="1">'[1]INVENTARIO NACIONAL 17-08-26'!AB26</f>
        <v>11.235874099355328</v>
      </c>
      <c r="AC26" s="26">
        <f ca="1">'[1]INVENTARIO NACIONAL 17-08-26'!AC26</f>
        <v>1.1235874099355327</v>
      </c>
      <c r="AD26" s="29">
        <f ca="1">'[1]INVENTARIO NACIONAL 17-08-26'!AD26</f>
        <v>3259</v>
      </c>
      <c r="AE26" s="30">
        <f ca="1">'[1]INVENTARIO NACIONAL 17-08-26'!AE26</f>
        <v>13185</v>
      </c>
      <c r="AF26" s="28">
        <f ca="1">'[1]INVENTARIO NACIONAL 17-08-26'!AF26</f>
        <v>9926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178.33333333333331</v>
      </c>
      <c r="AB27" s="25">
        <f ca="1">'[1]INVENTARIO NACIONAL 17-08-26'!AB27</f>
        <v>85.00934579439253</v>
      </c>
      <c r="AC27" s="26">
        <f ca="1">'[1]INVENTARIO NACIONAL 17-08-26'!AC27</f>
        <v>8.500934579439253</v>
      </c>
      <c r="AD27" s="29">
        <f ca="1">'[1]INVENTARIO NACIONAL 17-08-26'!AD27</f>
        <v>1337.6666666666667</v>
      </c>
      <c r="AE27" s="30">
        <f ca="1">'[1]INVENTARIO NACIONAL 17-08-26'!AE27</f>
        <v>89.166666666666657</v>
      </c>
      <c r="AF27" s="28">
        <f ca="1">'[1]INVENTARIO NACIONAL 17-08-26'!AF27</f>
        <v>-1248.5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8.4591078066914491</v>
      </c>
      <c r="M28" s="33">
        <f ca="1">'[1]INVENTARIO NACIONAL 17-08-26'!M28</f>
        <v>7890.666666666667</v>
      </c>
      <c r="N28" s="18">
        <f ca="1">'[1]INVENTARIO NACIONAL 17-08-26'!N28</f>
        <v>-2346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3586.666666666667</v>
      </c>
      <c r="AB28" s="25">
        <f ca="1">'[1]INVENTARIO NACIONAL 17-08-26'!AB28</f>
        <v>13.419144981412639</v>
      </c>
      <c r="AC28" s="26">
        <f ca="1">'[1]INVENTARIO NACIONAL 17-08-26'!AC28</f>
        <v>1.3419144981412638</v>
      </c>
      <c r="AD28" s="29">
        <f ca="1">'[1]INVENTARIO NACIONAL 17-08-26'!AD28</f>
        <v>1226.333333333333</v>
      </c>
      <c r="AE28" s="30">
        <f ca="1">'[1]INVENTARIO NACIONAL 17-08-26'!AE28</f>
        <v>1793.3333333333335</v>
      </c>
      <c r="AF28" s="28">
        <f ca="1">'[1]INVENTARIO NACIONAL 17-08-26'!AF28</f>
        <v>567.00000000000045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6.9613664091093952</v>
      </c>
      <c r="M29" s="33">
        <f ca="1">'[1]INVENTARIO NACIONAL 17-08-26'!M29</f>
        <v>9016.3333333333321</v>
      </c>
      <c r="N29" s="18">
        <f ca="1">'[1]INVENTARIO NACIONAL 17-08-26'!N29</f>
        <v>-3294.4999999999991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4098.333333333333</v>
      </c>
      <c r="AB29" s="25">
        <f ca="1">'[1]INVENTARIO NACIONAL 17-08-26'!AB29</f>
        <v>11.109394062627084</v>
      </c>
      <c r="AC29" s="26">
        <f ca="1">'[1]INVENTARIO NACIONAL 17-08-26'!AC29</f>
        <v>1.1109394062627085</v>
      </c>
      <c r="AD29" s="29">
        <f ca="1">'[1]INVENTARIO NACIONAL 17-08-26'!AD29</f>
        <v>454.66666666666697</v>
      </c>
      <c r="AE29" s="30">
        <f ca="1">'[1]INVENTARIO NACIONAL 17-08-26'!AE29</f>
        <v>2049.1666666666665</v>
      </c>
      <c r="AF29" s="28">
        <f ca="1">'[1]INVENTARIO NACIONAL 17-08-26'!AF29</f>
        <v>1594.4999999999995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7.1653208669783242</v>
      </c>
      <c r="M30" s="33">
        <f ca="1">'[1]INVENTARIO NACIONAL 17-08-26'!M30</f>
        <v>8627.6666666666679</v>
      </c>
      <c r="N30" s="18">
        <f ca="1">'[1]INVENTARIO NACIONAL 17-08-26'!N30</f>
        <v>-3072.5000000000009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3921.666666666667</v>
      </c>
      <c r="AB30" s="25">
        <f ca="1">'[1]INVENTARIO NACIONAL 17-08-26'!AB30</f>
        <v>15.371015724606885</v>
      </c>
      <c r="AC30" s="26">
        <f ca="1">'[1]INVENTARIO NACIONAL 17-08-26'!AC30</f>
        <v>1.5371015724606885</v>
      </c>
      <c r="AD30" s="29">
        <f ca="1">'[1]INVENTARIO NACIONAL 17-08-26'!AD30</f>
        <v>2106.333333333333</v>
      </c>
      <c r="AE30" s="30">
        <f ca="1">'[1]INVENTARIO NACIONAL 17-08-26'!AE30</f>
        <v>1960.8333333333335</v>
      </c>
      <c r="AF30" s="28">
        <f ca="1">'[1]INVENTARIO NACIONAL 17-08-26'!AF30</f>
        <v>-145.49999999999955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2288.8888888888887</v>
      </c>
      <c r="AB31" s="25">
        <f ca="1">'[1]INVENTARIO NACIONAL 17-08-26'!AB31</f>
        <v>5.9898058252427191</v>
      </c>
      <c r="AC31" s="26">
        <f ca="1">'[1]INVENTARIO NACIONAL 17-08-26'!AC31</f>
        <v>0.59898058252427189</v>
      </c>
      <c r="AD31" s="29">
        <f ca="1">'[1]INVENTARIO NACIONAL 17-08-26'!AD31</f>
        <v>-917.88888888888869</v>
      </c>
      <c r="AE31" s="30">
        <f ca="1">'[1]INVENTARIO NACIONAL 17-08-26'!AE31</f>
        <v>1144.4444444444443</v>
      </c>
      <c r="AF31" s="28">
        <f ca="1">'[1]INVENTARIO NACIONAL 17-08-26'!AF31</f>
        <v>2062.333333333333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1353.3333333333335</v>
      </c>
      <c r="AB32" s="25">
        <f ca="1">'[1]INVENTARIO NACIONAL 17-08-26'!AB32</f>
        <v>7.2413793103448274</v>
      </c>
      <c r="AC32" s="26">
        <f ca="1">'[1]INVENTARIO NACIONAL 17-08-26'!AC32</f>
        <v>0.72413793103448265</v>
      </c>
      <c r="AD32" s="29">
        <f ca="1">'[1]INVENTARIO NACIONAL 17-08-26'!AD32</f>
        <v>-373.33333333333348</v>
      </c>
      <c r="AE32" s="30">
        <f ca="1">'[1]INVENTARIO NACIONAL 17-08-26'!AE32</f>
        <v>676.66666666666674</v>
      </c>
      <c r="AF32" s="28">
        <f ca="1">'[1]INVENTARIO NACIONAL 17-08-26'!AF32</f>
        <v>1050.0000000000002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5106.666666666667</v>
      </c>
      <c r="AB33" s="25">
        <f ca="1">'[1]INVENTARIO NACIONAL 17-08-26'!AB33</f>
        <v>6.4660574412532634</v>
      </c>
      <c r="AC33" s="26">
        <f ca="1">'[1]INVENTARIO NACIONAL 17-08-26'!AC33</f>
        <v>0.64660574412532634</v>
      </c>
      <c r="AD33" s="29">
        <f ca="1">'[1]INVENTARIO NACIONAL 17-08-26'!AD33</f>
        <v>-1804.666666666667</v>
      </c>
      <c r="AE33" s="30">
        <f ca="1">'[1]INVENTARIO NACIONAL 17-08-26'!AE33</f>
        <v>2553.3333333333335</v>
      </c>
      <c r="AF33" s="28">
        <f ca="1">'[1]INVENTARIO NACIONAL 17-08-26'!AF33</f>
        <v>4358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8115.5555555555557</v>
      </c>
      <c r="AB34" s="25">
        <f ca="1">'[1]INVENTARIO NACIONAL 17-08-26'!AB34</f>
        <v>7.7714950711938666</v>
      </c>
      <c r="AC34" s="26">
        <f ca="1">'[1]INVENTARIO NACIONAL 17-08-26'!AC34</f>
        <v>0.77714950711938657</v>
      </c>
      <c r="AD34" s="29">
        <f ca="1">'[1]INVENTARIO NACIONAL 17-08-26'!AD34</f>
        <v>-1808.5555555555557</v>
      </c>
      <c r="AE34" s="30">
        <f ca="1">'[1]INVENTARIO NACIONAL 17-08-26'!AE34</f>
        <v>4057.7777777777778</v>
      </c>
      <c r="AF34" s="28">
        <f ca="1">'[1]INVENTARIO NACIONAL 17-08-26'!AF34</f>
        <v>5866.3333333333339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696.66666666666674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-696.66666666666674</v>
      </c>
      <c r="AE35" s="30">
        <f ca="1">'[1]INVENTARIO NACIONAL 17-08-26'!AE35</f>
        <v>348.33333333333337</v>
      </c>
      <c r="AF35" s="28">
        <f ca="1">'[1]INVENTARIO NACIONAL 17-08-26'!AF35</f>
        <v>1045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7091.6666666666661</v>
      </c>
      <c r="AB36" s="25">
        <f ca="1">'[1]INVENTARIO NACIONAL 17-08-26'!AB36</f>
        <v>0.76568742655699185</v>
      </c>
      <c r="AC36" s="26">
        <f ca="1">'[1]INVENTARIO NACIONAL 17-08-26'!AC36</f>
        <v>7.6568742655699185E-2</v>
      </c>
      <c r="AD36" s="29">
        <f ca="1">'[1]INVENTARIO NACIONAL 17-08-26'!AD36</f>
        <v>-6548.6666666666661</v>
      </c>
      <c r="AE36" s="30">
        <f ca="1">'[1]INVENTARIO NACIONAL 17-08-26'!AE36</f>
        <v>3545.833333333333</v>
      </c>
      <c r="AF36" s="28">
        <f ca="1">'[1]INVENTARIO NACIONAL 17-08-26'!AF36</f>
        <v>10094.5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11621.666666666668</v>
      </c>
      <c r="AB37" s="25">
        <f ca="1">'[1]INVENTARIO NACIONAL 17-08-26'!AB37</f>
        <v>8.7491753907930576</v>
      </c>
      <c r="AC37" s="26">
        <f ca="1">'[1]INVENTARIO NACIONAL 17-08-26'!AC37</f>
        <v>0.87491753907930581</v>
      </c>
      <c r="AD37" s="29">
        <f ca="1">'[1]INVENTARIO NACIONAL 17-08-26'!AD37</f>
        <v>-1453.6666666666679</v>
      </c>
      <c r="AE37" s="30">
        <f ca="1">'[1]INVENTARIO NACIONAL 17-08-26'!AE37</f>
        <v>5810.8333333333339</v>
      </c>
      <c r="AF37" s="28">
        <f ca="1">'[1]INVENTARIO NACIONAL 17-08-26'!AF37</f>
        <v>7264.5000000000018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5161.1111111111113</v>
      </c>
      <c r="AB38" s="25">
        <f ca="1">'[1]INVENTARIO NACIONAL 17-08-26'!AB38</f>
        <v>19.100538213132403</v>
      </c>
      <c r="AC38" s="26">
        <f ca="1">'[1]INVENTARIO NACIONAL 17-08-26'!AC38</f>
        <v>1.9100538213132399</v>
      </c>
      <c r="AD38" s="29">
        <f ca="1">'[1]INVENTARIO NACIONAL 17-08-26'!AD38</f>
        <v>4696.8888888888887</v>
      </c>
      <c r="AE38" s="30">
        <f ca="1">'[1]INVENTARIO NACIONAL 17-08-26'!AE38</f>
        <v>2580.5555555555557</v>
      </c>
      <c r="AF38" s="28">
        <f ca="1">'[1]INVENTARIO NACIONAL 17-08-26'!AF38</f>
        <v>-2116.333333333333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3957.2222222222222</v>
      </c>
      <c r="AB39" s="25">
        <f ca="1">'[1]INVENTARIO NACIONAL 17-08-26'!AB39</f>
        <v>4.9681314053067531</v>
      </c>
      <c r="AC39" s="26">
        <f ca="1">'[1]INVENTARIO NACIONAL 17-08-26'!AC39</f>
        <v>0.49681314053067527</v>
      </c>
      <c r="AD39" s="29">
        <f ca="1">'[1]INVENTARIO NACIONAL 17-08-26'!AD39</f>
        <v>-1991.2222222222222</v>
      </c>
      <c r="AE39" s="30">
        <f ca="1">'[1]INVENTARIO NACIONAL 17-08-26'!AE39</f>
        <v>1978.6111111111111</v>
      </c>
      <c r="AF39" s="28">
        <f ca="1">'[1]INVENTARIO NACIONAL 17-08-26'!AF39</f>
        <v>3969.833333333333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677.22222222222229</v>
      </c>
      <c r="AB40" s="25">
        <f ca="1">'[1]INVENTARIO NACIONAL 17-08-26'!AB40</f>
        <v>67.127153404429848</v>
      </c>
      <c r="AC40" s="26">
        <f ca="1">'[1]INVENTARIO NACIONAL 17-08-26'!AC40</f>
        <v>6.7127153404429851</v>
      </c>
      <c r="AD40" s="29">
        <f ca="1">'[1]INVENTARIO NACIONAL 17-08-26'!AD40</f>
        <v>3868.7777777777778</v>
      </c>
      <c r="AE40" s="30">
        <f ca="1">'[1]INVENTARIO NACIONAL 17-08-26'!AE40</f>
        <v>338.61111111111114</v>
      </c>
      <c r="AF40" s="28">
        <f ca="1">'[1]INVENTARIO NACIONAL 17-08-26'!AF40</f>
        <v>-3530.1666666666665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1343.8888888888889</v>
      </c>
      <c r="AB43" s="25">
        <f ca="1">'[1]INVENTARIO NACIONAL 17-08-26'!AB43</f>
        <v>4.9185613890037203</v>
      </c>
      <c r="AC43" s="26">
        <f ca="1">'[1]INVENTARIO NACIONAL 17-08-26'!AC43</f>
        <v>0.49185613890037205</v>
      </c>
      <c r="AD43" s="29">
        <f ca="1">'[1]INVENTARIO NACIONAL 17-08-26'!AD43</f>
        <v>-682.88888888888891</v>
      </c>
      <c r="AE43" s="30">
        <f ca="1">'[1]INVENTARIO NACIONAL 17-08-26'!AE43</f>
        <v>671.94444444444446</v>
      </c>
      <c r="AF43" s="28">
        <f ca="1">'[1]INVENTARIO NACIONAL 17-08-26'!AF43</f>
        <v>1354.8333333333335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6372.2222222222217</v>
      </c>
      <c r="AB44" s="25">
        <f ca="1">'[1]INVENTARIO NACIONAL 17-08-26'!AB44</f>
        <v>1.7811682650392329</v>
      </c>
      <c r="AC44" s="26">
        <f ca="1">'[1]INVENTARIO NACIONAL 17-08-26'!AC44</f>
        <v>0.1781168265039233</v>
      </c>
      <c r="AD44" s="29">
        <f ca="1">'[1]INVENTARIO NACIONAL 17-08-26'!AD44</f>
        <v>-5237.2222222222217</v>
      </c>
      <c r="AE44" s="30">
        <f ca="1">'[1]INVENTARIO NACIONAL 17-08-26'!AE44</f>
        <v>3186.1111111111109</v>
      </c>
      <c r="AF44" s="28">
        <f ca="1">'[1]INVENTARIO NACIONAL 17-08-26'!AF44</f>
        <v>8423.3333333333321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6313.8888888888887</v>
      </c>
      <c r="AB45" s="25">
        <f ca="1">'[1]INVENTARIO NACIONAL 17-08-26'!AB45</f>
        <v>6.5759788825340957</v>
      </c>
      <c r="AC45" s="26">
        <f ca="1">'[1]INVENTARIO NACIONAL 17-08-26'!AC45</f>
        <v>0.65759788825340959</v>
      </c>
      <c r="AD45" s="29">
        <f ca="1">'[1]INVENTARIO NACIONAL 17-08-26'!AD45</f>
        <v>-2161.8888888888887</v>
      </c>
      <c r="AE45" s="30">
        <f ca="1">'[1]INVENTARIO NACIONAL 17-08-26'!AE45</f>
        <v>3156.9444444444443</v>
      </c>
      <c r="AF45" s="28">
        <f ca="1">'[1]INVENTARIO NACIONAL 17-08-26'!AF45</f>
        <v>5318.833333333333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8413.3333333333339</v>
      </c>
      <c r="AB46" s="25">
        <f ca="1">'[1]INVENTARIO NACIONAL 17-08-26'!AB46</f>
        <v>10.164817749603802</v>
      </c>
      <c r="AC46" s="26">
        <f ca="1">'[1]INVENTARIO NACIONAL 17-08-26'!AC46</f>
        <v>1.0164817749603803</v>
      </c>
      <c r="AD46" s="29">
        <f ca="1">'[1]INVENTARIO NACIONAL 17-08-26'!AD46</f>
        <v>138.66666666666606</v>
      </c>
      <c r="AE46" s="30">
        <f ca="1">'[1]INVENTARIO NACIONAL 17-08-26'!AE46</f>
        <v>4206.666666666667</v>
      </c>
      <c r="AF46" s="28">
        <f ca="1">'[1]INVENTARIO NACIONAL 17-08-26'!AF46</f>
        <v>4068.0000000000009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5701.6666666666661</v>
      </c>
      <c r="AB47" s="25">
        <f ca="1">'[1]INVENTARIO NACIONAL 17-08-26'!AB47</f>
        <v>11.808827828120434</v>
      </c>
      <c r="AC47" s="26">
        <f ca="1">'[1]INVENTARIO NACIONAL 17-08-26'!AC47</f>
        <v>1.1808827828120434</v>
      </c>
      <c r="AD47" s="29">
        <f ca="1">'[1]INVENTARIO NACIONAL 17-08-26'!AD47</f>
        <v>1031.3333333333339</v>
      </c>
      <c r="AE47" s="30">
        <f ca="1">'[1]INVENTARIO NACIONAL 17-08-26'!AE47</f>
        <v>2850.833333333333</v>
      </c>
      <c r="AF47" s="28">
        <f ca="1">'[1]INVENTARIO NACIONAL 17-08-26'!AF47</f>
        <v>1819.4999999999991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24.444444444444446</v>
      </c>
      <c r="AB48" s="25">
        <f ca="1">'[1]INVENTARIO NACIONAL 17-08-26'!AB48</f>
        <v>2138.3181818181815</v>
      </c>
      <c r="AC48" s="26">
        <f ca="1">'[1]INVENTARIO NACIONAL 17-08-26'!AC48</f>
        <v>213.83181818181816</v>
      </c>
      <c r="AD48" s="29">
        <f ca="1">'[1]INVENTARIO NACIONAL 17-08-26'!AD48</f>
        <v>5202.5555555555557</v>
      </c>
      <c r="AE48" s="30">
        <f ca="1">'[1]INVENTARIO NACIONAL 17-08-26'!AE48</f>
        <v>12.222222222222223</v>
      </c>
      <c r="AF48" s="28">
        <f ca="1">'[1]INVENTARIO NACIONAL 17-08-26'!AF48</f>
        <v>-5190.333333333333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 t="e">
        <f>'[1]INVENTARIO NACIONAL 17-08-26'!AA49</f>
        <v>#REF!</v>
      </c>
      <c r="AB49" s="25" t="e">
        <f>'[1]INVENTARIO NACIONAL 17-08-26'!AB49</f>
        <v>#REF!</v>
      </c>
      <c r="AC49" s="26" t="e">
        <f>'[1]INVENTARIO NACIONAL 17-08-26'!AC49</f>
        <v>#REF!</v>
      </c>
      <c r="AD49" s="29" t="e">
        <f>'[1]INVENTARIO NACIONAL 17-08-26'!AD49</f>
        <v>#REF!</v>
      </c>
      <c r="AE49" s="30" t="e">
        <f>'[1]INVENTARIO NACIONAL 17-08-26'!AE49</f>
        <v>#REF!</v>
      </c>
      <c r="AF49" s="28" t="e">
        <f>'[1]INVENTARIO NACIONAL 17-08-26'!AF49</f>
        <v>#REF!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575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-564</v>
      </c>
      <c r="AE50" s="30">
        <f ca="1">'[1]INVENTARIO NACIONAL 17-08-26'!AE50</f>
        <v>287.5</v>
      </c>
      <c r="AF50" s="28">
        <f ca="1">'[1]INVENTARIO NACIONAL 17-08-26'!AF50</f>
        <v>851.5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5</v>
      </c>
      <c r="AB51" s="25">
        <f ca="1">'[1]INVENTARIO NACIONAL 17-08-26'!AB51</f>
        <v>86</v>
      </c>
      <c r="AC51" s="26">
        <f ca="1">'[1]INVENTARIO NACIONAL 17-08-26'!AC51</f>
        <v>8.6</v>
      </c>
      <c r="AD51" s="29">
        <f ca="1">'[1]INVENTARIO NACIONAL 17-08-26'!AD51</f>
        <v>38</v>
      </c>
      <c r="AE51" s="30">
        <f ca="1">'[1]INVENTARIO NACIONAL 17-08-26'!AE51</f>
        <v>2.5</v>
      </c>
      <c r="AF51" s="28">
        <f ca="1">'[1]INVENTARIO NACIONAL 17-08-26'!AF51</f>
        <v>-35.5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5255.5555555555557</v>
      </c>
      <c r="AB53" s="25">
        <f ca="1">'[1]INVENTARIO NACIONAL 17-08-26'!AB53</f>
        <v>7.6109936575052854E-3</v>
      </c>
      <c r="AC53" s="26">
        <f ca="1">'[1]INVENTARIO NACIONAL 17-08-26'!AC53</f>
        <v>7.610993657505285E-4</v>
      </c>
      <c r="AD53" s="29">
        <f ca="1">'[1]INVENTARIO NACIONAL 17-08-26'!AD53</f>
        <v>-5251.5555555555557</v>
      </c>
      <c r="AE53" s="30">
        <f ca="1">'[1]INVENTARIO NACIONAL 17-08-26'!AE53</f>
        <v>2627.7777777777778</v>
      </c>
      <c r="AF53" s="28">
        <f ca="1">'[1]INVENTARIO NACIONAL 17-08-26'!AF53</f>
        <v>7879.3333333333339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380.55555555555554</v>
      </c>
      <c r="AB54" s="25">
        <f ca="1">'[1]INVENTARIO NACIONAL 17-08-26'!AB54</f>
        <v>593.15912408759118</v>
      </c>
      <c r="AC54" s="26">
        <f ca="1">'[1]INVENTARIO NACIONAL 17-08-26'!AC54</f>
        <v>59.315912408759125</v>
      </c>
      <c r="AD54" s="29">
        <f ca="1">'[1]INVENTARIO NACIONAL 17-08-26'!AD54</f>
        <v>22192.444444444445</v>
      </c>
      <c r="AE54" s="30">
        <f ca="1">'[1]INVENTARIO NACIONAL 17-08-26'!AE54</f>
        <v>190.27777777777777</v>
      </c>
      <c r="AF54" s="28">
        <f ca="1">'[1]INVENTARIO NACIONAL 17-08-26'!AF54</f>
        <v>-22002.166666666668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3025.5555555555557</v>
      </c>
      <c r="AB55" s="25">
        <f ca="1">'[1]INVENTARIO NACIONAL 17-08-26'!AB55</f>
        <v>96.607051046639739</v>
      </c>
      <c r="AC55" s="26">
        <f ca="1">'[1]INVENTARIO NACIONAL 17-08-26'!AC55</f>
        <v>9.6607051046639736</v>
      </c>
      <c r="AD55" s="29">
        <f ca="1">'[1]INVENTARIO NACIONAL 17-08-26'!AD55</f>
        <v>26203.444444444445</v>
      </c>
      <c r="AE55" s="30">
        <f ca="1">'[1]INVENTARIO NACIONAL 17-08-26'!AE55</f>
        <v>1512.7777777777778</v>
      </c>
      <c r="AF55" s="28">
        <f ca="1">'[1]INVENTARIO NACIONAL 17-08-26'!AF55</f>
        <v>-24690.666666666668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5395.5555555555557</v>
      </c>
      <c r="AB56" s="25">
        <f ca="1">'[1]INVENTARIO NACIONAL 17-08-26'!AB56</f>
        <v>29.932042833607909</v>
      </c>
      <c r="AC56" s="26">
        <f ca="1">'[1]INVENTARIO NACIONAL 17-08-26'!AC56</f>
        <v>2.9932042833607908</v>
      </c>
      <c r="AD56" s="29">
        <f ca="1">'[1]INVENTARIO NACIONAL 17-08-26'!AD56</f>
        <v>10754.444444444445</v>
      </c>
      <c r="AE56" s="30">
        <f ca="1">'[1]INVENTARIO NACIONAL 17-08-26'!AE56</f>
        <v>2697.7777777777778</v>
      </c>
      <c r="AF56" s="28">
        <f ca="1">'[1]INVENTARIO NACIONAL 17-08-26'!AF56</f>
        <v>-8056.6666666666679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3161.666666666667</v>
      </c>
      <c r="AB57" s="25">
        <f ca="1">'[1]INVENTARIO NACIONAL 17-08-26'!AB57</f>
        <v>61.015287295730097</v>
      </c>
      <c r="AC57" s="26">
        <f ca="1">'[1]INVENTARIO NACIONAL 17-08-26'!AC57</f>
        <v>6.1015287295730092</v>
      </c>
      <c r="AD57" s="29">
        <f ca="1">'[1]INVENTARIO NACIONAL 17-08-26'!AD57</f>
        <v>16129.333333333332</v>
      </c>
      <c r="AE57" s="30">
        <f ca="1">'[1]INVENTARIO NACIONAL 17-08-26'!AE57</f>
        <v>1580.8333333333335</v>
      </c>
      <c r="AF57" s="28">
        <f ca="1">'[1]INVENTARIO NACIONAL 17-08-26'!AF57</f>
        <v>-14548.499999999998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2933.8888888888891</v>
      </c>
      <c r="AB58" s="25">
        <f ca="1">'[1]INVENTARIO NACIONAL 17-08-26'!AB58</f>
        <v>2.4370384396894527</v>
      </c>
      <c r="AC58" s="26">
        <f ca="1">'[1]INVENTARIO NACIONAL 17-08-26'!AC58</f>
        <v>0.24370384396894526</v>
      </c>
      <c r="AD58" s="29">
        <f ca="1">'[1]INVENTARIO NACIONAL 17-08-26'!AD58</f>
        <v>-2218.8888888888891</v>
      </c>
      <c r="AE58" s="30">
        <f ca="1">'[1]INVENTARIO NACIONAL 17-08-26'!AE58</f>
        <v>1466.9444444444446</v>
      </c>
      <c r="AF58" s="28">
        <f ca="1">'[1]INVENTARIO NACIONAL 17-08-26'!AF58</f>
        <v>3685.8333333333339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608.33333333333337</v>
      </c>
      <c r="AB59" s="25">
        <f ca="1">'[1]INVENTARIO NACIONAL 17-08-26'!AB59</f>
        <v>6.3452054794520549</v>
      </c>
      <c r="AC59" s="26">
        <f ca="1">'[1]INVENTARIO NACIONAL 17-08-26'!AC59</f>
        <v>0.6345205479452054</v>
      </c>
      <c r="AD59" s="29">
        <f ca="1">'[1]INVENTARIO NACIONAL 17-08-26'!AD59</f>
        <v>-222.33333333333337</v>
      </c>
      <c r="AE59" s="30">
        <f ca="1">'[1]INVENTARIO NACIONAL 17-08-26'!AE59</f>
        <v>304.16666666666669</v>
      </c>
      <c r="AF59" s="28">
        <f ca="1">'[1]INVENTARIO NACIONAL 17-08-26'!AF59</f>
        <v>526.5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1091.6666666666667</v>
      </c>
      <c r="AB60" s="25">
        <f ca="1">'[1]INVENTARIO NACIONAL 17-08-26'!AB60</f>
        <v>2.729770992366412</v>
      </c>
      <c r="AC60" s="26">
        <f ca="1">'[1]INVENTARIO NACIONAL 17-08-26'!AC60</f>
        <v>0.27297709923664121</v>
      </c>
      <c r="AD60" s="29">
        <f ca="1">'[1]INVENTARIO NACIONAL 17-08-26'!AD60</f>
        <v>-793.66666666666674</v>
      </c>
      <c r="AE60" s="30">
        <f ca="1">'[1]INVENTARIO NACIONAL 17-08-26'!AE60</f>
        <v>545.83333333333337</v>
      </c>
      <c r="AF60" s="28">
        <f ca="1">'[1]INVENTARIO NACIONAL 17-08-26'!AF60</f>
        <v>1339.5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517.77777777777783</v>
      </c>
      <c r="AB61" s="25">
        <f ca="1">'[1]INVENTARIO NACIONAL 17-08-26'!AB61</f>
        <v>2.8197424892703857</v>
      </c>
      <c r="AC61" s="26">
        <f ca="1">'[1]INVENTARIO NACIONAL 17-08-26'!AC61</f>
        <v>0.2819742489270386</v>
      </c>
      <c r="AD61" s="29">
        <f ca="1">'[1]INVENTARIO NACIONAL 17-08-26'!AD61</f>
        <v>-371.77777777777783</v>
      </c>
      <c r="AE61" s="30">
        <f ca="1">'[1]INVENTARIO NACIONAL 17-08-26'!AE61</f>
        <v>258.88888888888891</v>
      </c>
      <c r="AF61" s="28">
        <f ca="1">'[1]INVENTARIO NACIONAL 17-08-26'!AF61</f>
        <v>630.66666666666674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156899.66666666666</v>
      </c>
    </row>
    <row r="63" spans="2:33" x14ac:dyDescent="0.25">
      <c r="B63" s="45" t="s">
        <v>86</v>
      </c>
      <c r="C63" s="46"/>
      <c r="D63" s="46"/>
      <c r="E63" s="64" t="s">
        <v>87</v>
      </c>
      <c r="F63" s="64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5" t="s">
        <v>88</v>
      </c>
      <c r="C64" s="65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5" t="s">
        <v>92</v>
      </c>
      <c r="C68" s="65"/>
      <c r="D68" s="50">
        <f>SUM(Z13:Z61)</f>
        <v>421177.93000000017</v>
      </c>
      <c r="E68" s="66">
        <f>D68*100/D68</f>
        <v>100</v>
      </c>
      <c r="F68" s="66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5" t="s">
        <v>94</v>
      </c>
      <c r="C71" s="65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7">
        <f>D74*100/D75</f>
        <v>11.039956032533535</v>
      </c>
      <c r="F74" s="67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5" t="s">
        <v>98</v>
      </c>
      <c r="C75" s="65"/>
      <c r="D75" s="55">
        <f>SUM(Y13:Y61)</f>
        <v>334793</v>
      </c>
      <c r="E75" s="67">
        <f>D75*100/D75</f>
        <v>100</v>
      </c>
      <c r="F75" s="67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72:F72"/>
    <mergeCell ref="E73:F73"/>
    <mergeCell ref="E74:F74"/>
    <mergeCell ref="B75:C75"/>
    <mergeCell ref="E75:F75"/>
    <mergeCell ref="E66:F66"/>
    <mergeCell ref="E67:F67"/>
    <mergeCell ref="B68:C68"/>
    <mergeCell ref="E68:F68"/>
    <mergeCell ref="B71:C71"/>
    <mergeCell ref="E71:F71"/>
    <mergeCell ref="E65:F65"/>
    <mergeCell ref="B1:Z6"/>
    <mergeCell ref="AA1:AG6"/>
    <mergeCell ref="E63:F63"/>
    <mergeCell ref="B64:C64"/>
    <mergeCell ref="E64:F64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2026-08-27T12:50:50Z</dcterms:modified>
</cp:coreProperties>
</file>