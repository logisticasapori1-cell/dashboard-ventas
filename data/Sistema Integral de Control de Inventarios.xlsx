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C0FA0A5-AF8C-48D6-AFF8-0B6ADFBF0976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" l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D74" i="1" l="1"/>
  <c r="D70" i="1"/>
  <c r="D63" i="1"/>
  <c r="D72" i="1"/>
  <c r="D65" i="1"/>
  <c r="D67" i="1"/>
  <c r="E67" i="1" s="1"/>
  <c r="AK60" i="1"/>
  <c r="AM59" i="1"/>
  <c r="D62" i="1"/>
  <c r="D71" i="1"/>
  <c r="D64" i="1"/>
  <c r="D73" i="1"/>
  <c r="D66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<sst xmlns="http://schemas.openxmlformats.org/spreadsheetml/2006/main" count="20" uniqueCount="20">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</sst>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  <row r="13">
          <cell r="B13" t="str">
            <v>110150</v>
          </cell>
          <cell r="C13" t="str">
            <v>Cremosillo Tradicional 150g</v>
          </cell>
          <cell r="D13">
            <v>1.36</v>
          </cell>
          <cell r="E13">
            <v>1806</v>
          </cell>
          <cell r="F13">
            <v>2456.1600000000003</v>
          </cell>
          <cell r="G13">
            <v>2.3176806859942833</v>
          </cell>
          <cell r="H13">
            <v>17143</v>
          </cell>
          <cell r="I13">
            <v>-5986.2727272727279</v>
          </cell>
          <cell r="J13">
            <v>5294</v>
          </cell>
          <cell r="K13">
            <v>7199.84</v>
          </cell>
          <cell r="L13">
            <v>21.745332337565348</v>
          </cell>
          <cell r="M13">
            <v>5356</v>
          </cell>
          <cell r="N13">
            <v>2859.4545454545455</v>
          </cell>
          <cell r="O13">
            <v>237</v>
          </cell>
          <cell r="P13">
            <v>322.32000000000005</v>
          </cell>
          <cell r="Q13">
            <v>6.0557491289198611</v>
          </cell>
          <cell r="R13">
            <v>861</v>
          </cell>
          <cell r="S13">
            <v>-350.0454545454545</v>
          </cell>
          <cell r="T13">
            <v>453</v>
          </cell>
          <cell r="U13">
            <v>616.08000000000004</v>
          </cell>
          <cell r="V13">
            <v>8.3467336683417077</v>
          </cell>
          <cell r="W13">
            <v>1194</v>
          </cell>
          <cell r="X13">
            <v>-361.09090909090912</v>
          </cell>
          <cell r="Y13">
            <v>421</v>
          </cell>
          <cell r="Z13">
            <v>572.56000000000006</v>
          </cell>
          <cell r="AA13">
            <v>23.388888888888889</v>
          </cell>
          <cell r="AB13">
            <v>396</v>
          </cell>
          <cell r="AC13">
            <v>151</v>
          </cell>
          <cell r="AD13">
            <v>8211</v>
          </cell>
          <cell r="AE13">
            <v>11166.960000000001</v>
          </cell>
          <cell r="AF13">
            <v>11880.952380952382</v>
          </cell>
          <cell r="AG13">
            <v>6.9110621242484971</v>
          </cell>
          <cell r="AH13">
            <v>0.69110621242484971</v>
          </cell>
          <cell r="AI13">
            <v>-3669.9523809523816</v>
          </cell>
          <cell r="AJ13">
            <v>5940.4761904761908</v>
          </cell>
          <cell r="AK13">
            <v>9610.4285714285725</v>
          </cell>
          <cell r="AL13">
            <v>102.6375</v>
          </cell>
        </row>
        <row r="14">
          <cell r="B14" t="str">
            <v>110151</v>
          </cell>
          <cell r="C14" t="str">
            <v>Cremosillo Coco 150g</v>
          </cell>
          <cell r="D14">
            <v>1.59</v>
          </cell>
          <cell r="E14">
            <v>185</v>
          </cell>
          <cell r="F14">
            <v>294.15000000000003</v>
          </cell>
          <cell r="G14">
            <v>5.3412073490813654</v>
          </cell>
          <cell r="H14">
            <v>762</v>
          </cell>
          <cell r="I14">
            <v>-161.36363636363632</v>
          </cell>
          <cell r="J14">
            <v>203</v>
          </cell>
          <cell r="K14">
            <v>322.77000000000004</v>
          </cell>
          <cell r="L14">
            <v>7.7804878048780495</v>
          </cell>
          <cell r="M14">
            <v>574</v>
          </cell>
          <cell r="N14">
            <v>-57.909090909090878</v>
          </cell>
          <cell r="O14">
            <v>12</v>
          </cell>
          <cell r="P14">
            <v>19.080000000000002</v>
          </cell>
          <cell r="Q14">
            <v>1.5529411764705883</v>
          </cell>
          <cell r="R14">
            <v>170</v>
          </cell>
          <cell r="S14">
            <v>-103.90909090909091</v>
          </cell>
          <cell r="T14">
            <v>34</v>
          </cell>
          <cell r="U14">
            <v>54.06</v>
          </cell>
          <cell r="V14">
            <v>13.357142857142858</v>
          </cell>
          <cell r="W14">
            <v>56</v>
          </cell>
          <cell r="X14">
            <v>-4.1818181818181799</v>
          </cell>
          <cell r="Y14">
            <v>28</v>
          </cell>
          <cell r="Z14">
            <v>44.52</v>
          </cell>
          <cell r="AA14">
            <v>14.666666666666666</v>
          </cell>
          <cell r="AB14">
            <v>42</v>
          </cell>
          <cell r="AC14">
            <v>-0.63636363636363669</v>
          </cell>
          <cell r="AD14">
            <v>462</v>
          </cell>
          <cell r="AE14">
            <v>734.58</v>
          </cell>
          <cell r="AF14">
            <v>763.80952380952385</v>
          </cell>
          <cell r="AG14">
            <v>6.0486284289276808</v>
          </cell>
          <cell r="AH14">
            <v>0.60486284289276804</v>
          </cell>
          <cell r="AI14">
            <v>-301.80952380952385</v>
          </cell>
          <cell r="AJ14">
            <v>381.90476190476193</v>
          </cell>
          <cell r="AK14">
            <v>683.71428571428578</v>
          </cell>
          <cell r="AL14">
            <v>5.7750000000000004</v>
          </cell>
        </row>
        <row r="15">
          <cell r="B15" t="str">
            <v>110230</v>
          </cell>
          <cell r="C15" t="str">
            <v>Cremosillo Tradicional 230g</v>
          </cell>
          <cell r="D15">
            <v>2.0299999999999998</v>
          </cell>
          <cell r="E15">
            <v>559</v>
          </cell>
          <cell r="F15">
            <v>1134.77</v>
          </cell>
          <cell r="G15">
            <v>1.7823188405797101</v>
          </cell>
          <cell r="H15">
            <v>6900</v>
          </cell>
          <cell r="I15">
            <v>-2577.363636363636</v>
          </cell>
          <cell r="J15">
            <v>3028</v>
          </cell>
          <cell r="K15">
            <v>6146.8399999999992</v>
          </cell>
          <cell r="L15">
            <v>22.065584630672408</v>
          </cell>
          <cell r="M15">
            <v>3019</v>
          </cell>
          <cell r="N15">
            <v>1655.7272727272727</v>
          </cell>
          <cell r="O15">
            <v>21</v>
          </cell>
          <cell r="P15">
            <v>42.629999999999995</v>
          </cell>
          <cell r="Q15">
            <v>1.5555555555555556</v>
          </cell>
          <cell r="R15">
            <v>297</v>
          </cell>
          <cell r="S15">
            <v>-181.5</v>
          </cell>
          <cell r="T15">
            <v>99</v>
          </cell>
          <cell r="U15">
            <v>200.96999999999997</v>
          </cell>
          <cell r="V15">
            <v>6.2766570605187306</v>
          </cell>
          <cell r="W15">
            <v>347.00000000000006</v>
          </cell>
          <cell r="X15">
            <v>-137.59090909090912</v>
          </cell>
          <cell r="Y15">
            <v>84</v>
          </cell>
          <cell r="Z15">
            <v>170.51999999999998</v>
          </cell>
          <cell r="AA15">
            <v>13.588235294117647</v>
          </cell>
          <cell r="AB15">
            <v>136</v>
          </cell>
          <cell r="AC15">
            <v>-8.7272727272727195</v>
          </cell>
          <cell r="AD15">
            <v>3791</v>
          </cell>
          <cell r="AE15">
            <v>7695.73</v>
          </cell>
          <cell r="AF15">
            <v>5094.7619047619046</v>
          </cell>
          <cell r="AG15">
            <v>7.4409757921301054</v>
          </cell>
          <cell r="AH15">
            <v>0.74409757921301056</v>
          </cell>
          <cell r="AI15">
            <v>-1303.7619047619046</v>
          </cell>
          <cell r="AJ15">
            <v>2547.3809523809523</v>
          </cell>
          <cell r="AK15">
            <v>3851.1428571428569</v>
          </cell>
          <cell r="AL15">
            <v>63.18333333333333</v>
          </cell>
        </row>
        <row r="16">
          <cell r="B16" t="str">
            <v>110400</v>
          </cell>
          <cell r="C16" t="str">
            <v>Cremosillo Tradicional 400g</v>
          </cell>
          <cell r="D16">
            <v>3.61</v>
          </cell>
          <cell r="E16">
            <v>35</v>
          </cell>
          <cell r="F16">
            <v>126.35</v>
          </cell>
          <cell r="G16">
            <v>0.55118110236220474</v>
          </cell>
          <cell r="H16">
            <v>1397</v>
          </cell>
          <cell r="I16">
            <v>-600</v>
          </cell>
          <cell r="J16">
            <v>596</v>
          </cell>
          <cell r="K16">
            <v>2151.56</v>
          </cell>
          <cell r="L16">
            <v>24.058715596330273</v>
          </cell>
          <cell r="M16">
            <v>545</v>
          </cell>
          <cell r="N16">
            <v>348.27272727272725</v>
          </cell>
          <cell r="O16">
            <v>0</v>
          </cell>
          <cell r="P16">
            <v>0</v>
          </cell>
          <cell r="Q16">
            <v>0</v>
          </cell>
          <cell r="R16">
            <v>46.000000000000007</v>
          </cell>
          <cell r="S16">
            <v>-31.36363636363637</v>
          </cell>
          <cell r="T16">
            <v>11</v>
          </cell>
          <cell r="U16">
            <v>39.71</v>
          </cell>
          <cell r="V16">
            <v>4.9387755102040822</v>
          </cell>
          <cell r="W16">
            <v>49</v>
          </cell>
          <cell r="X16">
            <v>-22.409090909090907</v>
          </cell>
          <cell r="Y16">
            <v>26</v>
          </cell>
          <cell r="Z16">
            <v>93.86</v>
          </cell>
          <cell r="AA16">
            <v>27.238095238095237</v>
          </cell>
          <cell r="AB16">
            <v>21</v>
          </cell>
          <cell r="AC16">
            <v>11.681818181818182</v>
          </cell>
          <cell r="AD16">
            <v>668</v>
          </cell>
          <cell r="AE16">
            <v>2411.48</v>
          </cell>
          <cell r="AF16">
            <v>980</v>
          </cell>
          <cell r="AG16">
            <v>6.8163265306122449</v>
          </cell>
          <cell r="AH16">
            <v>0.68163265306122445</v>
          </cell>
          <cell r="AI16">
            <v>-312</v>
          </cell>
          <cell r="AJ16">
            <v>490</v>
          </cell>
          <cell r="AK16">
            <v>802</v>
          </cell>
          <cell r="AL16">
            <v>23.857142857142858</v>
          </cell>
        </row>
        <row r="17">
          <cell r="B17" t="str">
            <v>111000</v>
          </cell>
          <cell r="C17" t="str">
            <v>Cremosillo Tradicional 1000g</v>
          </cell>
          <cell r="D17">
            <v>8.7799999999999994</v>
          </cell>
          <cell r="E17">
            <v>18</v>
          </cell>
          <cell r="F17">
            <v>158.04</v>
          </cell>
          <cell r="G17">
            <v>2.3712574850299402</v>
          </cell>
          <cell r="H17">
            <v>167</v>
          </cell>
          <cell r="I17">
            <v>-57.909090909090907</v>
          </cell>
          <cell r="J17">
            <v>97</v>
          </cell>
          <cell r="K17">
            <v>851.66</v>
          </cell>
          <cell r="L17">
            <v>30.927536231884059</v>
          </cell>
          <cell r="M17">
            <v>69</v>
          </cell>
          <cell r="N17">
            <v>65.63636363636364</v>
          </cell>
          <cell r="O17">
            <v>7</v>
          </cell>
          <cell r="P17">
            <v>61.459999999999994</v>
          </cell>
          <cell r="Q17">
            <v>19.25</v>
          </cell>
          <cell r="R17">
            <v>8</v>
          </cell>
          <cell r="S17">
            <v>1.545454545454545</v>
          </cell>
          <cell r="T17">
            <v>17</v>
          </cell>
          <cell r="U17">
            <v>149.26</v>
          </cell>
          <cell r="V17">
            <v>187</v>
          </cell>
          <cell r="W17">
            <v>2</v>
          </cell>
          <cell r="X17">
            <v>15.636363636363637</v>
          </cell>
          <cell r="Y17">
            <v>14</v>
          </cell>
          <cell r="Z17">
            <v>122.91999999999999</v>
          </cell>
          <cell r="AA17">
            <v>61.6</v>
          </cell>
          <cell r="AB17">
            <v>5</v>
          </cell>
          <cell r="AC17">
            <v>10.59090909090909</v>
          </cell>
          <cell r="AD17">
            <v>153</v>
          </cell>
          <cell r="AE17">
            <v>1343.34</v>
          </cell>
          <cell r="AF17">
            <v>119.52380952380952</v>
          </cell>
          <cell r="AG17">
            <v>12.800796812749004</v>
          </cell>
          <cell r="AH17">
            <v>1.2800796812749005</v>
          </cell>
          <cell r="AI17">
            <v>33.476190476190482</v>
          </cell>
          <cell r="AJ17">
            <v>59.761904761904759</v>
          </cell>
          <cell r="AK17">
            <v>26.285714285714278</v>
          </cell>
          <cell r="AL17">
            <v>12.75</v>
          </cell>
        </row>
        <row r="18">
          <cell r="B18" t="str">
            <v>120130</v>
          </cell>
          <cell r="C18" t="str">
            <v>Gelatina Saltarina Fresa 130g</v>
          </cell>
          <cell r="D18">
            <v>0.63</v>
          </cell>
          <cell r="E18">
            <v>5645</v>
          </cell>
          <cell r="F18">
            <v>3556.35</v>
          </cell>
          <cell r="G18">
            <v>6.8030676526978908</v>
          </cell>
          <cell r="H18">
            <v>18255</v>
          </cell>
          <cell r="I18">
            <v>-2652.7272727272721</v>
          </cell>
          <cell r="J18">
            <v>9878</v>
          </cell>
          <cell r="K18">
            <v>6223.14</v>
          </cell>
          <cell r="L18">
            <v>31.404046242774566</v>
          </cell>
          <cell r="M18">
            <v>6920</v>
          </cell>
          <cell r="N18">
            <v>6732.545454545454</v>
          </cell>
          <cell r="O18">
            <v>430</v>
          </cell>
          <cell r="P18">
            <v>270.89999999999998</v>
          </cell>
          <cell r="Q18">
            <v>6.5467128027681651</v>
          </cell>
          <cell r="R18">
            <v>1445</v>
          </cell>
          <cell r="S18">
            <v>-555.22727272727275</v>
          </cell>
          <cell r="T18">
            <v>1720</v>
          </cell>
          <cell r="U18">
            <v>1083.5999999999999</v>
          </cell>
          <cell r="V18">
            <v>9.8081907724209429</v>
          </cell>
          <cell r="W18">
            <v>3858</v>
          </cell>
          <cell r="X18">
            <v>-910.4545454545455</v>
          </cell>
          <cell r="Y18">
            <v>13</v>
          </cell>
          <cell r="Z18">
            <v>8.19</v>
          </cell>
          <cell r="AA18">
            <v>1.513227513227513</v>
          </cell>
          <cell r="AB18">
            <v>189</v>
          </cell>
          <cell r="AC18">
            <v>-115.86363636363637</v>
          </cell>
          <cell r="AD18">
            <v>17686</v>
          </cell>
          <cell r="AE18">
            <v>11142.18</v>
          </cell>
          <cell r="AF18">
            <v>14603.333333333332</v>
          </cell>
          <cell r="AG18">
            <v>12.110933576808948</v>
          </cell>
          <cell r="AH18">
            <v>1.2110933576808949</v>
          </cell>
          <cell r="AI18">
            <v>3082.6666666666679</v>
          </cell>
          <cell r="AJ18">
            <v>7301.6666666666661</v>
          </cell>
          <cell r="AK18">
            <v>4218.9999999999982</v>
          </cell>
          <cell r="AL18">
            <v>294.76666666666665</v>
          </cell>
        </row>
        <row r="19">
          <cell r="B19" t="str">
            <v>120131</v>
          </cell>
          <cell r="C19" t="str">
            <v>Gelatina Saltarina Chicle 130g</v>
          </cell>
          <cell r="D19">
            <v>0.63</v>
          </cell>
          <cell r="E19">
            <v>54</v>
          </cell>
          <cell r="F19">
            <v>34.020000000000003</v>
          </cell>
          <cell r="G19">
            <v>0.80000000000000016</v>
          </cell>
          <cell r="H19">
            <v>1484.9999999999998</v>
          </cell>
          <cell r="I19">
            <v>-620.99999999999989</v>
          </cell>
          <cell r="J19">
            <v>1761</v>
          </cell>
          <cell r="K19">
            <v>1109.43</v>
          </cell>
          <cell r="L19">
            <v>34.467971530249109</v>
          </cell>
          <cell r="M19">
            <v>1124</v>
          </cell>
          <cell r="N19">
            <v>1250.090909090909</v>
          </cell>
          <cell r="O19">
            <v>43</v>
          </cell>
          <cell r="P19">
            <v>27.09</v>
          </cell>
          <cell r="Q19">
            <v>10.063829787234043</v>
          </cell>
          <cell r="R19">
            <v>94</v>
          </cell>
          <cell r="S19">
            <v>-21.090909090909093</v>
          </cell>
          <cell r="T19">
            <v>130</v>
          </cell>
          <cell r="U19">
            <v>81.900000000000006</v>
          </cell>
          <cell r="V19">
            <v>8.4365781710914458</v>
          </cell>
          <cell r="W19">
            <v>339</v>
          </cell>
          <cell r="X19">
            <v>-101.13636363636363</v>
          </cell>
          <cell r="Y19">
            <v>99</v>
          </cell>
          <cell r="Z19">
            <v>62.37</v>
          </cell>
          <cell r="AA19">
            <v>18.77586206896552</v>
          </cell>
          <cell r="AB19">
            <v>116</v>
          </cell>
          <cell r="AC19">
            <v>19.909090909090907</v>
          </cell>
          <cell r="AD19">
            <v>2087</v>
          </cell>
          <cell r="AE19">
            <v>1314.81</v>
          </cell>
          <cell r="AF19">
            <v>1503.8095238095239</v>
          </cell>
          <cell r="AG19">
            <v>13.878087397086764</v>
          </cell>
          <cell r="AH19">
            <v>1.3878087397086762</v>
          </cell>
          <cell r="AI19">
            <v>583.19047619047615</v>
          </cell>
          <cell r="AJ19">
            <v>751.90476190476193</v>
          </cell>
          <cell r="AK19">
            <v>168.71428571428578</v>
          </cell>
          <cell r="AL19">
            <v>34.783333333333331</v>
          </cell>
        </row>
        <row r="20">
          <cell r="B20" t="str">
            <v>120132</v>
          </cell>
          <cell r="C20" t="str">
            <v>Gelatina Saltarina Kolita 130g</v>
          </cell>
          <cell r="D20">
            <v>0.63</v>
          </cell>
          <cell r="E20">
            <v>1668</v>
          </cell>
          <cell r="F20">
            <v>1050.8399999999999</v>
          </cell>
          <cell r="G20">
            <v>10.872888888888889</v>
          </cell>
          <cell r="H20">
            <v>3375</v>
          </cell>
          <cell r="I20">
            <v>133.90909090909099</v>
          </cell>
          <cell r="J20">
            <v>2088</v>
          </cell>
          <cell r="K20">
            <v>1315.44</v>
          </cell>
          <cell r="L20">
            <v>20.776119402985074</v>
          </cell>
          <cell r="M20">
            <v>2211</v>
          </cell>
          <cell r="N20">
            <v>1083</v>
          </cell>
          <cell r="O20">
            <v>22</v>
          </cell>
          <cell r="P20">
            <v>13.86</v>
          </cell>
          <cell r="Q20">
            <v>1.7347670250896057</v>
          </cell>
          <cell r="R20">
            <v>279</v>
          </cell>
          <cell r="S20">
            <v>-168.22727272727272</v>
          </cell>
          <cell r="T20">
            <v>22</v>
          </cell>
          <cell r="U20">
            <v>13.86</v>
          </cell>
          <cell r="V20">
            <v>0.41296928327645049</v>
          </cell>
          <cell r="W20">
            <v>1172</v>
          </cell>
          <cell r="X20">
            <v>-777.09090909090912</v>
          </cell>
          <cell r="Y20">
            <v>22</v>
          </cell>
          <cell r="Z20">
            <v>13.86</v>
          </cell>
          <cell r="AA20">
            <v>2.7191011235955052</v>
          </cell>
          <cell r="AB20">
            <v>178</v>
          </cell>
          <cell r="AC20">
            <v>-99.363636363636374</v>
          </cell>
          <cell r="AD20">
            <v>3822</v>
          </cell>
          <cell r="AE20">
            <v>2407.86</v>
          </cell>
          <cell r="AF20">
            <v>3435.7142857142853</v>
          </cell>
          <cell r="AG20">
            <v>11.124324324324325</v>
          </cell>
          <cell r="AH20">
            <v>1.1124324324324326</v>
          </cell>
          <cell r="AI20">
            <v>386.28571428571468</v>
          </cell>
          <cell r="AJ20">
            <v>1717.8571428571427</v>
          </cell>
          <cell r="AK20">
            <v>1331.571428571428</v>
          </cell>
          <cell r="AL20">
            <v>63.7</v>
          </cell>
        </row>
        <row r="21">
          <cell r="B21" t="str">
            <v>130150</v>
          </cell>
          <cell r="C21" t="str">
            <v>Cremigurt Natural 150g</v>
          </cell>
          <cell r="D21">
            <v>1.0900000000000001</v>
          </cell>
          <cell r="E21">
            <v>1773</v>
          </cell>
          <cell r="F21">
            <v>1932.5700000000002</v>
          </cell>
          <cell r="G21">
            <v>6.1118771544970238</v>
          </cell>
          <cell r="H21">
            <v>6382</v>
          </cell>
          <cell r="I21">
            <v>-1127.9090909090905</v>
          </cell>
          <cell r="J21">
            <v>5439</v>
          </cell>
          <cell r="K21">
            <v>5928.51</v>
          </cell>
          <cell r="L21">
            <v>17.65909090909091</v>
          </cell>
          <cell r="M21">
            <v>6776</v>
          </cell>
          <cell r="N21">
            <v>2359</v>
          </cell>
          <cell r="O21">
            <v>96</v>
          </cell>
          <cell r="P21">
            <v>104.64000000000001</v>
          </cell>
          <cell r="Q21">
            <v>4.0075901328273247</v>
          </cell>
          <cell r="R21">
            <v>527</v>
          </cell>
          <cell r="S21">
            <v>-263.31818181818181</v>
          </cell>
          <cell r="T21">
            <v>712</v>
          </cell>
          <cell r="U21">
            <v>776.08</v>
          </cell>
          <cell r="V21">
            <v>7.5634958957025589</v>
          </cell>
          <cell r="W21">
            <v>2071</v>
          </cell>
          <cell r="X21">
            <v>-700.0454545454545</v>
          </cell>
          <cell r="Y21">
            <v>165</v>
          </cell>
          <cell r="Z21">
            <v>179.85000000000002</v>
          </cell>
          <cell r="AA21">
            <v>10.868263473053892</v>
          </cell>
          <cell r="AB21">
            <v>334</v>
          </cell>
          <cell r="AC21">
            <v>-62.72727272727272</v>
          </cell>
          <cell r="AD21">
            <v>8185</v>
          </cell>
          <cell r="AE21">
            <v>8921.6500000000015</v>
          </cell>
          <cell r="AF21">
            <v>7661.9047619047615</v>
          </cell>
          <cell r="AG21">
            <v>10.682722187694221</v>
          </cell>
          <cell r="AH21">
            <v>1.068272218769422</v>
          </cell>
          <cell r="AI21">
            <v>523.09523809523853</v>
          </cell>
          <cell r="AJ21">
            <v>3830.9523809523807</v>
          </cell>
          <cell r="AK21">
            <v>3307.8571428571422</v>
          </cell>
          <cell r="AL21">
            <v>151.57407407407408</v>
          </cell>
        </row>
        <row r="22">
          <cell r="B22" t="str">
            <v>130151</v>
          </cell>
          <cell r="C22" t="str">
            <v>Cremigurt Dulce 150g</v>
          </cell>
          <cell r="D22">
            <v>1.0900000000000001</v>
          </cell>
          <cell r="E22">
            <v>1622</v>
          </cell>
          <cell r="F22">
            <v>1767.98</v>
          </cell>
          <cell r="G22">
            <v>8.3198880858008852</v>
          </cell>
          <cell r="H22">
            <v>4289</v>
          </cell>
          <cell r="I22">
            <v>-327.54545454545473</v>
          </cell>
          <cell r="J22">
            <v>1530</v>
          </cell>
          <cell r="K22">
            <v>1667.7</v>
          </cell>
          <cell r="L22">
            <v>13.926354985519239</v>
          </cell>
          <cell r="M22">
            <v>2417</v>
          </cell>
          <cell r="N22">
            <v>431.36363636363649</v>
          </cell>
          <cell r="O22">
            <v>57</v>
          </cell>
          <cell r="P22">
            <v>62.13</v>
          </cell>
          <cell r="Q22">
            <v>6.1470588235294121</v>
          </cell>
          <cell r="R22">
            <v>203.99999999999997</v>
          </cell>
          <cell r="S22">
            <v>-82.090909090909065</v>
          </cell>
          <cell r="T22">
            <v>432</v>
          </cell>
          <cell r="U22">
            <v>470.88000000000005</v>
          </cell>
          <cell r="V22">
            <v>13.404795486600847</v>
          </cell>
          <cell r="W22">
            <v>709</v>
          </cell>
          <cell r="X22">
            <v>-51.409090909090878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3641</v>
          </cell>
          <cell r="AE22">
            <v>3968.6900000000005</v>
          </cell>
          <cell r="AF22">
            <v>3628.0952380952381</v>
          </cell>
          <cell r="AG22">
            <v>10.035568972306077</v>
          </cell>
          <cell r="AH22">
            <v>1.0035568972306077</v>
          </cell>
          <cell r="AI22">
            <v>12.904761904761926</v>
          </cell>
          <cell r="AJ22">
            <v>1814.047619047619</v>
          </cell>
          <cell r="AK22">
            <v>1801.1428571428571</v>
          </cell>
          <cell r="AL22">
            <v>67.425925925925924</v>
          </cell>
        </row>
        <row r="23">
          <cell r="B23" t="str">
            <v>130152</v>
          </cell>
          <cell r="C23" t="str">
            <v>Cremigurt Fresa 150g</v>
          </cell>
          <cell r="D23">
            <v>1.1599999999999999</v>
          </cell>
          <cell r="E23">
            <v>11316</v>
          </cell>
          <cell r="F23">
            <v>13126.56</v>
          </cell>
          <cell r="G23">
            <v>6.6040268456375841</v>
          </cell>
          <cell r="H23">
            <v>37697</v>
          </cell>
          <cell r="I23">
            <v>-5819</v>
          </cell>
          <cell r="J23">
            <v>17854</v>
          </cell>
          <cell r="K23">
            <v>20710.64</v>
          </cell>
          <cell r="L23">
            <v>20.52720146328717</v>
          </cell>
          <cell r="M23">
            <v>19135</v>
          </cell>
          <cell r="N23">
            <v>9156.2727272727279</v>
          </cell>
          <cell r="O23">
            <v>1160</v>
          </cell>
          <cell r="P23">
            <v>1345.6</v>
          </cell>
          <cell r="Q23">
            <v>8.0938788455439266</v>
          </cell>
          <cell r="R23">
            <v>3153</v>
          </cell>
          <cell r="S23">
            <v>-989.77272727272702</v>
          </cell>
          <cell r="T23">
            <v>6103</v>
          </cell>
          <cell r="U23">
            <v>7079.48</v>
          </cell>
          <cell r="V23">
            <v>10.147067714631197</v>
          </cell>
          <cell r="W23">
            <v>13232</v>
          </cell>
          <cell r="X23">
            <v>-2918.818181818182</v>
          </cell>
          <cell r="Y23">
            <v>492</v>
          </cell>
          <cell r="Z23">
            <v>570.71999999999991</v>
          </cell>
          <cell r="AA23">
            <v>14.726530612244899</v>
          </cell>
          <cell r="AB23">
            <v>735</v>
          </cell>
          <cell r="AC23">
            <v>-9.136363636363626</v>
          </cell>
          <cell r="AD23">
            <v>36925</v>
          </cell>
          <cell r="AE23">
            <v>42833</v>
          </cell>
          <cell r="AF23">
            <v>35215.238095238099</v>
          </cell>
          <cell r="AG23">
            <v>10.485517633059279</v>
          </cell>
          <cell r="AH23">
            <v>1.048551763305928</v>
          </cell>
          <cell r="AI23">
            <v>1709.761904761901</v>
          </cell>
          <cell r="AJ23">
            <v>17607.61904761905</v>
          </cell>
          <cell r="AK23">
            <v>15897.857142857149</v>
          </cell>
          <cell r="AL23">
            <v>683.7962962962963</v>
          </cell>
        </row>
        <row r="24">
          <cell r="B24" t="str">
            <v>130153</v>
          </cell>
          <cell r="C24" t="str">
            <v>Cremigurt Durazno 150g</v>
          </cell>
          <cell r="D24">
            <v>1.1599999999999999</v>
          </cell>
          <cell r="E24">
            <v>8475</v>
          </cell>
          <cell r="F24">
            <v>9831</v>
          </cell>
          <cell r="G24">
            <v>6.9420656787549335</v>
          </cell>
          <cell r="H24">
            <v>26858</v>
          </cell>
          <cell r="I24">
            <v>-3733.181818181818</v>
          </cell>
          <cell r="J24">
            <v>13760</v>
          </cell>
          <cell r="K24">
            <v>15961.599999999999</v>
          </cell>
          <cell r="L24">
            <v>25.370432450553135</v>
          </cell>
          <cell r="M24">
            <v>11932</v>
          </cell>
          <cell r="N24">
            <v>8336.363636363636</v>
          </cell>
          <cell r="O24">
            <v>763</v>
          </cell>
          <cell r="P24">
            <v>885.07999999999993</v>
          </cell>
          <cell r="Q24">
            <v>8.8861831656961368</v>
          </cell>
          <cell r="R24">
            <v>1889</v>
          </cell>
          <cell r="S24">
            <v>-524.9545454545455</v>
          </cell>
          <cell r="T24">
            <v>2352</v>
          </cell>
          <cell r="U24">
            <v>2728.3199999999997</v>
          </cell>
          <cell r="V24">
            <v>7.115511551155115</v>
          </cell>
          <cell r="W24">
            <v>7272</v>
          </cell>
          <cell r="X24">
            <v>-2606.181818181818</v>
          </cell>
          <cell r="Y24">
            <v>539</v>
          </cell>
          <cell r="Z24">
            <v>625.24</v>
          </cell>
          <cell r="AA24">
            <v>26.118942731277532</v>
          </cell>
          <cell r="AB24">
            <v>454</v>
          </cell>
          <cell r="AC24">
            <v>229.45454545454544</v>
          </cell>
          <cell r="AD24">
            <v>25889</v>
          </cell>
          <cell r="AE24">
            <v>30031.239999999998</v>
          </cell>
          <cell r="AF24">
            <v>23050</v>
          </cell>
          <cell r="AG24">
            <v>11.231670281995662</v>
          </cell>
          <cell r="AH24">
            <v>1.1231670281995663</v>
          </cell>
          <cell r="AI24">
            <v>2839</v>
          </cell>
          <cell r="AJ24">
            <v>11525</v>
          </cell>
          <cell r="AK24">
            <v>8686</v>
          </cell>
          <cell r="AL24">
            <v>479.42592592592592</v>
          </cell>
        </row>
        <row r="25">
          <cell r="B25" t="str">
            <v>130154</v>
          </cell>
          <cell r="C25" t="str">
            <v>Cremigurt Piña 150g</v>
          </cell>
          <cell r="D25">
            <v>1.1599999999999999</v>
          </cell>
          <cell r="E25">
            <v>10418</v>
          </cell>
          <cell r="F25">
            <v>12084.88</v>
          </cell>
          <cell r="G25">
            <v>8.8753097893432464</v>
          </cell>
          <cell r="H25">
            <v>25824</v>
          </cell>
          <cell r="I25">
            <v>-1320.181818181818</v>
          </cell>
          <cell r="J25">
            <v>8269</v>
          </cell>
          <cell r="K25">
            <v>9592.0399999999991</v>
          </cell>
          <cell r="L25">
            <v>15.273108890941147</v>
          </cell>
          <cell r="M25">
            <v>11911</v>
          </cell>
          <cell r="N25">
            <v>2854.909090909091</v>
          </cell>
          <cell r="O25">
            <v>1038</v>
          </cell>
          <cell r="P25">
            <v>1204.08</v>
          </cell>
          <cell r="Q25">
            <v>10.394173873463815</v>
          </cell>
          <cell r="R25">
            <v>2197</v>
          </cell>
          <cell r="S25">
            <v>-459.9545454545455</v>
          </cell>
          <cell r="T25">
            <v>2645</v>
          </cell>
          <cell r="U25">
            <v>3068.2</v>
          </cell>
          <cell r="V25">
            <v>8.0752150985290037</v>
          </cell>
          <cell r="W25">
            <v>7206.0000000000009</v>
          </cell>
          <cell r="X25">
            <v>-2268.181818181818</v>
          </cell>
          <cell r="Y25">
            <v>547</v>
          </cell>
          <cell r="Z25">
            <v>634.52</v>
          </cell>
          <cell r="AA25">
            <v>26.275109170305679</v>
          </cell>
          <cell r="AB25">
            <v>458</v>
          </cell>
          <cell r="AC25">
            <v>234.72727272727275</v>
          </cell>
          <cell r="AD25">
            <v>22917</v>
          </cell>
          <cell r="AE25">
            <v>26583.719999999998</v>
          </cell>
          <cell r="AF25">
            <v>22664.761904761905</v>
          </cell>
          <cell r="AG25">
            <v>10.111290864778553</v>
          </cell>
          <cell r="AH25">
            <v>1.0111290864778553</v>
          </cell>
          <cell r="AI25">
            <v>252.23809523809541</v>
          </cell>
          <cell r="AJ25">
            <v>11332.380952380952</v>
          </cell>
          <cell r="AK25">
            <v>11080.142857142857</v>
          </cell>
          <cell r="AL25">
            <v>424.38888888888891</v>
          </cell>
        </row>
        <row r="26">
          <cell r="B26" t="str">
            <v>130155</v>
          </cell>
          <cell r="C26" t="str">
            <v>Cremigurt Griego 150g</v>
          </cell>
          <cell r="D26">
            <v>1.1599999999999999</v>
          </cell>
          <cell r="E26">
            <v>10919</v>
          </cell>
          <cell r="F26">
            <v>12666.039999999999</v>
          </cell>
          <cell r="G26">
            <v>7.6563505976095616</v>
          </cell>
          <cell r="H26">
            <v>31375</v>
          </cell>
          <cell r="I26">
            <v>-3342.3636363636379</v>
          </cell>
          <cell r="J26">
            <v>3934</v>
          </cell>
          <cell r="K26">
            <v>4563.4399999999996</v>
          </cell>
          <cell r="L26">
            <v>6.1385913894602453</v>
          </cell>
          <cell r="M26">
            <v>14099</v>
          </cell>
          <cell r="N26">
            <v>-2474.636363636364</v>
          </cell>
          <cell r="O26">
            <v>765</v>
          </cell>
          <cell r="P26">
            <v>887.4</v>
          </cell>
          <cell r="Q26">
            <v>9.2472527472527464</v>
          </cell>
          <cell r="R26">
            <v>1820</v>
          </cell>
          <cell r="S26">
            <v>-475.90909090909099</v>
          </cell>
          <cell r="T26">
            <v>3020</v>
          </cell>
          <cell r="U26">
            <v>3503.2</v>
          </cell>
          <cell r="V26">
            <v>7.979822243574346</v>
          </cell>
          <cell r="W26">
            <v>8326</v>
          </cell>
          <cell r="X26">
            <v>-2656.818181818182</v>
          </cell>
          <cell r="Y26">
            <v>620</v>
          </cell>
          <cell r="Z26">
            <v>719.19999999999993</v>
          </cell>
          <cell r="AA26">
            <v>25.543071161048687</v>
          </cell>
          <cell r="AB26">
            <v>534</v>
          </cell>
          <cell r="AC26">
            <v>255.90909090909088</v>
          </cell>
          <cell r="AD26">
            <v>19258</v>
          </cell>
          <cell r="AE26">
            <v>22339.279999999999</v>
          </cell>
          <cell r="AF26">
            <v>26740</v>
          </cell>
          <cell r="AG26">
            <v>7.2019446522064321</v>
          </cell>
          <cell r="AH26">
            <v>0.72019446522064323</v>
          </cell>
          <cell r="AI26">
            <v>-7482</v>
          </cell>
          <cell r="AJ26">
            <v>13370</v>
          </cell>
          <cell r="AK26">
            <v>20852</v>
          </cell>
          <cell r="AL26">
            <v>356.62962962962962</v>
          </cell>
        </row>
        <row r="27">
          <cell r="B27">
            <v>130157</v>
          </cell>
          <cell r="C27" t="str">
            <v>Cremigurt Griego Mango 150g</v>
          </cell>
          <cell r="D27">
            <v>1.1599999999999999</v>
          </cell>
          <cell r="E27">
            <v>2021</v>
          </cell>
          <cell r="F27">
            <v>2344.3599999999997</v>
          </cell>
          <cell r="G27">
            <v>12.258615936035291</v>
          </cell>
          <cell r="H27">
            <v>3627</v>
          </cell>
          <cell r="I27">
            <v>372.36363636363626</v>
          </cell>
          <cell r="J27">
            <v>4132</v>
          </cell>
          <cell r="K27">
            <v>4793.12</v>
          </cell>
          <cell r="L27">
            <v>35.887879984208446</v>
          </cell>
          <cell r="M27">
            <v>2533</v>
          </cell>
          <cell r="N27">
            <v>2980.6363636363635</v>
          </cell>
          <cell r="O27">
            <v>38</v>
          </cell>
          <cell r="P27">
            <v>44.08</v>
          </cell>
          <cell r="Q27">
            <v>1.9904761904761905</v>
          </cell>
          <cell r="R27">
            <v>420</v>
          </cell>
          <cell r="S27">
            <v>-248.36363636363637</v>
          </cell>
          <cell r="T27">
            <v>25</v>
          </cell>
          <cell r="U27">
            <v>28.999999999999996</v>
          </cell>
          <cell r="V27">
            <v>0.3601833660772758</v>
          </cell>
          <cell r="W27">
            <v>1526.9999999999998</v>
          </cell>
          <cell r="X27">
            <v>-1016.1363636363633</v>
          </cell>
          <cell r="Y27">
            <v>307</v>
          </cell>
          <cell r="Z27">
            <v>356.11999999999995</v>
          </cell>
          <cell r="AA27">
            <v>102.33333333333333</v>
          </cell>
          <cell r="AB27">
            <v>66</v>
          </cell>
          <cell r="AC27">
            <v>262</v>
          </cell>
          <cell r="AD27">
            <v>6523</v>
          </cell>
          <cell r="AE27">
            <v>7566.6799999999994</v>
          </cell>
          <cell r="AF27">
            <v>3891.9047619047619</v>
          </cell>
          <cell r="AG27">
            <v>16.760430686406458</v>
          </cell>
          <cell r="AH27">
            <v>1.676043068640646</v>
          </cell>
          <cell r="AI27">
            <v>2631.0952380952381</v>
          </cell>
          <cell r="AJ27">
            <v>1945.952380952381</v>
          </cell>
          <cell r="AK27">
            <v>-685.14285714285711</v>
          </cell>
          <cell r="AL27">
            <v>120.79629629629629</v>
          </cell>
        </row>
        <row r="28">
          <cell r="B28">
            <v>130158</v>
          </cell>
          <cell r="C28" t="str">
            <v>Cremigurt Griego Ciruela 150g</v>
          </cell>
          <cell r="D28">
            <v>1.1599999999999999</v>
          </cell>
          <cell r="E28">
            <v>1963</v>
          </cell>
          <cell r="F28">
            <v>2277.08</v>
          </cell>
          <cell r="G28">
            <v>11.507061017852385</v>
          </cell>
          <cell r="H28">
            <v>3753</v>
          </cell>
          <cell r="I28">
            <v>257.09090909090901</v>
          </cell>
          <cell r="J28">
            <v>2839</v>
          </cell>
          <cell r="K28">
            <v>3293.24</v>
          </cell>
          <cell r="L28">
            <v>18.716811507341923</v>
          </cell>
          <cell r="M28">
            <v>3337</v>
          </cell>
          <cell r="N28">
            <v>1322.181818181818</v>
          </cell>
          <cell r="O28">
            <v>42</v>
          </cell>
          <cell r="P28">
            <v>48.72</v>
          </cell>
          <cell r="Q28">
            <v>1.75</v>
          </cell>
          <cell r="R28">
            <v>528</v>
          </cell>
          <cell r="S28">
            <v>-318</v>
          </cell>
          <cell r="T28">
            <v>10</v>
          </cell>
          <cell r="U28">
            <v>11.6</v>
          </cell>
          <cell r="V28">
            <v>0.16962220508866616</v>
          </cell>
          <cell r="W28">
            <v>1297</v>
          </cell>
          <cell r="X28">
            <v>-874.31818181818176</v>
          </cell>
          <cell r="Y28">
            <v>278</v>
          </cell>
          <cell r="Z28">
            <v>322.47999999999996</v>
          </cell>
          <cell r="AA28">
            <v>75.506172839506178</v>
          </cell>
          <cell r="AB28">
            <v>81</v>
          </cell>
          <cell r="AC28">
            <v>222.77272727272728</v>
          </cell>
          <cell r="AD28">
            <v>5132</v>
          </cell>
          <cell r="AE28">
            <v>5953.12</v>
          </cell>
          <cell r="AF28">
            <v>4283.8095238095239</v>
          </cell>
          <cell r="AG28">
            <v>11.979991107158737</v>
          </cell>
          <cell r="AH28">
            <v>1.1979991107158736</v>
          </cell>
          <cell r="AI28">
            <v>848.19047619047615</v>
          </cell>
          <cell r="AJ28">
            <v>2141.9047619047619</v>
          </cell>
          <cell r="AK28">
            <v>1293.7142857142858</v>
          </cell>
          <cell r="AL28">
            <v>95.037037037037038</v>
          </cell>
        </row>
        <row r="29">
          <cell r="B29">
            <v>130159</v>
          </cell>
          <cell r="C29" t="str">
            <v>Cremigurt Griego Mora 150g</v>
          </cell>
          <cell r="D29">
            <v>1.1599999999999999</v>
          </cell>
          <cell r="E29">
            <v>1810</v>
          </cell>
          <cell r="F29">
            <v>2099.6</v>
          </cell>
          <cell r="G29">
            <v>10.465177398160314</v>
          </cell>
          <cell r="H29">
            <v>3805.0000000000005</v>
          </cell>
          <cell r="I29">
            <v>80.454545454545269</v>
          </cell>
          <cell r="J29">
            <v>3491</v>
          </cell>
          <cell r="K29">
            <v>4049.56</v>
          </cell>
          <cell r="L29">
            <v>28.28802946593002</v>
          </cell>
          <cell r="M29">
            <v>2715</v>
          </cell>
          <cell r="N29">
            <v>2256.909090909091</v>
          </cell>
          <cell r="O29">
            <v>33</v>
          </cell>
          <cell r="P29">
            <v>38.279999999999994</v>
          </cell>
          <cell r="Q29">
            <v>1.5156576200417535</v>
          </cell>
          <cell r="R29">
            <v>479</v>
          </cell>
          <cell r="S29">
            <v>-293.59090909090912</v>
          </cell>
          <cell r="T29">
            <v>2</v>
          </cell>
          <cell r="U29">
            <v>2.3199999999999998</v>
          </cell>
          <cell r="V29">
            <v>3.8562664329535493E-2</v>
          </cell>
          <cell r="W29">
            <v>1141</v>
          </cell>
          <cell r="X29">
            <v>-775.9545454545455</v>
          </cell>
          <cell r="Y29">
            <v>282</v>
          </cell>
          <cell r="Z29">
            <v>327.12</v>
          </cell>
          <cell r="AA29">
            <v>94</v>
          </cell>
          <cell r="AB29">
            <v>66</v>
          </cell>
          <cell r="AC29">
            <v>237</v>
          </cell>
          <cell r="AD29">
            <v>5618</v>
          </cell>
          <cell r="AE29">
            <v>6516.8799999999992</v>
          </cell>
          <cell r="AF29">
            <v>3907.6190476190477</v>
          </cell>
          <cell r="AG29">
            <v>14.37704118937363</v>
          </cell>
          <cell r="AH29">
            <v>1.4377041189373629</v>
          </cell>
          <cell r="AI29">
            <v>1710.3809523809523</v>
          </cell>
          <cell r="AJ29">
            <v>1953.8095238095239</v>
          </cell>
          <cell r="AK29">
            <v>243.42857142857156</v>
          </cell>
          <cell r="AL29">
            <v>104.03703703703704</v>
          </cell>
        </row>
        <row r="30">
          <cell r="B30">
            <v>130700</v>
          </cell>
          <cell r="C30" t="str">
            <v>Cremigurt Natural 700g</v>
          </cell>
          <cell r="D30">
            <v>3.68</v>
          </cell>
          <cell r="E30">
            <v>275</v>
          </cell>
          <cell r="F30">
            <v>1012</v>
          </cell>
          <cell r="G30">
            <v>3.0478589420654911</v>
          </cell>
          <cell r="H30">
            <v>1985</v>
          </cell>
          <cell r="I30">
            <v>-627.27272727272737</v>
          </cell>
          <cell r="J30">
            <v>2331</v>
          </cell>
          <cell r="K30">
            <v>8578.08</v>
          </cell>
          <cell r="L30">
            <v>23.068825910931174</v>
          </cell>
          <cell r="M30">
            <v>2223</v>
          </cell>
          <cell r="N30">
            <v>1320.5454545454545</v>
          </cell>
          <cell r="O30">
            <v>3</v>
          </cell>
          <cell r="P30">
            <v>11.040000000000001</v>
          </cell>
          <cell r="Q30">
            <v>0.80487804878048785</v>
          </cell>
          <cell r="R30">
            <v>82</v>
          </cell>
          <cell r="S30">
            <v>-52.909090909090907</v>
          </cell>
          <cell r="T30">
            <v>110</v>
          </cell>
          <cell r="U30">
            <v>404.8</v>
          </cell>
          <cell r="V30">
            <v>3.4670487106017194</v>
          </cell>
          <cell r="W30">
            <v>698</v>
          </cell>
          <cell r="X30">
            <v>-365.90909090909088</v>
          </cell>
          <cell r="Y30">
            <v>3</v>
          </cell>
          <cell r="Z30">
            <v>11.040000000000001</v>
          </cell>
          <cell r="AA30">
            <v>0.7021276595744681</v>
          </cell>
          <cell r="AB30">
            <v>94</v>
          </cell>
          <cell r="AC30">
            <v>-61.090909090909093</v>
          </cell>
          <cell r="AD30">
            <v>2722</v>
          </cell>
          <cell r="AE30">
            <v>10016.960000000001</v>
          </cell>
          <cell r="AF30">
            <v>2420</v>
          </cell>
          <cell r="AG30">
            <v>11.24793388429752</v>
          </cell>
          <cell r="AH30">
            <v>1.1247933884297521</v>
          </cell>
          <cell r="AI30">
            <v>302</v>
          </cell>
          <cell r="AJ30">
            <v>1210</v>
          </cell>
          <cell r="AK30">
            <v>908</v>
          </cell>
          <cell r="AL30">
            <v>170.125</v>
          </cell>
        </row>
        <row r="31">
          <cell r="B31">
            <v>130701</v>
          </cell>
          <cell r="C31" t="str">
            <v>Cremigurt Dulce 700g</v>
          </cell>
          <cell r="D31">
            <v>3.68</v>
          </cell>
          <cell r="E31">
            <v>186</v>
          </cell>
          <cell r="F31">
            <v>684.48</v>
          </cell>
          <cell r="G31">
            <v>3.4128440366972477</v>
          </cell>
          <cell r="H31">
            <v>1199</v>
          </cell>
          <cell r="I31">
            <v>-359</v>
          </cell>
          <cell r="J31">
            <v>297</v>
          </cell>
          <cell r="K31">
            <v>1092.96</v>
          </cell>
          <cell r="L31">
            <v>4.4631147540983616</v>
          </cell>
          <cell r="M31">
            <v>1463.9999999999998</v>
          </cell>
          <cell r="N31">
            <v>-368.45454545454527</v>
          </cell>
          <cell r="O31">
            <v>17</v>
          </cell>
          <cell r="P31">
            <v>62.56</v>
          </cell>
          <cell r="Q31">
            <v>9.35</v>
          </cell>
          <cell r="R31">
            <v>40</v>
          </cell>
          <cell r="S31">
            <v>-10.272727272727273</v>
          </cell>
          <cell r="T31">
            <v>13</v>
          </cell>
          <cell r="U31">
            <v>47.84</v>
          </cell>
          <cell r="V31">
            <v>1.0874524714828897</v>
          </cell>
          <cell r="W31">
            <v>263</v>
          </cell>
          <cell r="X31">
            <v>-166.31818181818181</v>
          </cell>
          <cell r="Y31">
            <v>26</v>
          </cell>
          <cell r="Z31">
            <v>95.68</v>
          </cell>
          <cell r="AA31">
            <v>28.6</v>
          </cell>
          <cell r="AB31">
            <v>20</v>
          </cell>
          <cell r="AC31">
            <v>12.363636363636363</v>
          </cell>
          <cell r="AD31">
            <v>539</v>
          </cell>
          <cell r="AE31">
            <v>1983.52</v>
          </cell>
          <cell r="AF31">
            <v>1421.9047619047619</v>
          </cell>
          <cell r="AG31">
            <v>3.7906898861352976</v>
          </cell>
          <cell r="AH31">
            <v>0.37906898861352978</v>
          </cell>
          <cell r="AI31">
            <v>-882.90476190476193</v>
          </cell>
          <cell r="AJ31">
            <v>710.95238095238096</v>
          </cell>
          <cell r="AK31">
            <v>1593.8571428571429</v>
          </cell>
          <cell r="AL31">
            <v>33.6875</v>
          </cell>
        </row>
        <row r="32">
          <cell r="B32">
            <v>130702</v>
          </cell>
          <cell r="C32" t="str">
            <v>Cremigurt Griego Fresa 700g</v>
          </cell>
          <cell r="D32">
            <v>4.1500000000000004</v>
          </cell>
          <cell r="E32">
            <v>1783</v>
          </cell>
          <cell r="F32">
            <v>7399.4500000000007</v>
          </cell>
          <cell r="G32">
            <v>8.1635796045785636</v>
          </cell>
          <cell r="H32">
            <v>4805</v>
          </cell>
          <cell r="I32">
            <v>-401.09090909090901</v>
          </cell>
          <cell r="J32">
            <v>1898</v>
          </cell>
          <cell r="K32">
            <v>7876.7000000000007</v>
          </cell>
          <cell r="L32">
            <v>11.07292495359321</v>
          </cell>
          <cell r="M32">
            <v>3771.0000000000005</v>
          </cell>
          <cell r="N32">
            <v>183.90909090909054</v>
          </cell>
          <cell r="O32">
            <v>80</v>
          </cell>
          <cell r="P32">
            <v>332</v>
          </cell>
          <cell r="Q32">
            <v>6.2633451957295367</v>
          </cell>
          <cell r="R32">
            <v>281</v>
          </cell>
          <cell r="S32">
            <v>-111.59090909090909</v>
          </cell>
          <cell r="T32">
            <v>768</v>
          </cell>
          <cell r="U32">
            <v>3187.2000000000003</v>
          </cell>
          <cell r="V32">
            <v>9.2277444019661381</v>
          </cell>
          <cell r="W32">
            <v>1831</v>
          </cell>
          <cell r="X32">
            <v>-480.40909090909099</v>
          </cell>
          <cell r="Y32">
            <v>110</v>
          </cell>
          <cell r="Z32">
            <v>456.50000000000006</v>
          </cell>
          <cell r="AA32">
            <v>27.816091954022987</v>
          </cell>
          <cell r="AB32">
            <v>87</v>
          </cell>
          <cell r="AC32">
            <v>50.68181818181818</v>
          </cell>
          <cell r="AD32">
            <v>4639</v>
          </cell>
          <cell r="AE32">
            <v>19251.850000000002</v>
          </cell>
          <cell r="AF32">
            <v>5130.9523809523807</v>
          </cell>
          <cell r="AG32">
            <v>9.0412064965197221</v>
          </cell>
          <cell r="AH32">
            <v>0.90412064965197214</v>
          </cell>
          <cell r="AI32">
            <v>-491.95238095238074</v>
          </cell>
          <cell r="AJ32">
            <v>2565.4761904761904</v>
          </cell>
          <cell r="AK32">
            <v>3057.4285714285711</v>
          </cell>
          <cell r="AL32">
            <v>289.9375</v>
          </cell>
        </row>
        <row r="33">
          <cell r="B33">
            <v>130703</v>
          </cell>
          <cell r="C33" t="str">
            <v>Cremigurt Griego 700g</v>
          </cell>
          <cell r="D33">
            <v>4.1500000000000004</v>
          </cell>
          <cell r="E33">
            <v>1324</v>
          </cell>
          <cell r="F33">
            <v>5494.6</v>
          </cell>
          <cell r="G33">
            <v>3.3062429057888765</v>
          </cell>
          <cell r="H33">
            <v>8810</v>
          </cell>
          <cell r="I33">
            <v>-2680.5454545454545</v>
          </cell>
          <cell r="J33">
            <v>4674</v>
          </cell>
          <cell r="K33">
            <v>19397.100000000002</v>
          </cell>
          <cell r="L33">
            <v>20.269662921348313</v>
          </cell>
          <cell r="M33">
            <v>5073</v>
          </cell>
          <cell r="N33">
            <v>2368.090909090909</v>
          </cell>
          <cell r="O33">
            <v>89</v>
          </cell>
          <cell r="P33">
            <v>369.35</v>
          </cell>
          <cell r="Q33">
            <v>5.4540389972144849</v>
          </cell>
          <cell r="R33">
            <v>359</v>
          </cell>
          <cell r="S33">
            <v>-155.77272727272725</v>
          </cell>
          <cell r="T33">
            <v>1211</v>
          </cell>
          <cell r="U33">
            <v>5025.6500000000005</v>
          </cell>
          <cell r="V33">
            <v>10.398907103825136</v>
          </cell>
          <cell r="W33">
            <v>2562</v>
          </cell>
          <cell r="X33">
            <v>-535.81818181818176</v>
          </cell>
          <cell r="Y33">
            <v>148</v>
          </cell>
          <cell r="Z33">
            <v>614.20000000000005</v>
          </cell>
          <cell r="AA33">
            <v>13.85531914893617</v>
          </cell>
          <cell r="AB33">
            <v>235</v>
          </cell>
          <cell r="AC33">
            <v>-12.22727272727272</v>
          </cell>
          <cell r="AD33">
            <v>7446</v>
          </cell>
          <cell r="AE33">
            <v>30900.9</v>
          </cell>
          <cell r="AF33">
            <v>8113.8095238095239</v>
          </cell>
          <cell r="AG33">
            <v>9.1769470039321561</v>
          </cell>
          <cell r="AH33">
            <v>0.91769470039321555</v>
          </cell>
          <cell r="AI33">
            <v>-667.80952380952385</v>
          </cell>
          <cell r="AJ33">
            <v>4056.9047619047619</v>
          </cell>
          <cell r="AK33">
            <v>4724.7142857142862</v>
          </cell>
          <cell r="AL33">
            <v>465.375</v>
          </cell>
        </row>
        <row r="34">
          <cell r="B34">
            <v>130707</v>
          </cell>
          <cell r="C34" t="str">
            <v>Griego Mykonos 700g</v>
          </cell>
          <cell r="D34">
            <v>4.1500000000000004</v>
          </cell>
          <cell r="E34">
            <v>569</v>
          </cell>
          <cell r="F34">
            <v>2361.3500000000004</v>
          </cell>
          <cell r="G34">
            <v>8.4581081081081084</v>
          </cell>
          <cell r="H34">
            <v>1480</v>
          </cell>
          <cell r="I34">
            <v>-103.72727272727263</v>
          </cell>
          <cell r="J34">
            <v>80</v>
          </cell>
          <cell r="K34">
            <v>332</v>
          </cell>
          <cell r="L34">
            <v>0</v>
          </cell>
          <cell r="M34">
            <v>0</v>
          </cell>
          <cell r="N34">
            <v>80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 t="str">
            <v>-</v>
          </cell>
          <cell r="T34">
            <v>20</v>
          </cell>
          <cell r="U34">
            <v>83</v>
          </cell>
          <cell r="V34">
            <v>4.6808510638297873</v>
          </cell>
          <cell r="W34">
            <v>94</v>
          </cell>
          <cell r="X34">
            <v>-44.090909090909093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669</v>
          </cell>
          <cell r="AE34">
            <v>2776.3500000000004</v>
          </cell>
          <cell r="AF34">
            <v>749.52380952380952</v>
          </cell>
          <cell r="AG34">
            <v>8.9256670902160113</v>
          </cell>
          <cell r="AH34">
            <v>0.89256670902160107</v>
          </cell>
          <cell r="AI34">
            <v>-80.523809523809518</v>
          </cell>
          <cell r="AJ34">
            <v>374.76190476190476</v>
          </cell>
          <cell r="AK34">
            <v>455.28571428571428</v>
          </cell>
          <cell r="AL34">
            <v>41.8125</v>
          </cell>
        </row>
        <row r="35">
          <cell r="B35">
            <v>131150</v>
          </cell>
          <cell r="C35" t="str">
            <v>Cremigurt Power Natural 150g</v>
          </cell>
          <cell r="D35">
            <v>1.63</v>
          </cell>
          <cell r="E35">
            <v>1980</v>
          </cell>
          <cell r="F35">
            <v>3227.3999999999996</v>
          </cell>
          <cell r="G35">
            <v>4.073312137647279</v>
          </cell>
          <cell r="H35">
            <v>10694</v>
          </cell>
          <cell r="I35">
            <v>-2880.909090909091</v>
          </cell>
          <cell r="J35">
            <v>760</v>
          </cell>
          <cell r="K35">
            <v>1238.8</v>
          </cell>
          <cell r="L35">
            <v>5.1909344923936667</v>
          </cell>
          <cell r="M35">
            <v>3221</v>
          </cell>
          <cell r="N35">
            <v>-704.09090909090901</v>
          </cell>
          <cell r="O35">
            <v>286</v>
          </cell>
          <cell r="P35">
            <v>466.17999999999995</v>
          </cell>
          <cell r="Q35">
            <v>6.5884816753926705</v>
          </cell>
          <cell r="R35">
            <v>955</v>
          </cell>
          <cell r="S35">
            <v>-365.13636363636363</v>
          </cell>
          <cell r="T35">
            <v>647</v>
          </cell>
          <cell r="U35">
            <v>1054.6099999999999</v>
          </cell>
          <cell r="V35">
            <v>10.450807635829662</v>
          </cell>
          <cell r="W35">
            <v>1362</v>
          </cell>
          <cell r="X35">
            <v>-281.63636363636363</v>
          </cell>
          <cell r="Y35">
            <v>93</v>
          </cell>
          <cell r="Z35">
            <v>151.59</v>
          </cell>
          <cell r="AA35">
            <v>6.4952380952380953</v>
          </cell>
          <cell r="AB35">
            <v>315</v>
          </cell>
          <cell r="AC35">
            <v>-121.77272727272728</v>
          </cell>
          <cell r="AD35">
            <v>3766</v>
          </cell>
          <cell r="AE35">
            <v>6138.58</v>
          </cell>
          <cell r="AF35">
            <v>7879.5238095238092</v>
          </cell>
          <cell r="AG35">
            <v>4.7794766422916544</v>
          </cell>
          <cell r="AH35">
            <v>0.4779476642291654</v>
          </cell>
          <cell r="AI35">
            <v>-4113.5238095238092</v>
          </cell>
          <cell r="AJ35">
            <v>3939.7619047619046</v>
          </cell>
          <cell r="AK35">
            <v>8053.2857142857138</v>
          </cell>
          <cell r="AL35">
            <v>69.740740740740748</v>
          </cell>
        </row>
        <row r="36">
          <cell r="B36">
            <v>131151</v>
          </cell>
          <cell r="C36" t="str">
            <v>Cremigurt Power Mantecado 150g</v>
          </cell>
          <cell r="D36">
            <v>1.63</v>
          </cell>
          <cell r="E36">
            <v>171</v>
          </cell>
          <cell r="F36">
            <v>278.72999999999996</v>
          </cell>
          <cell r="G36">
            <v>0.22873472365780992</v>
          </cell>
          <cell r="H36">
            <v>16447</v>
          </cell>
          <cell r="I36">
            <v>-7304.909090909091</v>
          </cell>
          <cell r="J36">
            <v>5985</v>
          </cell>
          <cell r="K36">
            <v>9755.5499999999993</v>
          </cell>
          <cell r="L36">
            <v>26.686258613700851</v>
          </cell>
          <cell r="M36">
            <v>4934</v>
          </cell>
          <cell r="N36">
            <v>3742.272727272727</v>
          </cell>
          <cell r="O36">
            <v>1248</v>
          </cell>
          <cell r="P36">
            <v>2034.2399999999998</v>
          </cell>
          <cell r="Q36">
            <v>13.707438841737394</v>
          </cell>
          <cell r="R36">
            <v>2003</v>
          </cell>
          <cell r="S36">
            <v>-117.68181818181824</v>
          </cell>
          <cell r="T36">
            <v>1308</v>
          </cell>
          <cell r="U36">
            <v>2132.04</v>
          </cell>
          <cell r="V36">
            <v>9.7944179714091231</v>
          </cell>
          <cell r="W36">
            <v>2938</v>
          </cell>
          <cell r="X36">
            <v>-695.18181818181802</v>
          </cell>
          <cell r="Y36">
            <v>289</v>
          </cell>
          <cell r="Z36">
            <v>471.07</v>
          </cell>
          <cell r="AA36">
            <v>14.924882629107982</v>
          </cell>
          <cell r="AB36">
            <v>426</v>
          </cell>
          <cell r="AC36">
            <v>-1.454545454545439</v>
          </cell>
          <cell r="AD36">
            <v>9001</v>
          </cell>
          <cell r="AE36">
            <v>14671.63</v>
          </cell>
          <cell r="AF36">
            <v>12737.142857142859</v>
          </cell>
          <cell r="AG36">
            <v>7.0667339614176754</v>
          </cell>
          <cell r="AH36">
            <v>0.7066733961417675</v>
          </cell>
          <cell r="AI36">
            <v>-3736.1428571428587</v>
          </cell>
          <cell r="AJ36">
            <v>6368.5714285714294</v>
          </cell>
          <cell r="AK36">
            <v>10104.714285714288</v>
          </cell>
          <cell r="AL36">
            <v>166.68518518518519</v>
          </cell>
        </row>
        <row r="37">
          <cell r="B37">
            <v>131152</v>
          </cell>
          <cell r="C37" t="str">
            <v>Cremigurt Power CheesseCake Fresa 150g</v>
          </cell>
          <cell r="D37">
            <v>1.63</v>
          </cell>
          <cell r="E37">
            <v>2179</v>
          </cell>
          <cell r="F37">
            <v>3551.77</v>
          </cell>
          <cell r="G37">
            <v>8.0446383621412991</v>
          </cell>
          <cell r="H37">
            <v>5959</v>
          </cell>
          <cell r="I37">
            <v>-529.63636363636397</v>
          </cell>
          <cell r="J37">
            <v>778</v>
          </cell>
          <cell r="K37">
            <v>1268.1399999999999</v>
          </cell>
          <cell r="L37">
            <v>7.066886870355078</v>
          </cell>
          <cell r="M37">
            <v>2422</v>
          </cell>
          <cell r="N37">
            <v>-322.90909090909099</v>
          </cell>
          <cell r="O37">
            <v>416</v>
          </cell>
          <cell r="P37">
            <v>678.07999999999993</v>
          </cell>
          <cell r="Q37">
            <v>8.9990167158308747</v>
          </cell>
          <cell r="R37">
            <v>1017</v>
          </cell>
          <cell r="S37">
            <v>-277.40909090909088</v>
          </cell>
          <cell r="T37">
            <v>360</v>
          </cell>
          <cell r="U37">
            <v>586.79999999999995</v>
          </cell>
          <cell r="V37">
            <v>5.2002626395272484</v>
          </cell>
          <cell r="W37">
            <v>1523</v>
          </cell>
          <cell r="X37">
            <v>-678.40909090909099</v>
          </cell>
          <cell r="Y37">
            <v>3</v>
          </cell>
          <cell r="Z37">
            <v>4.8899999999999997</v>
          </cell>
          <cell r="AA37">
            <v>0.34375</v>
          </cell>
          <cell r="AB37">
            <v>192</v>
          </cell>
          <cell r="AC37">
            <v>-127.90909090909091</v>
          </cell>
          <cell r="AD37">
            <v>3736</v>
          </cell>
          <cell r="AE37">
            <v>6089.6799999999994</v>
          </cell>
          <cell r="AF37">
            <v>5291.9047619047615</v>
          </cell>
          <cell r="AG37">
            <v>7.0598398272293714</v>
          </cell>
          <cell r="AH37">
            <v>0.70598398272293716</v>
          </cell>
          <cell r="AI37">
            <v>-1555.9047619047615</v>
          </cell>
          <cell r="AJ37">
            <v>2645.9523809523807</v>
          </cell>
          <cell r="AK37">
            <v>4201.8571428571422</v>
          </cell>
          <cell r="AL37">
            <v>69.18518518518519</v>
          </cell>
        </row>
        <row r="38">
          <cell r="B38">
            <v>131153</v>
          </cell>
          <cell r="C38" t="str">
            <v>Cremigurt Power Cookies and Cream 150g</v>
          </cell>
          <cell r="D38">
            <v>1.63</v>
          </cell>
          <cell r="E38">
            <v>1456</v>
          </cell>
          <cell r="F38">
            <v>2373.2799999999997</v>
          </cell>
          <cell r="G38">
            <v>7.7955706984667801</v>
          </cell>
          <cell r="H38">
            <v>4109</v>
          </cell>
          <cell r="I38">
            <v>-411.72727272727275</v>
          </cell>
          <cell r="J38">
            <v>2045</v>
          </cell>
          <cell r="K38">
            <v>3333.35</v>
          </cell>
          <cell r="L38">
            <v>21.56759348034516</v>
          </cell>
          <cell r="M38">
            <v>2086</v>
          </cell>
          <cell r="N38">
            <v>1096.818181818182</v>
          </cell>
          <cell r="O38">
            <v>13</v>
          </cell>
          <cell r="P38">
            <v>21.189999999999998</v>
          </cell>
          <cell r="Q38">
            <v>0.38082556591211719</v>
          </cell>
          <cell r="R38">
            <v>751</v>
          </cell>
          <cell r="S38">
            <v>-499.0454545454545</v>
          </cell>
          <cell r="T38">
            <v>177</v>
          </cell>
          <cell r="U38">
            <v>288.51</v>
          </cell>
          <cell r="V38">
            <v>3.7990243902439023</v>
          </cell>
          <cell r="W38">
            <v>1025</v>
          </cell>
          <cell r="X38">
            <v>-521.86363636363637</v>
          </cell>
          <cell r="Y38">
            <v>244</v>
          </cell>
          <cell r="Z38">
            <v>397.71999999999997</v>
          </cell>
          <cell r="AA38">
            <v>11.47008547008547</v>
          </cell>
          <cell r="AB38">
            <v>468</v>
          </cell>
          <cell r="AC38">
            <v>-75.090909090909122</v>
          </cell>
          <cell r="AD38">
            <v>3935</v>
          </cell>
          <cell r="AE38">
            <v>6414.0499999999993</v>
          </cell>
          <cell r="AF38">
            <v>4018.5714285714284</v>
          </cell>
          <cell r="AG38">
            <v>9.7920369712051194</v>
          </cell>
          <cell r="AH38">
            <v>0.97920369712051192</v>
          </cell>
          <cell r="AI38">
            <v>-83.571428571428442</v>
          </cell>
          <cell r="AJ38">
            <v>2009.2857142857142</v>
          </cell>
          <cell r="AK38">
            <v>2092.8571428571427</v>
          </cell>
          <cell r="AL38">
            <v>72.870370370370367</v>
          </cell>
        </row>
        <row r="39">
          <cell r="B39">
            <v>131154</v>
          </cell>
          <cell r="C39" t="str">
            <v>Cremigurt Power Piña Colada 150g</v>
          </cell>
          <cell r="D39">
            <v>1.63</v>
          </cell>
          <cell r="E39">
            <v>1116</v>
          </cell>
          <cell r="F39">
            <v>1819.08</v>
          </cell>
          <cell r="G39">
            <v>131.29411764705881</v>
          </cell>
          <cell r="H39">
            <v>187</v>
          </cell>
          <cell r="I39">
            <v>1031</v>
          </cell>
          <cell r="J39">
            <v>6402</v>
          </cell>
          <cell r="K39">
            <v>10435.26</v>
          </cell>
          <cell r="L39">
            <v>172.60294117647061</v>
          </cell>
          <cell r="M39">
            <v>815.99999999999989</v>
          </cell>
          <cell r="N39">
            <v>6031.090909090909</v>
          </cell>
          <cell r="O39">
            <v>520</v>
          </cell>
          <cell r="P39">
            <v>847.59999999999991</v>
          </cell>
          <cell r="Q39">
            <v>0</v>
          </cell>
          <cell r="R39">
            <v>11</v>
          </cell>
          <cell r="S39">
            <v>512.5</v>
          </cell>
          <cell r="T39">
            <v>118</v>
          </cell>
          <cell r="U39">
            <v>192.33999999999997</v>
          </cell>
          <cell r="V39">
            <v>4.8252788104089221</v>
          </cell>
          <cell r="W39">
            <v>538</v>
          </cell>
          <cell r="X39">
            <v>-248.81818181818181</v>
          </cell>
          <cell r="Y39">
            <v>137</v>
          </cell>
          <cell r="Z39">
            <v>223.30999999999997</v>
          </cell>
          <cell r="AA39">
            <v>65.521739130434781</v>
          </cell>
          <cell r="AB39">
            <v>46</v>
          </cell>
          <cell r="AC39">
            <v>105.63636363636364</v>
          </cell>
          <cell r="AD39">
            <v>8293</v>
          </cell>
          <cell r="AE39">
            <v>13517.589999999998</v>
          </cell>
          <cell r="AF39">
            <v>760.95238095238096</v>
          </cell>
          <cell r="AG39">
            <v>108.98185231539424</v>
          </cell>
          <cell r="AH39">
            <v>10.898185231539424</v>
          </cell>
          <cell r="AI39">
            <v>7532.0476190476193</v>
          </cell>
          <cell r="AJ39">
            <v>380.47619047619048</v>
          </cell>
          <cell r="AK39">
            <v>-7151.5714285714284</v>
          </cell>
          <cell r="AL39">
            <v>153.57407407407408</v>
          </cell>
        </row>
        <row r="40">
          <cell r="B40">
            <v>131155</v>
          </cell>
          <cell r="C40" t="str">
            <v>Cremigurt Power Dulce de Leche 150g</v>
          </cell>
          <cell r="D40">
            <v>1.63</v>
          </cell>
          <cell r="E40">
            <v>1106</v>
          </cell>
          <cell r="F40">
            <v>1802.78</v>
          </cell>
          <cell r="G40">
            <v>131.52432432432434</v>
          </cell>
          <cell r="H40">
            <v>185</v>
          </cell>
          <cell r="I40">
            <v>1021.9090909090909</v>
          </cell>
          <cell r="J40">
            <v>3737</v>
          </cell>
          <cell r="K40">
            <v>6091.3099999999995</v>
          </cell>
          <cell r="L40">
            <v>115.14565826330532</v>
          </cell>
          <cell r="M40">
            <v>714</v>
          </cell>
          <cell r="N40">
            <v>3412.4545454545455</v>
          </cell>
          <cell r="O40">
            <v>521</v>
          </cell>
          <cell r="P40">
            <v>849.2299999999999</v>
          </cell>
          <cell r="Q40">
            <v>0</v>
          </cell>
          <cell r="R40">
            <v>11</v>
          </cell>
          <cell r="S40">
            <v>513.5</v>
          </cell>
          <cell r="T40">
            <v>97</v>
          </cell>
          <cell r="U40">
            <v>158.10999999999999</v>
          </cell>
          <cell r="V40">
            <v>3.7904085257548847</v>
          </cell>
          <cell r="W40">
            <v>563</v>
          </cell>
          <cell r="X40">
            <v>-286.86363636363637</v>
          </cell>
          <cell r="Y40">
            <v>143</v>
          </cell>
          <cell r="Z40">
            <v>233.08999999999997</v>
          </cell>
          <cell r="AA40">
            <v>76.731707317073173</v>
          </cell>
          <cell r="AB40">
            <v>41</v>
          </cell>
          <cell r="AC40">
            <v>115.04545454545455</v>
          </cell>
          <cell r="AD40">
            <v>5604</v>
          </cell>
          <cell r="AE40">
            <v>9134.5199999999986</v>
          </cell>
          <cell r="AF40">
            <v>720.95238095238096</v>
          </cell>
          <cell r="AG40">
            <v>77.730515191545564</v>
          </cell>
          <cell r="AH40">
            <v>7.7730515191545573</v>
          </cell>
          <cell r="AI40">
            <v>4883.0476190476193</v>
          </cell>
          <cell r="AJ40">
            <v>360.47619047619048</v>
          </cell>
          <cell r="AK40">
            <v>-4522.5714285714284</v>
          </cell>
          <cell r="AL40">
            <v>103.77777777777777</v>
          </cell>
        </row>
        <row r="41">
          <cell r="B41">
            <v>131700</v>
          </cell>
          <cell r="C41" t="str">
            <v>Cremigurt Power Natural 700g</v>
          </cell>
          <cell r="D41">
            <v>6.15</v>
          </cell>
          <cell r="E41">
            <v>226</v>
          </cell>
          <cell r="F41">
            <v>1389.9</v>
          </cell>
          <cell r="G41">
            <v>3.7049180327868854</v>
          </cell>
          <cell r="H41">
            <v>1342</v>
          </cell>
          <cell r="I41">
            <v>-384</v>
          </cell>
          <cell r="J41">
            <v>271</v>
          </cell>
          <cell r="K41">
            <v>1666.65</v>
          </cell>
          <cell r="L41">
            <v>7.5277777777777777</v>
          </cell>
          <cell r="M41">
            <v>792</v>
          </cell>
          <cell r="N41">
            <v>-89</v>
          </cell>
          <cell r="O41">
            <v>10</v>
          </cell>
          <cell r="P41">
            <v>61.5</v>
          </cell>
          <cell r="Q41">
            <v>2.6506024096385539</v>
          </cell>
          <cell r="R41">
            <v>83</v>
          </cell>
          <cell r="S41">
            <v>-46.590909090909093</v>
          </cell>
          <cell r="T41">
            <v>167</v>
          </cell>
          <cell r="U41">
            <v>1027.05</v>
          </cell>
          <cell r="V41">
            <v>9.8763440860215042</v>
          </cell>
          <cell r="W41">
            <v>372</v>
          </cell>
          <cell r="X41">
            <v>-86.636363636363654</v>
          </cell>
          <cell r="Y41">
            <v>1</v>
          </cell>
          <cell r="Z41">
            <v>6.15</v>
          </cell>
          <cell r="AA41">
            <v>0.22916666666666669</v>
          </cell>
          <cell r="AB41">
            <v>96</v>
          </cell>
          <cell r="AC41">
            <v>-64.454545454545453</v>
          </cell>
          <cell r="AD41">
            <v>675</v>
          </cell>
          <cell r="AE41">
            <v>4151.25</v>
          </cell>
          <cell r="AF41">
            <v>1278.5714285714287</v>
          </cell>
          <cell r="AG41">
            <v>5.2793296089385473</v>
          </cell>
          <cell r="AH41">
            <v>0.52793296089385466</v>
          </cell>
          <cell r="AI41">
            <v>-603.57142857142867</v>
          </cell>
          <cell r="AJ41">
            <v>639.28571428571433</v>
          </cell>
          <cell r="AK41">
            <v>1242.8571428571431</v>
          </cell>
          <cell r="AL41">
            <v>12.5</v>
          </cell>
        </row>
        <row r="42">
          <cell r="B42">
            <v>131701</v>
          </cell>
          <cell r="C42" t="str">
            <v>Cremigurt Power Mantecado 700g</v>
          </cell>
          <cell r="D42">
            <v>6.15</v>
          </cell>
          <cell r="E42">
            <v>67</v>
          </cell>
          <cell r="F42">
            <v>412.05</v>
          </cell>
          <cell r="G42">
            <v>1.0439093484419262</v>
          </cell>
          <cell r="H42">
            <v>1412</v>
          </cell>
          <cell r="I42">
            <v>-574.81818181818187</v>
          </cell>
          <cell r="J42">
            <v>470</v>
          </cell>
          <cell r="K42">
            <v>2890.5</v>
          </cell>
          <cell r="L42">
            <v>11.166306695464362</v>
          </cell>
          <cell r="M42">
            <v>926</v>
          </cell>
          <cell r="N42">
            <v>49.090909090909065</v>
          </cell>
          <cell r="O42">
            <v>28</v>
          </cell>
          <cell r="P42">
            <v>172.20000000000002</v>
          </cell>
          <cell r="Q42">
            <v>7.6049382716049383</v>
          </cell>
          <cell r="R42">
            <v>81</v>
          </cell>
          <cell r="S42">
            <v>-27.227272727272727</v>
          </cell>
          <cell r="T42">
            <v>223</v>
          </cell>
          <cell r="U42">
            <v>1371.45</v>
          </cell>
          <cell r="V42">
            <v>9.2566037735849065</v>
          </cell>
          <cell r="W42">
            <v>530</v>
          </cell>
          <cell r="X42">
            <v>-138.36363636363637</v>
          </cell>
          <cell r="Y42">
            <v>88</v>
          </cell>
          <cell r="Z42">
            <v>541.20000000000005</v>
          </cell>
          <cell r="AA42">
            <v>31.737704918032783</v>
          </cell>
          <cell r="AB42">
            <v>61</v>
          </cell>
          <cell r="AC42">
            <v>46.409090909090907</v>
          </cell>
          <cell r="AD42">
            <v>876</v>
          </cell>
          <cell r="AE42">
            <v>5387.4000000000005</v>
          </cell>
          <cell r="AF42">
            <v>1433.3333333333335</v>
          </cell>
          <cell r="AG42">
            <v>6.1116279069767439</v>
          </cell>
          <cell r="AH42">
            <v>0.61116279069767432</v>
          </cell>
          <cell r="AI42">
            <v>-557.33333333333348</v>
          </cell>
          <cell r="AJ42">
            <v>716.66666666666674</v>
          </cell>
          <cell r="AK42">
            <v>1274.0000000000002</v>
          </cell>
          <cell r="AL42">
            <v>16.222222222222221</v>
          </cell>
        </row>
        <row r="43">
          <cell r="B43">
            <v>132150</v>
          </cell>
          <cell r="C43" t="str">
            <v>Cremigurt Griego Fresa S/A 150g</v>
          </cell>
          <cell r="D43">
            <v>1.1599999999999999</v>
          </cell>
          <cell r="E43">
            <v>2720</v>
          </cell>
          <cell r="F43">
            <v>3155.2</v>
          </cell>
          <cell r="G43">
            <v>8.1073025335320423</v>
          </cell>
          <cell r="H43">
            <v>7381</v>
          </cell>
          <cell r="I43">
            <v>-635</v>
          </cell>
          <cell r="J43">
            <v>962</v>
          </cell>
          <cell r="K43">
            <v>1115.9199999999998</v>
          </cell>
          <cell r="L43">
            <v>7.7100182149362482</v>
          </cell>
          <cell r="M43">
            <v>2745</v>
          </cell>
          <cell r="N43">
            <v>-285.72727272727275</v>
          </cell>
          <cell r="O43">
            <v>368</v>
          </cell>
          <cell r="P43">
            <v>426.88</v>
          </cell>
          <cell r="Q43">
            <v>7.1204925241864556</v>
          </cell>
          <cell r="R43">
            <v>1137</v>
          </cell>
          <cell r="S43">
            <v>-407.22727272727275</v>
          </cell>
          <cell r="T43">
            <v>1</v>
          </cell>
          <cell r="U43">
            <v>1.1599999999999999</v>
          </cell>
          <cell r="V43">
            <v>1.0602409638554217E-2</v>
          </cell>
          <cell r="W43">
            <v>2075</v>
          </cell>
          <cell r="X43">
            <v>-1413.7727272727273</v>
          </cell>
          <cell r="Y43">
            <v>89</v>
          </cell>
          <cell r="Z43">
            <v>103.24</v>
          </cell>
          <cell r="AA43">
            <v>5.4692737430167595</v>
          </cell>
          <cell r="AB43">
            <v>358</v>
          </cell>
          <cell r="AC43">
            <v>-155.09090909090909</v>
          </cell>
          <cell r="AD43">
            <v>4140</v>
          </cell>
          <cell r="AE43">
            <v>4802.3999999999996</v>
          </cell>
          <cell r="AF43">
            <v>6521.9047619047615</v>
          </cell>
          <cell r="AG43">
            <v>6.3478387850467293</v>
          </cell>
          <cell r="AH43">
            <v>0.63478387850467299</v>
          </cell>
          <cell r="AI43">
            <v>-2381.9047619047615</v>
          </cell>
          <cell r="AJ43">
            <v>3260.9523809523807</v>
          </cell>
          <cell r="AK43">
            <v>5642.8571428571422</v>
          </cell>
          <cell r="AL43">
            <v>76.666666666666671</v>
          </cell>
        </row>
        <row r="44">
          <cell r="B44">
            <v>132151</v>
          </cell>
          <cell r="C44" t="str">
            <v>Cremigurt Griego Coco Vainilla S/A 150g</v>
          </cell>
          <cell r="D44">
            <v>1.1599999999999999</v>
          </cell>
          <cell r="E44">
            <v>2471</v>
          </cell>
          <cell r="F44">
            <v>2866.3599999999997</v>
          </cell>
          <cell r="G44">
            <v>8.4439266853059962</v>
          </cell>
          <cell r="H44">
            <v>6438</v>
          </cell>
          <cell r="I44">
            <v>-455.36363636363603</v>
          </cell>
          <cell r="J44">
            <v>1145</v>
          </cell>
          <cell r="K44">
            <v>1328.1999999999998</v>
          </cell>
          <cell r="L44">
            <v>6.6852441613588116</v>
          </cell>
          <cell r="M44">
            <v>3767.9999999999995</v>
          </cell>
          <cell r="N44">
            <v>-567.72727272727252</v>
          </cell>
          <cell r="O44">
            <v>555</v>
          </cell>
          <cell r="P44">
            <v>643.79999999999995</v>
          </cell>
          <cell r="Q44">
            <v>16.236702127659576</v>
          </cell>
          <cell r="R44">
            <v>752</v>
          </cell>
          <cell r="S44">
            <v>42.272727272727252</v>
          </cell>
          <cell r="T44">
            <v>805</v>
          </cell>
          <cell r="U44">
            <v>933.8</v>
          </cell>
          <cell r="V44">
            <v>9.521505376344086</v>
          </cell>
          <cell r="W44">
            <v>1860</v>
          </cell>
          <cell r="X44">
            <v>-463.18181818181824</v>
          </cell>
          <cell r="Y44">
            <v>190</v>
          </cell>
          <cell r="Z44">
            <v>220.39999999999998</v>
          </cell>
          <cell r="AA44">
            <v>10.663265306122449</v>
          </cell>
          <cell r="AB44">
            <v>392</v>
          </cell>
          <cell r="AC44">
            <v>-77.272727272727252</v>
          </cell>
          <cell r="AD44">
            <v>5166</v>
          </cell>
          <cell r="AE44">
            <v>5992.5599999999995</v>
          </cell>
          <cell r="AF44">
            <v>6290.4761904761908</v>
          </cell>
          <cell r="AG44">
            <v>8.2124148372445127</v>
          </cell>
          <cell r="AH44">
            <v>0.82124148372445116</v>
          </cell>
          <cell r="AI44">
            <v>-1124.4761904761908</v>
          </cell>
          <cell r="AJ44">
            <v>3145.2380952380954</v>
          </cell>
          <cell r="AK44">
            <v>4269.7142857142862</v>
          </cell>
          <cell r="AL44">
            <v>95.666666666666671</v>
          </cell>
        </row>
        <row r="45">
          <cell r="B45">
            <v>132152</v>
          </cell>
          <cell r="C45" t="str">
            <v>Cremigurt Griego Pie de Limón S/A 150g</v>
          </cell>
          <cell r="D45">
            <v>1.1599999999999999</v>
          </cell>
          <cell r="E45">
            <v>3376</v>
          </cell>
          <cell r="F45">
            <v>3916.16</v>
          </cell>
          <cell r="G45">
            <v>8.7626238791882969</v>
          </cell>
          <cell r="H45">
            <v>8476</v>
          </cell>
          <cell r="I45">
            <v>-476.72727272727252</v>
          </cell>
          <cell r="J45">
            <v>2731</v>
          </cell>
          <cell r="K45">
            <v>3167.9599999999996</v>
          </cell>
          <cell r="L45">
            <v>11.109837278106509</v>
          </cell>
          <cell r="M45">
            <v>5408</v>
          </cell>
          <cell r="N45">
            <v>272.81818181818198</v>
          </cell>
          <cell r="O45">
            <v>306</v>
          </cell>
          <cell r="P45">
            <v>354.96</v>
          </cell>
          <cell r="Q45">
            <v>6.0160857908847181</v>
          </cell>
          <cell r="R45">
            <v>1119</v>
          </cell>
          <cell r="S45">
            <v>-456.9545454545455</v>
          </cell>
          <cell r="T45">
            <v>1147</v>
          </cell>
          <cell r="U45">
            <v>1330.52</v>
          </cell>
          <cell r="V45">
            <v>9.9739130434782606</v>
          </cell>
          <cell r="W45">
            <v>2530</v>
          </cell>
          <cell r="X45">
            <v>-578</v>
          </cell>
          <cell r="Y45">
            <v>102</v>
          </cell>
          <cell r="Z45">
            <v>118.32</v>
          </cell>
          <cell r="AA45">
            <v>6.1818181818181817</v>
          </cell>
          <cell r="AB45">
            <v>363</v>
          </cell>
          <cell r="AC45">
            <v>-145.5</v>
          </cell>
          <cell r="AD45">
            <v>7662</v>
          </cell>
          <cell r="AE45">
            <v>8887.92</v>
          </cell>
          <cell r="AF45">
            <v>8521.9047619047615</v>
          </cell>
          <cell r="AG45">
            <v>8.9909476978095668</v>
          </cell>
          <cell r="AH45">
            <v>0.8990947697809567</v>
          </cell>
          <cell r="AI45">
            <v>-859.90476190476147</v>
          </cell>
          <cell r="AJ45">
            <v>4260.9523809523807</v>
          </cell>
          <cell r="AK45">
            <v>5120.8571428571422</v>
          </cell>
          <cell r="AL45">
            <v>141.88888888888889</v>
          </cell>
        </row>
        <row r="46">
          <cell r="B46">
            <v>132153</v>
          </cell>
          <cell r="C46" t="str">
            <v>Cremigurt Griego Caramelo Salado S/A 150g</v>
          </cell>
          <cell r="D46">
            <v>1.1599999999999999</v>
          </cell>
          <cell r="E46">
            <v>2189</v>
          </cell>
          <cell r="F46">
            <v>2539.2399999999998</v>
          </cell>
          <cell r="G46">
            <v>8.4785211267605636</v>
          </cell>
          <cell r="H46">
            <v>5680</v>
          </cell>
          <cell r="I46">
            <v>-392.81818181818198</v>
          </cell>
          <cell r="J46">
            <v>4200</v>
          </cell>
          <cell r="K46">
            <v>4872</v>
          </cell>
          <cell r="L46">
            <v>23.274559193954659</v>
          </cell>
          <cell r="M46">
            <v>3970</v>
          </cell>
          <cell r="N46">
            <v>2395.454545454545</v>
          </cell>
          <cell r="O46">
            <v>0</v>
          </cell>
          <cell r="P46">
            <v>0</v>
          </cell>
          <cell r="Q46">
            <v>0</v>
          </cell>
          <cell r="R46">
            <v>822.00000000000011</v>
          </cell>
          <cell r="S46">
            <v>-560.4545454545455</v>
          </cell>
          <cell r="T46">
            <v>578</v>
          </cell>
          <cell r="U46">
            <v>670.4799999999999</v>
          </cell>
          <cell r="V46">
            <v>10.221864951768488</v>
          </cell>
          <cell r="W46">
            <v>1244</v>
          </cell>
          <cell r="X46">
            <v>-270.18181818181824</v>
          </cell>
          <cell r="Y46">
            <v>35</v>
          </cell>
          <cell r="Z46">
            <v>40.599999999999994</v>
          </cell>
          <cell r="AA46">
            <v>1.7381489841986455</v>
          </cell>
          <cell r="AB46">
            <v>443</v>
          </cell>
          <cell r="AC46">
            <v>-267.04545454545456</v>
          </cell>
          <cell r="AD46">
            <v>7002</v>
          </cell>
          <cell r="AE46">
            <v>8122.32</v>
          </cell>
          <cell r="AF46">
            <v>5790</v>
          </cell>
          <cell r="AG46">
            <v>12.093264248704664</v>
          </cell>
          <cell r="AH46">
            <v>1.2093264248704663</v>
          </cell>
          <cell r="AI46">
            <v>1212</v>
          </cell>
          <cell r="AJ46">
            <v>2895</v>
          </cell>
          <cell r="AK46">
            <v>1683</v>
          </cell>
          <cell r="AL46">
            <v>129.66666666666666</v>
          </cell>
        </row>
        <row r="47">
          <cell r="B47">
            <v>134000</v>
          </cell>
          <cell r="C47" t="str">
            <v>Cremigurt Griego Natural 4 Kg</v>
          </cell>
          <cell r="D47">
            <v>18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4</v>
          </cell>
          <cell r="K47">
            <v>72</v>
          </cell>
          <cell r="L47">
            <v>2.75</v>
          </cell>
          <cell r="M47">
            <v>32</v>
          </cell>
          <cell r="N47">
            <v>-10.545454545454547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13</v>
          </cell>
          <cell r="U47">
            <v>234</v>
          </cell>
          <cell r="V47">
            <v>14.3</v>
          </cell>
          <cell r="W47">
            <v>20</v>
          </cell>
          <cell r="X47">
            <v>-0.63636363636363669</v>
          </cell>
          <cell r="Y47">
            <v>4</v>
          </cell>
          <cell r="Z47">
            <v>72</v>
          </cell>
          <cell r="AA47">
            <v>0</v>
          </cell>
          <cell r="AB47">
            <v>0</v>
          </cell>
          <cell r="AC47">
            <v>4</v>
          </cell>
          <cell r="AD47">
            <v>21</v>
          </cell>
          <cell r="AE47">
            <v>378</v>
          </cell>
          <cell r="AF47">
            <v>24.761904761904763</v>
          </cell>
          <cell r="AG47">
            <v>8.4807692307692299</v>
          </cell>
          <cell r="AH47">
            <v>0.84807692307692306</v>
          </cell>
          <cell r="AI47">
            <v>-3.7619047619047628</v>
          </cell>
          <cell r="AJ47">
            <v>12.380952380952381</v>
          </cell>
          <cell r="AK47">
            <v>16.142857142857146</v>
          </cell>
          <cell r="AL47">
            <v>10.5</v>
          </cell>
        </row>
        <row r="48">
          <cell r="B48">
            <v>134001</v>
          </cell>
          <cell r="C48" t="str">
            <v>Cremigurt Griego Dulce 4 Kg</v>
          </cell>
          <cell r="D48">
            <v>18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3</v>
          </cell>
          <cell r="K48">
            <v>54</v>
          </cell>
          <cell r="L48">
            <v>7.333333333333333</v>
          </cell>
          <cell r="M48">
            <v>9</v>
          </cell>
          <cell r="N48">
            <v>-1.0909090909090908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3</v>
          </cell>
          <cell r="AE48">
            <v>54</v>
          </cell>
          <cell r="AF48">
            <v>4.2857142857142856</v>
          </cell>
          <cell r="AG48">
            <v>0</v>
          </cell>
          <cell r="AH48">
            <v>0</v>
          </cell>
          <cell r="AI48">
            <v>-1.2857142857142856</v>
          </cell>
          <cell r="AJ48">
            <v>2.1428571428571428</v>
          </cell>
          <cell r="AK48">
            <v>3.4285714285714284</v>
          </cell>
          <cell r="AL48">
            <v>1.5</v>
          </cell>
        </row>
        <row r="49">
          <cell r="B49">
            <v>140230</v>
          </cell>
          <cell r="C49" t="str">
            <v>Cremigurt Líquido Dulce 230g</v>
          </cell>
          <cell r="D49">
            <v>1.1599999999999999</v>
          </cell>
          <cell r="E49">
            <v>10</v>
          </cell>
          <cell r="F49">
            <v>11.6</v>
          </cell>
          <cell r="G49">
            <v>0.1778496362166532</v>
          </cell>
          <cell r="H49">
            <v>1237</v>
          </cell>
          <cell r="I49">
            <v>-552.27272727272725</v>
          </cell>
          <cell r="J49">
            <v>37</v>
          </cell>
          <cell r="K49">
            <v>42.919999999999995</v>
          </cell>
          <cell r="L49">
            <v>0.66017842660178427</v>
          </cell>
          <cell r="M49">
            <v>1233</v>
          </cell>
          <cell r="N49">
            <v>-523.4545454545455</v>
          </cell>
          <cell r="O49">
            <v>56</v>
          </cell>
          <cell r="P49">
            <v>64.959999999999994</v>
          </cell>
          <cell r="Q49">
            <v>11</v>
          </cell>
          <cell r="R49">
            <v>112</v>
          </cell>
          <cell r="S49">
            <v>-20.36363636363636</v>
          </cell>
          <cell r="T49">
            <v>281</v>
          </cell>
          <cell r="U49">
            <v>325.95999999999998</v>
          </cell>
          <cell r="V49">
            <v>26.646551724137932</v>
          </cell>
          <cell r="W49">
            <v>232</v>
          </cell>
          <cell r="X49">
            <v>122.81818181818181</v>
          </cell>
          <cell r="Y49">
            <v>116</v>
          </cell>
          <cell r="Z49">
            <v>134.56</v>
          </cell>
          <cell r="AA49">
            <v>38.666666666666664</v>
          </cell>
          <cell r="AB49">
            <v>66</v>
          </cell>
          <cell r="AC49">
            <v>71</v>
          </cell>
          <cell r="AD49">
            <v>500</v>
          </cell>
          <cell r="AE49">
            <v>580</v>
          </cell>
          <cell r="AF49">
            <v>1371.4285714285713</v>
          </cell>
          <cell r="AG49">
            <v>3.6458333333333335</v>
          </cell>
          <cell r="AH49">
            <v>0.36458333333333337</v>
          </cell>
          <cell r="AI49">
            <v>-871.42857142857133</v>
          </cell>
          <cell r="AJ49">
            <v>685.71428571428567</v>
          </cell>
          <cell r="AK49">
            <v>1557.1428571428569</v>
          </cell>
          <cell r="AL49">
            <v>12.5</v>
          </cell>
        </row>
        <row r="50">
          <cell r="B50">
            <v>140231</v>
          </cell>
          <cell r="C50" t="str">
            <v>Cremigurt Líquido Fresa 230g</v>
          </cell>
          <cell r="D50">
            <v>1.1599999999999999</v>
          </cell>
          <cell r="E50">
            <v>989</v>
          </cell>
          <cell r="F50">
            <v>1147.24</v>
          </cell>
          <cell r="G50">
            <v>3.8798145506419401</v>
          </cell>
          <cell r="H50">
            <v>5608</v>
          </cell>
          <cell r="I50">
            <v>-1560.090909090909</v>
          </cell>
          <cell r="J50">
            <v>3810</v>
          </cell>
          <cell r="K50">
            <v>4419.5999999999995</v>
          </cell>
          <cell r="L50">
            <v>23.439597315436245</v>
          </cell>
          <cell r="M50">
            <v>3576</v>
          </cell>
          <cell r="N50">
            <v>2184.545454545455</v>
          </cell>
          <cell r="O50">
            <v>142</v>
          </cell>
          <cell r="P50">
            <v>164.72</v>
          </cell>
          <cell r="Q50">
            <v>6.5083333333333337</v>
          </cell>
          <cell r="R50">
            <v>480</v>
          </cell>
          <cell r="S50">
            <v>-185.27272727272725</v>
          </cell>
          <cell r="T50">
            <v>82</v>
          </cell>
          <cell r="U50">
            <v>95.11999999999999</v>
          </cell>
          <cell r="V50">
            <v>1.0255827174530983</v>
          </cell>
          <cell r="W50">
            <v>1759</v>
          </cell>
          <cell r="X50">
            <v>-1117.3181818181818</v>
          </cell>
          <cell r="Y50">
            <v>69</v>
          </cell>
          <cell r="Z50">
            <v>80.039999999999992</v>
          </cell>
          <cell r="AA50">
            <v>6.9</v>
          </cell>
          <cell r="AB50">
            <v>220</v>
          </cell>
          <cell r="AC50">
            <v>-81</v>
          </cell>
          <cell r="AD50">
            <v>5092</v>
          </cell>
          <cell r="AE50">
            <v>5906.7199999999993</v>
          </cell>
          <cell r="AF50">
            <v>5544.2857142857147</v>
          </cell>
          <cell r="AG50">
            <v>9.1842308683329037</v>
          </cell>
          <cell r="AH50">
            <v>0.91842308683329033</v>
          </cell>
          <cell r="AI50">
            <v>-452.28571428571468</v>
          </cell>
          <cell r="AJ50">
            <v>2772.1428571428573</v>
          </cell>
          <cell r="AK50">
            <v>3224.428571428572</v>
          </cell>
          <cell r="AL50">
            <v>127.3</v>
          </cell>
        </row>
        <row r="51">
          <cell r="B51">
            <v>140232</v>
          </cell>
          <cell r="C51" t="str">
            <v>Cremigurt Líquido Durazno 230g</v>
          </cell>
          <cell r="D51">
            <v>1.1599999999999999</v>
          </cell>
          <cell r="E51">
            <v>253</v>
          </cell>
          <cell r="F51">
            <v>293.47999999999996</v>
          </cell>
          <cell r="G51">
            <v>4.3792289535798581</v>
          </cell>
          <cell r="H51">
            <v>1271</v>
          </cell>
          <cell r="I51">
            <v>-324.72727272727275</v>
          </cell>
          <cell r="J51">
            <v>3895</v>
          </cell>
          <cell r="K51">
            <v>4518.2</v>
          </cell>
          <cell r="L51">
            <v>87.438775510204081</v>
          </cell>
          <cell r="M51">
            <v>980</v>
          </cell>
          <cell r="N51">
            <v>3449.5454545454545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204</v>
          </cell>
          <cell r="U51">
            <v>236.64</v>
          </cell>
          <cell r="V51">
            <v>8.3420074349442377</v>
          </cell>
          <cell r="W51">
            <v>538</v>
          </cell>
          <cell r="X51">
            <v>-162.81818181818181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4352</v>
          </cell>
          <cell r="AE51">
            <v>5048.32</v>
          </cell>
          <cell r="AF51">
            <v>1328.0952380952381</v>
          </cell>
          <cell r="AG51">
            <v>32.768734313373976</v>
          </cell>
          <cell r="AH51">
            <v>3.2768734313373971</v>
          </cell>
          <cell r="AI51">
            <v>3023.9047619047619</v>
          </cell>
          <cell r="AJ51">
            <v>664.04761904761904</v>
          </cell>
          <cell r="AK51">
            <v>-2359.8571428571431</v>
          </cell>
          <cell r="AL51">
            <v>108.8</v>
          </cell>
        </row>
        <row r="52">
          <cell r="B52">
            <v>150360</v>
          </cell>
          <cell r="C52" t="str">
            <v>Tevia Limon 360ml</v>
          </cell>
          <cell r="D52">
            <v>0.81</v>
          </cell>
          <cell r="E52">
            <v>5638</v>
          </cell>
          <cell r="F52">
            <v>4566.7800000000007</v>
          </cell>
          <cell r="G52">
            <v>46.876795162509453</v>
          </cell>
          <cell r="H52">
            <v>2646</v>
          </cell>
          <cell r="I52">
            <v>4435.272727272727</v>
          </cell>
          <cell r="J52">
            <v>7084</v>
          </cell>
          <cell r="K52">
            <v>5738.04</v>
          </cell>
          <cell r="L52">
            <v>80.5</v>
          </cell>
          <cell r="M52">
            <v>1936</v>
          </cell>
          <cell r="N52">
            <v>6204</v>
          </cell>
          <cell r="O52">
            <v>244</v>
          </cell>
          <cell r="P52">
            <v>197.64000000000001</v>
          </cell>
          <cell r="Q52">
            <v>10.779116465863453</v>
          </cell>
          <cell r="R52">
            <v>498</v>
          </cell>
          <cell r="S52">
            <v>-95.545454545454561</v>
          </cell>
          <cell r="T52">
            <v>821</v>
          </cell>
          <cell r="U52">
            <v>665.01</v>
          </cell>
          <cell r="V52">
            <v>20.046614872364042</v>
          </cell>
          <cell r="W52">
            <v>901</v>
          </cell>
          <cell r="X52">
            <v>206.68181818181824</v>
          </cell>
          <cell r="Y52">
            <v>159</v>
          </cell>
          <cell r="Z52">
            <v>128.79000000000002</v>
          </cell>
          <cell r="AA52">
            <v>14.697478991596638</v>
          </cell>
          <cell r="AB52">
            <v>238</v>
          </cell>
          <cell r="AC52">
            <v>-3.2727272727272805</v>
          </cell>
          <cell r="AD52">
            <v>13946</v>
          </cell>
          <cell r="AE52">
            <v>11296.26</v>
          </cell>
          <cell r="AF52">
            <v>2961.4285714285716</v>
          </cell>
          <cell r="AG52">
            <v>47.092136999517606</v>
          </cell>
          <cell r="AH52">
            <v>4.7092136999517606</v>
          </cell>
          <cell r="AI52">
            <v>10984.571428571428</v>
          </cell>
          <cell r="AJ52">
            <v>1480.7142857142858</v>
          </cell>
          <cell r="AK52">
            <v>-9503.8571428571413</v>
          </cell>
          <cell r="AL52">
            <v>1162.1666666666667</v>
          </cell>
        </row>
        <row r="53">
          <cell r="B53">
            <v>150361</v>
          </cell>
          <cell r="C53" t="str">
            <v>Tevia Durazno 360ml</v>
          </cell>
          <cell r="D53">
            <v>0.81</v>
          </cell>
          <cell r="E53">
            <v>4134</v>
          </cell>
          <cell r="F53">
            <v>3348.5400000000004</v>
          </cell>
          <cell r="G53">
            <v>17.71139240506329</v>
          </cell>
          <cell r="H53">
            <v>5135</v>
          </cell>
          <cell r="I53">
            <v>1799.909090909091</v>
          </cell>
          <cell r="J53">
            <v>6075</v>
          </cell>
          <cell r="K53">
            <v>4920.75</v>
          </cell>
          <cell r="L53">
            <v>42.094488188976371</v>
          </cell>
          <cell r="M53">
            <v>3175.0000000000005</v>
          </cell>
          <cell r="N53">
            <v>4631.818181818182</v>
          </cell>
          <cell r="O53">
            <v>339</v>
          </cell>
          <cell r="P53">
            <v>274.59000000000003</v>
          </cell>
          <cell r="Q53">
            <v>8.4462061155152881</v>
          </cell>
          <cell r="R53">
            <v>883.00000000000011</v>
          </cell>
          <cell r="S53">
            <v>-263.04545454545462</v>
          </cell>
          <cell r="T53">
            <v>972</v>
          </cell>
          <cell r="U53">
            <v>787.32</v>
          </cell>
          <cell r="V53">
            <v>12.952150211992732</v>
          </cell>
          <cell r="W53">
            <v>1651</v>
          </cell>
          <cell r="X53">
            <v>-153.68181818181824</v>
          </cell>
          <cell r="Y53">
            <v>132</v>
          </cell>
          <cell r="Z53">
            <v>106.92</v>
          </cell>
          <cell r="AA53">
            <v>11.212355212355211</v>
          </cell>
          <cell r="AB53">
            <v>259</v>
          </cell>
          <cell r="AC53">
            <v>-44.590909090909093</v>
          </cell>
          <cell r="AD53">
            <v>11652</v>
          </cell>
          <cell r="AE53">
            <v>9438.1200000000008</v>
          </cell>
          <cell r="AF53">
            <v>5287.1428571428569</v>
          </cell>
          <cell r="AG53">
            <v>22.038368008646312</v>
          </cell>
          <cell r="AH53">
            <v>2.2038368008646314</v>
          </cell>
          <cell r="AI53">
            <v>6364.8571428571431</v>
          </cell>
          <cell r="AJ53">
            <v>2643.5714285714284</v>
          </cell>
          <cell r="AK53">
            <v>-3721.2857142857147</v>
          </cell>
          <cell r="AL53">
            <v>971</v>
          </cell>
        </row>
        <row r="54">
          <cell r="B54">
            <v>150362</v>
          </cell>
          <cell r="C54" t="str">
            <v>Tevia Blueberry 360ml</v>
          </cell>
          <cell r="D54">
            <v>0.81</v>
          </cell>
          <cell r="E54">
            <v>3374</v>
          </cell>
          <cell r="F54">
            <v>2732.94</v>
          </cell>
          <cell r="G54">
            <v>21.56536897152818</v>
          </cell>
          <cell r="H54">
            <v>3442</v>
          </cell>
          <cell r="I54">
            <v>1809.4545454545453</v>
          </cell>
          <cell r="J54">
            <v>6498</v>
          </cell>
          <cell r="K54">
            <v>5263.38</v>
          </cell>
          <cell r="L54">
            <v>81.876288659793815</v>
          </cell>
          <cell r="M54">
            <v>1746</v>
          </cell>
          <cell r="N54">
            <v>5704.363636363636</v>
          </cell>
          <cell r="O54">
            <v>374</v>
          </cell>
          <cell r="P54">
            <v>302.94</v>
          </cell>
          <cell r="Q54">
            <v>24.058479532163744</v>
          </cell>
          <cell r="R54">
            <v>342</v>
          </cell>
          <cell r="S54">
            <v>140.81818181818181</v>
          </cell>
          <cell r="T54">
            <v>906</v>
          </cell>
          <cell r="U54">
            <v>733.86</v>
          </cell>
          <cell r="V54">
            <v>32.252427184466022</v>
          </cell>
          <cell r="W54">
            <v>618</v>
          </cell>
          <cell r="X54">
            <v>484.63636363636363</v>
          </cell>
          <cell r="Y54">
            <v>141</v>
          </cell>
          <cell r="Z54">
            <v>114.21000000000001</v>
          </cell>
          <cell r="AA54">
            <v>11.531598513011152</v>
          </cell>
          <cell r="AB54">
            <v>269</v>
          </cell>
          <cell r="AC54">
            <v>-42.409090909090907</v>
          </cell>
          <cell r="AD54">
            <v>11293</v>
          </cell>
          <cell r="AE54">
            <v>9147.33</v>
          </cell>
          <cell r="AF54">
            <v>3055.7142857142853</v>
          </cell>
          <cell r="AG54">
            <v>36.956989247311832</v>
          </cell>
          <cell r="AH54">
            <v>3.6956989247311833</v>
          </cell>
          <cell r="AI54">
            <v>8237.2857142857138</v>
          </cell>
          <cell r="AJ54">
            <v>1527.8571428571427</v>
          </cell>
          <cell r="AK54">
            <v>-6709.4285714285706</v>
          </cell>
          <cell r="AL54">
            <v>941.08333333333337</v>
          </cell>
        </row>
        <row r="55">
          <cell r="B55">
            <v>150363</v>
          </cell>
          <cell r="C55" t="str">
            <v>Tevia Tropical Punch 360ml</v>
          </cell>
          <cell r="D55">
            <v>0.81</v>
          </cell>
          <cell r="E55">
            <v>5156</v>
          </cell>
          <cell r="F55">
            <v>4176.3600000000006</v>
          </cell>
          <cell r="G55">
            <v>41.6417033773862</v>
          </cell>
          <cell r="H55">
            <v>2724</v>
          </cell>
          <cell r="I55">
            <v>3917.818181818182</v>
          </cell>
          <cell r="J55">
            <v>8526</v>
          </cell>
          <cell r="K55">
            <v>6906.06</v>
          </cell>
          <cell r="L55">
            <v>95.944757033248067</v>
          </cell>
          <cell r="M55">
            <v>1955.0000000000002</v>
          </cell>
          <cell r="N55">
            <v>7637.363636363636</v>
          </cell>
          <cell r="O55">
            <v>249</v>
          </cell>
          <cell r="P55">
            <v>201.69000000000003</v>
          </cell>
          <cell r="Q55">
            <v>12.173333333333334</v>
          </cell>
          <cell r="R55">
            <v>449.99999999999994</v>
          </cell>
          <cell r="S55">
            <v>-57.818181818181813</v>
          </cell>
          <cell r="T55">
            <v>595</v>
          </cell>
          <cell r="U55">
            <v>481.95000000000005</v>
          </cell>
          <cell r="V55">
            <v>18.462623413258111</v>
          </cell>
          <cell r="W55">
            <v>709</v>
          </cell>
          <cell r="X55">
            <v>111.59090909090912</v>
          </cell>
          <cell r="Y55">
            <v>153</v>
          </cell>
          <cell r="Z55">
            <v>123.93</v>
          </cell>
          <cell r="AA55">
            <v>13.463999999999999</v>
          </cell>
          <cell r="AB55">
            <v>250.00000000000003</v>
          </cell>
          <cell r="AC55">
            <v>-17.454545454545467</v>
          </cell>
          <cell r="AD55">
            <v>14679</v>
          </cell>
          <cell r="AE55">
            <v>11889.990000000002</v>
          </cell>
          <cell r="AF55">
            <v>2899.0476190476193</v>
          </cell>
          <cell r="AG55">
            <v>50.633869908015768</v>
          </cell>
          <cell r="AH55">
            <v>5.0633869908015763</v>
          </cell>
          <cell r="AI55">
            <v>11779.952380952382</v>
          </cell>
          <cell r="AJ55">
            <v>1449.5238095238096</v>
          </cell>
          <cell r="AK55">
            <v>-10330.428571428572</v>
          </cell>
          <cell r="AL55">
            <v>1223.25</v>
          </cell>
        </row>
        <row r="56">
          <cell r="B56">
            <v>151500</v>
          </cell>
          <cell r="C56" t="str">
            <v>Tevia Limon 1.5L</v>
          </cell>
          <cell r="D56">
            <v>2.62</v>
          </cell>
          <cell r="E56">
            <v>173</v>
          </cell>
          <cell r="F56">
            <v>453.26</v>
          </cell>
          <cell r="G56">
            <v>7.6272545090180355</v>
          </cell>
          <cell r="H56">
            <v>499</v>
          </cell>
          <cell r="I56">
            <v>-53.818181818181841</v>
          </cell>
          <cell r="J56">
            <v>253</v>
          </cell>
          <cell r="K56">
            <v>662.86</v>
          </cell>
          <cell r="L56">
            <v>12.507865168539325</v>
          </cell>
          <cell r="M56">
            <v>445</v>
          </cell>
          <cell r="N56">
            <v>50.727272727272748</v>
          </cell>
          <cell r="O56">
            <v>28</v>
          </cell>
          <cell r="P56">
            <v>73.36</v>
          </cell>
          <cell r="Q56">
            <v>20.533333333333335</v>
          </cell>
          <cell r="R56">
            <v>30</v>
          </cell>
          <cell r="S56">
            <v>7.5454545454545467</v>
          </cell>
          <cell r="T56">
            <v>62</v>
          </cell>
          <cell r="U56">
            <v>162.44</v>
          </cell>
          <cell r="V56">
            <v>7.255319148936171</v>
          </cell>
          <cell r="W56">
            <v>188</v>
          </cell>
          <cell r="X56">
            <v>-66.181818181818187</v>
          </cell>
          <cell r="Y56">
            <v>52</v>
          </cell>
          <cell r="Z56">
            <v>136.24</v>
          </cell>
          <cell r="AA56">
            <v>22.88</v>
          </cell>
          <cell r="AB56">
            <v>50</v>
          </cell>
          <cell r="AC56">
            <v>17.909090909090907</v>
          </cell>
          <cell r="AD56">
            <v>568</v>
          </cell>
          <cell r="AE56">
            <v>1488.16</v>
          </cell>
          <cell r="AF56">
            <v>577.14285714285711</v>
          </cell>
          <cell r="AG56">
            <v>9.8415841584158432</v>
          </cell>
          <cell r="AH56">
            <v>0.98415841584158426</v>
          </cell>
          <cell r="AI56">
            <v>-9.1428571428571104</v>
          </cell>
          <cell r="AJ56">
            <v>288.57142857142856</v>
          </cell>
          <cell r="AK56">
            <v>297.71428571428567</v>
          </cell>
          <cell r="AL56">
            <v>94.666666666666671</v>
          </cell>
        </row>
        <row r="57">
          <cell r="B57">
            <v>151501</v>
          </cell>
          <cell r="C57" t="str">
            <v>Tevia Durazno 1.5 L</v>
          </cell>
          <cell r="D57">
            <v>2.62</v>
          </cell>
          <cell r="E57">
            <v>108</v>
          </cell>
          <cell r="F57">
            <v>282.96000000000004</v>
          </cell>
          <cell r="G57">
            <v>2.6138613861386135</v>
          </cell>
          <cell r="H57">
            <v>909</v>
          </cell>
          <cell r="I57">
            <v>-305.18181818181819</v>
          </cell>
          <cell r="J57">
            <v>121</v>
          </cell>
          <cell r="K57">
            <v>317.02000000000004</v>
          </cell>
          <cell r="L57">
            <v>3.0953488372093028</v>
          </cell>
          <cell r="M57">
            <v>859.99999999999989</v>
          </cell>
          <cell r="N57">
            <v>-269.90909090909088</v>
          </cell>
          <cell r="O57">
            <v>12</v>
          </cell>
          <cell r="P57">
            <v>31.44</v>
          </cell>
          <cell r="Q57">
            <v>3.8260869565217392</v>
          </cell>
          <cell r="R57">
            <v>69</v>
          </cell>
          <cell r="S57">
            <v>-35.045454545454547</v>
          </cell>
          <cell r="T57">
            <v>8</v>
          </cell>
          <cell r="U57">
            <v>20.96</v>
          </cell>
          <cell r="V57">
            <v>0.56957928802588997</v>
          </cell>
          <cell r="W57">
            <v>309</v>
          </cell>
          <cell r="X57">
            <v>-202.68181818181819</v>
          </cell>
          <cell r="Y57">
            <v>68</v>
          </cell>
          <cell r="Z57">
            <v>178.16</v>
          </cell>
          <cell r="AA57">
            <v>28.769230769230766</v>
          </cell>
          <cell r="AB57">
            <v>52</v>
          </cell>
          <cell r="AC57">
            <v>32.545454545454547</v>
          </cell>
          <cell r="AD57">
            <v>317</v>
          </cell>
          <cell r="AE57">
            <v>830.54000000000008</v>
          </cell>
          <cell r="AF57">
            <v>1047.1428571428571</v>
          </cell>
          <cell r="AG57">
            <v>3.0272851296043659</v>
          </cell>
          <cell r="AH57">
            <v>0.30272851296043657</v>
          </cell>
          <cell r="AI57">
            <v>-730.14285714285711</v>
          </cell>
          <cell r="AJ57">
            <v>523.57142857142856</v>
          </cell>
          <cell r="AK57">
            <v>1253.7142857142858</v>
          </cell>
          <cell r="AL57">
            <v>52.833333333333336</v>
          </cell>
        </row>
        <row r="58">
          <cell r="B58">
            <v>151502</v>
          </cell>
          <cell r="C58" t="str">
            <v>Tevia Blueberry 1.5 L</v>
          </cell>
          <cell r="D58">
            <v>2.62</v>
          </cell>
          <cell r="E58">
            <v>247</v>
          </cell>
          <cell r="F58">
            <v>647.14</v>
          </cell>
          <cell r="G58">
            <v>12.876777251184834</v>
          </cell>
          <cell r="H58">
            <v>422</v>
          </cell>
          <cell r="I58">
            <v>55.181818181818159</v>
          </cell>
          <cell r="J58">
            <v>274</v>
          </cell>
          <cell r="K58">
            <v>717.88</v>
          </cell>
          <cell r="L58">
            <v>14.810810810810811</v>
          </cell>
          <cell r="M58">
            <v>407</v>
          </cell>
          <cell r="N58">
            <v>89</v>
          </cell>
          <cell r="O58">
            <v>21</v>
          </cell>
          <cell r="P58">
            <v>55.02</v>
          </cell>
          <cell r="Q58">
            <v>10.266666666666667</v>
          </cell>
          <cell r="R58">
            <v>45</v>
          </cell>
          <cell r="S58">
            <v>-9.6818181818181799</v>
          </cell>
          <cell r="T58">
            <v>43</v>
          </cell>
          <cell r="U58">
            <v>112.66000000000001</v>
          </cell>
          <cell r="V58">
            <v>8.5225225225225216</v>
          </cell>
          <cell r="W58">
            <v>111</v>
          </cell>
          <cell r="X58">
            <v>-32.681818181818187</v>
          </cell>
          <cell r="Y58">
            <v>51</v>
          </cell>
          <cell r="Z58">
            <v>133.62</v>
          </cell>
          <cell r="AA58">
            <v>22</v>
          </cell>
          <cell r="AB58">
            <v>51</v>
          </cell>
          <cell r="AC58">
            <v>16.227272727272727</v>
          </cell>
          <cell r="AD58">
            <v>636</v>
          </cell>
          <cell r="AE58">
            <v>1666.3200000000002</v>
          </cell>
          <cell r="AF58">
            <v>493.33333333333337</v>
          </cell>
          <cell r="AG58">
            <v>12.891891891891891</v>
          </cell>
          <cell r="AH58">
            <v>1.2891891891891891</v>
          </cell>
          <cell r="AI58">
            <v>142.66666666666663</v>
          </cell>
          <cell r="AJ58">
            <v>246.66666666666669</v>
          </cell>
          <cell r="AK58">
            <v>104.00000000000006</v>
          </cell>
          <cell r="AL58">
            <v>106</v>
          </cell>
        </row>
        <row r="59">
          <cell r="B59">
            <v>151503</v>
          </cell>
          <cell r="C59" t="str">
            <v>Tevia Tropical Punch 1.5 L</v>
          </cell>
          <cell r="D59">
            <v>2.62</v>
          </cell>
          <cell r="E59">
            <v>102</v>
          </cell>
          <cell r="F59">
            <v>267.24</v>
          </cell>
          <cell r="G59">
            <v>4.408644400785855</v>
          </cell>
          <cell r="H59">
            <v>509</v>
          </cell>
          <cell r="I59">
            <v>-129.36363636363637</v>
          </cell>
          <cell r="J59">
            <v>160</v>
          </cell>
          <cell r="K59">
            <v>419.20000000000005</v>
          </cell>
          <cell r="L59">
            <v>8.7128712871287135</v>
          </cell>
          <cell r="M59">
            <v>404</v>
          </cell>
          <cell r="N59">
            <v>-23.636363636363626</v>
          </cell>
          <cell r="O59">
            <v>1</v>
          </cell>
          <cell r="P59">
            <v>2.62</v>
          </cell>
          <cell r="Q59">
            <v>0.84615384615384615</v>
          </cell>
          <cell r="R59">
            <v>26</v>
          </cell>
          <cell r="S59">
            <v>-16.727272727272727</v>
          </cell>
          <cell r="T59">
            <v>23</v>
          </cell>
          <cell r="U59">
            <v>60.260000000000005</v>
          </cell>
          <cell r="V59">
            <v>2.5948717948717945</v>
          </cell>
          <cell r="W59">
            <v>195.00000000000003</v>
          </cell>
          <cell r="X59">
            <v>-109.95454545454547</v>
          </cell>
          <cell r="Y59">
            <v>44</v>
          </cell>
          <cell r="Z59">
            <v>115.28</v>
          </cell>
          <cell r="AA59">
            <v>34.571428571428569</v>
          </cell>
          <cell r="AB59">
            <v>28</v>
          </cell>
          <cell r="AC59">
            <v>24.90909090909091</v>
          </cell>
          <cell r="AD59">
            <v>330</v>
          </cell>
          <cell r="AE59">
            <v>864.6</v>
          </cell>
          <cell r="AF59">
            <v>553.33333333333337</v>
          </cell>
          <cell r="AG59">
            <v>5.9638554216867465</v>
          </cell>
          <cell r="AH59">
            <v>0.59638554216867468</v>
          </cell>
          <cell r="AI59">
            <v>-223.33333333333337</v>
          </cell>
          <cell r="AJ59">
            <v>276.66666666666669</v>
          </cell>
          <cell r="AK59">
            <v>500.00000000000006</v>
          </cell>
          <cell r="AL59">
            <v>55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K15" sqref="K15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tr">
        <f>'[1]INVENTARIO NACIONAL 03-09-26'!B13</f>
        <v>110150</v>
      </c>
      <c r="C13" s="11" t="str">
        <f>'[1]INVENTARIO NACIONAL 03-09-26'!C13</f>
        <v>Cremosillo Tradicional 150g</v>
      </c>
      <c r="D13" s="12">
        <f>'[1]INVENTARIO NACIONAL 03-09-26'!D13</f>
        <v>1.36</v>
      </c>
      <c r="E13" s="13">
        <f>'[1]INVENTARIO NACIONAL 03-09-26'!E13</f>
        <v>1806</v>
      </c>
      <c r="F13" s="14">
        <f>'[1]INVENTARIO NACIONAL 03-09-26'!F13</f>
        <v>2456.1600000000003</v>
      </c>
      <c r="G13" s="14">
        <f>'[1]INVENTARIO NACIONAL 03-09-26'!G13</f>
        <v>2.3176806859942833</v>
      </c>
      <c r="H13" s="30">
        <f>'[1]INVENTARIO NACIONAL 03-09-26'!H13</f>
        <v>17143</v>
      </c>
      <c r="I13" s="15">
        <f>'[1]INVENTARIO NACIONAL 03-09-26'!I13</f>
        <v>-5986.2727272727279</v>
      </c>
      <c r="J13" s="16">
        <f>'[1]INVENTARIO NACIONAL 03-09-26'!J13</f>
        <v>5294</v>
      </c>
      <c r="K13" s="13">
        <f>'[1]INVENTARIO NACIONAL 03-09-26'!K13</f>
        <v>7199.84</v>
      </c>
      <c r="L13" s="14">
        <f>'[1]INVENTARIO NACIONAL 03-09-26'!L13</f>
        <v>21.745332337565348</v>
      </c>
      <c r="M13" s="30">
        <f>'[1]INVENTARIO NACIONAL 03-09-26'!M13</f>
        <v>5356</v>
      </c>
      <c r="N13" s="15">
        <f>'[1]INVENTARIO NACIONAL 03-09-26'!N13</f>
        <v>2859.4545454545455</v>
      </c>
      <c r="O13" s="16">
        <f>'[1]INVENTARIO NACIONAL 03-09-26'!O13</f>
        <v>237</v>
      </c>
      <c r="P13" s="17">
        <f>'[1]INVENTARIO NACIONAL 03-09-26'!P13</f>
        <v>322.32000000000005</v>
      </c>
      <c r="Q13" s="14">
        <f>'[1]INVENTARIO NACIONAL 03-09-26'!Q13</f>
        <v>6.0557491289198611</v>
      </c>
      <c r="R13" s="16">
        <f>'[1]INVENTARIO NACIONAL 03-09-26'!R13</f>
        <v>861</v>
      </c>
      <c r="S13" s="15">
        <f>'[1]INVENTARIO NACIONAL 03-09-26'!S13</f>
        <v>-350.0454545454545</v>
      </c>
      <c r="T13" s="18">
        <f>'[1]INVENTARIO NACIONAL 03-09-26'!T13</f>
        <v>453</v>
      </c>
      <c r="U13" s="17">
        <f>'[1]INVENTARIO NACIONAL 03-09-26'!U13</f>
        <v>616.08000000000004</v>
      </c>
      <c r="V13" s="14">
        <f>'[1]INVENTARIO NACIONAL 03-09-26'!V13</f>
        <v>8.3467336683417077</v>
      </c>
      <c r="W13" s="16">
        <f>'[1]INVENTARIO NACIONAL 03-09-26'!W13</f>
        <v>1194</v>
      </c>
      <c r="X13" s="15">
        <f>'[1]INVENTARIO NACIONAL 03-09-26'!X13</f>
        <v>-361.09090909090912</v>
      </c>
      <c r="Y13" s="18">
        <f>'[1]INVENTARIO NACIONAL 03-09-26'!Y13</f>
        <v>421</v>
      </c>
      <c r="Z13" s="17">
        <f>'[1]INVENTARIO NACIONAL 03-09-26'!Z13</f>
        <v>572.56000000000006</v>
      </c>
      <c r="AA13" s="14">
        <f>'[1]INVENTARIO NACIONAL 03-09-26'!AA13</f>
        <v>23.388888888888889</v>
      </c>
      <c r="AB13" s="16">
        <f>'[1]INVENTARIO NACIONAL 03-09-26'!AB13</f>
        <v>396</v>
      </c>
      <c r="AC13" s="15">
        <f>'[1]INVENTARIO NACIONAL 03-09-26'!AC13</f>
        <v>151</v>
      </c>
      <c r="AD13" s="19">
        <f>'[1]INVENTARIO NACIONAL 03-09-26'!AD13</f>
        <v>8211</v>
      </c>
      <c r="AE13" s="20">
        <f>'[1]INVENTARIO NACIONAL 03-09-26'!AE13</f>
        <v>11166.960000000001</v>
      </c>
      <c r="AF13" s="21">
        <f>'[1]INVENTARIO NACIONAL 03-09-26'!AF13</f>
        <v>11880.952380952382</v>
      </c>
      <c r="AG13" s="22">
        <f>'[1]INVENTARIO NACIONAL 03-09-26'!AG13</f>
        <v>6.9110621242484971</v>
      </c>
      <c r="AH13" s="23">
        <f>'[1]INVENTARIO NACIONAL 03-09-26'!AH13</f>
        <v>0.69110621242484971</v>
      </c>
      <c r="AI13" s="24">
        <f>'[1]INVENTARIO NACIONAL 03-09-26'!AI13</f>
        <v>-3669.9523809523816</v>
      </c>
      <c r="AJ13" s="24">
        <f>'[1]INVENTARIO NACIONAL 03-09-26'!AJ13</f>
        <v>5940.4761904761908</v>
      </c>
      <c r="AK13" s="25">
        <f>'[1]INVENTARIO NACIONAL 03-09-26'!AK13</f>
        <v>9610.4285714285725</v>
      </c>
      <c r="AL13" s="24">
        <f>'[1]INVENTARIO NACIONAL 03-09-26'!AL13</f>
        <v>102.6375</v>
      </c>
    </row>
    <row r="14" spans="1:38" ht="15" customHeight="1" x14ac:dyDescent="0.25">
      <c r="A14" s="56"/>
      <c r="B14" s="10" t="str">
        <f>'[1]INVENTARIO NACIONAL 03-09-26'!B14</f>
        <v>110151</v>
      </c>
      <c r="C14" s="11" t="str">
        <f>'[1]INVENTARIO NACIONAL 03-09-26'!C14</f>
        <v>Cremosillo Coco 150g</v>
      </c>
      <c r="D14" s="12">
        <f>'[1]INVENTARIO NACIONAL 03-09-26'!D14</f>
        <v>1.59</v>
      </c>
      <c r="E14" s="13">
        <f>'[1]INVENTARIO NACIONAL 03-09-26'!E14</f>
        <v>185</v>
      </c>
      <c r="F14" s="14">
        <f>'[1]INVENTARIO NACIONAL 03-09-26'!F14</f>
        <v>294.15000000000003</v>
      </c>
      <c r="G14" s="14">
        <f>'[1]INVENTARIO NACIONAL 03-09-26'!G14</f>
        <v>5.3412073490813654</v>
      </c>
      <c r="H14" s="30">
        <f>'[1]INVENTARIO NACIONAL 03-09-26'!H14</f>
        <v>762</v>
      </c>
      <c r="I14" s="15">
        <f>'[1]INVENTARIO NACIONAL 03-09-26'!I14</f>
        <v>-161.36363636363632</v>
      </c>
      <c r="J14" s="16">
        <f>'[1]INVENTARIO NACIONAL 03-09-26'!J14</f>
        <v>203</v>
      </c>
      <c r="K14" s="13">
        <f>'[1]INVENTARIO NACIONAL 03-09-26'!K14</f>
        <v>322.77000000000004</v>
      </c>
      <c r="L14" s="14">
        <f>'[1]INVENTARIO NACIONAL 03-09-26'!L14</f>
        <v>7.7804878048780495</v>
      </c>
      <c r="M14" s="30">
        <f>'[1]INVENTARIO NACIONAL 03-09-26'!M14</f>
        <v>574</v>
      </c>
      <c r="N14" s="15">
        <f>'[1]INVENTARIO NACIONAL 03-09-26'!N14</f>
        <v>-57.909090909090878</v>
      </c>
      <c r="O14" s="16">
        <f>'[1]INVENTARIO NACIONAL 03-09-26'!O14</f>
        <v>12</v>
      </c>
      <c r="P14" s="17">
        <f>'[1]INVENTARIO NACIONAL 03-09-26'!P14</f>
        <v>19.080000000000002</v>
      </c>
      <c r="Q14" s="14">
        <f>'[1]INVENTARIO NACIONAL 03-09-26'!Q14</f>
        <v>1.5529411764705883</v>
      </c>
      <c r="R14" s="16">
        <f>'[1]INVENTARIO NACIONAL 03-09-26'!R14</f>
        <v>170</v>
      </c>
      <c r="S14" s="15">
        <f>'[1]INVENTARIO NACIONAL 03-09-26'!S14</f>
        <v>-103.90909090909091</v>
      </c>
      <c r="T14" s="18">
        <f>'[1]INVENTARIO NACIONAL 03-09-26'!T14</f>
        <v>34</v>
      </c>
      <c r="U14" s="17">
        <f>'[1]INVENTARIO NACIONAL 03-09-26'!U14</f>
        <v>54.06</v>
      </c>
      <c r="V14" s="14">
        <f>'[1]INVENTARIO NACIONAL 03-09-26'!V14</f>
        <v>13.357142857142858</v>
      </c>
      <c r="W14" s="16">
        <f>'[1]INVENTARIO NACIONAL 03-09-26'!W14</f>
        <v>56</v>
      </c>
      <c r="X14" s="15">
        <f>'[1]INVENTARIO NACIONAL 03-09-26'!X14</f>
        <v>-4.1818181818181799</v>
      </c>
      <c r="Y14" s="18">
        <f>'[1]INVENTARIO NACIONAL 03-09-26'!Y14</f>
        <v>28</v>
      </c>
      <c r="Z14" s="17">
        <f>'[1]INVENTARIO NACIONAL 03-09-26'!Z14</f>
        <v>44.52</v>
      </c>
      <c r="AA14" s="14">
        <f>'[1]INVENTARIO NACIONAL 03-09-26'!AA14</f>
        <v>14.666666666666666</v>
      </c>
      <c r="AB14" s="16">
        <f>'[1]INVENTARIO NACIONAL 03-09-26'!AB14</f>
        <v>42</v>
      </c>
      <c r="AC14" s="15">
        <f>'[1]INVENTARIO NACIONAL 03-09-26'!AC14</f>
        <v>-0.63636363636363669</v>
      </c>
      <c r="AD14" s="19">
        <f>'[1]INVENTARIO NACIONAL 03-09-26'!AD14</f>
        <v>462</v>
      </c>
      <c r="AE14" s="20">
        <f>'[1]INVENTARIO NACIONAL 03-09-26'!AE14</f>
        <v>734.58</v>
      </c>
      <c r="AF14" s="21">
        <f>'[1]INVENTARIO NACIONAL 03-09-26'!AF14</f>
        <v>763.80952380952385</v>
      </c>
      <c r="AG14" s="22">
        <f>'[1]INVENTARIO NACIONAL 03-09-26'!AG14</f>
        <v>6.0486284289276808</v>
      </c>
      <c r="AH14" s="23">
        <f>'[1]INVENTARIO NACIONAL 03-09-26'!AH14</f>
        <v>0.60486284289276804</v>
      </c>
      <c r="AI14" s="26">
        <f>'[1]INVENTARIO NACIONAL 03-09-26'!AI14</f>
        <v>-301.80952380952385</v>
      </c>
      <c r="AJ14" s="27">
        <f>'[1]INVENTARIO NACIONAL 03-09-26'!AJ14</f>
        <v>381.90476190476193</v>
      </c>
      <c r="AK14" s="25">
        <f>'[1]INVENTARIO NACIONAL 03-09-26'!AK14</f>
        <v>683.71428571428578</v>
      </c>
      <c r="AL14" s="28">
        <f>'[1]INVENTARIO NACIONAL 03-09-26'!AL14</f>
        <v>5.7750000000000004</v>
      </c>
    </row>
    <row r="15" spans="1:38" ht="15" customHeight="1" x14ac:dyDescent="0.25">
      <c r="A15" s="56"/>
      <c r="B15" s="10" t="str">
        <f>'[1]INVENTARIO NACIONAL 03-09-26'!B15</f>
        <v>110230</v>
      </c>
      <c r="C15" s="11" t="str">
        <f>'[1]INVENTARIO NACIONAL 03-09-26'!C15</f>
        <v>Cremosillo Tradicional 230g</v>
      </c>
      <c r="D15" s="12">
        <f>'[1]INVENTARIO NACIONAL 03-09-26'!D15</f>
        <v>2.0299999999999998</v>
      </c>
      <c r="E15" s="13">
        <f>'[1]INVENTARIO NACIONAL 03-09-26'!E15</f>
        <v>559</v>
      </c>
      <c r="F15" s="14">
        <f>'[1]INVENTARIO NACIONAL 03-09-26'!F15</f>
        <v>1134.77</v>
      </c>
      <c r="G15" s="14">
        <f>'[1]INVENTARIO NACIONAL 03-09-26'!G15</f>
        <v>1.7823188405797101</v>
      </c>
      <c r="H15" s="30">
        <f>'[1]INVENTARIO NACIONAL 03-09-26'!H15</f>
        <v>6900</v>
      </c>
      <c r="I15" s="15">
        <f>'[1]INVENTARIO NACIONAL 03-09-26'!I15</f>
        <v>-2577.363636363636</v>
      </c>
      <c r="J15" s="16">
        <f>'[1]INVENTARIO NACIONAL 03-09-26'!J15</f>
        <v>3028</v>
      </c>
      <c r="K15" s="13">
        <f>'[1]INVENTARIO NACIONAL 03-09-26'!K15</f>
        <v>6146.8399999999992</v>
      </c>
      <c r="L15" s="14">
        <f>'[1]INVENTARIO NACIONAL 03-09-26'!L15</f>
        <v>22.065584630672408</v>
      </c>
      <c r="M15" s="30">
        <f>'[1]INVENTARIO NACIONAL 03-09-26'!M15</f>
        <v>3019</v>
      </c>
      <c r="N15" s="15">
        <f>'[1]INVENTARIO NACIONAL 03-09-26'!N15</f>
        <v>1655.7272727272727</v>
      </c>
      <c r="O15" s="16">
        <f>'[1]INVENTARIO NACIONAL 03-09-26'!O15</f>
        <v>21</v>
      </c>
      <c r="P15" s="17">
        <f>'[1]INVENTARIO NACIONAL 03-09-26'!P15</f>
        <v>42.629999999999995</v>
      </c>
      <c r="Q15" s="14">
        <f>'[1]INVENTARIO NACIONAL 03-09-26'!Q15</f>
        <v>1.5555555555555556</v>
      </c>
      <c r="R15" s="16">
        <f>'[1]INVENTARIO NACIONAL 03-09-26'!R15</f>
        <v>297</v>
      </c>
      <c r="S15" s="15">
        <f>'[1]INVENTARIO NACIONAL 03-09-26'!S15</f>
        <v>-181.5</v>
      </c>
      <c r="T15" s="18">
        <f>'[1]INVENTARIO NACIONAL 03-09-26'!T15</f>
        <v>99</v>
      </c>
      <c r="U15" s="17">
        <f>'[1]INVENTARIO NACIONAL 03-09-26'!U15</f>
        <v>200.96999999999997</v>
      </c>
      <c r="V15" s="14">
        <f>'[1]INVENTARIO NACIONAL 03-09-26'!V15</f>
        <v>6.2766570605187306</v>
      </c>
      <c r="W15" s="16">
        <f>'[1]INVENTARIO NACIONAL 03-09-26'!W15</f>
        <v>347.00000000000006</v>
      </c>
      <c r="X15" s="15">
        <f>'[1]INVENTARIO NACIONAL 03-09-26'!X15</f>
        <v>-137.59090909090912</v>
      </c>
      <c r="Y15" s="18">
        <f>'[1]INVENTARIO NACIONAL 03-09-26'!Y15</f>
        <v>84</v>
      </c>
      <c r="Z15" s="17">
        <f>'[1]INVENTARIO NACIONAL 03-09-26'!Z15</f>
        <v>170.51999999999998</v>
      </c>
      <c r="AA15" s="14">
        <f>'[1]INVENTARIO NACIONAL 03-09-26'!AA15</f>
        <v>13.588235294117647</v>
      </c>
      <c r="AB15" s="16">
        <f>'[1]INVENTARIO NACIONAL 03-09-26'!AB15</f>
        <v>136</v>
      </c>
      <c r="AC15" s="15">
        <f>'[1]INVENTARIO NACIONAL 03-09-26'!AC15</f>
        <v>-8.7272727272727195</v>
      </c>
      <c r="AD15" s="19">
        <f>'[1]INVENTARIO NACIONAL 03-09-26'!AD15</f>
        <v>3791</v>
      </c>
      <c r="AE15" s="20">
        <f>'[1]INVENTARIO NACIONAL 03-09-26'!AE15</f>
        <v>7695.73</v>
      </c>
      <c r="AF15" s="21">
        <f>'[1]INVENTARIO NACIONAL 03-09-26'!AF15</f>
        <v>5094.7619047619046</v>
      </c>
      <c r="AG15" s="22">
        <f>'[1]INVENTARIO NACIONAL 03-09-26'!AG15</f>
        <v>7.4409757921301054</v>
      </c>
      <c r="AH15" s="23">
        <f>'[1]INVENTARIO NACIONAL 03-09-26'!AH15</f>
        <v>0.74409757921301056</v>
      </c>
      <c r="AI15" s="26">
        <f>'[1]INVENTARIO NACIONAL 03-09-26'!AI15</f>
        <v>-1303.7619047619046</v>
      </c>
      <c r="AJ15" s="27">
        <f>'[1]INVENTARIO NACIONAL 03-09-26'!AJ15</f>
        <v>2547.3809523809523</v>
      </c>
      <c r="AK15" s="25">
        <f>'[1]INVENTARIO NACIONAL 03-09-26'!AK15</f>
        <v>3851.1428571428569</v>
      </c>
      <c r="AL15" s="28">
        <f>'[1]INVENTARIO NACIONAL 03-09-26'!AL15</f>
        <v>63.18333333333333</v>
      </c>
    </row>
    <row r="16" spans="1:38" ht="15" customHeight="1" x14ac:dyDescent="0.25">
      <c r="B16" s="10" t="str">
        <f>'[1]INVENTARIO NACIONAL 03-09-26'!B16</f>
        <v>110400</v>
      </c>
      <c r="C16" s="11" t="str">
        <f>'[1]INVENTARIO NACIONAL 03-09-26'!C16</f>
        <v>Cremosillo Tradicional 400g</v>
      </c>
      <c r="D16" s="12">
        <f>'[1]INVENTARIO NACIONAL 03-09-26'!D16</f>
        <v>3.61</v>
      </c>
      <c r="E16" s="13">
        <f>'[1]INVENTARIO NACIONAL 03-09-26'!E16</f>
        <v>35</v>
      </c>
      <c r="F16" s="14">
        <f>'[1]INVENTARIO NACIONAL 03-09-26'!F16</f>
        <v>126.35</v>
      </c>
      <c r="G16" s="14">
        <f>'[1]INVENTARIO NACIONAL 03-09-26'!G16</f>
        <v>0.55118110236220474</v>
      </c>
      <c r="H16" s="30">
        <f>'[1]INVENTARIO NACIONAL 03-09-26'!H16</f>
        <v>1397</v>
      </c>
      <c r="I16" s="15">
        <f>'[1]INVENTARIO NACIONAL 03-09-26'!I16</f>
        <v>-600</v>
      </c>
      <c r="J16" s="16">
        <f>'[1]INVENTARIO NACIONAL 03-09-26'!J16</f>
        <v>596</v>
      </c>
      <c r="K16" s="13">
        <f>'[1]INVENTARIO NACIONAL 03-09-26'!K16</f>
        <v>2151.56</v>
      </c>
      <c r="L16" s="14">
        <f>'[1]INVENTARIO NACIONAL 03-09-26'!L16</f>
        <v>24.058715596330273</v>
      </c>
      <c r="M16" s="30">
        <f>'[1]INVENTARIO NACIONAL 03-09-26'!M16</f>
        <v>545</v>
      </c>
      <c r="N16" s="15">
        <f>'[1]INVENTARIO NACIONAL 03-09-26'!N16</f>
        <v>348.27272727272725</v>
      </c>
      <c r="O16" s="16">
        <f>'[1]INVENTARIO NACIONAL 03-09-26'!O16</f>
        <v>0</v>
      </c>
      <c r="P16" s="17">
        <f>'[1]INVENTARIO NACIONAL 03-09-26'!P16</f>
        <v>0</v>
      </c>
      <c r="Q16" s="14">
        <f>'[1]INVENTARIO NACIONAL 03-09-26'!Q16</f>
        <v>0</v>
      </c>
      <c r="R16" s="16">
        <f>'[1]INVENTARIO NACIONAL 03-09-26'!R16</f>
        <v>46.000000000000007</v>
      </c>
      <c r="S16" s="15">
        <f>'[1]INVENTARIO NACIONAL 03-09-26'!S16</f>
        <v>-31.36363636363637</v>
      </c>
      <c r="T16" s="18">
        <f>'[1]INVENTARIO NACIONAL 03-09-26'!T16</f>
        <v>11</v>
      </c>
      <c r="U16" s="17">
        <f>'[1]INVENTARIO NACIONAL 03-09-26'!U16</f>
        <v>39.71</v>
      </c>
      <c r="V16" s="14">
        <f>'[1]INVENTARIO NACIONAL 03-09-26'!V16</f>
        <v>4.9387755102040822</v>
      </c>
      <c r="W16" s="16">
        <f>'[1]INVENTARIO NACIONAL 03-09-26'!W16</f>
        <v>49</v>
      </c>
      <c r="X16" s="15">
        <f>'[1]INVENTARIO NACIONAL 03-09-26'!X16</f>
        <v>-22.409090909090907</v>
      </c>
      <c r="Y16" s="18">
        <f>'[1]INVENTARIO NACIONAL 03-09-26'!Y16</f>
        <v>26</v>
      </c>
      <c r="Z16" s="17">
        <f>'[1]INVENTARIO NACIONAL 03-09-26'!Z16</f>
        <v>93.86</v>
      </c>
      <c r="AA16" s="14">
        <f>'[1]INVENTARIO NACIONAL 03-09-26'!AA16</f>
        <v>27.238095238095237</v>
      </c>
      <c r="AB16" s="16">
        <f>'[1]INVENTARIO NACIONAL 03-09-26'!AB16</f>
        <v>21</v>
      </c>
      <c r="AC16" s="15">
        <f>'[1]INVENTARIO NACIONAL 03-09-26'!AC16</f>
        <v>11.681818181818182</v>
      </c>
      <c r="AD16" s="19">
        <f>'[1]INVENTARIO NACIONAL 03-09-26'!AD16</f>
        <v>668</v>
      </c>
      <c r="AE16" s="20">
        <f>'[1]INVENTARIO NACIONAL 03-09-26'!AE16</f>
        <v>2411.48</v>
      </c>
      <c r="AF16" s="21">
        <f>'[1]INVENTARIO NACIONAL 03-09-26'!AF16</f>
        <v>980</v>
      </c>
      <c r="AG16" s="22">
        <f>'[1]INVENTARIO NACIONAL 03-09-26'!AG16</f>
        <v>6.8163265306122449</v>
      </c>
      <c r="AH16" s="23">
        <f>'[1]INVENTARIO NACIONAL 03-09-26'!AH16</f>
        <v>0.68163265306122445</v>
      </c>
      <c r="AI16" s="26">
        <f>'[1]INVENTARIO NACIONAL 03-09-26'!AI16</f>
        <v>-312</v>
      </c>
      <c r="AJ16" s="27">
        <f>'[1]INVENTARIO NACIONAL 03-09-26'!AJ16</f>
        <v>490</v>
      </c>
      <c r="AK16" s="25">
        <f>'[1]INVENTARIO NACIONAL 03-09-26'!AK16</f>
        <v>802</v>
      </c>
      <c r="AL16" s="28">
        <f>'[1]INVENTARIO NACIONAL 03-09-26'!AL16</f>
        <v>23.857142857142858</v>
      </c>
    </row>
    <row r="17" spans="2:38" ht="15" customHeight="1" x14ac:dyDescent="0.25">
      <c r="B17" s="10" t="str">
        <f>'[1]INVENTARIO NACIONAL 03-09-26'!B17</f>
        <v>111000</v>
      </c>
      <c r="C17" s="29" t="str">
        <f>'[1]INVENTARIO NACIONAL 03-09-26'!C17</f>
        <v>Cremosillo Tradicional 1000g</v>
      </c>
      <c r="D17" s="12">
        <f>'[1]INVENTARIO NACIONAL 03-09-26'!D17</f>
        <v>8.7799999999999994</v>
      </c>
      <c r="E17" s="13">
        <f>'[1]INVENTARIO NACIONAL 03-09-26'!E17</f>
        <v>18</v>
      </c>
      <c r="F17" s="14">
        <f>'[1]INVENTARIO NACIONAL 03-09-26'!F17</f>
        <v>158.04</v>
      </c>
      <c r="G17" s="14">
        <f>'[1]INVENTARIO NACIONAL 03-09-26'!G17</f>
        <v>2.3712574850299402</v>
      </c>
      <c r="H17" s="30">
        <f>'[1]INVENTARIO NACIONAL 03-09-26'!H17</f>
        <v>167</v>
      </c>
      <c r="I17" s="15">
        <f>'[1]INVENTARIO NACIONAL 03-09-26'!I17</f>
        <v>-57.909090909090907</v>
      </c>
      <c r="J17" s="16">
        <f>'[1]INVENTARIO NACIONAL 03-09-26'!J17</f>
        <v>97</v>
      </c>
      <c r="K17" s="13">
        <f>'[1]INVENTARIO NACIONAL 03-09-26'!K17</f>
        <v>851.66</v>
      </c>
      <c r="L17" s="14">
        <f>'[1]INVENTARIO NACIONAL 03-09-26'!L17</f>
        <v>30.927536231884059</v>
      </c>
      <c r="M17" s="30">
        <f>'[1]INVENTARIO NACIONAL 03-09-26'!M17</f>
        <v>69</v>
      </c>
      <c r="N17" s="15">
        <f>'[1]INVENTARIO NACIONAL 03-09-26'!N17</f>
        <v>65.63636363636364</v>
      </c>
      <c r="O17" s="16">
        <f>'[1]INVENTARIO NACIONAL 03-09-26'!O17</f>
        <v>7</v>
      </c>
      <c r="P17" s="17">
        <f>'[1]INVENTARIO NACIONAL 03-09-26'!P17</f>
        <v>61.459999999999994</v>
      </c>
      <c r="Q17" s="14">
        <f>'[1]INVENTARIO NACIONAL 03-09-26'!Q17</f>
        <v>19.25</v>
      </c>
      <c r="R17" s="16">
        <f>'[1]INVENTARIO NACIONAL 03-09-26'!R17</f>
        <v>8</v>
      </c>
      <c r="S17" s="15">
        <f>'[1]INVENTARIO NACIONAL 03-09-26'!S17</f>
        <v>1.545454545454545</v>
      </c>
      <c r="T17" s="18">
        <f>'[1]INVENTARIO NACIONAL 03-09-26'!T17</f>
        <v>17</v>
      </c>
      <c r="U17" s="17">
        <f>'[1]INVENTARIO NACIONAL 03-09-26'!U17</f>
        <v>149.26</v>
      </c>
      <c r="V17" s="14">
        <f>'[1]INVENTARIO NACIONAL 03-09-26'!V17</f>
        <v>187</v>
      </c>
      <c r="W17" s="16">
        <f>'[1]INVENTARIO NACIONAL 03-09-26'!W17</f>
        <v>2</v>
      </c>
      <c r="X17" s="15">
        <f>'[1]INVENTARIO NACIONAL 03-09-26'!X17</f>
        <v>15.636363636363637</v>
      </c>
      <c r="Y17" s="18">
        <f>'[1]INVENTARIO NACIONAL 03-09-26'!Y17</f>
        <v>14</v>
      </c>
      <c r="Z17" s="17">
        <f>'[1]INVENTARIO NACIONAL 03-09-26'!Z17</f>
        <v>122.91999999999999</v>
      </c>
      <c r="AA17" s="14">
        <f>'[1]INVENTARIO NACIONAL 03-09-26'!AA17</f>
        <v>61.6</v>
      </c>
      <c r="AB17" s="16">
        <f>'[1]INVENTARIO NACIONAL 03-09-26'!AB17</f>
        <v>5</v>
      </c>
      <c r="AC17" s="15">
        <f>'[1]INVENTARIO NACIONAL 03-09-26'!AC17</f>
        <v>10.59090909090909</v>
      </c>
      <c r="AD17" s="19">
        <f>'[1]INVENTARIO NACIONAL 03-09-26'!AD17</f>
        <v>153</v>
      </c>
      <c r="AE17" s="20">
        <f>'[1]INVENTARIO NACIONAL 03-09-26'!AE17</f>
        <v>1343.34</v>
      </c>
      <c r="AF17" s="21">
        <f>'[1]INVENTARIO NACIONAL 03-09-26'!AF17</f>
        <v>119.52380952380952</v>
      </c>
      <c r="AG17" s="22">
        <f>'[1]INVENTARIO NACIONAL 03-09-26'!AG17</f>
        <v>12.800796812749004</v>
      </c>
      <c r="AH17" s="23">
        <f>'[1]INVENTARIO NACIONAL 03-09-26'!AH17</f>
        <v>1.2800796812749005</v>
      </c>
      <c r="AI17" s="26">
        <f>'[1]INVENTARIO NACIONAL 03-09-26'!AI17</f>
        <v>33.476190476190482</v>
      </c>
      <c r="AJ17" s="27">
        <f>'[1]INVENTARIO NACIONAL 03-09-26'!AJ17</f>
        <v>59.761904761904759</v>
      </c>
      <c r="AK17" s="25">
        <f>'[1]INVENTARIO NACIONAL 03-09-26'!AK17</f>
        <v>26.285714285714278</v>
      </c>
      <c r="AL17" s="28">
        <f>'[1]INVENTARIO NACIONAL 03-09-26'!AL17</f>
        <v>12.75</v>
      </c>
    </row>
    <row r="18" spans="2:38" ht="15" customHeight="1" x14ac:dyDescent="0.25">
      <c r="B18" s="10" t="str">
        <f>'[1]INVENTARIO NACIONAL 03-09-26'!B18</f>
        <v>120130</v>
      </c>
      <c r="C18" s="29" t="str">
        <f>'[1]INVENTARIO NACIONAL 03-09-26'!C18</f>
        <v>Gelatina Saltarina Fresa 130g</v>
      </c>
      <c r="D18" s="12">
        <f>'[1]INVENTARIO NACIONAL 03-09-26'!D18</f>
        <v>0.63</v>
      </c>
      <c r="E18" s="13">
        <f>'[1]INVENTARIO NACIONAL 03-09-26'!E18</f>
        <v>5645</v>
      </c>
      <c r="F18" s="14">
        <f>'[1]INVENTARIO NACIONAL 03-09-26'!F18</f>
        <v>3556.35</v>
      </c>
      <c r="G18" s="14">
        <f>'[1]INVENTARIO NACIONAL 03-09-26'!G18</f>
        <v>6.8030676526978908</v>
      </c>
      <c r="H18" s="30">
        <f>'[1]INVENTARIO NACIONAL 03-09-26'!H18</f>
        <v>18255</v>
      </c>
      <c r="I18" s="15">
        <f>'[1]INVENTARIO NACIONAL 03-09-26'!I18</f>
        <v>-2652.7272727272721</v>
      </c>
      <c r="J18" s="16">
        <f>'[1]INVENTARIO NACIONAL 03-09-26'!J18</f>
        <v>9878</v>
      </c>
      <c r="K18" s="13">
        <f>'[1]INVENTARIO NACIONAL 03-09-26'!K18</f>
        <v>6223.14</v>
      </c>
      <c r="L18" s="14">
        <f>'[1]INVENTARIO NACIONAL 03-09-26'!L18</f>
        <v>31.404046242774566</v>
      </c>
      <c r="M18" s="30">
        <f>'[1]INVENTARIO NACIONAL 03-09-26'!M18</f>
        <v>6920</v>
      </c>
      <c r="N18" s="15">
        <f>'[1]INVENTARIO NACIONAL 03-09-26'!N18</f>
        <v>6732.545454545454</v>
      </c>
      <c r="O18" s="16">
        <f>'[1]INVENTARIO NACIONAL 03-09-26'!O18</f>
        <v>430</v>
      </c>
      <c r="P18" s="17">
        <f>'[1]INVENTARIO NACIONAL 03-09-26'!P18</f>
        <v>270.89999999999998</v>
      </c>
      <c r="Q18" s="14">
        <f>'[1]INVENTARIO NACIONAL 03-09-26'!Q18</f>
        <v>6.5467128027681651</v>
      </c>
      <c r="R18" s="16">
        <f>'[1]INVENTARIO NACIONAL 03-09-26'!R18</f>
        <v>1445</v>
      </c>
      <c r="S18" s="15">
        <f>'[1]INVENTARIO NACIONAL 03-09-26'!S18</f>
        <v>-555.22727272727275</v>
      </c>
      <c r="T18" s="18">
        <f>'[1]INVENTARIO NACIONAL 03-09-26'!T18</f>
        <v>1720</v>
      </c>
      <c r="U18" s="17">
        <f>'[1]INVENTARIO NACIONAL 03-09-26'!U18</f>
        <v>1083.5999999999999</v>
      </c>
      <c r="V18" s="14">
        <f>'[1]INVENTARIO NACIONAL 03-09-26'!V18</f>
        <v>9.8081907724209429</v>
      </c>
      <c r="W18" s="16">
        <f>'[1]INVENTARIO NACIONAL 03-09-26'!W18</f>
        <v>3858</v>
      </c>
      <c r="X18" s="15">
        <f>'[1]INVENTARIO NACIONAL 03-09-26'!X18</f>
        <v>-910.4545454545455</v>
      </c>
      <c r="Y18" s="18">
        <f>'[1]INVENTARIO NACIONAL 03-09-26'!Y18</f>
        <v>13</v>
      </c>
      <c r="Z18" s="17">
        <f>'[1]INVENTARIO NACIONAL 03-09-26'!Z18</f>
        <v>8.19</v>
      </c>
      <c r="AA18" s="14">
        <f>'[1]INVENTARIO NACIONAL 03-09-26'!AA18</f>
        <v>1.513227513227513</v>
      </c>
      <c r="AB18" s="16">
        <f>'[1]INVENTARIO NACIONAL 03-09-26'!AB18</f>
        <v>189</v>
      </c>
      <c r="AC18" s="15">
        <f>'[1]INVENTARIO NACIONAL 03-09-26'!AC18</f>
        <v>-115.86363636363637</v>
      </c>
      <c r="AD18" s="19">
        <f>'[1]INVENTARIO NACIONAL 03-09-26'!AD18</f>
        <v>17686</v>
      </c>
      <c r="AE18" s="20">
        <f>'[1]INVENTARIO NACIONAL 03-09-26'!AE18</f>
        <v>11142.18</v>
      </c>
      <c r="AF18" s="21">
        <f>'[1]INVENTARIO NACIONAL 03-09-26'!AF18</f>
        <v>14603.333333333332</v>
      </c>
      <c r="AG18" s="22">
        <f>'[1]INVENTARIO NACIONAL 03-09-26'!AG18</f>
        <v>12.110933576808948</v>
      </c>
      <c r="AH18" s="23">
        <f>'[1]INVENTARIO NACIONAL 03-09-26'!AH18</f>
        <v>1.2110933576808949</v>
      </c>
      <c r="AI18" s="26">
        <f>'[1]INVENTARIO NACIONAL 03-09-26'!AI18</f>
        <v>3082.6666666666679</v>
      </c>
      <c r="AJ18" s="27">
        <f>'[1]INVENTARIO NACIONAL 03-09-26'!AJ18</f>
        <v>7301.6666666666661</v>
      </c>
      <c r="AK18" s="25">
        <f>'[1]INVENTARIO NACIONAL 03-09-26'!AK18</f>
        <v>4218.9999999999982</v>
      </c>
      <c r="AL18" s="28">
        <f>'[1]INVENTARIO NACIONAL 03-09-26'!AL18</f>
        <v>294.76666666666665</v>
      </c>
    </row>
    <row r="19" spans="2:38" ht="15" customHeight="1" x14ac:dyDescent="0.25">
      <c r="B19" s="10" t="str">
        <f>'[1]INVENTARIO NACIONAL 03-09-26'!B19</f>
        <v>120131</v>
      </c>
      <c r="C19" s="29" t="str">
        <f>'[1]INVENTARIO NACIONAL 03-09-26'!C19</f>
        <v>Gelatina Saltarina Chicle 130g</v>
      </c>
      <c r="D19" s="12">
        <f>'[1]INVENTARIO NACIONAL 03-09-26'!D19</f>
        <v>0.63</v>
      </c>
      <c r="E19" s="13">
        <f>'[1]INVENTARIO NACIONAL 03-09-26'!E19</f>
        <v>54</v>
      </c>
      <c r="F19" s="14">
        <f>'[1]INVENTARIO NACIONAL 03-09-26'!F19</f>
        <v>34.020000000000003</v>
      </c>
      <c r="G19" s="14">
        <f>'[1]INVENTARIO NACIONAL 03-09-26'!G19</f>
        <v>0.80000000000000016</v>
      </c>
      <c r="H19" s="30">
        <f>'[1]INVENTARIO NACIONAL 03-09-26'!H19</f>
        <v>1484.9999999999998</v>
      </c>
      <c r="I19" s="15">
        <f>'[1]INVENTARIO NACIONAL 03-09-26'!I19</f>
        <v>-620.99999999999989</v>
      </c>
      <c r="J19" s="16">
        <f>'[1]INVENTARIO NACIONAL 03-09-26'!J19</f>
        <v>1761</v>
      </c>
      <c r="K19" s="13">
        <f>'[1]INVENTARIO NACIONAL 03-09-26'!K19</f>
        <v>1109.43</v>
      </c>
      <c r="L19" s="14">
        <f>'[1]INVENTARIO NACIONAL 03-09-26'!L19</f>
        <v>34.467971530249109</v>
      </c>
      <c r="M19" s="30">
        <f>'[1]INVENTARIO NACIONAL 03-09-26'!M19</f>
        <v>1124</v>
      </c>
      <c r="N19" s="15">
        <f>'[1]INVENTARIO NACIONAL 03-09-26'!N19</f>
        <v>1250.090909090909</v>
      </c>
      <c r="O19" s="16">
        <f>'[1]INVENTARIO NACIONAL 03-09-26'!O19</f>
        <v>43</v>
      </c>
      <c r="P19" s="17">
        <f>'[1]INVENTARIO NACIONAL 03-09-26'!P19</f>
        <v>27.09</v>
      </c>
      <c r="Q19" s="14">
        <f>'[1]INVENTARIO NACIONAL 03-09-26'!Q19</f>
        <v>10.063829787234043</v>
      </c>
      <c r="R19" s="16">
        <f>'[1]INVENTARIO NACIONAL 03-09-26'!R19</f>
        <v>94</v>
      </c>
      <c r="S19" s="15">
        <f>'[1]INVENTARIO NACIONAL 03-09-26'!S19</f>
        <v>-21.090909090909093</v>
      </c>
      <c r="T19" s="18">
        <f>'[1]INVENTARIO NACIONAL 03-09-26'!T19</f>
        <v>130</v>
      </c>
      <c r="U19" s="17">
        <f>'[1]INVENTARIO NACIONAL 03-09-26'!U19</f>
        <v>81.900000000000006</v>
      </c>
      <c r="V19" s="14">
        <f>'[1]INVENTARIO NACIONAL 03-09-26'!V19</f>
        <v>8.4365781710914458</v>
      </c>
      <c r="W19" s="16">
        <f>'[1]INVENTARIO NACIONAL 03-09-26'!W19</f>
        <v>339</v>
      </c>
      <c r="X19" s="15">
        <f>'[1]INVENTARIO NACIONAL 03-09-26'!X19</f>
        <v>-101.13636363636363</v>
      </c>
      <c r="Y19" s="18">
        <f>'[1]INVENTARIO NACIONAL 03-09-26'!Y19</f>
        <v>99</v>
      </c>
      <c r="Z19" s="17">
        <f>'[1]INVENTARIO NACIONAL 03-09-26'!Z19</f>
        <v>62.37</v>
      </c>
      <c r="AA19" s="14">
        <f>'[1]INVENTARIO NACIONAL 03-09-26'!AA19</f>
        <v>18.77586206896552</v>
      </c>
      <c r="AB19" s="16">
        <f>'[1]INVENTARIO NACIONAL 03-09-26'!AB19</f>
        <v>116</v>
      </c>
      <c r="AC19" s="15">
        <f>'[1]INVENTARIO NACIONAL 03-09-26'!AC19</f>
        <v>19.909090909090907</v>
      </c>
      <c r="AD19" s="19">
        <f>'[1]INVENTARIO NACIONAL 03-09-26'!AD19</f>
        <v>2087</v>
      </c>
      <c r="AE19" s="20">
        <f>'[1]INVENTARIO NACIONAL 03-09-26'!AE19</f>
        <v>1314.81</v>
      </c>
      <c r="AF19" s="21">
        <f>'[1]INVENTARIO NACIONAL 03-09-26'!AF19</f>
        <v>1503.8095238095239</v>
      </c>
      <c r="AG19" s="22">
        <f>'[1]INVENTARIO NACIONAL 03-09-26'!AG19</f>
        <v>13.878087397086764</v>
      </c>
      <c r="AH19" s="23">
        <f>'[1]INVENTARIO NACIONAL 03-09-26'!AH19</f>
        <v>1.3878087397086762</v>
      </c>
      <c r="AI19" s="26">
        <f>'[1]INVENTARIO NACIONAL 03-09-26'!AI19</f>
        <v>583.19047619047615</v>
      </c>
      <c r="AJ19" s="27">
        <f>'[1]INVENTARIO NACIONAL 03-09-26'!AJ19</f>
        <v>751.90476190476193</v>
      </c>
      <c r="AK19" s="25">
        <f>'[1]INVENTARIO NACIONAL 03-09-26'!AK19</f>
        <v>168.71428571428578</v>
      </c>
      <c r="AL19" s="28">
        <f>'[1]INVENTARIO NACIONAL 03-09-26'!AL19</f>
        <v>34.783333333333331</v>
      </c>
    </row>
    <row r="20" spans="2:38" ht="15" customHeight="1" x14ac:dyDescent="0.25">
      <c r="B20" s="10" t="str">
        <f>'[1]INVENTARIO NACIONAL 03-09-26'!B20</f>
        <v>120132</v>
      </c>
      <c r="C20" s="29" t="str">
        <f>'[1]INVENTARIO NACIONAL 03-09-26'!C20</f>
        <v>Gelatina Saltarina Kolita 130g</v>
      </c>
      <c r="D20" s="12">
        <f>'[1]INVENTARIO NACIONAL 03-09-26'!D20</f>
        <v>0.63</v>
      </c>
      <c r="E20" s="13">
        <f>'[1]INVENTARIO NACIONAL 03-09-26'!E20</f>
        <v>1668</v>
      </c>
      <c r="F20" s="14">
        <f>'[1]INVENTARIO NACIONAL 03-09-26'!F20</f>
        <v>1050.8399999999999</v>
      </c>
      <c r="G20" s="14">
        <f>'[1]INVENTARIO NACIONAL 03-09-26'!G20</f>
        <v>10.872888888888889</v>
      </c>
      <c r="H20" s="30">
        <f>'[1]INVENTARIO NACIONAL 03-09-26'!H20</f>
        <v>3375</v>
      </c>
      <c r="I20" s="15">
        <f>'[1]INVENTARIO NACIONAL 03-09-26'!I20</f>
        <v>133.90909090909099</v>
      </c>
      <c r="J20" s="16">
        <f>'[1]INVENTARIO NACIONAL 03-09-26'!J20</f>
        <v>2088</v>
      </c>
      <c r="K20" s="13">
        <f>'[1]INVENTARIO NACIONAL 03-09-26'!K20</f>
        <v>1315.44</v>
      </c>
      <c r="L20" s="14">
        <f>'[1]INVENTARIO NACIONAL 03-09-26'!L20</f>
        <v>20.776119402985074</v>
      </c>
      <c r="M20" s="30">
        <f>'[1]INVENTARIO NACIONAL 03-09-26'!M20</f>
        <v>2211</v>
      </c>
      <c r="N20" s="15">
        <f>'[1]INVENTARIO NACIONAL 03-09-26'!N20</f>
        <v>1083</v>
      </c>
      <c r="O20" s="16">
        <f>'[1]INVENTARIO NACIONAL 03-09-26'!O20</f>
        <v>22</v>
      </c>
      <c r="P20" s="17">
        <f>'[1]INVENTARIO NACIONAL 03-09-26'!P20</f>
        <v>13.86</v>
      </c>
      <c r="Q20" s="14">
        <f>'[1]INVENTARIO NACIONAL 03-09-26'!Q20</f>
        <v>1.7347670250896057</v>
      </c>
      <c r="R20" s="16">
        <f>'[1]INVENTARIO NACIONAL 03-09-26'!R20</f>
        <v>279</v>
      </c>
      <c r="S20" s="15">
        <f>'[1]INVENTARIO NACIONAL 03-09-26'!S20</f>
        <v>-168.22727272727272</v>
      </c>
      <c r="T20" s="18">
        <f>'[1]INVENTARIO NACIONAL 03-09-26'!T20</f>
        <v>22</v>
      </c>
      <c r="U20" s="17">
        <f>'[1]INVENTARIO NACIONAL 03-09-26'!U20</f>
        <v>13.86</v>
      </c>
      <c r="V20" s="14">
        <f>'[1]INVENTARIO NACIONAL 03-09-26'!V20</f>
        <v>0.41296928327645049</v>
      </c>
      <c r="W20" s="16">
        <f>'[1]INVENTARIO NACIONAL 03-09-26'!W20</f>
        <v>1172</v>
      </c>
      <c r="X20" s="15">
        <f>'[1]INVENTARIO NACIONAL 03-09-26'!X20</f>
        <v>-777.09090909090912</v>
      </c>
      <c r="Y20" s="18">
        <f>'[1]INVENTARIO NACIONAL 03-09-26'!Y20</f>
        <v>22</v>
      </c>
      <c r="Z20" s="17">
        <f>'[1]INVENTARIO NACIONAL 03-09-26'!Z20</f>
        <v>13.86</v>
      </c>
      <c r="AA20" s="14">
        <f>'[1]INVENTARIO NACIONAL 03-09-26'!AA20</f>
        <v>2.7191011235955052</v>
      </c>
      <c r="AB20" s="16">
        <f>'[1]INVENTARIO NACIONAL 03-09-26'!AB20</f>
        <v>178</v>
      </c>
      <c r="AC20" s="15">
        <f>'[1]INVENTARIO NACIONAL 03-09-26'!AC20</f>
        <v>-99.363636363636374</v>
      </c>
      <c r="AD20" s="19">
        <f>'[1]INVENTARIO NACIONAL 03-09-26'!AD20</f>
        <v>3822</v>
      </c>
      <c r="AE20" s="20">
        <f>'[1]INVENTARIO NACIONAL 03-09-26'!AE20</f>
        <v>2407.86</v>
      </c>
      <c r="AF20" s="21">
        <f>'[1]INVENTARIO NACIONAL 03-09-26'!AF20</f>
        <v>3435.7142857142853</v>
      </c>
      <c r="AG20" s="22">
        <f>'[1]INVENTARIO NACIONAL 03-09-26'!AG20</f>
        <v>11.124324324324325</v>
      </c>
      <c r="AH20" s="23">
        <f>'[1]INVENTARIO NACIONAL 03-09-26'!AH20</f>
        <v>1.1124324324324326</v>
      </c>
      <c r="AI20" s="26">
        <f>'[1]INVENTARIO NACIONAL 03-09-26'!AI20</f>
        <v>386.28571428571468</v>
      </c>
      <c r="AJ20" s="27">
        <f>'[1]INVENTARIO NACIONAL 03-09-26'!AJ20</f>
        <v>1717.8571428571427</v>
      </c>
      <c r="AK20" s="25">
        <f>'[1]INVENTARIO NACIONAL 03-09-26'!AK20</f>
        <v>1331.571428571428</v>
      </c>
      <c r="AL20" s="28">
        <f>'[1]INVENTARIO NACIONAL 03-09-26'!AL20</f>
        <v>63.7</v>
      </c>
    </row>
    <row r="21" spans="2:38" ht="15" customHeight="1" x14ac:dyDescent="0.25">
      <c r="B21" s="10" t="str">
        <f>'[1]INVENTARIO NACIONAL 03-09-26'!B21</f>
        <v>130150</v>
      </c>
      <c r="C21" s="29" t="str">
        <f>'[1]INVENTARIO NACIONAL 03-09-26'!C21</f>
        <v>Cremigurt Natural 150g</v>
      </c>
      <c r="D21" s="12">
        <f>'[1]INVENTARIO NACIONAL 03-09-26'!D21</f>
        <v>1.0900000000000001</v>
      </c>
      <c r="E21" s="13">
        <f>'[1]INVENTARIO NACIONAL 03-09-26'!E21</f>
        <v>1773</v>
      </c>
      <c r="F21" s="14">
        <f>'[1]INVENTARIO NACIONAL 03-09-26'!F21</f>
        <v>1932.5700000000002</v>
      </c>
      <c r="G21" s="14">
        <f>'[1]INVENTARIO NACIONAL 03-09-26'!G21</f>
        <v>6.1118771544970238</v>
      </c>
      <c r="H21" s="30">
        <f>'[1]INVENTARIO NACIONAL 03-09-26'!H21</f>
        <v>6382</v>
      </c>
      <c r="I21" s="15">
        <f>'[1]INVENTARIO NACIONAL 03-09-26'!I21</f>
        <v>-1127.9090909090905</v>
      </c>
      <c r="J21" s="16">
        <f>'[1]INVENTARIO NACIONAL 03-09-26'!J21</f>
        <v>5439</v>
      </c>
      <c r="K21" s="13">
        <f>'[1]INVENTARIO NACIONAL 03-09-26'!K21</f>
        <v>5928.51</v>
      </c>
      <c r="L21" s="14">
        <f>'[1]INVENTARIO NACIONAL 03-09-26'!L21</f>
        <v>17.65909090909091</v>
      </c>
      <c r="M21" s="30">
        <f>'[1]INVENTARIO NACIONAL 03-09-26'!M21</f>
        <v>6776</v>
      </c>
      <c r="N21" s="15">
        <f>'[1]INVENTARIO NACIONAL 03-09-26'!N21</f>
        <v>2359</v>
      </c>
      <c r="O21" s="16">
        <f>'[1]INVENTARIO NACIONAL 03-09-26'!O21</f>
        <v>96</v>
      </c>
      <c r="P21" s="17">
        <f>'[1]INVENTARIO NACIONAL 03-09-26'!P21</f>
        <v>104.64000000000001</v>
      </c>
      <c r="Q21" s="14">
        <f>'[1]INVENTARIO NACIONAL 03-09-26'!Q21</f>
        <v>4.0075901328273247</v>
      </c>
      <c r="R21" s="16">
        <f>'[1]INVENTARIO NACIONAL 03-09-26'!R21</f>
        <v>527</v>
      </c>
      <c r="S21" s="15">
        <f>'[1]INVENTARIO NACIONAL 03-09-26'!S21</f>
        <v>-263.31818181818181</v>
      </c>
      <c r="T21" s="18">
        <f>'[1]INVENTARIO NACIONAL 03-09-26'!T21</f>
        <v>712</v>
      </c>
      <c r="U21" s="17">
        <f>'[1]INVENTARIO NACIONAL 03-09-26'!U21</f>
        <v>776.08</v>
      </c>
      <c r="V21" s="14">
        <f>'[1]INVENTARIO NACIONAL 03-09-26'!V21</f>
        <v>7.5634958957025589</v>
      </c>
      <c r="W21" s="16">
        <f>'[1]INVENTARIO NACIONAL 03-09-26'!W21</f>
        <v>2071</v>
      </c>
      <c r="X21" s="15">
        <f>'[1]INVENTARIO NACIONAL 03-09-26'!X21</f>
        <v>-700.0454545454545</v>
      </c>
      <c r="Y21" s="18">
        <f>'[1]INVENTARIO NACIONAL 03-09-26'!Y21</f>
        <v>165</v>
      </c>
      <c r="Z21" s="17">
        <f>'[1]INVENTARIO NACIONAL 03-09-26'!Z21</f>
        <v>179.85000000000002</v>
      </c>
      <c r="AA21" s="14">
        <f>'[1]INVENTARIO NACIONAL 03-09-26'!AA21</f>
        <v>10.868263473053892</v>
      </c>
      <c r="AB21" s="16">
        <f>'[1]INVENTARIO NACIONAL 03-09-26'!AB21</f>
        <v>334</v>
      </c>
      <c r="AC21" s="15">
        <f>'[1]INVENTARIO NACIONAL 03-09-26'!AC21</f>
        <v>-62.72727272727272</v>
      </c>
      <c r="AD21" s="19">
        <f>'[1]INVENTARIO NACIONAL 03-09-26'!AD21</f>
        <v>8185</v>
      </c>
      <c r="AE21" s="20">
        <f>'[1]INVENTARIO NACIONAL 03-09-26'!AE21</f>
        <v>8921.6500000000015</v>
      </c>
      <c r="AF21" s="21">
        <f>'[1]INVENTARIO NACIONAL 03-09-26'!AF21</f>
        <v>7661.9047619047615</v>
      </c>
      <c r="AG21" s="22">
        <f>'[1]INVENTARIO NACIONAL 03-09-26'!AG21</f>
        <v>10.682722187694221</v>
      </c>
      <c r="AH21" s="23">
        <f>'[1]INVENTARIO NACIONAL 03-09-26'!AH21</f>
        <v>1.068272218769422</v>
      </c>
      <c r="AI21" s="26">
        <f>'[1]INVENTARIO NACIONAL 03-09-26'!AI21</f>
        <v>523.09523809523853</v>
      </c>
      <c r="AJ21" s="27">
        <f>'[1]INVENTARIO NACIONAL 03-09-26'!AJ21</f>
        <v>3830.9523809523807</v>
      </c>
      <c r="AK21" s="25">
        <f>'[1]INVENTARIO NACIONAL 03-09-26'!AK21</f>
        <v>3307.8571428571422</v>
      </c>
      <c r="AL21" s="28">
        <f>'[1]INVENTARIO NACIONAL 03-09-26'!AL21</f>
        <v>151.57407407407408</v>
      </c>
    </row>
    <row r="22" spans="2:38" ht="15" customHeight="1" x14ac:dyDescent="0.25">
      <c r="B22" s="10" t="str">
        <f>'[1]INVENTARIO NACIONAL 03-09-26'!B22</f>
        <v>130151</v>
      </c>
      <c r="C22" s="29" t="str">
        <f>'[1]INVENTARIO NACIONAL 03-09-26'!C22</f>
        <v>Cremigurt Dulce 150g</v>
      </c>
      <c r="D22" s="12">
        <f>'[1]INVENTARIO NACIONAL 03-09-26'!D22</f>
        <v>1.0900000000000001</v>
      </c>
      <c r="E22" s="13">
        <f>'[1]INVENTARIO NACIONAL 03-09-26'!E22</f>
        <v>1622</v>
      </c>
      <c r="F22" s="14">
        <f>'[1]INVENTARIO NACIONAL 03-09-26'!F22</f>
        <v>1767.98</v>
      </c>
      <c r="G22" s="14">
        <f>'[1]INVENTARIO NACIONAL 03-09-26'!G22</f>
        <v>8.3198880858008852</v>
      </c>
      <c r="H22" s="30">
        <f>'[1]INVENTARIO NACIONAL 03-09-26'!H22</f>
        <v>4289</v>
      </c>
      <c r="I22" s="15">
        <f>'[1]INVENTARIO NACIONAL 03-09-26'!I22</f>
        <v>-327.54545454545473</v>
      </c>
      <c r="J22" s="16">
        <f>'[1]INVENTARIO NACIONAL 03-09-26'!J22</f>
        <v>1530</v>
      </c>
      <c r="K22" s="13">
        <f>'[1]INVENTARIO NACIONAL 03-09-26'!K22</f>
        <v>1667.7</v>
      </c>
      <c r="L22" s="14">
        <f>'[1]INVENTARIO NACIONAL 03-09-26'!L22</f>
        <v>13.926354985519239</v>
      </c>
      <c r="M22" s="30">
        <f>'[1]INVENTARIO NACIONAL 03-09-26'!M22</f>
        <v>2417</v>
      </c>
      <c r="N22" s="15">
        <f>'[1]INVENTARIO NACIONAL 03-09-26'!N22</f>
        <v>431.36363636363649</v>
      </c>
      <c r="O22" s="16">
        <f>'[1]INVENTARIO NACIONAL 03-09-26'!O22</f>
        <v>57</v>
      </c>
      <c r="P22" s="17">
        <f>'[1]INVENTARIO NACIONAL 03-09-26'!P22</f>
        <v>62.13</v>
      </c>
      <c r="Q22" s="14">
        <f>'[1]INVENTARIO NACIONAL 03-09-26'!Q22</f>
        <v>6.1470588235294121</v>
      </c>
      <c r="R22" s="16">
        <f>'[1]INVENTARIO NACIONAL 03-09-26'!R22</f>
        <v>203.99999999999997</v>
      </c>
      <c r="S22" s="15">
        <f>'[1]INVENTARIO NACIONAL 03-09-26'!S22</f>
        <v>-82.090909090909065</v>
      </c>
      <c r="T22" s="18">
        <f>'[1]INVENTARIO NACIONAL 03-09-26'!T22</f>
        <v>432</v>
      </c>
      <c r="U22" s="17">
        <f>'[1]INVENTARIO NACIONAL 03-09-26'!U22</f>
        <v>470.88000000000005</v>
      </c>
      <c r="V22" s="14">
        <f>'[1]INVENTARIO NACIONAL 03-09-26'!V22</f>
        <v>13.404795486600847</v>
      </c>
      <c r="W22" s="16">
        <f>'[1]INVENTARIO NACIONAL 03-09-26'!W22</f>
        <v>709</v>
      </c>
      <c r="X22" s="15">
        <f>'[1]INVENTARIO NACIONAL 03-09-26'!X22</f>
        <v>-51.409090909090878</v>
      </c>
      <c r="Y22" s="18">
        <f>'[1]INVENTARIO NACIONAL 03-09-26'!Y22</f>
        <v>0</v>
      </c>
      <c r="Z22" s="17">
        <f>'[1]INVENTARIO NACIONAL 03-09-26'!Z22</f>
        <v>0</v>
      </c>
      <c r="AA22" s="14">
        <f>'[1]INVENTARIO NACIONAL 03-09-26'!AA22</f>
        <v>0</v>
      </c>
      <c r="AB22" s="16">
        <f>'[1]INVENTARIO NACIONAL 03-09-26'!AB22</f>
        <v>0</v>
      </c>
      <c r="AC22" s="15">
        <f>'[1]INVENTARIO NACIONAL 03-09-26'!AC22</f>
        <v>0</v>
      </c>
      <c r="AD22" s="19">
        <f>'[1]INVENTARIO NACIONAL 03-09-26'!AD22</f>
        <v>3641</v>
      </c>
      <c r="AE22" s="20">
        <f>'[1]INVENTARIO NACIONAL 03-09-26'!AE22</f>
        <v>3968.6900000000005</v>
      </c>
      <c r="AF22" s="21">
        <f>'[1]INVENTARIO NACIONAL 03-09-26'!AF22</f>
        <v>3628.0952380952381</v>
      </c>
      <c r="AG22" s="22">
        <f>'[1]INVENTARIO NACIONAL 03-09-26'!AG22</f>
        <v>10.035568972306077</v>
      </c>
      <c r="AH22" s="23">
        <f>'[1]INVENTARIO NACIONAL 03-09-26'!AH22</f>
        <v>1.0035568972306077</v>
      </c>
      <c r="AI22" s="26">
        <f>'[1]INVENTARIO NACIONAL 03-09-26'!AI22</f>
        <v>12.904761904761926</v>
      </c>
      <c r="AJ22" s="27">
        <f>'[1]INVENTARIO NACIONAL 03-09-26'!AJ22</f>
        <v>1814.047619047619</v>
      </c>
      <c r="AK22" s="25">
        <f>'[1]INVENTARIO NACIONAL 03-09-26'!AK22</f>
        <v>1801.1428571428571</v>
      </c>
      <c r="AL22" s="28">
        <f>'[1]INVENTARIO NACIONAL 03-09-26'!AL22</f>
        <v>67.425925925925924</v>
      </c>
    </row>
    <row r="23" spans="2:38" ht="15" customHeight="1" x14ac:dyDescent="0.25">
      <c r="B23" s="10" t="str">
        <f>'[1]INVENTARIO NACIONAL 03-09-26'!B23</f>
        <v>130152</v>
      </c>
      <c r="C23" s="29" t="str">
        <f>'[1]INVENTARIO NACIONAL 03-09-26'!C23</f>
        <v>Cremigurt Fresa 150g</v>
      </c>
      <c r="D23" s="12">
        <f>'[1]INVENTARIO NACIONAL 03-09-26'!D23</f>
        <v>1.1599999999999999</v>
      </c>
      <c r="E23" s="13">
        <f>'[1]INVENTARIO NACIONAL 03-09-26'!E23</f>
        <v>11316</v>
      </c>
      <c r="F23" s="14">
        <f>'[1]INVENTARIO NACIONAL 03-09-26'!F23</f>
        <v>13126.56</v>
      </c>
      <c r="G23" s="14">
        <f>'[1]INVENTARIO NACIONAL 03-09-26'!G23</f>
        <v>6.6040268456375841</v>
      </c>
      <c r="H23" s="30">
        <f>'[1]INVENTARIO NACIONAL 03-09-26'!H23</f>
        <v>37697</v>
      </c>
      <c r="I23" s="15">
        <f>'[1]INVENTARIO NACIONAL 03-09-26'!I23</f>
        <v>-5819</v>
      </c>
      <c r="J23" s="16">
        <f>'[1]INVENTARIO NACIONAL 03-09-26'!J23</f>
        <v>17854</v>
      </c>
      <c r="K23" s="13">
        <f>'[1]INVENTARIO NACIONAL 03-09-26'!K23</f>
        <v>20710.64</v>
      </c>
      <c r="L23" s="14">
        <f>'[1]INVENTARIO NACIONAL 03-09-26'!L23</f>
        <v>20.52720146328717</v>
      </c>
      <c r="M23" s="30">
        <f>'[1]INVENTARIO NACIONAL 03-09-26'!M23</f>
        <v>19135</v>
      </c>
      <c r="N23" s="15">
        <f>'[1]INVENTARIO NACIONAL 03-09-26'!N23</f>
        <v>9156.2727272727279</v>
      </c>
      <c r="O23" s="16">
        <f>'[1]INVENTARIO NACIONAL 03-09-26'!O23</f>
        <v>1160</v>
      </c>
      <c r="P23" s="17">
        <f>'[1]INVENTARIO NACIONAL 03-09-26'!P23</f>
        <v>1345.6</v>
      </c>
      <c r="Q23" s="14">
        <f>'[1]INVENTARIO NACIONAL 03-09-26'!Q23</f>
        <v>8.0938788455439266</v>
      </c>
      <c r="R23" s="16">
        <f>'[1]INVENTARIO NACIONAL 03-09-26'!R23</f>
        <v>3153</v>
      </c>
      <c r="S23" s="15">
        <f>'[1]INVENTARIO NACIONAL 03-09-26'!S23</f>
        <v>-989.77272727272702</v>
      </c>
      <c r="T23" s="18">
        <f>'[1]INVENTARIO NACIONAL 03-09-26'!T23</f>
        <v>6103</v>
      </c>
      <c r="U23" s="17">
        <f>'[1]INVENTARIO NACIONAL 03-09-26'!U23</f>
        <v>7079.48</v>
      </c>
      <c r="V23" s="14">
        <f>'[1]INVENTARIO NACIONAL 03-09-26'!V23</f>
        <v>10.147067714631197</v>
      </c>
      <c r="W23" s="16">
        <f>'[1]INVENTARIO NACIONAL 03-09-26'!W23</f>
        <v>13232</v>
      </c>
      <c r="X23" s="15">
        <f>'[1]INVENTARIO NACIONAL 03-09-26'!X23</f>
        <v>-2918.818181818182</v>
      </c>
      <c r="Y23" s="18">
        <f>'[1]INVENTARIO NACIONAL 03-09-26'!Y23</f>
        <v>492</v>
      </c>
      <c r="Z23" s="17">
        <f>'[1]INVENTARIO NACIONAL 03-09-26'!Z23</f>
        <v>570.71999999999991</v>
      </c>
      <c r="AA23" s="14">
        <f>'[1]INVENTARIO NACIONAL 03-09-26'!AA23</f>
        <v>14.726530612244899</v>
      </c>
      <c r="AB23" s="16">
        <f>'[1]INVENTARIO NACIONAL 03-09-26'!AB23</f>
        <v>735</v>
      </c>
      <c r="AC23" s="15">
        <f>'[1]INVENTARIO NACIONAL 03-09-26'!AC23</f>
        <v>-9.136363636363626</v>
      </c>
      <c r="AD23" s="19">
        <f>'[1]INVENTARIO NACIONAL 03-09-26'!AD23</f>
        <v>36925</v>
      </c>
      <c r="AE23" s="20">
        <f>'[1]INVENTARIO NACIONAL 03-09-26'!AE23</f>
        <v>42833</v>
      </c>
      <c r="AF23" s="21">
        <f>'[1]INVENTARIO NACIONAL 03-09-26'!AF23</f>
        <v>35215.238095238099</v>
      </c>
      <c r="AG23" s="22">
        <f>'[1]INVENTARIO NACIONAL 03-09-26'!AG23</f>
        <v>10.485517633059279</v>
      </c>
      <c r="AH23" s="23">
        <f>'[1]INVENTARIO NACIONAL 03-09-26'!AH23</f>
        <v>1.048551763305928</v>
      </c>
      <c r="AI23" s="26">
        <f>'[1]INVENTARIO NACIONAL 03-09-26'!AI23</f>
        <v>1709.761904761901</v>
      </c>
      <c r="AJ23" s="27">
        <f>'[1]INVENTARIO NACIONAL 03-09-26'!AJ23</f>
        <v>17607.61904761905</v>
      </c>
      <c r="AK23" s="25">
        <f>'[1]INVENTARIO NACIONAL 03-09-26'!AK23</f>
        <v>15897.857142857149</v>
      </c>
      <c r="AL23" s="28">
        <f>'[1]INVENTARIO NACIONAL 03-09-26'!AL23</f>
        <v>683.7962962962963</v>
      </c>
    </row>
    <row r="24" spans="2:38" ht="15" customHeight="1" x14ac:dyDescent="0.25">
      <c r="B24" s="10" t="str">
        <f>'[1]INVENTARIO NACIONAL 03-09-26'!B24</f>
        <v>130153</v>
      </c>
      <c r="C24" s="29" t="str">
        <f>'[1]INVENTARIO NACIONAL 03-09-26'!C24</f>
        <v>Cremigurt Durazno 150g</v>
      </c>
      <c r="D24" s="12">
        <f>'[1]INVENTARIO NACIONAL 03-09-26'!D24</f>
        <v>1.1599999999999999</v>
      </c>
      <c r="E24" s="13">
        <f>'[1]INVENTARIO NACIONAL 03-09-26'!E24</f>
        <v>8475</v>
      </c>
      <c r="F24" s="14">
        <f>'[1]INVENTARIO NACIONAL 03-09-26'!F24</f>
        <v>9831</v>
      </c>
      <c r="G24" s="14">
        <f>'[1]INVENTARIO NACIONAL 03-09-26'!G24</f>
        <v>6.9420656787549335</v>
      </c>
      <c r="H24" s="30">
        <f>'[1]INVENTARIO NACIONAL 03-09-26'!H24</f>
        <v>26858</v>
      </c>
      <c r="I24" s="15">
        <f>'[1]INVENTARIO NACIONAL 03-09-26'!I24</f>
        <v>-3733.181818181818</v>
      </c>
      <c r="J24" s="16">
        <f>'[1]INVENTARIO NACIONAL 03-09-26'!J24</f>
        <v>13760</v>
      </c>
      <c r="K24" s="13">
        <f>'[1]INVENTARIO NACIONAL 03-09-26'!K24</f>
        <v>15961.599999999999</v>
      </c>
      <c r="L24" s="14">
        <f>'[1]INVENTARIO NACIONAL 03-09-26'!L24</f>
        <v>25.370432450553135</v>
      </c>
      <c r="M24" s="30">
        <f>'[1]INVENTARIO NACIONAL 03-09-26'!M24</f>
        <v>11932</v>
      </c>
      <c r="N24" s="15">
        <f>'[1]INVENTARIO NACIONAL 03-09-26'!N24</f>
        <v>8336.363636363636</v>
      </c>
      <c r="O24" s="16">
        <f>'[1]INVENTARIO NACIONAL 03-09-26'!O24</f>
        <v>763</v>
      </c>
      <c r="P24" s="17">
        <f>'[1]INVENTARIO NACIONAL 03-09-26'!P24</f>
        <v>885.07999999999993</v>
      </c>
      <c r="Q24" s="14">
        <f>'[1]INVENTARIO NACIONAL 03-09-26'!Q24</f>
        <v>8.8861831656961368</v>
      </c>
      <c r="R24" s="16">
        <f>'[1]INVENTARIO NACIONAL 03-09-26'!R24</f>
        <v>1889</v>
      </c>
      <c r="S24" s="15">
        <f>'[1]INVENTARIO NACIONAL 03-09-26'!S24</f>
        <v>-524.9545454545455</v>
      </c>
      <c r="T24" s="18">
        <f>'[1]INVENTARIO NACIONAL 03-09-26'!T24</f>
        <v>2352</v>
      </c>
      <c r="U24" s="17">
        <f>'[1]INVENTARIO NACIONAL 03-09-26'!U24</f>
        <v>2728.3199999999997</v>
      </c>
      <c r="V24" s="14">
        <f>'[1]INVENTARIO NACIONAL 03-09-26'!V24</f>
        <v>7.115511551155115</v>
      </c>
      <c r="W24" s="16">
        <f>'[1]INVENTARIO NACIONAL 03-09-26'!W24</f>
        <v>7272</v>
      </c>
      <c r="X24" s="15">
        <f>'[1]INVENTARIO NACIONAL 03-09-26'!X24</f>
        <v>-2606.181818181818</v>
      </c>
      <c r="Y24" s="18">
        <f>'[1]INVENTARIO NACIONAL 03-09-26'!Y24</f>
        <v>539</v>
      </c>
      <c r="Z24" s="17">
        <f>'[1]INVENTARIO NACIONAL 03-09-26'!Z24</f>
        <v>625.24</v>
      </c>
      <c r="AA24" s="14">
        <f>'[1]INVENTARIO NACIONAL 03-09-26'!AA24</f>
        <v>26.118942731277532</v>
      </c>
      <c r="AB24" s="16">
        <f>'[1]INVENTARIO NACIONAL 03-09-26'!AB24</f>
        <v>454</v>
      </c>
      <c r="AC24" s="15">
        <f>'[1]INVENTARIO NACIONAL 03-09-26'!AC24</f>
        <v>229.45454545454544</v>
      </c>
      <c r="AD24" s="19">
        <f>'[1]INVENTARIO NACIONAL 03-09-26'!AD24</f>
        <v>25889</v>
      </c>
      <c r="AE24" s="20">
        <f>'[1]INVENTARIO NACIONAL 03-09-26'!AE24</f>
        <v>30031.239999999998</v>
      </c>
      <c r="AF24" s="21">
        <f>'[1]INVENTARIO NACIONAL 03-09-26'!AF24</f>
        <v>23050</v>
      </c>
      <c r="AG24" s="22">
        <f>'[1]INVENTARIO NACIONAL 03-09-26'!AG24</f>
        <v>11.231670281995662</v>
      </c>
      <c r="AH24" s="23">
        <f>'[1]INVENTARIO NACIONAL 03-09-26'!AH24</f>
        <v>1.1231670281995663</v>
      </c>
      <c r="AI24" s="26">
        <f>'[1]INVENTARIO NACIONAL 03-09-26'!AI24</f>
        <v>2839</v>
      </c>
      <c r="AJ24" s="27">
        <f>'[1]INVENTARIO NACIONAL 03-09-26'!AJ24</f>
        <v>11525</v>
      </c>
      <c r="AK24" s="25">
        <f>'[1]INVENTARIO NACIONAL 03-09-26'!AK24</f>
        <v>8686</v>
      </c>
      <c r="AL24" s="28">
        <f>'[1]INVENTARIO NACIONAL 03-09-26'!AL24</f>
        <v>479.42592592592592</v>
      </c>
    </row>
    <row r="25" spans="2:38" ht="15" customHeight="1" x14ac:dyDescent="0.25">
      <c r="B25" s="10" t="str">
        <f>'[1]INVENTARIO NACIONAL 03-09-26'!B25</f>
        <v>130154</v>
      </c>
      <c r="C25" s="29" t="str">
        <f>'[1]INVENTARIO NACIONAL 03-09-26'!C25</f>
        <v>Cremigurt Piña 150g</v>
      </c>
      <c r="D25" s="12">
        <f>'[1]INVENTARIO NACIONAL 03-09-26'!D25</f>
        <v>1.1599999999999999</v>
      </c>
      <c r="E25" s="13">
        <f>'[1]INVENTARIO NACIONAL 03-09-26'!E25</f>
        <v>10418</v>
      </c>
      <c r="F25" s="14">
        <f>'[1]INVENTARIO NACIONAL 03-09-26'!F25</f>
        <v>12084.88</v>
      </c>
      <c r="G25" s="14">
        <f>'[1]INVENTARIO NACIONAL 03-09-26'!G25</f>
        <v>8.8753097893432464</v>
      </c>
      <c r="H25" s="30">
        <f>'[1]INVENTARIO NACIONAL 03-09-26'!H25</f>
        <v>25824</v>
      </c>
      <c r="I25" s="15">
        <f>'[1]INVENTARIO NACIONAL 03-09-26'!I25</f>
        <v>-1320.181818181818</v>
      </c>
      <c r="J25" s="16">
        <f>'[1]INVENTARIO NACIONAL 03-09-26'!J25</f>
        <v>8269</v>
      </c>
      <c r="K25" s="13">
        <f>'[1]INVENTARIO NACIONAL 03-09-26'!K25</f>
        <v>9592.0399999999991</v>
      </c>
      <c r="L25" s="14">
        <f>'[1]INVENTARIO NACIONAL 03-09-26'!L25</f>
        <v>15.273108890941147</v>
      </c>
      <c r="M25" s="30">
        <f>'[1]INVENTARIO NACIONAL 03-09-26'!M25</f>
        <v>11911</v>
      </c>
      <c r="N25" s="15">
        <f>'[1]INVENTARIO NACIONAL 03-09-26'!N25</f>
        <v>2854.909090909091</v>
      </c>
      <c r="O25" s="16">
        <f>'[1]INVENTARIO NACIONAL 03-09-26'!O25</f>
        <v>1038</v>
      </c>
      <c r="P25" s="17">
        <f>'[1]INVENTARIO NACIONAL 03-09-26'!P25</f>
        <v>1204.08</v>
      </c>
      <c r="Q25" s="14">
        <f>'[1]INVENTARIO NACIONAL 03-09-26'!Q25</f>
        <v>10.394173873463815</v>
      </c>
      <c r="R25" s="16">
        <f>'[1]INVENTARIO NACIONAL 03-09-26'!R25</f>
        <v>2197</v>
      </c>
      <c r="S25" s="15">
        <f>'[1]INVENTARIO NACIONAL 03-09-26'!S25</f>
        <v>-459.9545454545455</v>
      </c>
      <c r="T25" s="18">
        <f>'[1]INVENTARIO NACIONAL 03-09-26'!T25</f>
        <v>2645</v>
      </c>
      <c r="U25" s="17">
        <f>'[1]INVENTARIO NACIONAL 03-09-26'!U25</f>
        <v>3068.2</v>
      </c>
      <c r="V25" s="14">
        <f>'[1]INVENTARIO NACIONAL 03-09-26'!V25</f>
        <v>8.0752150985290037</v>
      </c>
      <c r="W25" s="16">
        <f>'[1]INVENTARIO NACIONAL 03-09-26'!W25</f>
        <v>7206.0000000000009</v>
      </c>
      <c r="X25" s="15">
        <f>'[1]INVENTARIO NACIONAL 03-09-26'!X25</f>
        <v>-2268.181818181818</v>
      </c>
      <c r="Y25" s="18">
        <f>'[1]INVENTARIO NACIONAL 03-09-26'!Y25</f>
        <v>547</v>
      </c>
      <c r="Z25" s="17">
        <f>'[1]INVENTARIO NACIONAL 03-09-26'!Z25</f>
        <v>634.52</v>
      </c>
      <c r="AA25" s="14">
        <f>'[1]INVENTARIO NACIONAL 03-09-26'!AA25</f>
        <v>26.275109170305679</v>
      </c>
      <c r="AB25" s="16">
        <f>'[1]INVENTARIO NACIONAL 03-09-26'!AB25</f>
        <v>458</v>
      </c>
      <c r="AC25" s="15">
        <f>'[1]INVENTARIO NACIONAL 03-09-26'!AC25</f>
        <v>234.72727272727275</v>
      </c>
      <c r="AD25" s="19">
        <f>'[1]INVENTARIO NACIONAL 03-09-26'!AD25</f>
        <v>22917</v>
      </c>
      <c r="AE25" s="20">
        <f>'[1]INVENTARIO NACIONAL 03-09-26'!AE25</f>
        <v>26583.719999999998</v>
      </c>
      <c r="AF25" s="21">
        <f>'[1]INVENTARIO NACIONAL 03-09-26'!AF25</f>
        <v>22664.761904761905</v>
      </c>
      <c r="AG25" s="22">
        <f>'[1]INVENTARIO NACIONAL 03-09-26'!AG25</f>
        <v>10.111290864778553</v>
      </c>
      <c r="AH25" s="23">
        <f>'[1]INVENTARIO NACIONAL 03-09-26'!AH25</f>
        <v>1.0111290864778553</v>
      </c>
      <c r="AI25" s="26">
        <f>'[1]INVENTARIO NACIONAL 03-09-26'!AI25</f>
        <v>252.23809523809541</v>
      </c>
      <c r="AJ25" s="27">
        <f>'[1]INVENTARIO NACIONAL 03-09-26'!AJ25</f>
        <v>11332.380952380952</v>
      </c>
      <c r="AK25" s="25">
        <f>'[1]INVENTARIO NACIONAL 03-09-26'!AK25</f>
        <v>11080.142857142857</v>
      </c>
      <c r="AL25" s="28">
        <f>'[1]INVENTARIO NACIONAL 03-09-26'!AL25</f>
        <v>424.38888888888891</v>
      </c>
    </row>
    <row r="26" spans="2:38" ht="15" customHeight="1" x14ac:dyDescent="0.25">
      <c r="B26" s="10" t="str">
        <f>'[1]INVENTARIO NACIONAL 03-09-26'!B26</f>
        <v>130155</v>
      </c>
      <c r="C26" s="29" t="str">
        <f>'[1]INVENTARIO NACIONAL 03-09-26'!C26</f>
        <v>Cremigurt Griego 150g</v>
      </c>
      <c r="D26" s="12">
        <f>'[1]INVENTARIO NACIONAL 03-09-26'!D26</f>
        <v>1.1599999999999999</v>
      </c>
      <c r="E26" s="13">
        <f>'[1]INVENTARIO NACIONAL 03-09-26'!E26</f>
        <v>10919</v>
      </c>
      <c r="F26" s="14">
        <f>'[1]INVENTARIO NACIONAL 03-09-26'!F26</f>
        <v>12666.039999999999</v>
      </c>
      <c r="G26" s="14">
        <f>'[1]INVENTARIO NACIONAL 03-09-26'!G26</f>
        <v>7.6563505976095616</v>
      </c>
      <c r="H26" s="30">
        <f>'[1]INVENTARIO NACIONAL 03-09-26'!H26</f>
        <v>31375</v>
      </c>
      <c r="I26" s="15">
        <f>'[1]INVENTARIO NACIONAL 03-09-26'!I26</f>
        <v>-3342.3636363636379</v>
      </c>
      <c r="J26" s="16">
        <f>'[1]INVENTARIO NACIONAL 03-09-26'!J26</f>
        <v>3934</v>
      </c>
      <c r="K26" s="13">
        <f>'[1]INVENTARIO NACIONAL 03-09-26'!K26</f>
        <v>4563.4399999999996</v>
      </c>
      <c r="L26" s="14">
        <f>'[1]INVENTARIO NACIONAL 03-09-26'!L26</f>
        <v>6.1385913894602453</v>
      </c>
      <c r="M26" s="30">
        <f>'[1]INVENTARIO NACIONAL 03-09-26'!M26</f>
        <v>14099</v>
      </c>
      <c r="N26" s="15">
        <f>'[1]INVENTARIO NACIONAL 03-09-26'!N26</f>
        <v>-2474.636363636364</v>
      </c>
      <c r="O26" s="16">
        <f>'[1]INVENTARIO NACIONAL 03-09-26'!O26</f>
        <v>765</v>
      </c>
      <c r="P26" s="17">
        <f>'[1]INVENTARIO NACIONAL 03-09-26'!P26</f>
        <v>887.4</v>
      </c>
      <c r="Q26" s="14">
        <f>'[1]INVENTARIO NACIONAL 03-09-26'!Q26</f>
        <v>9.2472527472527464</v>
      </c>
      <c r="R26" s="16">
        <f>'[1]INVENTARIO NACIONAL 03-09-26'!R26</f>
        <v>1820</v>
      </c>
      <c r="S26" s="15">
        <f>'[1]INVENTARIO NACIONAL 03-09-26'!S26</f>
        <v>-475.90909090909099</v>
      </c>
      <c r="T26" s="18">
        <f>'[1]INVENTARIO NACIONAL 03-09-26'!T26</f>
        <v>3020</v>
      </c>
      <c r="U26" s="17">
        <f>'[1]INVENTARIO NACIONAL 03-09-26'!U26</f>
        <v>3503.2</v>
      </c>
      <c r="V26" s="14">
        <f>'[1]INVENTARIO NACIONAL 03-09-26'!V26</f>
        <v>7.979822243574346</v>
      </c>
      <c r="W26" s="16">
        <f>'[1]INVENTARIO NACIONAL 03-09-26'!W26</f>
        <v>8326</v>
      </c>
      <c r="X26" s="15">
        <f>'[1]INVENTARIO NACIONAL 03-09-26'!X26</f>
        <v>-2656.818181818182</v>
      </c>
      <c r="Y26" s="18">
        <f>'[1]INVENTARIO NACIONAL 03-09-26'!Y26</f>
        <v>620</v>
      </c>
      <c r="Z26" s="17">
        <f>'[1]INVENTARIO NACIONAL 03-09-26'!Z26</f>
        <v>719.19999999999993</v>
      </c>
      <c r="AA26" s="14">
        <f>'[1]INVENTARIO NACIONAL 03-09-26'!AA26</f>
        <v>25.543071161048687</v>
      </c>
      <c r="AB26" s="16">
        <f>'[1]INVENTARIO NACIONAL 03-09-26'!AB26</f>
        <v>534</v>
      </c>
      <c r="AC26" s="15">
        <f>'[1]INVENTARIO NACIONAL 03-09-26'!AC26</f>
        <v>255.90909090909088</v>
      </c>
      <c r="AD26" s="19">
        <f>'[1]INVENTARIO NACIONAL 03-09-26'!AD26</f>
        <v>19258</v>
      </c>
      <c r="AE26" s="20">
        <f>'[1]INVENTARIO NACIONAL 03-09-26'!AE26</f>
        <v>22339.279999999999</v>
      </c>
      <c r="AF26" s="21">
        <f>'[1]INVENTARIO NACIONAL 03-09-26'!AF26</f>
        <v>26740</v>
      </c>
      <c r="AG26" s="22">
        <f>'[1]INVENTARIO NACIONAL 03-09-26'!AG26</f>
        <v>7.2019446522064321</v>
      </c>
      <c r="AH26" s="23">
        <f>'[1]INVENTARIO NACIONAL 03-09-26'!AH26</f>
        <v>0.72019446522064323</v>
      </c>
      <c r="AI26" s="26">
        <f>'[1]INVENTARIO NACIONAL 03-09-26'!AI26</f>
        <v>-7482</v>
      </c>
      <c r="AJ26" s="27">
        <f>'[1]INVENTARIO NACIONAL 03-09-26'!AJ26</f>
        <v>13370</v>
      </c>
      <c r="AK26" s="25">
        <f>'[1]INVENTARIO NACIONAL 03-09-26'!AK26</f>
        <v>20852</v>
      </c>
      <c r="AL26" s="28">
        <f>'[1]INVENTARIO NACIONAL 03-09-26'!AL26</f>
        <v>356.62962962962962</v>
      </c>
    </row>
    <row r="27" spans="2:38" ht="15" customHeight="1" x14ac:dyDescent="0.25">
      <c r="B27" s="10">
        <f>'[1]INVENTARIO NACIONAL 03-09-26'!B27</f>
        <v>130157</v>
      </c>
      <c r="C27" s="29" t="str">
        <f>'[1]INVENTARIO NACIONAL 03-09-26'!C27</f>
        <v>Cremigurt Griego Mango 150g</v>
      </c>
      <c r="D27" s="12">
        <f>'[1]INVENTARIO NACIONAL 03-09-26'!D27</f>
        <v>1.1599999999999999</v>
      </c>
      <c r="E27" s="13">
        <f>'[1]INVENTARIO NACIONAL 03-09-26'!E27</f>
        <v>2021</v>
      </c>
      <c r="F27" s="14">
        <f>'[1]INVENTARIO NACIONAL 03-09-26'!F27</f>
        <v>2344.3599999999997</v>
      </c>
      <c r="G27" s="14">
        <f>'[1]INVENTARIO NACIONAL 03-09-26'!G27</f>
        <v>12.258615936035291</v>
      </c>
      <c r="H27" s="30">
        <f>'[1]INVENTARIO NACIONAL 03-09-26'!H27</f>
        <v>3627</v>
      </c>
      <c r="I27" s="15">
        <f>'[1]INVENTARIO NACIONAL 03-09-26'!I27</f>
        <v>372.36363636363626</v>
      </c>
      <c r="J27" s="16">
        <f>'[1]INVENTARIO NACIONAL 03-09-26'!J27</f>
        <v>4132</v>
      </c>
      <c r="K27" s="13">
        <f>'[1]INVENTARIO NACIONAL 03-09-26'!K27</f>
        <v>4793.12</v>
      </c>
      <c r="L27" s="14">
        <f>'[1]INVENTARIO NACIONAL 03-09-26'!L27</f>
        <v>35.887879984208446</v>
      </c>
      <c r="M27" s="30">
        <f>'[1]INVENTARIO NACIONAL 03-09-26'!M27</f>
        <v>2533</v>
      </c>
      <c r="N27" s="15">
        <f>'[1]INVENTARIO NACIONAL 03-09-26'!N27</f>
        <v>2980.6363636363635</v>
      </c>
      <c r="O27" s="16">
        <f>'[1]INVENTARIO NACIONAL 03-09-26'!O27</f>
        <v>38</v>
      </c>
      <c r="P27" s="17">
        <f>'[1]INVENTARIO NACIONAL 03-09-26'!P27</f>
        <v>44.08</v>
      </c>
      <c r="Q27" s="14">
        <f>'[1]INVENTARIO NACIONAL 03-09-26'!Q27</f>
        <v>1.9904761904761905</v>
      </c>
      <c r="R27" s="16">
        <f>'[1]INVENTARIO NACIONAL 03-09-26'!R27</f>
        <v>420</v>
      </c>
      <c r="S27" s="15">
        <f>'[1]INVENTARIO NACIONAL 03-09-26'!S27</f>
        <v>-248.36363636363637</v>
      </c>
      <c r="T27" s="18">
        <f>'[1]INVENTARIO NACIONAL 03-09-26'!T27</f>
        <v>25</v>
      </c>
      <c r="U27" s="17">
        <f>'[1]INVENTARIO NACIONAL 03-09-26'!U27</f>
        <v>28.999999999999996</v>
      </c>
      <c r="V27" s="14">
        <f>'[1]INVENTARIO NACIONAL 03-09-26'!V27</f>
        <v>0.3601833660772758</v>
      </c>
      <c r="W27" s="16">
        <f>'[1]INVENTARIO NACIONAL 03-09-26'!W27</f>
        <v>1526.9999999999998</v>
      </c>
      <c r="X27" s="15">
        <f>'[1]INVENTARIO NACIONAL 03-09-26'!X27</f>
        <v>-1016.1363636363633</v>
      </c>
      <c r="Y27" s="18">
        <f>'[1]INVENTARIO NACIONAL 03-09-26'!Y27</f>
        <v>307</v>
      </c>
      <c r="Z27" s="17">
        <f>'[1]INVENTARIO NACIONAL 03-09-26'!Z27</f>
        <v>356.11999999999995</v>
      </c>
      <c r="AA27" s="14">
        <f>'[1]INVENTARIO NACIONAL 03-09-26'!AA27</f>
        <v>102.33333333333333</v>
      </c>
      <c r="AB27" s="16">
        <f>'[1]INVENTARIO NACIONAL 03-09-26'!AB27</f>
        <v>66</v>
      </c>
      <c r="AC27" s="15">
        <f>'[1]INVENTARIO NACIONAL 03-09-26'!AC27</f>
        <v>262</v>
      </c>
      <c r="AD27" s="19">
        <f>'[1]INVENTARIO NACIONAL 03-09-26'!AD27</f>
        <v>6523</v>
      </c>
      <c r="AE27" s="20">
        <f>'[1]INVENTARIO NACIONAL 03-09-26'!AE27</f>
        <v>7566.6799999999994</v>
      </c>
      <c r="AF27" s="21">
        <f>'[1]INVENTARIO NACIONAL 03-09-26'!AF27</f>
        <v>3891.9047619047619</v>
      </c>
      <c r="AG27" s="22">
        <f>'[1]INVENTARIO NACIONAL 03-09-26'!AG27</f>
        <v>16.760430686406458</v>
      </c>
      <c r="AH27" s="23">
        <f>'[1]INVENTARIO NACIONAL 03-09-26'!AH27</f>
        <v>1.676043068640646</v>
      </c>
      <c r="AI27" s="26">
        <f>'[1]INVENTARIO NACIONAL 03-09-26'!AI27</f>
        <v>2631.0952380952381</v>
      </c>
      <c r="AJ27" s="27">
        <f>'[1]INVENTARIO NACIONAL 03-09-26'!AJ27</f>
        <v>1945.952380952381</v>
      </c>
      <c r="AK27" s="25">
        <f>'[1]INVENTARIO NACIONAL 03-09-26'!AK27</f>
        <v>-685.14285714285711</v>
      </c>
      <c r="AL27" s="28">
        <f>'[1]INVENTARIO NACIONAL 03-09-26'!AL27</f>
        <v>120.79629629629629</v>
      </c>
    </row>
    <row r="28" spans="2:38" ht="15" customHeight="1" x14ac:dyDescent="0.25">
      <c r="B28" s="10">
        <f>'[1]INVENTARIO NACIONAL 03-09-26'!B28</f>
        <v>130158</v>
      </c>
      <c r="C28" s="29" t="str">
        <f>'[1]INVENTARIO NACIONAL 03-09-26'!C28</f>
        <v>Cremigurt Griego Ciruela 150g</v>
      </c>
      <c r="D28" s="12">
        <f>'[1]INVENTARIO NACIONAL 03-09-26'!D28</f>
        <v>1.1599999999999999</v>
      </c>
      <c r="E28" s="13">
        <f>'[1]INVENTARIO NACIONAL 03-09-26'!E28</f>
        <v>1963</v>
      </c>
      <c r="F28" s="14">
        <f>'[1]INVENTARIO NACIONAL 03-09-26'!F28</f>
        <v>2277.08</v>
      </c>
      <c r="G28" s="14">
        <f>'[1]INVENTARIO NACIONAL 03-09-26'!G28</f>
        <v>11.507061017852385</v>
      </c>
      <c r="H28" s="30">
        <f>'[1]INVENTARIO NACIONAL 03-09-26'!H28</f>
        <v>3753</v>
      </c>
      <c r="I28" s="15">
        <f>'[1]INVENTARIO NACIONAL 03-09-26'!I28</f>
        <v>257.09090909090901</v>
      </c>
      <c r="J28" s="16">
        <f>'[1]INVENTARIO NACIONAL 03-09-26'!J28</f>
        <v>2839</v>
      </c>
      <c r="K28" s="13">
        <f>'[1]INVENTARIO NACIONAL 03-09-26'!K28</f>
        <v>3293.24</v>
      </c>
      <c r="L28" s="14">
        <f>'[1]INVENTARIO NACIONAL 03-09-26'!L28</f>
        <v>18.716811507341923</v>
      </c>
      <c r="M28" s="30">
        <f>'[1]INVENTARIO NACIONAL 03-09-26'!M28</f>
        <v>3337</v>
      </c>
      <c r="N28" s="15">
        <f>'[1]INVENTARIO NACIONAL 03-09-26'!N28</f>
        <v>1322.181818181818</v>
      </c>
      <c r="O28" s="16">
        <f>'[1]INVENTARIO NACIONAL 03-09-26'!O28</f>
        <v>42</v>
      </c>
      <c r="P28" s="17">
        <f>'[1]INVENTARIO NACIONAL 03-09-26'!P28</f>
        <v>48.72</v>
      </c>
      <c r="Q28" s="14">
        <f>'[1]INVENTARIO NACIONAL 03-09-26'!Q28</f>
        <v>1.75</v>
      </c>
      <c r="R28" s="16">
        <f>'[1]INVENTARIO NACIONAL 03-09-26'!R28</f>
        <v>528</v>
      </c>
      <c r="S28" s="15">
        <f>'[1]INVENTARIO NACIONAL 03-09-26'!S28</f>
        <v>-318</v>
      </c>
      <c r="T28" s="18">
        <f>'[1]INVENTARIO NACIONAL 03-09-26'!T28</f>
        <v>10</v>
      </c>
      <c r="U28" s="17">
        <f>'[1]INVENTARIO NACIONAL 03-09-26'!U28</f>
        <v>11.6</v>
      </c>
      <c r="V28" s="14">
        <f>'[1]INVENTARIO NACIONAL 03-09-26'!V28</f>
        <v>0.16962220508866616</v>
      </c>
      <c r="W28" s="16">
        <f>'[1]INVENTARIO NACIONAL 03-09-26'!W28</f>
        <v>1297</v>
      </c>
      <c r="X28" s="15">
        <f>'[1]INVENTARIO NACIONAL 03-09-26'!X28</f>
        <v>-874.31818181818176</v>
      </c>
      <c r="Y28" s="18">
        <f>'[1]INVENTARIO NACIONAL 03-09-26'!Y28</f>
        <v>278</v>
      </c>
      <c r="Z28" s="17">
        <f>'[1]INVENTARIO NACIONAL 03-09-26'!Z28</f>
        <v>322.47999999999996</v>
      </c>
      <c r="AA28" s="14">
        <f>'[1]INVENTARIO NACIONAL 03-09-26'!AA28</f>
        <v>75.506172839506178</v>
      </c>
      <c r="AB28" s="16">
        <f>'[1]INVENTARIO NACIONAL 03-09-26'!AB28</f>
        <v>81</v>
      </c>
      <c r="AC28" s="15">
        <f>'[1]INVENTARIO NACIONAL 03-09-26'!AC28</f>
        <v>222.77272727272728</v>
      </c>
      <c r="AD28" s="19">
        <f>'[1]INVENTARIO NACIONAL 03-09-26'!AD28</f>
        <v>5132</v>
      </c>
      <c r="AE28" s="20">
        <f>'[1]INVENTARIO NACIONAL 03-09-26'!AE28</f>
        <v>5953.12</v>
      </c>
      <c r="AF28" s="21">
        <f>'[1]INVENTARIO NACIONAL 03-09-26'!AF28</f>
        <v>4283.8095238095239</v>
      </c>
      <c r="AG28" s="22">
        <f>'[1]INVENTARIO NACIONAL 03-09-26'!AG28</f>
        <v>11.979991107158737</v>
      </c>
      <c r="AH28" s="23">
        <f>'[1]INVENTARIO NACIONAL 03-09-26'!AH28</f>
        <v>1.1979991107158736</v>
      </c>
      <c r="AI28" s="26">
        <f>'[1]INVENTARIO NACIONAL 03-09-26'!AI28</f>
        <v>848.19047619047615</v>
      </c>
      <c r="AJ28" s="27">
        <f>'[1]INVENTARIO NACIONAL 03-09-26'!AJ28</f>
        <v>2141.9047619047619</v>
      </c>
      <c r="AK28" s="25">
        <f>'[1]INVENTARIO NACIONAL 03-09-26'!AK28</f>
        <v>1293.7142857142858</v>
      </c>
      <c r="AL28" s="28">
        <f>'[1]INVENTARIO NACIONAL 03-09-26'!AL28</f>
        <v>95.037037037037038</v>
      </c>
    </row>
    <row r="29" spans="2:38" ht="15" customHeight="1" x14ac:dyDescent="0.25">
      <c r="B29" s="10">
        <f>'[1]INVENTARIO NACIONAL 03-09-26'!B29</f>
        <v>130159</v>
      </c>
      <c r="C29" s="29" t="str">
        <f>'[1]INVENTARIO NACIONAL 03-09-26'!C29</f>
        <v>Cremigurt Griego Mora 150g</v>
      </c>
      <c r="D29" s="12">
        <f>'[1]INVENTARIO NACIONAL 03-09-26'!D29</f>
        <v>1.1599999999999999</v>
      </c>
      <c r="E29" s="13">
        <f>'[1]INVENTARIO NACIONAL 03-09-26'!E29</f>
        <v>1810</v>
      </c>
      <c r="F29" s="14">
        <f>'[1]INVENTARIO NACIONAL 03-09-26'!F29</f>
        <v>2099.6</v>
      </c>
      <c r="G29" s="14">
        <f>'[1]INVENTARIO NACIONAL 03-09-26'!G29</f>
        <v>10.465177398160314</v>
      </c>
      <c r="H29" s="30">
        <f>'[1]INVENTARIO NACIONAL 03-09-26'!H29</f>
        <v>3805.0000000000005</v>
      </c>
      <c r="I29" s="15">
        <f>'[1]INVENTARIO NACIONAL 03-09-26'!I29</f>
        <v>80.454545454545269</v>
      </c>
      <c r="J29" s="16">
        <f>'[1]INVENTARIO NACIONAL 03-09-26'!J29</f>
        <v>3491</v>
      </c>
      <c r="K29" s="13">
        <f>'[1]INVENTARIO NACIONAL 03-09-26'!K29</f>
        <v>4049.56</v>
      </c>
      <c r="L29" s="14">
        <f>'[1]INVENTARIO NACIONAL 03-09-26'!L29</f>
        <v>28.28802946593002</v>
      </c>
      <c r="M29" s="30">
        <f>'[1]INVENTARIO NACIONAL 03-09-26'!M29</f>
        <v>2715</v>
      </c>
      <c r="N29" s="15">
        <f>'[1]INVENTARIO NACIONAL 03-09-26'!N29</f>
        <v>2256.909090909091</v>
      </c>
      <c r="O29" s="16">
        <f>'[1]INVENTARIO NACIONAL 03-09-26'!O29</f>
        <v>33</v>
      </c>
      <c r="P29" s="17">
        <f>'[1]INVENTARIO NACIONAL 03-09-26'!P29</f>
        <v>38.279999999999994</v>
      </c>
      <c r="Q29" s="14">
        <f>'[1]INVENTARIO NACIONAL 03-09-26'!Q29</f>
        <v>1.5156576200417535</v>
      </c>
      <c r="R29" s="16">
        <f>'[1]INVENTARIO NACIONAL 03-09-26'!R29</f>
        <v>479</v>
      </c>
      <c r="S29" s="15">
        <f>'[1]INVENTARIO NACIONAL 03-09-26'!S29</f>
        <v>-293.59090909090912</v>
      </c>
      <c r="T29" s="18">
        <f>'[1]INVENTARIO NACIONAL 03-09-26'!T29</f>
        <v>2</v>
      </c>
      <c r="U29" s="17">
        <f>'[1]INVENTARIO NACIONAL 03-09-26'!U29</f>
        <v>2.3199999999999998</v>
      </c>
      <c r="V29" s="14">
        <f>'[1]INVENTARIO NACIONAL 03-09-26'!V29</f>
        <v>3.8562664329535493E-2</v>
      </c>
      <c r="W29" s="16">
        <f>'[1]INVENTARIO NACIONAL 03-09-26'!W29</f>
        <v>1141</v>
      </c>
      <c r="X29" s="15">
        <f>'[1]INVENTARIO NACIONAL 03-09-26'!X29</f>
        <v>-775.9545454545455</v>
      </c>
      <c r="Y29" s="18">
        <f>'[1]INVENTARIO NACIONAL 03-09-26'!Y29</f>
        <v>282</v>
      </c>
      <c r="Z29" s="17">
        <f>'[1]INVENTARIO NACIONAL 03-09-26'!Z29</f>
        <v>327.12</v>
      </c>
      <c r="AA29" s="14">
        <f>'[1]INVENTARIO NACIONAL 03-09-26'!AA29</f>
        <v>94</v>
      </c>
      <c r="AB29" s="16">
        <f>'[1]INVENTARIO NACIONAL 03-09-26'!AB29</f>
        <v>66</v>
      </c>
      <c r="AC29" s="15">
        <f>'[1]INVENTARIO NACIONAL 03-09-26'!AC29</f>
        <v>237</v>
      </c>
      <c r="AD29" s="19">
        <f>'[1]INVENTARIO NACIONAL 03-09-26'!AD29</f>
        <v>5618</v>
      </c>
      <c r="AE29" s="20">
        <f>'[1]INVENTARIO NACIONAL 03-09-26'!AE29</f>
        <v>6516.8799999999992</v>
      </c>
      <c r="AF29" s="21">
        <f>'[1]INVENTARIO NACIONAL 03-09-26'!AF29</f>
        <v>3907.6190476190477</v>
      </c>
      <c r="AG29" s="22">
        <f>'[1]INVENTARIO NACIONAL 03-09-26'!AG29</f>
        <v>14.37704118937363</v>
      </c>
      <c r="AH29" s="23">
        <f>'[1]INVENTARIO NACIONAL 03-09-26'!AH29</f>
        <v>1.4377041189373629</v>
      </c>
      <c r="AI29" s="26">
        <f>'[1]INVENTARIO NACIONAL 03-09-26'!AI29</f>
        <v>1710.3809523809523</v>
      </c>
      <c r="AJ29" s="27">
        <f>'[1]INVENTARIO NACIONAL 03-09-26'!AJ29</f>
        <v>1953.8095238095239</v>
      </c>
      <c r="AK29" s="25">
        <f>'[1]INVENTARIO NACIONAL 03-09-26'!AK29</f>
        <v>243.42857142857156</v>
      </c>
      <c r="AL29" s="28">
        <f>'[1]INVENTARIO NACIONAL 03-09-26'!AL29</f>
        <v>104.03703703703704</v>
      </c>
    </row>
    <row r="30" spans="2:38" ht="15" customHeight="1" x14ac:dyDescent="0.25">
      <c r="B30" s="10">
        <f>'[1]INVENTARIO NACIONAL 03-09-26'!B30</f>
        <v>130700</v>
      </c>
      <c r="C30" s="29" t="str">
        <f>'[1]INVENTARIO NACIONAL 03-09-26'!C30</f>
        <v>Cremigurt Natural 700g</v>
      </c>
      <c r="D30" s="12">
        <f>'[1]INVENTARIO NACIONAL 03-09-26'!D30</f>
        <v>3.68</v>
      </c>
      <c r="E30" s="13">
        <f>'[1]INVENTARIO NACIONAL 03-09-26'!E30</f>
        <v>275</v>
      </c>
      <c r="F30" s="14">
        <f>'[1]INVENTARIO NACIONAL 03-09-26'!F30</f>
        <v>1012</v>
      </c>
      <c r="G30" s="14">
        <f>'[1]INVENTARIO NACIONAL 03-09-26'!G30</f>
        <v>3.0478589420654911</v>
      </c>
      <c r="H30" s="30">
        <f>'[1]INVENTARIO NACIONAL 03-09-26'!H30</f>
        <v>1985</v>
      </c>
      <c r="I30" s="15">
        <f>'[1]INVENTARIO NACIONAL 03-09-26'!I30</f>
        <v>-627.27272727272737</v>
      </c>
      <c r="J30" s="16">
        <f>'[1]INVENTARIO NACIONAL 03-09-26'!J30</f>
        <v>2331</v>
      </c>
      <c r="K30" s="13">
        <f>'[1]INVENTARIO NACIONAL 03-09-26'!K30</f>
        <v>8578.08</v>
      </c>
      <c r="L30" s="14">
        <f>'[1]INVENTARIO NACIONAL 03-09-26'!L30</f>
        <v>23.068825910931174</v>
      </c>
      <c r="M30" s="30">
        <f>'[1]INVENTARIO NACIONAL 03-09-26'!M30</f>
        <v>2223</v>
      </c>
      <c r="N30" s="15">
        <f>'[1]INVENTARIO NACIONAL 03-09-26'!N30</f>
        <v>1320.5454545454545</v>
      </c>
      <c r="O30" s="16">
        <f>'[1]INVENTARIO NACIONAL 03-09-26'!O30</f>
        <v>3</v>
      </c>
      <c r="P30" s="17">
        <f>'[1]INVENTARIO NACIONAL 03-09-26'!P30</f>
        <v>11.040000000000001</v>
      </c>
      <c r="Q30" s="14">
        <f>'[1]INVENTARIO NACIONAL 03-09-26'!Q30</f>
        <v>0.80487804878048785</v>
      </c>
      <c r="R30" s="16">
        <f>'[1]INVENTARIO NACIONAL 03-09-26'!R30</f>
        <v>82</v>
      </c>
      <c r="S30" s="15">
        <f>'[1]INVENTARIO NACIONAL 03-09-26'!S30</f>
        <v>-52.909090909090907</v>
      </c>
      <c r="T30" s="18">
        <f>'[1]INVENTARIO NACIONAL 03-09-26'!T30</f>
        <v>110</v>
      </c>
      <c r="U30" s="17">
        <f>'[1]INVENTARIO NACIONAL 03-09-26'!U30</f>
        <v>404.8</v>
      </c>
      <c r="V30" s="14">
        <f>'[1]INVENTARIO NACIONAL 03-09-26'!V30</f>
        <v>3.4670487106017194</v>
      </c>
      <c r="W30" s="16">
        <f>'[1]INVENTARIO NACIONAL 03-09-26'!W30</f>
        <v>698</v>
      </c>
      <c r="X30" s="15">
        <f>'[1]INVENTARIO NACIONAL 03-09-26'!X30</f>
        <v>-365.90909090909088</v>
      </c>
      <c r="Y30" s="18">
        <f>'[1]INVENTARIO NACIONAL 03-09-26'!Y30</f>
        <v>3</v>
      </c>
      <c r="Z30" s="17">
        <f>'[1]INVENTARIO NACIONAL 03-09-26'!Z30</f>
        <v>11.040000000000001</v>
      </c>
      <c r="AA30" s="14">
        <f>'[1]INVENTARIO NACIONAL 03-09-26'!AA30</f>
        <v>0.7021276595744681</v>
      </c>
      <c r="AB30" s="16">
        <f>'[1]INVENTARIO NACIONAL 03-09-26'!AB30</f>
        <v>94</v>
      </c>
      <c r="AC30" s="15">
        <f>'[1]INVENTARIO NACIONAL 03-09-26'!AC30</f>
        <v>-61.090909090909093</v>
      </c>
      <c r="AD30" s="19">
        <f>'[1]INVENTARIO NACIONAL 03-09-26'!AD30</f>
        <v>2722</v>
      </c>
      <c r="AE30" s="20">
        <f>'[1]INVENTARIO NACIONAL 03-09-26'!AE30</f>
        <v>10016.960000000001</v>
      </c>
      <c r="AF30" s="21">
        <f>'[1]INVENTARIO NACIONAL 03-09-26'!AF30</f>
        <v>2420</v>
      </c>
      <c r="AG30" s="22">
        <f>'[1]INVENTARIO NACIONAL 03-09-26'!AG30</f>
        <v>11.24793388429752</v>
      </c>
      <c r="AH30" s="23">
        <f>'[1]INVENTARIO NACIONAL 03-09-26'!AH30</f>
        <v>1.1247933884297521</v>
      </c>
      <c r="AI30" s="26">
        <f>'[1]INVENTARIO NACIONAL 03-09-26'!AI30</f>
        <v>302</v>
      </c>
      <c r="AJ30" s="27">
        <f>'[1]INVENTARIO NACIONAL 03-09-26'!AJ30</f>
        <v>1210</v>
      </c>
      <c r="AK30" s="25">
        <f>'[1]INVENTARIO NACIONAL 03-09-26'!AK30</f>
        <v>908</v>
      </c>
      <c r="AL30" s="28">
        <f>'[1]INVENTARIO NACIONAL 03-09-26'!AL30</f>
        <v>170.125</v>
      </c>
    </row>
    <row r="31" spans="2:38" ht="15" customHeight="1" x14ac:dyDescent="0.25">
      <c r="B31" s="10">
        <f>'[1]INVENTARIO NACIONAL 03-09-26'!B31</f>
        <v>130701</v>
      </c>
      <c r="C31" s="29" t="str">
        <f>'[1]INVENTARIO NACIONAL 03-09-26'!C31</f>
        <v>Cremigurt Dulce 700g</v>
      </c>
      <c r="D31" s="12">
        <f>'[1]INVENTARIO NACIONAL 03-09-26'!D31</f>
        <v>3.68</v>
      </c>
      <c r="E31" s="13">
        <f>'[1]INVENTARIO NACIONAL 03-09-26'!E31</f>
        <v>186</v>
      </c>
      <c r="F31" s="14">
        <f>'[1]INVENTARIO NACIONAL 03-09-26'!F31</f>
        <v>684.48</v>
      </c>
      <c r="G31" s="14">
        <f>'[1]INVENTARIO NACIONAL 03-09-26'!G31</f>
        <v>3.4128440366972477</v>
      </c>
      <c r="H31" s="30">
        <f>'[1]INVENTARIO NACIONAL 03-09-26'!H31</f>
        <v>1199</v>
      </c>
      <c r="I31" s="15">
        <f>'[1]INVENTARIO NACIONAL 03-09-26'!I31</f>
        <v>-359</v>
      </c>
      <c r="J31" s="16">
        <f>'[1]INVENTARIO NACIONAL 03-09-26'!J31</f>
        <v>297</v>
      </c>
      <c r="K31" s="13">
        <f>'[1]INVENTARIO NACIONAL 03-09-26'!K31</f>
        <v>1092.96</v>
      </c>
      <c r="L31" s="14">
        <f>'[1]INVENTARIO NACIONAL 03-09-26'!L31</f>
        <v>4.4631147540983616</v>
      </c>
      <c r="M31" s="30">
        <f>'[1]INVENTARIO NACIONAL 03-09-26'!M31</f>
        <v>1463.9999999999998</v>
      </c>
      <c r="N31" s="15">
        <f>'[1]INVENTARIO NACIONAL 03-09-26'!N31</f>
        <v>-368.45454545454527</v>
      </c>
      <c r="O31" s="16">
        <f>'[1]INVENTARIO NACIONAL 03-09-26'!O31</f>
        <v>17</v>
      </c>
      <c r="P31" s="17">
        <f>'[1]INVENTARIO NACIONAL 03-09-26'!P31</f>
        <v>62.56</v>
      </c>
      <c r="Q31" s="14">
        <f>'[1]INVENTARIO NACIONAL 03-09-26'!Q31</f>
        <v>9.35</v>
      </c>
      <c r="R31" s="16">
        <f>'[1]INVENTARIO NACIONAL 03-09-26'!R31</f>
        <v>40</v>
      </c>
      <c r="S31" s="15">
        <f>'[1]INVENTARIO NACIONAL 03-09-26'!S31</f>
        <v>-10.272727272727273</v>
      </c>
      <c r="T31" s="18">
        <f>'[1]INVENTARIO NACIONAL 03-09-26'!T31</f>
        <v>13</v>
      </c>
      <c r="U31" s="17">
        <f>'[1]INVENTARIO NACIONAL 03-09-26'!U31</f>
        <v>47.84</v>
      </c>
      <c r="V31" s="14">
        <f>'[1]INVENTARIO NACIONAL 03-09-26'!V31</f>
        <v>1.0874524714828897</v>
      </c>
      <c r="W31" s="16">
        <f>'[1]INVENTARIO NACIONAL 03-09-26'!W31</f>
        <v>263</v>
      </c>
      <c r="X31" s="15">
        <f>'[1]INVENTARIO NACIONAL 03-09-26'!X31</f>
        <v>-166.31818181818181</v>
      </c>
      <c r="Y31" s="18">
        <f>'[1]INVENTARIO NACIONAL 03-09-26'!Y31</f>
        <v>26</v>
      </c>
      <c r="Z31" s="17">
        <f>'[1]INVENTARIO NACIONAL 03-09-26'!Z31</f>
        <v>95.68</v>
      </c>
      <c r="AA31" s="14">
        <f>'[1]INVENTARIO NACIONAL 03-09-26'!AA31</f>
        <v>28.6</v>
      </c>
      <c r="AB31" s="16">
        <f>'[1]INVENTARIO NACIONAL 03-09-26'!AB31</f>
        <v>20</v>
      </c>
      <c r="AC31" s="15">
        <f>'[1]INVENTARIO NACIONAL 03-09-26'!AC31</f>
        <v>12.363636363636363</v>
      </c>
      <c r="AD31" s="19">
        <f>'[1]INVENTARIO NACIONAL 03-09-26'!AD31</f>
        <v>539</v>
      </c>
      <c r="AE31" s="20">
        <f>'[1]INVENTARIO NACIONAL 03-09-26'!AE31</f>
        <v>1983.52</v>
      </c>
      <c r="AF31" s="21">
        <f>'[1]INVENTARIO NACIONAL 03-09-26'!AF31</f>
        <v>1421.9047619047619</v>
      </c>
      <c r="AG31" s="22">
        <f>'[1]INVENTARIO NACIONAL 03-09-26'!AG31</f>
        <v>3.7906898861352976</v>
      </c>
      <c r="AH31" s="23">
        <f>'[1]INVENTARIO NACIONAL 03-09-26'!AH31</f>
        <v>0.37906898861352978</v>
      </c>
      <c r="AI31" s="26">
        <f>'[1]INVENTARIO NACIONAL 03-09-26'!AI31</f>
        <v>-882.90476190476193</v>
      </c>
      <c r="AJ31" s="27">
        <f>'[1]INVENTARIO NACIONAL 03-09-26'!AJ31</f>
        <v>710.95238095238096</v>
      </c>
      <c r="AK31" s="25">
        <f>'[1]INVENTARIO NACIONAL 03-09-26'!AK31</f>
        <v>1593.8571428571429</v>
      </c>
      <c r="AL31" s="28">
        <f>'[1]INVENTARIO NACIONAL 03-09-26'!AL31</f>
        <v>33.6875</v>
      </c>
    </row>
    <row r="32" spans="2:38" ht="15" customHeight="1" x14ac:dyDescent="0.25">
      <c r="B32" s="10">
        <f>'[1]INVENTARIO NACIONAL 03-09-26'!B32</f>
        <v>130702</v>
      </c>
      <c r="C32" s="29" t="str">
        <f>'[1]INVENTARIO NACIONAL 03-09-26'!C32</f>
        <v>Cremigurt Griego Fresa 700g</v>
      </c>
      <c r="D32" s="12">
        <f>'[1]INVENTARIO NACIONAL 03-09-26'!D32</f>
        <v>4.1500000000000004</v>
      </c>
      <c r="E32" s="13">
        <f>'[1]INVENTARIO NACIONAL 03-09-26'!E32</f>
        <v>1783</v>
      </c>
      <c r="F32" s="14">
        <f>'[1]INVENTARIO NACIONAL 03-09-26'!F32</f>
        <v>7399.4500000000007</v>
      </c>
      <c r="G32" s="14">
        <f>'[1]INVENTARIO NACIONAL 03-09-26'!G32</f>
        <v>8.1635796045785636</v>
      </c>
      <c r="H32" s="30">
        <f>'[1]INVENTARIO NACIONAL 03-09-26'!H32</f>
        <v>4805</v>
      </c>
      <c r="I32" s="15">
        <f>'[1]INVENTARIO NACIONAL 03-09-26'!I32</f>
        <v>-401.09090909090901</v>
      </c>
      <c r="J32" s="16">
        <f>'[1]INVENTARIO NACIONAL 03-09-26'!J32</f>
        <v>1898</v>
      </c>
      <c r="K32" s="13">
        <f>'[1]INVENTARIO NACIONAL 03-09-26'!K32</f>
        <v>7876.7000000000007</v>
      </c>
      <c r="L32" s="14">
        <f>'[1]INVENTARIO NACIONAL 03-09-26'!L32</f>
        <v>11.07292495359321</v>
      </c>
      <c r="M32" s="30">
        <f>'[1]INVENTARIO NACIONAL 03-09-26'!M32</f>
        <v>3771.0000000000005</v>
      </c>
      <c r="N32" s="15">
        <f>'[1]INVENTARIO NACIONAL 03-09-26'!N32</f>
        <v>183.90909090909054</v>
      </c>
      <c r="O32" s="16">
        <f>'[1]INVENTARIO NACIONAL 03-09-26'!O32</f>
        <v>80</v>
      </c>
      <c r="P32" s="17">
        <f>'[1]INVENTARIO NACIONAL 03-09-26'!P32</f>
        <v>332</v>
      </c>
      <c r="Q32" s="14">
        <f>'[1]INVENTARIO NACIONAL 03-09-26'!Q32</f>
        <v>6.2633451957295367</v>
      </c>
      <c r="R32" s="16">
        <f>'[1]INVENTARIO NACIONAL 03-09-26'!R32</f>
        <v>281</v>
      </c>
      <c r="S32" s="15">
        <f>'[1]INVENTARIO NACIONAL 03-09-26'!S32</f>
        <v>-111.59090909090909</v>
      </c>
      <c r="T32" s="18">
        <f>'[1]INVENTARIO NACIONAL 03-09-26'!T32</f>
        <v>768</v>
      </c>
      <c r="U32" s="17">
        <f>'[1]INVENTARIO NACIONAL 03-09-26'!U32</f>
        <v>3187.2000000000003</v>
      </c>
      <c r="V32" s="14">
        <f>'[1]INVENTARIO NACIONAL 03-09-26'!V32</f>
        <v>9.2277444019661381</v>
      </c>
      <c r="W32" s="16">
        <f>'[1]INVENTARIO NACIONAL 03-09-26'!W32</f>
        <v>1831</v>
      </c>
      <c r="X32" s="15">
        <f>'[1]INVENTARIO NACIONAL 03-09-26'!X32</f>
        <v>-480.40909090909099</v>
      </c>
      <c r="Y32" s="18">
        <f>'[1]INVENTARIO NACIONAL 03-09-26'!Y32</f>
        <v>110</v>
      </c>
      <c r="Z32" s="17">
        <f>'[1]INVENTARIO NACIONAL 03-09-26'!Z32</f>
        <v>456.50000000000006</v>
      </c>
      <c r="AA32" s="14">
        <f>'[1]INVENTARIO NACIONAL 03-09-26'!AA32</f>
        <v>27.816091954022987</v>
      </c>
      <c r="AB32" s="16">
        <f>'[1]INVENTARIO NACIONAL 03-09-26'!AB32</f>
        <v>87</v>
      </c>
      <c r="AC32" s="15">
        <f>'[1]INVENTARIO NACIONAL 03-09-26'!AC32</f>
        <v>50.68181818181818</v>
      </c>
      <c r="AD32" s="19">
        <f>'[1]INVENTARIO NACIONAL 03-09-26'!AD32</f>
        <v>4639</v>
      </c>
      <c r="AE32" s="20">
        <f>'[1]INVENTARIO NACIONAL 03-09-26'!AE32</f>
        <v>19251.850000000002</v>
      </c>
      <c r="AF32" s="21">
        <f>'[1]INVENTARIO NACIONAL 03-09-26'!AF32</f>
        <v>5130.9523809523807</v>
      </c>
      <c r="AG32" s="22">
        <f>'[1]INVENTARIO NACIONAL 03-09-26'!AG32</f>
        <v>9.0412064965197221</v>
      </c>
      <c r="AH32" s="23">
        <f>'[1]INVENTARIO NACIONAL 03-09-26'!AH32</f>
        <v>0.90412064965197214</v>
      </c>
      <c r="AI32" s="26">
        <f>'[1]INVENTARIO NACIONAL 03-09-26'!AI32</f>
        <v>-491.95238095238074</v>
      </c>
      <c r="AJ32" s="27">
        <f>'[1]INVENTARIO NACIONAL 03-09-26'!AJ32</f>
        <v>2565.4761904761904</v>
      </c>
      <c r="AK32" s="25">
        <f>'[1]INVENTARIO NACIONAL 03-09-26'!AK32</f>
        <v>3057.4285714285711</v>
      </c>
      <c r="AL32" s="28">
        <f>'[1]INVENTARIO NACIONAL 03-09-26'!AL32</f>
        <v>289.9375</v>
      </c>
    </row>
    <row r="33" spans="2:38" ht="15" customHeight="1" x14ac:dyDescent="0.25">
      <c r="B33" s="10">
        <f>'[1]INVENTARIO NACIONAL 03-09-26'!B33</f>
        <v>130703</v>
      </c>
      <c r="C33" s="29" t="str">
        <f>'[1]INVENTARIO NACIONAL 03-09-26'!C33</f>
        <v>Cremigurt Griego 700g</v>
      </c>
      <c r="D33" s="12">
        <f>'[1]INVENTARIO NACIONAL 03-09-26'!D33</f>
        <v>4.1500000000000004</v>
      </c>
      <c r="E33" s="13">
        <f>'[1]INVENTARIO NACIONAL 03-09-26'!E33</f>
        <v>1324</v>
      </c>
      <c r="F33" s="14">
        <f>'[1]INVENTARIO NACIONAL 03-09-26'!F33</f>
        <v>5494.6</v>
      </c>
      <c r="G33" s="14">
        <f>'[1]INVENTARIO NACIONAL 03-09-26'!G33</f>
        <v>3.3062429057888765</v>
      </c>
      <c r="H33" s="30">
        <f>'[1]INVENTARIO NACIONAL 03-09-26'!H33</f>
        <v>8810</v>
      </c>
      <c r="I33" s="15">
        <f>'[1]INVENTARIO NACIONAL 03-09-26'!I33</f>
        <v>-2680.5454545454545</v>
      </c>
      <c r="J33" s="16">
        <f>'[1]INVENTARIO NACIONAL 03-09-26'!J33</f>
        <v>4674</v>
      </c>
      <c r="K33" s="13">
        <f>'[1]INVENTARIO NACIONAL 03-09-26'!K33</f>
        <v>19397.100000000002</v>
      </c>
      <c r="L33" s="14">
        <f>'[1]INVENTARIO NACIONAL 03-09-26'!L33</f>
        <v>20.269662921348313</v>
      </c>
      <c r="M33" s="30">
        <f>'[1]INVENTARIO NACIONAL 03-09-26'!M33</f>
        <v>5073</v>
      </c>
      <c r="N33" s="15">
        <f>'[1]INVENTARIO NACIONAL 03-09-26'!N33</f>
        <v>2368.090909090909</v>
      </c>
      <c r="O33" s="16">
        <f>'[1]INVENTARIO NACIONAL 03-09-26'!O33</f>
        <v>89</v>
      </c>
      <c r="P33" s="17">
        <f>'[1]INVENTARIO NACIONAL 03-09-26'!P33</f>
        <v>369.35</v>
      </c>
      <c r="Q33" s="14">
        <f>'[1]INVENTARIO NACIONAL 03-09-26'!Q33</f>
        <v>5.4540389972144849</v>
      </c>
      <c r="R33" s="16">
        <f>'[1]INVENTARIO NACIONAL 03-09-26'!R33</f>
        <v>359</v>
      </c>
      <c r="S33" s="15">
        <f>'[1]INVENTARIO NACIONAL 03-09-26'!S33</f>
        <v>-155.77272727272725</v>
      </c>
      <c r="T33" s="18">
        <f>'[1]INVENTARIO NACIONAL 03-09-26'!T33</f>
        <v>1211</v>
      </c>
      <c r="U33" s="17">
        <f>'[1]INVENTARIO NACIONAL 03-09-26'!U33</f>
        <v>5025.6500000000005</v>
      </c>
      <c r="V33" s="14">
        <f>'[1]INVENTARIO NACIONAL 03-09-26'!V33</f>
        <v>10.398907103825136</v>
      </c>
      <c r="W33" s="16">
        <f>'[1]INVENTARIO NACIONAL 03-09-26'!W33</f>
        <v>2562</v>
      </c>
      <c r="X33" s="15">
        <f>'[1]INVENTARIO NACIONAL 03-09-26'!X33</f>
        <v>-535.81818181818176</v>
      </c>
      <c r="Y33" s="18">
        <f>'[1]INVENTARIO NACIONAL 03-09-26'!Y33</f>
        <v>148</v>
      </c>
      <c r="Z33" s="17">
        <f>'[1]INVENTARIO NACIONAL 03-09-26'!Z33</f>
        <v>614.20000000000005</v>
      </c>
      <c r="AA33" s="14">
        <f>'[1]INVENTARIO NACIONAL 03-09-26'!AA33</f>
        <v>13.85531914893617</v>
      </c>
      <c r="AB33" s="16">
        <f>'[1]INVENTARIO NACIONAL 03-09-26'!AB33</f>
        <v>235</v>
      </c>
      <c r="AC33" s="15">
        <f>'[1]INVENTARIO NACIONAL 03-09-26'!AC33</f>
        <v>-12.22727272727272</v>
      </c>
      <c r="AD33" s="19">
        <f>'[1]INVENTARIO NACIONAL 03-09-26'!AD33</f>
        <v>7446</v>
      </c>
      <c r="AE33" s="20">
        <f>'[1]INVENTARIO NACIONAL 03-09-26'!AE33</f>
        <v>30900.9</v>
      </c>
      <c r="AF33" s="21">
        <f>'[1]INVENTARIO NACIONAL 03-09-26'!AF33</f>
        <v>8113.8095238095239</v>
      </c>
      <c r="AG33" s="22">
        <f>'[1]INVENTARIO NACIONAL 03-09-26'!AG33</f>
        <v>9.1769470039321561</v>
      </c>
      <c r="AH33" s="23">
        <f>'[1]INVENTARIO NACIONAL 03-09-26'!AH33</f>
        <v>0.91769470039321555</v>
      </c>
      <c r="AI33" s="26">
        <f>'[1]INVENTARIO NACIONAL 03-09-26'!AI33</f>
        <v>-667.80952380952385</v>
      </c>
      <c r="AJ33" s="27">
        <f>'[1]INVENTARIO NACIONAL 03-09-26'!AJ33</f>
        <v>4056.9047619047619</v>
      </c>
      <c r="AK33" s="25">
        <f>'[1]INVENTARIO NACIONAL 03-09-26'!AK33</f>
        <v>4724.7142857142862</v>
      </c>
      <c r="AL33" s="28">
        <f>'[1]INVENTARIO NACIONAL 03-09-26'!AL33</f>
        <v>465.375</v>
      </c>
    </row>
    <row r="34" spans="2:38" ht="15" customHeight="1" x14ac:dyDescent="0.25">
      <c r="B34" s="10">
        <f>'[1]INVENTARIO NACIONAL 03-09-26'!B34</f>
        <v>130707</v>
      </c>
      <c r="C34" s="29" t="str">
        <f>'[1]INVENTARIO NACIONAL 03-09-26'!C34</f>
        <v>Griego Mykonos 700g</v>
      </c>
      <c r="D34" s="12">
        <f>'[1]INVENTARIO NACIONAL 03-09-26'!D34</f>
        <v>4.1500000000000004</v>
      </c>
      <c r="E34" s="13">
        <f>'[1]INVENTARIO NACIONAL 03-09-26'!E34</f>
        <v>569</v>
      </c>
      <c r="F34" s="14">
        <f>'[1]INVENTARIO NACIONAL 03-09-26'!F34</f>
        <v>2361.3500000000004</v>
      </c>
      <c r="G34" s="14">
        <f>'[1]INVENTARIO NACIONAL 03-09-26'!G34</f>
        <v>8.4581081081081084</v>
      </c>
      <c r="H34" s="30">
        <f>'[1]INVENTARIO NACIONAL 03-09-26'!H34</f>
        <v>1480</v>
      </c>
      <c r="I34" s="15">
        <f>'[1]INVENTARIO NACIONAL 03-09-26'!I34</f>
        <v>-103.72727272727263</v>
      </c>
      <c r="J34" s="16">
        <f>'[1]INVENTARIO NACIONAL 03-09-26'!J34</f>
        <v>80</v>
      </c>
      <c r="K34" s="13">
        <f>'[1]INVENTARIO NACIONAL 03-09-26'!K34</f>
        <v>332</v>
      </c>
      <c r="L34" s="14">
        <f>'[1]INVENTARIO NACIONAL 03-09-26'!L34</f>
        <v>0</v>
      </c>
      <c r="M34" s="30">
        <f>'[1]INVENTARIO NACIONAL 03-09-26'!M34</f>
        <v>0</v>
      </c>
      <c r="N34" s="15">
        <f>'[1]INVENTARIO NACIONAL 03-09-26'!N34</f>
        <v>80</v>
      </c>
      <c r="O34" s="16">
        <f>'[1]INVENTARIO NACIONAL 03-09-26'!O34</f>
        <v>0</v>
      </c>
      <c r="P34" s="17">
        <f>'[1]INVENTARIO NACIONAL 03-09-26'!P34</f>
        <v>0</v>
      </c>
      <c r="Q34" s="14">
        <f>'[1]INVENTARIO NACIONAL 03-09-26'!Q34</f>
        <v>0</v>
      </c>
      <c r="R34" s="16">
        <f>'[1]INVENTARIO NACIONAL 03-09-26'!R34</f>
        <v>0</v>
      </c>
      <c r="S34" s="15" t="str">
        <f>'[1]INVENTARIO NACIONAL 03-09-26'!S34</f>
        <v>-</v>
      </c>
      <c r="T34" s="18">
        <f>'[1]INVENTARIO NACIONAL 03-09-26'!T34</f>
        <v>20</v>
      </c>
      <c r="U34" s="17">
        <f>'[1]INVENTARIO NACIONAL 03-09-26'!U34</f>
        <v>83</v>
      </c>
      <c r="V34" s="14">
        <f>'[1]INVENTARIO NACIONAL 03-09-26'!V34</f>
        <v>4.6808510638297873</v>
      </c>
      <c r="W34" s="16">
        <f>'[1]INVENTARIO NACIONAL 03-09-26'!W34</f>
        <v>94</v>
      </c>
      <c r="X34" s="15">
        <f>'[1]INVENTARIO NACIONAL 03-09-26'!X34</f>
        <v>-44.090909090909093</v>
      </c>
      <c r="Y34" s="18">
        <f>'[1]INVENTARIO NACIONAL 03-09-26'!Y34</f>
        <v>0</v>
      </c>
      <c r="Z34" s="17">
        <f>'[1]INVENTARIO NACIONAL 03-09-26'!Z34</f>
        <v>0</v>
      </c>
      <c r="AA34" s="14">
        <f>'[1]INVENTARIO NACIONAL 03-09-26'!AA34</f>
        <v>0</v>
      </c>
      <c r="AB34" s="16">
        <f>'[1]INVENTARIO NACIONAL 03-09-26'!AB34</f>
        <v>0</v>
      </c>
      <c r="AC34" s="15">
        <f>'[1]INVENTARIO NACIONAL 03-09-26'!AC34</f>
        <v>0</v>
      </c>
      <c r="AD34" s="19">
        <f>'[1]INVENTARIO NACIONAL 03-09-26'!AD34</f>
        <v>669</v>
      </c>
      <c r="AE34" s="20">
        <f>'[1]INVENTARIO NACIONAL 03-09-26'!AE34</f>
        <v>2776.3500000000004</v>
      </c>
      <c r="AF34" s="31">
        <f>'[1]INVENTARIO NACIONAL 03-09-26'!AF34</f>
        <v>749.52380952380952</v>
      </c>
      <c r="AG34" s="22">
        <f>'[1]INVENTARIO NACIONAL 03-09-26'!AG34</f>
        <v>8.9256670902160113</v>
      </c>
      <c r="AH34" s="23">
        <f>'[1]INVENTARIO NACIONAL 03-09-26'!AH34</f>
        <v>0.89256670902160107</v>
      </c>
      <c r="AI34" s="26">
        <f>'[1]INVENTARIO NACIONAL 03-09-26'!AI34</f>
        <v>-80.523809523809518</v>
      </c>
      <c r="AJ34" s="27">
        <f>'[1]INVENTARIO NACIONAL 03-09-26'!AJ34</f>
        <v>374.76190476190476</v>
      </c>
      <c r="AK34" s="25">
        <f>'[1]INVENTARIO NACIONAL 03-09-26'!AK34</f>
        <v>455.28571428571428</v>
      </c>
      <c r="AL34" s="28">
        <f>'[1]INVENTARIO NACIONAL 03-09-26'!AL34</f>
        <v>41.8125</v>
      </c>
    </row>
    <row r="35" spans="2:38" ht="15" customHeight="1" x14ac:dyDescent="0.25">
      <c r="B35" s="10">
        <f>'[1]INVENTARIO NACIONAL 03-09-26'!B35</f>
        <v>131150</v>
      </c>
      <c r="C35" s="29" t="str">
        <f>'[1]INVENTARIO NACIONAL 03-09-26'!C35</f>
        <v>Cremigurt Power Natural 150g</v>
      </c>
      <c r="D35" s="12">
        <f>'[1]INVENTARIO NACIONAL 03-09-26'!D35</f>
        <v>1.63</v>
      </c>
      <c r="E35" s="13">
        <f>'[1]INVENTARIO NACIONAL 03-09-26'!E35</f>
        <v>1980</v>
      </c>
      <c r="F35" s="14">
        <f>'[1]INVENTARIO NACIONAL 03-09-26'!F35</f>
        <v>3227.3999999999996</v>
      </c>
      <c r="G35" s="14">
        <f>'[1]INVENTARIO NACIONAL 03-09-26'!G35</f>
        <v>4.073312137647279</v>
      </c>
      <c r="H35" s="30">
        <f>'[1]INVENTARIO NACIONAL 03-09-26'!H35</f>
        <v>10694</v>
      </c>
      <c r="I35" s="15">
        <f>'[1]INVENTARIO NACIONAL 03-09-26'!I35</f>
        <v>-2880.909090909091</v>
      </c>
      <c r="J35" s="16">
        <f>'[1]INVENTARIO NACIONAL 03-09-26'!J35</f>
        <v>760</v>
      </c>
      <c r="K35" s="13">
        <f>'[1]INVENTARIO NACIONAL 03-09-26'!K35</f>
        <v>1238.8</v>
      </c>
      <c r="L35" s="14">
        <f>'[1]INVENTARIO NACIONAL 03-09-26'!L35</f>
        <v>5.1909344923936667</v>
      </c>
      <c r="M35" s="30">
        <f>'[1]INVENTARIO NACIONAL 03-09-26'!M35</f>
        <v>3221</v>
      </c>
      <c r="N35" s="15">
        <f>'[1]INVENTARIO NACIONAL 03-09-26'!N35</f>
        <v>-704.09090909090901</v>
      </c>
      <c r="O35" s="16">
        <f>'[1]INVENTARIO NACIONAL 03-09-26'!O35</f>
        <v>286</v>
      </c>
      <c r="P35" s="17">
        <f>'[1]INVENTARIO NACIONAL 03-09-26'!P35</f>
        <v>466.17999999999995</v>
      </c>
      <c r="Q35" s="14">
        <f>'[1]INVENTARIO NACIONAL 03-09-26'!Q35</f>
        <v>6.5884816753926705</v>
      </c>
      <c r="R35" s="16">
        <f>'[1]INVENTARIO NACIONAL 03-09-26'!R35</f>
        <v>955</v>
      </c>
      <c r="S35" s="15">
        <f>'[1]INVENTARIO NACIONAL 03-09-26'!S35</f>
        <v>-365.13636363636363</v>
      </c>
      <c r="T35" s="18">
        <f>'[1]INVENTARIO NACIONAL 03-09-26'!T35</f>
        <v>647</v>
      </c>
      <c r="U35" s="17">
        <f>'[1]INVENTARIO NACIONAL 03-09-26'!U35</f>
        <v>1054.6099999999999</v>
      </c>
      <c r="V35" s="14">
        <f>'[1]INVENTARIO NACIONAL 03-09-26'!V35</f>
        <v>10.450807635829662</v>
      </c>
      <c r="W35" s="16">
        <f>'[1]INVENTARIO NACIONAL 03-09-26'!W35</f>
        <v>1362</v>
      </c>
      <c r="X35" s="15">
        <f>'[1]INVENTARIO NACIONAL 03-09-26'!X35</f>
        <v>-281.63636363636363</v>
      </c>
      <c r="Y35" s="18">
        <f>'[1]INVENTARIO NACIONAL 03-09-26'!Y35</f>
        <v>93</v>
      </c>
      <c r="Z35" s="17">
        <f>'[1]INVENTARIO NACIONAL 03-09-26'!Z35</f>
        <v>151.59</v>
      </c>
      <c r="AA35" s="14">
        <f>'[1]INVENTARIO NACIONAL 03-09-26'!AA35</f>
        <v>6.4952380952380953</v>
      </c>
      <c r="AB35" s="16">
        <f>'[1]INVENTARIO NACIONAL 03-09-26'!AB35</f>
        <v>315</v>
      </c>
      <c r="AC35" s="15">
        <f>'[1]INVENTARIO NACIONAL 03-09-26'!AC35</f>
        <v>-121.77272727272728</v>
      </c>
      <c r="AD35" s="19">
        <f>'[1]INVENTARIO NACIONAL 03-09-26'!AD35</f>
        <v>3766</v>
      </c>
      <c r="AE35" s="20">
        <f>'[1]INVENTARIO NACIONAL 03-09-26'!AE35</f>
        <v>6138.58</v>
      </c>
      <c r="AF35" s="21">
        <f>'[1]INVENTARIO NACIONAL 03-09-26'!AF35</f>
        <v>7879.5238095238092</v>
      </c>
      <c r="AG35" s="22">
        <f>'[1]INVENTARIO NACIONAL 03-09-26'!AG35</f>
        <v>4.7794766422916544</v>
      </c>
      <c r="AH35" s="23">
        <f>'[1]INVENTARIO NACIONAL 03-09-26'!AH35</f>
        <v>0.4779476642291654</v>
      </c>
      <c r="AI35" s="26">
        <f>'[1]INVENTARIO NACIONAL 03-09-26'!AI35</f>
        <v>-4113.5238095238092</v>
      </c>
      <c r="AJ35" s="27">
        <f>'[1]INVENTARIO NACIONAL 03-09-26'!AJ35</f>
        <v>3939.7619047619046</v>
      </c>
      <c r="AK35" s="25">
        <f>'[1]INVENTARIO NACIONAL 03-09-26'!AK35</f>
        <v>8053.2857142857138</v>
      </c>
      <c r="AL35" s="28">
        <f>'[1]INVENTARIO NACIONAL 03-09-26'!AL35</f>
        <v>69.740740740740748</v>
      </c>
    </row>
    <row r="36" spans="2:38" ht="15" customHeight="1" x14ac:dyDescent="0.25">
      <c r="B36" s="10">
        <f>'[1]INVENTARIO NACIONAL 03-09-26'!B36</f>
        <v>131151</v>
      </c>
      <c r="C36" s="29" t="str">
        <f>'[1]INVENTARIO NACIONAL 03-09-26'!C36</f>
        <v>Cremigurt Power Mantecado 150g</v>
      </c>
      <c r="D36" s="12">
        <f>'[1]INVENTARIO NACIONAL 03-09-26'!D36</f>
        <v>1.63</v>
      </c>
      <c r="E36" s="13">
        <f>'[1]INVENTARIO NACIONAL 03-09-26'!E36</f>
        <v>171</v>
      </c>
      <c r="F36" s="14">
        <f>'[1]INVENTARIO NACIONAL 03-09-26'!F36</f>
        <v>278.72999999999996</v>
      </c>
      <c r="G36" s="14">
        <f>'[1]INVENTARIO NACIONAL 03-09-26'!G36</f>
        <v>0.22873472365780992</v>
      </c>
      <c r="H36" s="30">
        <f>'[1]INVENTARIO NACIONAL 03-09-26'!H36</f>
        <v>16447</v>
      </c>
      <c r="I36" s="15">
        <f>'[1]INVENTARIO NACIONAL 03-09-26'!I36</f>
        <v>-7304.909090909091</v>
      </c>
      <c r="J36" s="16">
        <f>'[1]INVENTARIO NACIONAL 03-09-26'!J36</f>
        <v>5985</v>
      </c>
      <c r="K36" s="13">
        <f>'[1]INVENTARIO NACIONAL 03-09-26'!K36</f>
        <v>9755.5499999999993</v>
      </c>
      <c r="L36" s="14">
        <f>'[1]INVENTARIO NACIONAL 03-09-26'!L36</f>
        <v>26.686258613700851</v>
      </c>
      <c r="M36" s="30">
        <f>'[1]INVENTARIO NACIONAL 03-09-26'!M36</f>
        <v>4934</v>
      </c>
      <c r="N36" s="15">
        <f>'[1]INVENTARIO NACIONAL 03-09-26'!N36</f>
        <v>3742.272727272727</v>
      </c>
      <c r="O36" s="16">
        <f>'[1]INVENTARIO NACIONAL 03-09-26'!O36</f>
        <v>1248</v>
      </c>
      <c r="P36" s="17">
        <f>'[1]INVENTARIO NACIONAL 03-09-26'!P36</f>
        <v>2034.2399999999998</v>
      </c>
      <c r="Q36" s="14">
        <f>'[1]INVENTARIO NACIONAL 03-09-26'!Q36</f>
        <v>13.707438841737394</v>
      </c>
      <c r="R36" s="16">
        <f>'[1]INVENTARIO NACIONAL 03-09-26'!R36</f>
        <v>2003</v>
      </c>
      <c r="S36" s="15">
        <f>'[1]INVENTARIO NACIONAL 03-09-26'!S36</f>
        <v>-117.68181818181824</v>
      </c>
      <c r="T36" s="18">
        <f>'[1]INVENTARIO NACIONAL 03-09-26'!T36</f>
        <v>1308</v>
      </c>
      <c r="U36" s="17">
        <f>'[1]INVENTARIO NACIONAL 03-09-26'!U36</f>
        <v>2132.04</v>
      </c>
      <c r="V36" s="14">
        <f>'[1]INVENTARIO NACIONAL 03-09-26'!V36</f>
        <v>9.7944179714091231</v>
      </c>
      <c r="W36" s="16">
        <f>'[1]INVENTARIO NACIONAL 03-09-26'!W36</f>
        <v>2938</v>
      </c>
      <c r="X36" s="15">
        <f>'[1]INVENTARIO NACIONAL 03-09-26'!X36</f>
        <v>-695.18181818181802</v>
      </c>
      <c r="Y36" s="18">
        <f>'[1]INVENTARIO NACIONAL 03-09-26'!Y36</f>
        <v>289</v>
      </c>
      <c r="Z36" s="17">
        <f>'[1]INVENTARIO NACIONAL 03-09-26'!Z36</f>
        <v>471.07</v>
      </c>
      <c r="AA36" s="14">
        <f>'[1]INVENTARIO NACIONAL 03-09-26'!AA36</f>
        <v>14.924882629107982</v>
      </c>
      <c r="AB36" s="16">
        <f>'[1]INVENTARIO NACIONAL 03-09-26'!AB36</f>
        <v>426</v>
      </c>
      <c r="AC36" s="15">
        <f>'[1]INVENTARIO NACIONAL 03-09-26'!AC36</f>
        <v>-1.454545454545439</v>
      </c>
      <c r="AD36" s="19">
        <f>'[1]INVENTARIO NACIONAL 03-09-26'!AD36</f>
        <v>9001</v>
      </c>
      <c r="AE36" s="20">
        <f>'[1]INVENTARIO NACIONAL 03-09-26'!AE36</f>
        <v>14671.63</v>
      </c>
      <c r="AF36" s="21">
        <f>'[1]INVENTARIO NACIONAL 03-09-26'!AF36</f>
        <v>12737.142857142859</v>
      </c>
      <c r="AG36" s="22">
        <f>'[1]INVENTARIO NACIONAL 03-09-26'!AG36</f>
        <v>7.0667339614176754</v>
      </c>
      <c r="AH36" s="23">
        <f>'[1]INVENTARIO NACIONAL 03-09-26'!AH36</f>
        <v>0.7066733961417675</v>
      </c>
      <c r="AI36" s="26">
        <f>'[1]INVENTARIO NACIONAL 03-09-26'!AI36</f>
        <v>-3736.1428571428587</v>
      </c>
      <c r="AJ36" s="27">
        <f>'[1]INVENTARIO NACIONAL 03-09-26'!AJ36</f>
        <v>6368.5714285714294</v>
      </c>
      <c r="AK36" s="25">
        <f>'[1]INVENTARIO NACIONAL 03-09-26'!AK36</f>
        <v>10104.714285714288</v>
      </c>
      <c r="AL36" s="28">
        <f>'[1]INVENTARIO NACIONAL 03-09-26'!AL36</f>
        <v>166.68518518518519</v>
      </c>
    </row>
    <row r="37" spans="2:38" ht="15" customHeight="1" x14ac:dyDescent="0.25">
      <c r="B37" s="10">
        <f>'[1]INVENTARIO NACIONAL 03-09-26'!B37</f>
        <v>131152</v>
      </c>
      <c r="C37" s="29" t="str">
        <f>'[1]INVENTARIO NACIONAL 03-09-26'!C37</f>
        <v>Cremigurt Power CheesseCake Fresa 150g</v>
      </c>
      <c r="D37" s="12">
        <f>'[1]INVENTARIO NACIONAL 03-09-26'!D37</f>
        <v>1.63</v>
      </c>
      <c r="E37" s="13">
        <f>'[1]INVENTARIO NACIONAL 03-09-26'!E37</f>
        <v>2179</v>
      </c>
      <c r="F37" s="14">
        <f>'[1]INVENTARIO NACIONAL 03-09-26'!F37</f>
        <v>3551.77</v>
      </c>
      <c r="G37" s="14">
        <f>'[1]INVENTARIO NACIONAL 03-09-26'!G37</f>
        <v>8.0446383621412991</v>
      </c>
      <c r="H37" s="30">
        <f>'[1]INVENTARIO NACIONAL 03-09-26'!H37</f>
        <v>5959</v>
      </c>
      <c r="I37" s="15">
        <f>'[1]INVENTARIO NACIONAL 03-09-26'!I37</f>
        <v>-529.63636363636397</v>
      </c>
      <c r="J37" s="16">
        <f>'[1]INVENTARIO NACIONAL 03-09-26'!J37</f>
        <v>778</v>
      </c>
      <c r="K37" s="13">
        <f>'[1]INVENTARIO NACIONAL 03-09-26'!K37</f>
        <v>1268.1399999999999</v>
      </c>
      <c r="L37" s="14">
        <f>'[1]INVENTARIO NACIONAL 03-09-26'!L37</f>
        <v>7.066886870355078</v>
      </c>
      <c r="M37" s="30">
        <f>'[1]INVENTARIO NACIONAL 03-09-26'!M37</f>
        <v>2422</v>
      </c>
      <c r="N37" s="15">
        <f>'[1]INVENTARIO NACIONAL 03-09-26'!N37</f>
        <v>-322.90909090909099</v>
      </c>
      <c r="O37" s="16">
        <f>'[1]INVENTARIO NACIONAL 03-09-26'!O37</f>
        <v>416</v>
      </c>
      <c r="P37" s="17">
        <f>'[1]INVENTARIO NACIONAL 03-09-26'!P37</f>
        <v>678.07999999999993</v>
      </c>
      <c r="Q37" s="14">
        <f>'[1]INVENTARIO NACIONAL 03-09-26'!Q37</f>
        <v>8.9990167158308747</v>
      </c>
      <c r="R37" s="16">
        <f>'[1]INVENTARIO NACIONAL 03-09-26'!R37</f>
        <v>1017</v>
      </c>
      <c r="S37" s="15">
        <f>'[1]INVENTARIO NACIONAL 03-09-26'!S37</f>
        <v>-277.40909090909088</v>
      </c>
      <c r="T37" s="18">
        <f>'[1]INVENTARIO NACIONAL 03-09-26'!T37</f>
        <v>360</v>
      </c>
      <c r="U37" s="17">
        <f>'[1]INVENTARIO NACIONAL 03-09-26'!U37</f>
        <v>586.79999999999995</v>
      </c>
      <c r="V37" s="14">
        <f>'[1]INVENTARIO NACIONAL 03-09-26'!V37</f>
        <v>5.2002626395272484</v>
      </c>
      <c r="W37" s="16">
        <f>'[1]INVENTARIO NACIONAL 03-09-26'!W37</f>
        <v>1523</v>
      </c>
      <c r="X37" s="15">
        <f>'[1]INVENTARIO NACIONAL 03-09-26'!X37</f>
        <v>-678.40909090909099</v>
      </c>
      <c r="Y37" s="18">
        <f>'[1]INVENTARIO NACIONAL 03-09-26'!Y37</f>
        <v>3</v>
      </c>
      <c r="Z37" s="17">
        <f>'[1]INVENTARIO NACIONAL 03-09-26'!Z37</f>
        <v>4.8899999999999997</v>
      </c>
      <c r="AA37" s="14">
        <f>'[1]INVENTARIO NACIONAL 03-09-26'!AA37</f>
        <v>0.34375</v>
      </c>
      <c r="AB37" s="16">
        <f>'[1]INVENTARIO NACIONAL 03-09-26'!AB37</f>
        <v>192</v>
      </c>
      <c r="AC37" s="15">
        <f>'[1]INVENTARIO NACIONAL 03-09-26'!AC37</f>
        <v>-127.90909090909091</v>
      </c>
      <c r="AD37" s="19">
        <f>'[1]INVENTARIO NACIONAL 03-09-26'!AD37</f>
        <v>3736</v>
      </c>
      <c r="AE37" s="20">
        <f>'[1]INVENTARIO NACIONAL 03-09-26'!AE37</f>
        <v>6089.6799999999994</v>
      </c>
      <c r="AF37" s="21">
        <f>'[1]INVENTARIO NACIONAL 03-09-26'!AF37</f>
        <v>5291.9047619047615</v>
      </c>
      <c r="AG37" s="22">
        <f>'[1]INVENTARIO NACIONAL 03-09-26'!AG37</f>
        <v>7.0598398272293714</v>
      </c>
      <c r="AH37" s="23">
        <f>'[1]INVENTARIO NACIONAL 03-09-26'!AH37</f>
        <v>0.70598398272293716</v>
      </c>
      <c r="AI37" s="26">
        <f>'[1]INVENTARIO NACIONAL 03-09-26'!AI37</f>
        <v>-1555.9047619047615</v>
      </c>
      <c r="AJ37" s="27">
        <f>'[1]INVENTARIO NACIONAL 03-09-26'!AJ37</f>
        <v>2645.9523809523807</v>
      </c>
      <c r="AK37" s="25">
        <f>'[1]INVENTARIO NACIONAL 03-09-26'!AK37</f>
        <v>4201.8571428571422</v>
      </c>
      <c r="AL37" s="28">
        <f>'[1]INVENTARIO NACIONAL 03-09-26'!AL37</f>
        <v>69.18518518518519</v>
      </c>
    </row>
    <row r="38" spans="2:38" ht="15" customHeight="1" x14ac:dyDescent="0.25">
      <c r="B38" s="10">
        <f>'[1]INVENTARIO NACIONAL 03-09-26'!B38</f>
        <v>131153</v>
      </c>
      <c r="C38" s="29" t="str">
        <f>'[1]INVENTARIO NACIONAL 03-09-26'!C38</f>
        <v>Cremigurt Power Cookies and Cream 150g</v>
      </c>
      <c r="D38" s="12">
        <f>'[1]INVENTARIO NACIONAL 03-09-26'!D38</f>
        <v>1.63</v>
      </c>
      <c r="E38" s="13">
        <f>'[1]INVENTARIO NACIONAL 03-09-26'!E38</f>
        <v>1456</v>
      </c>
      <c r="F38" s="14">
        <f>'[1]INVENTARIO NACIONAL 03-09-26'!F38</f>
        <v>2373.2799999999997</v>
      </c>
      <c r="G38" s="14">
        <f>'[1]INVENTARIO NACIONAL 03-09-26'!G38</f>
        <v>7.7955706984667801</v>
      </c>
      <c r="H38" s="30">
        <f>'[1]INVENTARIO NACIONAL 03-09-26'!H38</f>
        <v>4109</v>
      </c>
      <c r="I38" s="15">
        <f>'[1]INVENTARIO NACIONAL 03-09-26'!I38</f>
        <v>-411.72727272727275</v>
      </c>
      <c r="J38" s="16">
        <f>'[1]INVENTARIO NACIONAL 03-09-26'!J38</f>
        <v>2045</v>
      </c>
      <c r="K38" s="13">
        <f>'[1]INVENTARIO NACIONAL 03-09-26'!K38</f>
        <v>3333.35</v>
      </c>
      <c r="L38" s="14">
        <f>'[1]INVENTARIO NACIONAL 03-09-26'!L38</f>
        <v>21.56759348034516</v>
      </c>
      <c r="M38" s="30">
        <f>'[1]INVENTARIO NACIONAL 03-09-26'!M38</f>
        <v>2086</v>
      </c>
      <c r="N38" s="15">
        <f>'[1]INVENTARIO NACIONAL 03-09-26'!N38</f>
        <v>1096.818181818182</v>
      </c>
      <c r="O38" s="16">
        <f>'[1]INVENTARIO NACIONAL 03-09-26'!O38</f>
        <v>13</v>
      </c>
      <c r="P38" s="17">
        <f>'[1]INVENTARIO NACIONAL 03-09-26'!P38</f>
        <v>21.189999999999998</v>
      </c>
      <c r="Q38" s="14">
        <f>'[1]INVENTARIO NACIONAL 03-09-26'!Q38</f>
        <v>0.38082556591211719</v>
      </c>
      <c r="R38" s="16">
        <f>'[1]INVENTARIO NACIONAL 03-09-26'!R38</f>
        <v>751</v>
      </c>
      <c r="S38" s="15">
        <f>'[1]INVENTARIO NACIONAL 03-09-26'!S38</f>
        <v>-499.0454545454545</v>
      </c>
      <c r="T38" s="18">
        <f>'[1]INVENTARIO NACIONAL 03-09-26'!T38</f>
        <v>177</v>
      </c>
      <c r="U38" s="17">
        <f>'[1]INVENTARIO NACIONAL 03-09-26'!U38</f>
        <v>288.51</v>
      </c>
      <c r="V38" s="14">
        <f>'[1]INVENTARIO NACIONAL 03-09-26'!V38</f>
        <v>3.7990243902439023</v>
      </c>
      <c r="W38" s="16">
        <f>'[1]INVENTARIO NACIONAL 03-09-26'!W38</f>
        <v>1025</v>
      </c>
      <c r="X38" s="15">
        <f>'[1]INVENTARIO NACIONAL 03-09-26'!X38</f>
        <v>-521.86363636363637</v>
      </c>
      <c r="Y38" s="18">
        <f>'[1]INVENTARIO NACIONAL 03-09-26'!Y38</f>
        <v>244</v>
      </c>
      <c r="Z38" s="17">
        <f>'[1]INVENTARIO NACIONAL 03-09-26'!Z38</f>
        <v>397.71999999999997</v>
      </c>
      <c r="AA38" s="14">
        <f>'[1]INVENTARIO NACIONAL 03-09-26'!AA38</f>
        <v>11.47008547008547</v>
      </c>
      <c r="AB38" s="16">
        <f>'[1]INVENTARIO NACIONAL 03-09-26'!AB38</f>
        <v>468</v>
      </c>
      <c r="AC38" s="15">
        <f>'[1]INVENTARIO NACIONAL 03-09-26'!AC38</f>
        <v>-75.090909090909122</v>
      </c>
      <c r="AD38" s="19">
        <f>'[1]INVENTARIO NACIONAL 03-09-26'!AD38</f>
        <v>3935</v>
      </c>
      <c r="AE38" s="20">
        <f>'[1]INVENTARIO NACIONAL 03-09-26'!AE38</f>
        <v>6414.0499999999993</v>
      </c>
      <c r="AF38" s="21">
        <f>'[1]INVENTARIO NACIONAL 03-09-26'!AF38</f>
        <v>4018.5714285714284</v>
      </c>
      <c r="AG38" s="22">
        <f>'[1]INVENTARIO NACIONAL 03-09-26'!AG38</f>
        <v>9.7920369712051194</v>
      </c>
      <c r="AH38" s="23">
        <f>'[1]INVENTARIO NACIONAL 03-09-26'!AH38</f>
        <v>0.97920369712051192</v>
      </c>
      <c r="AI38" s="26">
        <f>'[1]INVENTARIO NACIONAL 03-09-26'!AI38</f>
        <v>-83.571428571428442</v>
      </c>
      <c r="AJ38" s="27">
        <f>'[1]INVENTARIO NACIONAL 03-09-26'!AJ38</f>
        <v>2009.2857142857142</v>
      </c>
      <c r="AK38" s="25">
        <f>'[1]INVENTARIO NACIONAL 03-09-26'!AK38</f>
        <v>2092.8571428571427</v>
      </c>
      <c r="AL38" s="28">
        <f>'[1]INVENTARIO NACIONAL 03-09-26'!AL38</f>
        <v>72.870370370370367</v>
      </c>
    </row>
    <row r="39" spans="2:38" ht="15" customHeight="1" x14ac:dyDescent="0.25">
      <c r="B39" s="10">
        <f>'[1]INVENTARIO NACIONAL 03-09-26'!B39</f>
        <v>131154</v>
      </c>
      <c r="C39" s="29" t="str">
        <f>'[1]INVENTARIO NACIONAL 03-09-26'!C39</f>
        <v>Cremigurt Power Piña Colada 150g</v>
      </c>
      <c r="D39" s="12">
        <f>'[1]INVENTARIO NACIONAL 03-09-26'!D39</f>
        <v>1.63</v>
      </c>
      <c r="E39" s="13">
        <f>'[1]INVENTARIO NACIONAL 03-09-26'!E39</f>
        <v>1116</v>
      </c>
      <c r="F39" s="14">
        <f>'[1]INVENTARIO NACIONAL 03-09-26'!F39</f>
        <v>1819.08</v>
      </c>
      <c r="G39" s="14">
        <f>'[1]INVENTARIO NACIONAL 03-09-26'!G39</f>
        <v>131.29411764705881</v>
      </c>
      <c r="H39" s="30">
        <f>'[1]INVENTARIO NACIONAL 03-09-26'!H39</f>
        <v>187</v>
      </c>
      <c r="I39" s="15">
        <f>'[1]INVENTARIO NACIONAL 03-09-26'!I39</f>
        <v>1031</v>
      </c>
      <c r="J39" s="16">
        <f>'[1]INVENTARIO NACIONAL 03-09-26'!J39</f>
        <v>6402</v>
      </c>
      <c r="K39" s="13">
        <f>'[1]INVENTARIO NACIONAL 03-09-26'!K39</f>
        <v>10435.26</v>
      </c>
      <c r="L39" s="14">
        <f>'[1]INVENTARIO NACIONAL 03-09-26'!L39</f>
        <v>172.60294117647061</v>
      </c>
      <c r="M39" s="30">
        <f>'[1]INVENTARIO NACIONAL 03-09-26'!M39</f>
        <v>815.99999999999989</v>
      </c>
      <c r="N39" s="15">
        <f>'[1]INVENTARIO NACIONAL 03-09-26'!N39</f>
        <v>6031.090909090909</v>
      </c>
      <c r="O39" s="16">
        <f>'[1]INVENTARIO NACIONAL 03-09-26'!O39</f>
        <v>520</v>
      </c>
      <c r="P39" s="17">
        <f>'[1]INVENTARIO NACIONAL 03-09-26'!P39</f>
        <v>847.59999999999991</v>
      </c>
      <c r="Q39" s="14">
        <f>'[1]INVENTARIO NACIONAL 03-09-26'!Q39</f>
        <v>0</v>
      </c>
      <c r="R39" s="16">
        <f>'[1]INVENTARIO NACIONAL 03-09-26'!R39</f>
        <v>11</v>
      </c>
      <c r="S39" s="15">
        <f>'[1]INVENTARIO NACIONAL 03-09-26'!S39</f>
        <v>512.5</v>
      </c>
      <c r="T39" s="18">
        <f>'[1]INVENTARIO NACIONAL 03-09-26'!T39</f>
        <v>118</v>
      </c>
      <c r="U39" s="17">
        <f>'[1]INVENTARIO NACIONAL 03-09-26'!U39</f>
        <v>192.33999999999997</v>
      </c>
      <c r="V39" s="14">
        <f>'[1]INVENTARIO NACIONAL 03-09-26'!V39</f>
        <v>4.8252788104089221</v>
      </c>
      <c r="W39" s="16">
        <f>'[1]INVENTARIO NACIONAL 03-09-26'!W39</f>
        <v>538</v>
      </c>
      <c r="X39" s="15">
        <f>'[1]INVENTARIO NACIONAL 03-09-26'!X39</f>
        <v>-248.81818181818181</v>
      </c>
      <c r="Y39" s="18">
        <f>'[1]INVENTARIO NACIONAL 03-09-26'!Y39</f>
        <v>137</v>
      </c>
      <c r="Z39" s="17">
        <f>'[1]INVENTARIO NACIONAL 03-09-26'!Z39</f>
        <v>223.30999999999997</v>
      </c>
      <c r="AA39" s="14">
        <f>'[1]INVENTARIO NACIONAL 03-09-26'!AA39</f>
        <v>65.521739130434781</v>
      </c>
      <c r="AB39" s="16">
        <f>'[1]INVENTARIO NACIONAL 03-09-26'!AB39</f>
        <v>46</v>
      </c>
      <c r="AC39" s="15">
        <f>'[1]INVENTARIO NACIONAL 03-09-26'!AC39</f>
        <v>105.63636363636364</v>
      </c>
      <c r="AD39" s="19">
        <f>'[1]INVENTARIO NACIONAL 03-09-26'!AD39</f>
        <v>8293</v>
      </c>
      <c r="AE39" s="20">
        <f>'[1]INVENTARIO NACIONAL 03-09-26'!AE39</f>
        <v>13517.589999999998</v>
      </c>
      <c r="AF39" s="21">
        <f>'[1]INVENTARIO NACIONAL 03-09-26'!AF39</f>
        <v>760.95238095238096</v>
      </c>
      <c r="AG39" s="22">
        <f>'[1]INVENTARIO NACIONAL 03-09-26'!AG39</f>
        <v>108.98185231539424</v>
      </c>
      <c r="AH39" s="23">
        <f>'[1]INVENTARIO NACIONAL 03-09-26'!AH39</f>
        <v>10.898185231539424</v>
      </c>
      <c r="AI39" s="26">
        <f>'[1]INVENTARIO NACIONAL 03-09-26'!AI39</f>
        <v>7532.0476190476193</v>
      </c>
      <c r="AJ39" s="27">
        <f>'[1]INVENTARIO NACIONAL 03-09-26'!AJ39</f>
        <v>380.47619047619048</v>
      </c>
      <c r="AK39" s="25">
        <f>'[1]INVENTARIO NACIONAL 03-09-26'!AK39</f>
        <v>-7151.5714285714284</v>
      </c>
      <c r="AL39" s="28">
        <f>'[1]INVENTARIO NACIONAL 03-09-26'!AL39</f>
        <v>153.57407407407408</v>
      </c>
    </row>
    <row r="40" spans="2:38" ht="15" customHeight="1" x14ac:dyDescent="0.25">
      <c r="B40" s="10">
        <f>'[1]INVENTARIO NACIONAL 03-09-26'!B40</f>
        <v>131155</v>
      </c>
      <c r="C40" s="29" t="str">
        <f>'[1]INVENTARIO NACIONAL 03-09-26'!C40</f>
        <v>Cremigurt Power Dulce de Leche 150g</v>
      </c>
      <c r="D40" s="12">
        <f>'[1]INVENTARIO NACIONAL 03-09-26'!D40</f>
        <v>1.63</v>
      </c>
      <c r="E40" s="13">
        <f>'[1]INVENTARIO NACIONAL 03-09-26'!E40</f>
        <v>1106</v>
      </c>
      <c r="F40" s="14">
        <f>'[1]INVENTARIO NACIONAL 03-09-26'!F40</f>
        <v>1802.78</v>
      </c>
      <c r="G40" s="14">
        <f>'[1]INVENTARIO NACIONAL 03-09-26'!G40</f>
        <v>131.52432432432434</v>
      </c>
      <c r="H40" s="30">
        <f>'[1]INVENTARIO NACIONAL 03-09-26'!H40</f>
        <v>185</v>
      </c>
      <c r="I40" s="15">
        <f>'[1]INVENTARIO NACIONAL 03-09-26'!I40</f>
        <v>1021.9090909090909</v>
      </c>
      <c r="J40" s="16">
        <f>'[1]INVENTARIO NACIONAL 03-09-26'!J40</f>
        <v>3737</v>
      </c>
      <c r="K40" s="13">
        <f>'[1]INVENTARIO NACIONAL 03-09-26'!K40</f>
        <v>6091.3099999999995</v>
      </c>
      <c r="L40" s="14">
        <f>'[1]INVENTARIO NACIONAL 03-09-26'!L40</f>
        <v>115.14565826330532</v>
      </c>
      <c r="M40" s="30">
        <f>'[1]INVENTARIO NACIONAL 03-09-26'!M40</f>
        <v>714</v>
      </c>
      <c r="N40" s="15">
        <f>'[1]INVENTARIO NACIONAL 03-09-26'!N40</f>
        <v>3412.4545454545455</v>
      </c>
      <c r="O40" s="16">
        <f>'[1]INVENTARIO NACIONAL 03-09-26'!O40</f>
        <v>521</v>
      </c>
      <c r="P40" s="17">
        <f>'[1]INVENTARIO NACIONAL 03-09-26'!P40</f>
        <v>849.2299999999999</v>
      </c>
      <c r="Q40" s="14">
        <f>'[1]INVENTARIO NACIONAL 03-09-26'!Q40</f>
        <v>0</v>
      </c>
      <c r="R40" s="16">
        <f>'[1]INVENTARIO NACIONAL 03-09-26'!R40</f>
        <v>11</v>
      </c>
      <c r="S40" s="15">
        <f>'[1]INVENTARIO NACIONAL 03-09-26'!S40</f>
        <v>513.5</v>
      </c>
      <c r="T40" s="18">
        <f>'[1]INVENTARIO NACIONAL 03-09-26'!T40</f>
        <v>97</v>
      </c>
      <c r="U40" s="17">
        <f>'[1]INVENTARIO NACIONAL 03-09-26'!U40</f>
        <v>158.10999999999999</v>
      </c>
      <c r="V40" s="14">
        <f>'[1]INVENTARIO NACIONAL 03-09-26'!V40</f>
        <v>3.7904085257548847</v>
      </c>
      <c r="W40" s="16">
        <f>'[1]INVENTARIO NACIONAL 03-09-26'!W40</f>
        <v>563</v>
      </c>
      <c r="X40" s="15">
        <f>'[1]INVENTARIO NACIONAL 03-09-26'!X40</f>
        <v>-286.86363636363637</v>
      </c>
      <c r="Y40" s="18">
        <f>'[1]INVENTARIO NACIONAL 03-09-26'!Y40</f>
        <v>143</v>
      </c>
      <c r="Z40" s="17">
        <f>'[1]INVENTARIO NACIONAL 03-09-26'!Z40</f>
        <v>233.08999999999997</v>
      </c>
      <c r="AA40" s="14">
        <f>'[1]INVENTARIO NACIONAL 03-09-26'!AA40</f>
        <v>76.731707317073173</v>
      </c>
      <c r="AB40" s="16">
        <f>'[1]INVENTARIO NACIONAL 03-09-26'!AB40</f>
        <v>41</v>
      </c>
      <c r="AC40" s="15">
        <f>'[1]INVENTARIO NACIONAL 03-09-26'!AC40</f>
        <v>115.04545454545455</v>
      </c>
      <c r="AD40" s="19">
        <f>'[1]INVENTARIO NACIONAL 03-09-26'!AD40</f>
        <v>5604</v>
      </c>
      <c r="AE40" s="20">
        <f>'[1]INVENTARIO NACIONAL 03-09-26'!AE40</f>
        <v>9134.5199999999986</v>
      </c>
      <c r="AF40" s="21">
        <f>'[1]INVENTARIO NACIONAL 03-09-26'!AF40</f>
        <v>720.95238095238096</v>
      </c>
      <c r="AG40" s="22">
        <f>'[1]INVENTARIO NACIONAL 03-09-26'!AG40</f>
        <v>77.730515191545564</v>
      </c>
      <c r="AH40" s="23">
        <f>'[1]INVENTARIO NACIONAL 03-09-26'!AH40</f>
        <v>7.7730515191545573</v>
      </c>
      <c r="AI40" s="26">
        <f>'[1]INVENTARIO NACIONAL 03-09-26'!AI40</f>
        <v>4883.0476190476193</v>
      </c>
      <c r="AJ40" s="27">
        <f>'[1]INVENTARIO NACIONAL 03-09-26'!AJ40</f>
        <v>360.47619047619048</v>
      </c>
      <c r="AK40" s="25">
        <f>'[1]INVENTARIO NACIONAL 03-09-26'!AK40</f>
        <v>-4522.5714285714284</v>
      </c>
      <c r="AL40" s="28">
        <f>'[1]INVENTARIO NACIONAL 03-09-26'!AL40</f>
        <v>103.77777777777777</v>
      </c>
    </row>
    <row r="41" spans="2:38" ht="15" customHeight="1" x14ac:dyDescent="0.25">
      <c r="B41" s="10">
        <f>'[1]INVENTARIO NACIONAL 03-09-26'!B41</f>
        <v>131700</v>
      </c>
      <c r="C41" s="29" t="str">
        <f>'[1]INVENTARIO NACIONAL 03-09-26'!C41</f>
        <v>Cremigurt Power Natural 700g</v>
      </c>
      <c r="D41" s="12">
        <f>'[1]INVENTARIO NACIONAL 03-09-26'!D41</f>
        <v>6.15</v>
      </c>
      <c r="E41" s="13">
        <f>'[1]INVENTARIO NACIONAL 03-09-26'!E41</f>
        <v>226</v>
      </c>
      <c r="F41" s="14">
        <f>'[1]INVENTARIO NACIONAL 03-09-26'!F41</f>
        <v>1389.9</v>
      </c>
      <c r="G41" s="14">
        <f>'[1]INVENTARIO NACIONAL 03-09-26'!G41</f>
        <v>3.7049180327868854</v>
      </c>
      <c r="H41" s="30">
        <f>'[1]INVENTARIO NACIONAL 03-09-26'!H41</f>
        <v>1342</v>
      </c>
      <c r="I41" s="15">
        <f>'[1]INVENTARIO NACIONAL 03-09-26'!I41</f>
        <v>-384</v>
      </c>
      <c r="J41" s="16">
        <f>'[1]INVENTARIO NACIONAL 03-09-26'!J41</f>
        <v>271</v>
      </c>
      <c r="K41" s="13">
        <f>'[1]INVENTARIO NACIONAL 03-09-26'!K41</f>
        <v>1666.65</v>
      </c>
      <c r="L41" s="14">
        <f>'[1]INVENTARIO NACIONAL 03-09-26'!L41</f>
        <v>7.5277777777777777</v>
      </c>
      <c r="M41" s="30">
        <f>'[1]INVENTARIO NACIONAL 03-09-26'!M41</f>
        <v>792</v>
      </c>
      <c r="N41" s="15">
        <f>'[1]INVENTARIO NACIONAL 03-09-26'!N41</f>
        <v>-89</v>
      </c>
      <c r="O41" s="16">
        <f>'[1]INVENTARIO NACIONAL 03-09-26'!O41</f>
        <v>10</v>
      </c>
      <c r="P41" s="17">
        <f>'[1]INVENTARIO NACIONAL 03-09-26'!P41</f>
        <v>61.5</v>
      </c>
      <c r="Q41" s="14">
        <f>'[1]INVENTARIO NACIONAL 03-09-26'!Q41</f>
        <v>2.6506024096385539</v>
      </c>
      <c r="R41" s="16">
        <f>'[1]INVENTARIO NACIONAL 03-09-26'!R41</f>
        <v>83</v>
      </c>
      <c r="S41" s="15">
        <f>'[1]INVENTARIO NACIONAL 03-09-26'!S41</f>
        <v>-46.590909090909093</v>
      </c>
      <c r="T41" s="18">
        <f>'[1]INVENTARIO NACIONAL 03-09-26'!T41</f>
        <v>167</v>
      </c>
      <c r="U41" s="17">
        <f>'[1]INVENTARIO NACIONAL 03-09-26'!U41</f>
        <v>1027.05</v>
      </c>
      <c r="V41" s="14">
        <f>'[1]INVENTARIO NACIONAL 03-09-26'!V41</f>
        <v>9.8763440860215042</v>
      </c>
      <c r="W41" s="16">
        <f>'[1]INVENTARIO NACIONAL 03-09-26'!W41</f>
        <v>372</v>
      </c>
      <c r="X41" s="15">
        <f>'[1]INVENTARIO NACIONAL 03-09-26'!X41</f>
        <v>-86.636363636363654</v>
      </c>
      <c r="Y41" s="18">
        <f>'[1]INVENTARIO NACIONAL 03-09-26'!Y41</f>
        <v>1</v>
      </c>
      <c r="Z41" s="17">
        <f>'[1]INVENTARIO NACIONAL 03-09-26'!Z41</f>
        <v>6.15</v>
      </c>
      <c r="AA41" s="14">
        <f>'[1]INVENTARIO NACIONAL 03-09-26'!AA41</f>
        <v>0.22916666666666669</v>
      </c>
      <c r="AB41" s="16">
        <f>'[1]INVENTARIO NACIONAL 03-09-26'!AB41</f>
        <v>96</v>
      </c>
      <c r="AC41" s="15">
        <f>'[1]INVENTARIO NACIONAL 03-09-26'!AC41</f>
        <v>-64.454545454545453</v>
      </c>
      <c r="AD41" s="19">
        <f>'[1]INVENTARIO NACIONAL 03-09-26'!AD41</f>
        <v>675</v>
      </c>
      <c r="AE41" s="20">
        <f>'[1]INVENTARIO NACIONAL 03-09-26'!AE41</f>
        <v>4151.25</v>
      </c>
      <c r="AF41" s="21">
        <f>'[1]INVENTARIO NACIONAL 03-09-26'!AF41</f>
        <v>1278.5714285714287</v>
      </c>
      <c r="AG41" s="22">
        <f>'[1]INVENTARIO NACIONAL 03-09-26'!AG41</f>
        <v>5.2793296089385473</v>
      </c>
      <c r="AH41" s="23">
        <f>'[1]INVENTARIO NACIONAL 03-09-26'!AH41</f>
        <v>0.52793296089385466</v>
      </c>
      <c r="AI41" s="26">
        <f>'[1]INVENTARIO NACIONAL 03-09-26'!AI41</f>
        <v>-603.57142857142867</v>
      </c>
      <c r="AJ41" s="27">
        <f>'[1]INVENTARIO NACIONAL 03-09-26'!AJ41</f>
        <v>639.28571428571433</v>
      </c>
      <c r="AK41" s="25">
        <f>'[1]INVENTARIO NACIONAL 03-09-26'!AK41</f>
        <v>1242.8571428571431</v>
      </c>
      <c r="AL41" s="28">
        <f>'[1]INVENTARIO NACIONAL 03-09-26'!AL41</f>
        <v>12.5</v>
      </c>
    </row>
    <row r="42" spans="2:38" ht="15" customHeight="1" x14ac:dyDescent="0.25">
      <c r="B42" s="10">
        <f>'[1]INVENTARIO NACIONAL 03-09-26'!B42</f>
        <v>131701</v>
      </c>
      <c r="C42" s="29" t="str">
        <f>'[1]INVENTARIO NACIONAL 03-09-26'!C42</f>
        <v>Cremigurt Power Mantecado 700g</v>
      </c>
      <c r="D42" s="12">
        <f>'[1]INVENTARIO NACIONAL 03-09-26'!D42</f>
        <v>6.15</v>
      </c>
      <c r="E42" s="13">
        <f>'[1]INVENTARIO NACIONAL 03-09-26'!E42</f>
        <v>67</v>
      </c>
      <c r="F42" s="14">
        <f>'[1]INVENTARIO NACIONAL 03-09-26'!F42</f>
        <v>412.05</v>
      </c>
      <c r="G42" s="14">
        <f>'[1]INVENTARIO NACIONAL 03-09-26'!G42</f>
        <v>1.0439093484419262</v>
      </c>
      <c r="H42" s="30">
        <f>'[1]INVENTARIO NACIONAL 03-09-26'!H42</f>
        <v>1412</v>
      </c>
      <c r="I42" s="15">
        <f>'[1]INVENTARIO NACIONAL 03-09-26'!I42</f>
        <v>-574.81818181818187</v>
      </c>
      <c r="J42" s="16">
        <f>'[1]INVENTARIO NACIONAL 03-09-26'!J42</f>
        <v>470</v>
      </c>
      <c r="K42" s="13">
        <f>'[1]INVENTARIO NACIONAL 03-09-26'!K42</f>
        <v>2890.5</v>
      </c>
      <c r="L42" s="14">
        <f>'[1]INVENTARIO NACIONAL 03-09-26'!L42</f>
        <v>11.166306695464362</v>
      </c>
      <c r="M42" s="30">
        <f>'[1]INVENTARIO NACIONAL 03-09-26'!M42</f>
        <v>926</v>
      </c>
      <c r="N42" s="15">
        <f>'[1]INVENTARIO NACIONAL 03-09-26'!N42</f>
        <v>49.090909090909065</v>
      </c>
      <c r="O42" s="16">
        <f>'[1]INVENTARIO NACIONAL 03-09-26'!O42</f>
        <v>28</v>
      </c>
      <c r="P42" s="17">
        <f>'[1]INVENTARIO NACIONAL 03-09-26'!P42</f>
        <v>172.20000000000002</v>
      </c>
      <c r="Q42" s="14">
        <f>'[1]INVENTARIO NACIONAL 03-09-26'!Q42</f>
        <v>7.6049382716049383</v>
      </c>
      <c r="R42" s="16">
        <f>'[1]INVENTARIO NACIONAL 03-09-26'!R42</f>
        <v>81</v>
      </c>
      <c r="S42" s="15">
        <f>'[1]INVENTARIO NACIONAL 03-09-26'!S42</f>
        <v>-27.227272727272727</v>
      </c>
      <c r="T42" s="18">
        <f>'[1]INVENTARIO NACIONAL 03-09-26'!T42</f>
        <v>223</v>
      </c>
      <c r="U42" s="17">
        <f>'[1]INVENTARIO NACIONAL 03-09-26'!U42</f>
        <v>1371.45</v>
      </c>
      <c r="V42" s="14">
        <f>'[1]INVENTARIO NACIONAL 03-09-26'!V42</f>
        <v>9.2566037735849065</v>
      </c>
      <c r="W42" s="16">
        <f>'[1]INVENTARIO NACIONAL 03-09-26'!W42</f>
        <v>530</v>
      </c>
      <c r="X42" s="15">
        <f>'[1]INVENTARIO NACIONAL 03-09-26'!X42</f>
        <v>-138.36363636363637</v>
      </c>
      <c r="Y42" s="18">
        <f>'[1]INVENTARIO NACIONAL 03-09-26'!Y42</f>
        <v>88</v>
      </c>
      <c r="Z42" s="17">
        <f>'[1]INVENTARIO NACIONAL 03-09-26'!Z42</f>
        <v>541.20000000000005</v>
      </c>
      <c r="AA42" s="14">
        <f>'[1]INVENTARIO NACIONAL 03-09-26'!AA42</f>
        <v>31.737704918032783</v>
      </c>
      <c r="AB42" s="16">
        <f>'[1]INVENTARIO NACIONAL 03-09-26'!AB42</f>
        <v>61</v>
      </c>
      <c r="AC42" s="15">
        <f>'[1]INVENTARIO NACIONAL 03-09-26'!AC42</f>
        <v>46.409090909090907</v>
      </c>
      <c r="AD42" s="19">
        <f>'[1]INVENTARIO NACIONAL 03-09-26'!AD42</f>
        <v>876</v>
      </c>
      <c r="AE42" s="20">
        <f>'[1]INVENTARIO NACIONAL 03-09-26'!AE42</f>
        <v>5387.4000000000005</v>
      </c>
      <c r="AF42" s="21">
        <f>'[1]INVENTARIO NACIONAL 03-09-26'!AF42</f>
        <v>1433.3333333333335</v>
      </c>
      <c r="AG42" s="22">
        <f>'[1]INVENTARIO NACIONAL 03-09-26'!AG42</f>
        <v>6.1116279069767439</v>
      </c>
      <c r="AH42" s="23">
        <f>'[1]INVENTARIO NACIONAL 03-09-26'!AH42</f>
        <v>0.61116279069767432</v>
      </c>
      <c r="AI42" s="26">
        <f>'[1]INVENTARIO NACIONAL 03-09-26'!AI42</f>
        <v>-557.33333333333348</v>
      </c>
      <c r="AJ42" s="27">
        <f>'[1]INVENTARIO NACIONAL 03-09-26'!AJ42</f>
        <v>716.66666666666674</v>
      </c>
      <c r="AK42" s="25">
        <f>'[1]INVENTARIO NACIONAL 03-09-26'!AK42</f>
        <v>1274.0000000000002</v>
      </c>
      <c r="AL42" s="28">
        <f>'[1]INVENTARIO NACIONAL 03-09-26'!AL42</f>
        <v>16.222222222222221</v>
      </c>
    </row>
    <row r="43" spans="2:38" ht="15" customHeight="1" x14ac:dyDescent="0.25">
      <c r="B43" s="10">
        <f>'[1]INVENTARIO NACIONAL 03-09-26'!B43</f>
        <v>132150</v>
      </c>
      <c r="C43" s="29" t="str">
        <f>'[1]INVENTARIO NACIONAL 03-09-26'!C43</f>
        <v>Cremigurt Griego Fresa S/A 150g</v>
      </c>
      <c r="D43" s="12">
        <f>'[1]INVENTARIO NACIONAL 03-09-26'!D43</f>
        <v>1.1599999999999999</v>
      </c>
      <c r="E43" s="13">
        <f>'[1]INVENTARIO NACIONAL 03-09-26'!E43</f>
        <v>2720</v>
      </c>
      <c r="F43" s="14">
        <f>'[1]INVENTARIO NACIONAL 03-09-26'!F43</f>
        <v>3155.2</v>
      </c>
      <c r="G43" s="14">
        <f>'[1]INVENTARIO NACIONAL 03-09-26'!G43</f>
        <v>8.1073025335320423</v>
      </c>
      <c r="H43" s="30">
        <f>'[1]INVENTARIO NACIONAL 03-09-26'!H43</f>
        <v>7381</v>
      </c>
      <c r="I43" s="15">
        <f>'[1]INVENTARIO NACIONAL 03-09-26'!I43</f>
        <v>-635</v>
      </c>
      <c r="J43" s="16">
        <f>'[1]INVENTARIO NACIONAL 03-09-26'!J43</f>
        <v>962</v>
      </c>
      <c r="K43" s="13">
        <f>'[1]INVENTARIO NACIONAL 03-09-26'!K43</f>
        <v>1115.9199999999998</v>
      </c>
      <c r="L43" s="14">
        <f>'[1]INVENTARIO NACIONAL 03-09-26'!L43</f>
        <v>7.7100182149362482</v>
      </c>
      <c r="M43" s="30">
        <f>'[1]INVENTARIO NACIONAL 03-09-26'!M43</f>
        <v>2745</v>
      </c>
      <c r="N43" s="15">
        <f>'[1]INVENTARIO NACIONAL 03-09-26'!N43</f>
        <v>-285.72727272727275</v>
      </c>
      <c r="O43" s="16">
        <f>'[1]INVENTARIO NACIONAL 03-09-26'!O43</f>
        <v>368</v>
      </c>
      <c r="P43" s="17">
        <f>'[1]INVENTARIO NACIONAL 03-09-26'!P43</f>
        <v>426.88</v>
      </c>
      <c r="Q43" s="14">
        <f>'[1]INVENTARIO NACIONAL 03-09-26'!Q43</f>
        <v>7.1204925241864556</v>
      </c>
      <c r="R43" s="16">
        <f>'[1]INVENTARIO NACIONAL 03-09-26'!R43</f>
        <v>1137</v>
      </c>
      <c r="S43" s="15">
        <f>'[1]INVENTARIO NACIONAL 03-09-26'!S43</f>
        <v>-407.22727272727275</v>
      </c>
      <c r="T43" s="18">
        <f>'[1]INVENTARIO NACIONAL 03-09-26'!T43</f>
        <v>1</v>
      </c>
      <c r="U43" s="17">
        <f>'[1]INVENTARIO NACIONAL 03-09-26'!U43</f>
        <v>1.1599999999999999</v>
      </c>
      <c r="V43" s="14">
        <f>'[1]INVENTARIO NACIONAL 03-09-26'!V43</f>
        <v>1.0602409638554217E-2</v>
      </c>
      <c r="W43" s="16">
        <f>'[1]INVENTARIO NACIONAL 03-09-26'!W43</f>
        <v>2075</v>
      </c>
      <c r="X43" s="15">
        <f>'[1]INVENTARIO NACIONAL 03-09-26'!X43</f>
        <v>-1413.7727272727273</v>
      </c>
      <c r="Y43" s="18">
        <f>'[1]INVENTARIO NACIONAL 03-09-26'!Y43</f>
        <v>89</v>
      </c>
      <c r="Z43" s="17">
        <f>'[1]INVENTARIO NACIONAL 03-09-26'!Z43</f>
        <v>103.24</v>
      </c>
      <c r="AA43" s="14">
        <f>'[1]INVENTARIO NACIONAL 03-09-26'!AA43</f>
        <v>5.4692737430167595</v>
      </c>
      <c r="AB43" s="16">
        <f>'[1]INVENTARIO NACIONAL 03-09-26'!AB43</f>
        <v>358</v>
      </c>
      <c r="AC43" s="15">
        <f>'[1]INVENTARIO NACIONAL 03-09-26'!AC43</f>
        <v>-155.09090909090909</v>
      </c>
      <c r="AD43" s="19">
        <f>'[1]INVENTARIO NACIONAL 03-09-26'!AD43</f>
        <v>4140</v>
      </c>
      <c r="AE43" s="20">
        <f>'[1]INVENTARIO NACIONAL 03-09-26'!AE43</f>
        <v>4802.3999999999996</v>
      </c>
      <c r="AF43" s="21">
        <f>'[1]INVENTARIO NACIONAL 03-09-26'!AF43</f>
        <v>6521.9047619047615</v>
      </c>
      <c r="AG43" s="22">
        <f>'[1]INVENTARIO NACIONAL 03-09-26'!AG43</f>
        <v>6.3478387850467293</v>
      </c>
      <c r="AH43" s="23">
        <f>'[1]INVENTARIO NACIONAL 03-09-26'!AH43</f>
        <v>0.63478387850467299</v>
      </c>
      <c r="AI43" s="26">
        <f>'[1]INVENTARIO NACIONAL 03-09-26'!AI43</f>
        <v>-2381.9047619047615</v>
      </c>
      <c r="AJ43" s="27">
        <f>'[1]INVENTARIO NACIONAL 03-09-26'!AJ43</f>
        <v>3260.9523809523807</v>
      </c>
      <c r="AK43" s="25">
        <f>'[1]INVENTARIO NACIONAL 03-09-26'!AK43</f>
        <v>5642.8571428571422</v>
      </c>
      <c r="AL43" s="28">
        <f>'[1]INVENTARIO NACIONAL 03-09-26'!AL43</f>
        <v>76.666666666666671</v>
      </c>
    </row>
    <row r="44" spans="2:38" ht="15" customHeight="1" x14ac:dyDescent="0.25">
      <c r="B44" s="10">
        <f>'[1]INVENTARIO NACIONAL 03-09-26'!B44</f>
        <v>132151</v>
      </c>
      <c r="C44" s="29" t="str">
        <f>'[1]INVENTARIO NACIONAL 03-09-26'!C44</f>
        <v>Cremigurt Griego Coco Vainilla S/A 150g</v>
      </c>
      <c r="D44" s="12">
        <f>'[1]INVENTARIO NACIONAL 03-09-26'!D44</f>
        <v>1.1599999999999999</v>
      </c>
      <c r="E44" s="13">
        <f>'[1]INVENTARIO NACIONAL 03-09-26'!E44</f>
        <v>2471</v>
      </c>
      <c r="F44" s="14">
        <f>'[1]INVENTARIO NACIONAL 03-09-26'!F44</f>
        <v>2866.3599999999997</v>
      </c>
      <c r="G44" s="14">
        <f>'[1]INVENTARIO NACIONAL 03-09-26'!G44</f>
        <v>8.4439266853059962</v>
      </c>
      <c r="H44" s="30">
        <f>'[1]INVENTARIO NACIONAL 03-09-26'!H44</f>
        <v>6438</v>
      </c>
      <c r="I44" s="15">
        <f>'[1]INVENTARIO NACIONAL 03-09-26'!I44</f>
        <v>-455.36363636363603</v>
      </c>
      <c r="J44" s="16">
        <f>'[1]INVENTARIO NACIONAL 03-09-26'!J44</f>
        <v>1145</v>
      </c>
      <c r="K44" s="13">
        <f>'[1]INVENTARIO NACIONAL 03-09-26'!K44</f>
        <v>1328.1999999999998</v>
      </c>
      <c r="L44" s="14">
        <f>'[1]INVENTARIO NACIONAL 03-09-26'!L44</f>
        <v>6.6852441613588116</v>
      </c>
      <c r="M44" s="30">
        <f>'[1]INVENTARIO NACIONAL 03-09-26'!M44</f>
        <v>3767.9999999999995</v>
      </c>
      <c r="N44" s="15">
        <f>'[1]INVENTARIO NACIONAL 03-09-26'!N44</f>
        <v>-567.72727272727252</v>
      </c>
      <c r="O44" s="16">
        <f>'[1]INVENTARIO NACIONAL 03-09-26'!O44</f>
        <v>555</v>
      </c>
      <c r="P44" s="17">
        <f>'[1]INVENTARIO NACIONAL 03-09-26'!P44</f>
        <v>643.79999999999995</v>
      </c>
      <c r="Q44" s="14">
        <f>'[1]INVENTARIO NACIONAL 03-09-26'!Q44</f>
        <v>16.236702127659576</v>
      </c>
      <c r="R44" s="16">
        <f>'[1]INVENTARIO NACIONAL 03-09-26'!R44</f>
        <v>752</v>
      </c>
      <c r="S44" s="15">
        <f>'[1]INVENTARIO NACIONAL 03-09-26'!S44</f>
        <v>42.272727272727252</v>
      </c>
      <c r="T44" s="18">
        <f>'[1]INVENTARIO NACIONAL 03-09-26'!T44</f>
        <v>805</v>
      </c>
      <c r="U44" s="17">
        <f>'[1]INVENTARIO NACIONAL 03-09-26'!U44</f>
        <v>933.8</v>
      </c>
      <c r="V44" s="14">
        <f>'[1]INVENTARIO NACIONAL 03-09-26'!V44</f>
        <v>9.521505376344086</v>
      </c>
      <c r="W44" s="16">
        <f>'[1]INVENTARIO NACIONAL 03-09-26'!W44</f>
        <v>1860</v>
      </c>
      <c r="X44" s="15">
        <f>'[1]INVENTARIO NACIONAL 03-09-26'!X44</f>
        <v>-463.18181818181824</v>
      </c>
      <c r="Y44" s="18">
        <f>'[1]INVENTARIO NACIONAL 03-09-26'!Y44</f>
        <v>190</v>
      </c>
      <c r="Z44" s="17">
        <f>'[1]INVENTARIO NACIONAL 03-09-26'!Z44</f>
        <v>220.39999999999998</v>
      </c>
      <c r="AA44" s="14">
        <f>'[1]INVENTARIO NACIONAL 03-09-26'!AA44</f>
        <v>10.663265306122449</v>
      </c>
      <c r="AB44" s="16">
        <f>'[1]INVENTARIO NACIONAL 03-09-26'!AB44</f>
        <v>392</v>
      </c>
      <c r="AC44" s="15">
        <f>'[1]INVENTARIO NACIONAL 03-09-26'!AC44</f>
        <v>-77.272727272727252</v>
      </c>
      <c r="AD44" s="19">
        <f>'[1]INVENTARIO NACIONAL 03-09-26'!AD44</f>
        <v>5166</v>
      </c>
      <c r="AE44" s="20">
        <f>'[1]INVENTARIO NACIONAL 03-09-26'!AE44</f>
        <v>5992.5599999999995</v>
      </c>
      <c r="AF44" s="21">
        <f>'[1]INVENTARIO NACIONAL 03-09-26'!AF44</f>
        <v>6290.4761904761908</v>
      </c>
      <c r="AG44" s="22">
        <f>'[1]INVENTARIO NACIONAL 03-09-26'!AG44</f>
        <v>8.2124148372445127</v>
      </c>
      <c r="AH44" s="23">
        <f>'[1]INVENTARIO NACIONAL 03-09-26'!AH44</f>
        <v>0.82124148372445116</v>
      </c>
      <c r="AI44" s="26">
        <f>'[1]INVENTARIO NACIONAL 03-09-26'!AI44</f>
        <v>-1124.4761904761908</v>
      </c>
      <c r="AJ44" s="27">
        <f>'[1]INVENTARIO NACIONAL 03-09-26'!AJ44</f>
        <v>3145.2380952380954</v>
      </c>
      <c r="AK44" s="25">
        <f>'[1]INVENTARIO NACIONAL 03-09-26'!AK44</f>
        <v>4269.7142857142862</v>
      </c>
      <c r="AL44" s="28">
        <f>'[1]INVENTARIO NACIONAL 03-09-26'!AL44</f>
        <v>95.666666666666671</v>
      </c>
    </row>
    <row r="45" spans="2:38" ht="15" customHeight="1" x14ac:dyDescent="0.25">
      <c r="B45" s="10">
        <f>'[1]INVENTARIO NACIONAL 03-09-26'!B45</f>
        <v>132152</v>
      </c>
      <c r="C45" s="29" t="str">
        <f>'[1]INVENTARIO NACIONAL 03-09-26'!C45</f>
        <v>Cremigurt Griego Pie de Limón S/A 150g</v>
      </c>
      <c r="D45" s="12">
        <f>'[1]INVENTARIO NACIONAL 03-09-26'!D45</f>
        <v>1.1599999999999999</v>
      </c>
      <c r="E45" s="13">
        <f>'[1]INVENTARIO NACIONAL 03-09-26'!E45</f>
        <v>3376</v>
      </c>
      <c r="F45" s="14">
        <f>'[1]INVENTARIO NACIONAL 03-09-26'!F45</f>
        <v>3916.16</v>
      </c>
      <c r="G45" s="14">
        <f>'[1]INVENTARIO NACIONAL 03-09-26'!G45</f>
        <v>8.7626238791882969</v>
      </c>
      <c r="H45" s="30">
        <f>'[1]INVENTARIO NACIONAL 03-09-26'!H45</f>
        <v>8476</v>
      </c>
      <c r="I45" s="15">
        <f>'[1]INVENTARIO NACIONAL 03-09-26'!I45</f>
        <v>-476.72727272727252</v>
      </c>
      <c r="J45" s="16">
        <f>'[1]INVENTARIO NACIONAL 03-09-26'!J45</f>
        <v>2731</v>
      </c>
      <c r="K45" s="13">
        <f>'[1]INVENTARIO NACIONAL 03-09-26'!K45</f>
        <v>3167.9599999999996</v>
      </c>
      <c r="L45" s="14">
        <f>'[1]INVENTARIO NACIONAL 03-09-26'!L45</f>
        <v>11.109837278106509</v>
      </c>
      <c r="M45" s="30">
        <f>'[1]INVENTARIO NACIONAL 03-09-26'!M45</f>
        <v>5408</v>
      </c>
      <c r="N45" s="15">
        <f>'[1]INVENTARIO NACIONAL 03-09-26'!N45</f>
        <v>272.81818181818198</v>
      </c>
      <c r="O45" s="16">
        <f>'[1]INVENTARIO NACIONAL 03-09-26'!O45</f>
        <v>306</v>
      </c>
      <c r="P45" s="17">
        <f>'[1]INVENTARIO NACIONAL 03-09-26'!P45</f>
        <v>354.96</v>
      </c>
      <c r="Q45" s="14">
        <f>'[1]INVENTARIO NACIONAL 03-09-26'!Q45</f>
        <v>6.0160857908847181</v>
      </c>
      <c r="R45" s="16">
        <f>'[1]INVENTARIO NACIONAL 03-09-26'!R45</f>
        <v>1119</v>
      </c>
      <c r="S45" s="15">
        <f>'[1]INVENTARIO NACIONAL 03-09-26'!S45</f>
        <v>-456.9545454545455</v>
      </c>
      <c r="T45" s="18">
        <f>'[1]INVENTARIO NACIONAL 03-09-26'!T45</f>
        <v>1147</v>
      </c>
      <c r="U45" s="17">
        <f>'[1]INVENTARIO NACIONAL 03-09-26'!U45</f>
        <v>1330.52</v>
      </c>
      <c r="V45" s="14">
        <f>'[1]INVENTARIO NACIONAL 03-09-26'!V45</f>
        <v>9.9739130434782606</v>
      </c>
      <c r="W45" s="16">
        <f>'[1]INVENTARIO NACIONAL 03-09-26'!W45</f>
        <v>2530</v>
      </c>
      <c r="X45" s="15">
        <f>'[1]INVENTARIO NACIONAL 03-09-26'!X45</f>
        <v>-578</v>
      </c>
      <c r="Y45" s="18">
        <f>'[1]INVENTARIO NACIONAL 03-09-26'!Y45</f>
        <v>102</v>
      </c>
      <c r="Z45" s="17">
        <f>'[1]INVENTARIO NACIONAL 03-09-26'!Z45</f>
        <v>118.32</v>
      </c>
      <c r="AA45" s="14">
        <f>'[1]INVENTARIO NACIONAL 03-09-26'!AA45</f>
        <v>6.1818181818181817</v>
      </c>
      <c r="AB45" s="16">
        <f>'[1]INVENTARIO NACIONAL 03-09-26'!AB45</f>
        <v>363</v>
      </c>
      <c r="AC45" s="15">
        <f>'[1]INVENTARIO NACIONAL 03-09-26'!AC45</f>
        <v>-145.5</v>
      </c>
      <c r="AD45" s="19">
        <f>'[1]INVENTARIO NACIONAL 03-09-26'!AD45</f>
        <v>7662</v>
      </c>
      <c r="AE45" s="20">
        <f>'[1]INVENTARIO NACIONAL 03-09-26'!AE45</f>
        <v>8887.92</v>
      </c>
      <c r="AF45" s="21">
        <f>'[1]INVENTARIO NACIONAL 03-09-26'!AF45</f>
        <v>8521.9047619047615</v>
      </c>
      <c r="AG45" s="22">
        <f>'[1]INVENTARIO NACIONAL 03-09-26'!AG45</f>
        <v>8.9909476978095668</v>
      </c>
      <c r="AH45" s="23">
        <f>'[1]INVENTARIO NACIONAL 03-09-26'!AH45</f>
        <v>0.8990947697809567</v>
      </c>
      <c r="AI45" s="26">
        <f>'[1]INVENTARIO NACIONAL 03-09-26'!AI45</f>
        <v>-859.90476190476147</v>
      </c>
      <c r="AJ45" s="27">
        <f>'[1]INVENTARIO NACIONAL 03-09-26'!AJ45</f>
        <v>4260.9523809523807</v>
      </c>
      <c r="AK45" s="25">
        <f>'[1]INVENTARIO NACIONAL 03-09-26'!AK45</f>
        <v>5120.8571428571422</v>
      </c>
      <c r="AL45" s="28">
        <f>'[1]INVENTARIO NACIONAL 03-09-26'!AL45</f>
        <v>141.88888888888889</v>
      </c>
    </row>
    <row r="46" spans="2:38" ht="15" customHeight="1" x14ac:dyDescent="0.25">
      <c r="B46" s="10">
        <f>'[1]INVENTARIO NACIONAL 03-09-26'!B46</f>
        <v>132153</v>
      </c>
      <c r="C46" s="29" t="str">
        <f>'[1]INVENTARIO NACIONAL 03-09-26'!C46</f>
        <v>Cremigurt Griego Caramelo Salado S/A 150g</v>
      </c>
      <c r="D46" s="12">
        <f>'[1]INVENTARIO NACIONAL 03-09-26'!D46</f>
        <v>1.1599999999999999</v>
      </c>
      <c r="E46" s="13">
        <f>'[1]INVENTARIO NACIONAL 03-09-26'!E46</f>
        <v>2189</v>
      </c>
      <c r="F46" s="14">
        <f>'[1]INVENTARIO NACIONAL 03-09-26'!F46</f>
        <v>2539.2399999999998</v>
      </c>
      <c r="G46" s="14">
        <f>'[1]INVENTARIO NACIONAL 03-09-26'!G46</f>
        <v>8.4785211267605636</v>
      </c>
      <c r="H46" s="30">
        <f>'[1]INVENTARIO NACIONAL 03-09-26'!H46</f>
        <v>5680</v>
      </c>
      <c r="I46" s="15">
        <f>'[1]INVENTARIO NACIONAL 03-09-26'!I46</f>
        <v>-392.81818181818198</v>
      </c>
      <c r="J46" s="16">
        <f>'[1]INVENTARIO NACIONAL 03-09-26'!J46</f>
        <v>4200</v>
      </c>
      <c r="K46" s="13">
        <f>'[1]INVENTARIO NACIONAL 03-09-26'!K46</f>
        <v>4872</v>
      </c>
      <c r="L46" s="14">
        <f>'[1]INVENTARIO NACIONAL 03-09-26'!L46</f>
        <v>23.274559193954659</v>
      </c>
      <c r="M46" s="30">
        <f>'[1]INVENTARIO NACIONAL 03-09-26'!M46</f>
        <v>3970</v>
      </c>
      <c r="N46" s="15">
        <f>'[1]INVENTARIO NACIONAL 03-09-26'!N46</f>
        <v>2395.454545454545</v>
      </c>
      <c r="O46" s="16">
        <f>'[1]INVENTARIO NACIONAL 03-09-26'!O46</f>
        <v>0</v>
      </c>
      <c r="P46" s="17">
        <f>'[1]INVENTARIO NACIONAL 03-09-26'!P46</f>
        <v>0</v>
      </c>
      <c r="Q46" s="14">
        <f>'[1]INVENTARIO NACIONAL 03-09-26'!Q46</f>
        <v>0</v>
      </c>
      <c r="R46" s="16">
        <f>'[1]INVENTARIO NACIONAL 03-09-26'!R46</f>
        <v>822.00000000000011</v>
      </c>
      <c r="S46" s="15">
        <f>'[1]INVENTARIO NACIONAL 03-09-26'!S46</f>
        <v>-560.4545454545455</v>
      </c>
      <c r="T46" s="18">
        <f>'[1]INVENTARIO NACIONAL 03-09-26'!T46</f>
        <v>578</v>
      </c>
      <c r="U46" s="17">
        <f>'[1]INVENTARIO NACIONAL 03-09-26'!U46</f>
        <v>670.4799999999999</v>
      </c>
      <c r="V46" s="14">
        <f>'[1]INVENTARIO NACIONAL 03-09-26'!V46</f>
        <v>10.221864951768488</v>
      </c>
      <c r="W46" s="16">
        <f>'[1]INVENTARIO NACIONAL 03-09-26'!W46</f>
        <v>1244</v>
      </c>
      <c r="X46" s="15">
        <f>'[1]INVENTARIO NACIONAL 03-09-26'!X46</f>
        <v>-270.18181818181824</v>
      </c>
      <c r="Y46" s="18">
        <f>'[1]INVENTARIO NACIONAL 03-09-26'!Y46</f>
        <v>35</v>
      </c>
      <c r="Z46" s="17">
        <f>'[1]INVENTARIO NACIONAL 03-09-26'!Z46</f>
        <v>40.599999999999994</v>
      </c>
      <c r="AA46" s="14">
        <f>'[1]INVENTARIO NACIONAL 03-09-26'!AA46</f>
        <v>1.7381489841986455</v>
      </c>
      <c r="AB46" s="16">
        <f>'[1]INVENTARIO NACIONAL 03-09-26'!AB46</f>
        <v>443</v>
      </c>
      <c r="AC46" s="15">
        <f>'[1]INVENTARIO NACIONAL 03-09-26'!AC46</f>
        <v>-267.04545454545456</v>
      </c>
      <c r="AD46" s="19">
        <f>'[1]INVENTARIO NACIONAL 03-09-26'!AD46</f>
        <v>7002</v>
      </c>
      <c r="AE46" s="20">
        <f>'[1]INVENTARIO NACIONAL 03-09-26'!AE46</f>
        <v>8122.32</v>
      </c>
      <c r="AF46" s="21">
        <f>'[1]INVENTARIO NACIONAL 03-09-26'!AF46</f>
        <v>5790</v>
      </c>
      <c r="AG46" s="22">
        <f>'[1]INVENTARIO NACIONAL 03-09-26'!AG46</f>
        <v>12.093264248704664</v>
      </c>
      <c r="AH46" s="23">
        <f>'[1]INVENTARIO NACIONAL 03-09-26'!AH46</f>
        <v>1.2093264248704663</v>
      </c>
      <c r="AI46" s="26">
        <f>'[1]INVENTARIO NACIONAL 03-09-26'!AI46</f>
        <v>1212</v>
      </c>
      <c r="AJ46" s="27">
        <f>'[1]INVENTARIO NACIONAL 03-09-26'!AJ46</f>
        <v>2895</v>
      </c>
      <c r="AK46" s="25">
        <f>'[1]INVENTARIO NACIONAL 03-09-26'!AK46</f>
        <v>1683</v>
      </c>
      <c r="AL46" s="28">
        <f>'[1]INVENTARIO NACIONAL 03-09-26'!AL46</f>
        <v>129.66666666666666</v>
      </c>
    </row>
    <row r="47" spans="2:38" ht="15" customHeight="1" x14ac:dyDescent="0.25">
      <c r="B47" s="10">
        <f>'[1]INVENTARIO NACIONAL 03-09-26'!B47</f>
        <v>134000</v>
      </c>
      <c r="C47" s="29" t="str">
        <f>'[1]INVENTARIO NACIONAL 03-09-26'!C47</f>
        <v>Cremigurt Griego Natural 4 Kg</v>
      </c>
      <c r="D47" s="12">
        <f>'[1]INVENTARIO NACIONAL 03-09-26'!D47</f>
        <v>18</v>
      </c>
      <c r="E47" s="13">
        <f>'[1]INVENTARIO NACIONAL 03-09-26'!E47</f>
        <v>0</v>
      </c>
      <c r="F47" s="14">
        <f>'[1]INVENTARIO NACIONAL 03-09-26'!F47</f>
        <v>0</v>
      </c>
      <c r="G47" s="14">
        <f>'[1]INVENTARIO NACIONAL 03-09-26'!G47</f>
        <v>0</v>
      </c>
      <c r="H47" s="30">
        <f>'[1]INVENTARIO NACIONAL 03-09-26'!H47</f>
        <v>0</v>
      </c>
      <c r="I47" s="15">
        <f>'[1]INVENTARIO NACIONAL 03-09-26'!I47</f>
        <v>0</v>
      </c>
      <c r="J47" s="16">
        <f>'[1]INVENTARIO NACIONAL 03-09-26'!J47</f>
        <v>4</v>
      </c>
      <c r="K47" s="13">
        <f>'[1]INVENTARIO NACIONAL 03-09-26'!K47</f>
        <v>72</v>
      </c>
      <c r="L47" s="14">
        <f>'[1]INVENTARIO NACIONAL 03-09-26'!L47</f>
        <v>2.75</v>
      </c>
      <c r="M47" s="30">
        <f>'[1]INVENTARIO NACIONAL 03-09-26'!M47</f>
        <v>32</v>
      </c>
      <c r="N47" s="15">
        <f>'[1]INVENTARIO NACIONAL 03-09-26'!N47</f>
        <v>-10.545454545454547</v>
      </c>
      <c r="O47" s="16">
        <f>'[1]INVENTARIO NACIONAL 03-09-26'!O47</f>
        <v>0</v>
      </c>
      <c r="P47" s="17">
        <f>'[1]INVENTARIO NACIONAL 03-09-26'!P47</f>
        <v>0</v>
      </c>
      <c r="Q47" s="14">
        <f>'[1]INVENTARIO NACIONAL 03-09-26'!Q47</f>
        <v>0</v>
      </c>
      <c r="R47" s="16">
        <f>'[1]INVENTARIO NACIONAL 03-09-26'!R47</f>
        <v>0</v>
      </c>
      <c r="S47" s="15">
        <f>'[1]INVENTARIO NACIONAL 03-09-26'!S47</f>
        <v>0</v>
      </c>
      <c r="T47" s="18">
        <f>'[1]INVENTARIO NACIONAL 03-09-26'!T47</f>
        <v>13</v>
      </c>
      <c r="U47" s="17">
        <f>'[1]INVENTARIO NACIONAL 03-09-26'!U47</f>
        <v>234</v>
      </c>
      <c r="V47" s="14">
        <f>'[1]INVENTARIO NACIONAL 03-09-26'!V47</f>
        <v>14.3</v>
      </c>
      <c r="W47" s="16">
        <f>'[1]INVENTARIO NACIONAL 03-09-26'!W47</f>
        <v>20</v>
      </c>
      <c r="X47" s="15">
        <f>'[1]INVENTARIO NACIONAL 03-09-26'!X47</f>
        <v>-0.63636363636363669</v>
      </c>
      <c r="Y47" s="18">
        <f>'[1]INVENTARIO NACIONAL 03-09-26'!Y47</f>
        <v>4</v>
      </c>
      <c r="Z47" s="17">
        <f>'[1]INVENTARIO NACIONAL 03-09-26'!Z47</f>
        <v>72</v>
      </c>
      <c r="AA47" s="14">
        <f>'[1]INVENTARIO NACIONAL 03-09-26'!AA47</f>
        <v>0</v>
      </c>
      <c r="AB47" s="16">
        <f>'[1]INVENTARIO NACIONAL 03-09-26'!AB47</f>
        <v>0</v>
      </c>
      <c r="AC47" s="15">
        <f>'[1]INVENTARIO NACIONAL 03-09-26'!AC47</f>
        <v>4</v>
      </c>
      <c r="AD47" s="19">
        <f>'[1]INVENTARIO NACIONAL 03-09-26'!AD47</f>
        <v>21</v>
      </c>
      <c r="AE47" s="20">
        <f>'[1]INVENTARIO NACIONAL 03-09-26'!AE47</f>
        <v>378</v>
      </c>
      <c r="AF47" s="31">
        <f>'[1]INVENTARIO NACIONAL 03-09-26'!AF47</f>
        <v>24.761904761904763</v>
      </c>
      <c r="AG47" s="22">
        <f>'[1]INVENTARIO NACIONAL 03-09-26'!AG47</f>
        <v>8.4807692307692299</v>
      </c>
      <c r="AH47" s="23">
        <f>'[1]INVENTARIO NACIONAL 03-09-26'!AH47</f>
        <v>0.84807692307692306</v>
      </c>
      <c r="AI47" s="26">
        <f>'[1]INVENTARIO NACIONAL 03-09-26'!AI47</f>
        <v>-3.7619047619047628</v>
      </c>
      <c r="AJ47" s="27">
        <f>'[1]INVENTARIO NACIONAL 03-09-26'!AJ47</f>
        <v>12.380952380952381</v>
      </c>
      <c r="AK47" s="25">
        <f>'[1]INVENTARIO NACIONAL 03-09-26'!AK47</f>
        <v>16.142857142857146</v>
      </c>
      <c r="AL47" s="28">
        <f>'[1]INVENTARIO NACIONAL 03-09-26'!AL47</f>
        <v>10.5</v>
      </c>
    </row>
    <row r="48" spans="2:38" ht="15" customHeight="1" x14ac:dyDescent="0.25">
      <c r="B48" s="10">
        <f>'[1]INVENTARIO NACIONAL 03-09-26'!B48</f>
        <v>134001</v>
      </c>
      <c r="C48" s="29" t="str">
        <f>'[1]INVENTARIO NACIONAL 03-09-26'!C48</f>
        <v>Cremigurt Griego Dulce 4 Kg</v>
      </c>
      <c r="D48" s="12">
        <f>'[1]INVENTARIO NACIONAL 03-09-26'!D48</f>
        <v>18</v>
      </c>
      <c r="E48" s="13">
        <f>'[1]INVENTARIO NACIONAL 03-09-26'!E48</f>
        <v>0</v>
      </c>
      <c r="F48" s="14">
        <f>'[1]INVENTARIO NACIONAL 03-09-26'!F48</f>
        <v>0</v>
      </c>
      <c r="G48" s="14">
        <f>'[1]INVENTARIO NACIONAL 03-09-26'!G48</f>
        <v>0</v>
      </c>
      <c r="H48" s="30">
        <f>'[1]INVENTARIO NACIONAL 03-09-26'!H48</f>
        <v>0</v>
      </c>
      <c r="I48" s="15">
        <f>'[1]INVENTARIO NACIONAL 03-09-26'!I48</f>
        <v>0</v>
      </c>
      <c r="J48" s="16">
        <f>'[1]INVENTARIO NACIONAL 03-09-26'!J48</f>
        <v>3</v>
      </c>
      <c r="K48" s="13">
        <f>'[1]INVENTARIO NACIONAL 03-09-26'!K48</f>
        <v>54</v>
      </c>
      <c r="L48" s="14">
        <f>'[1]INVENTARIO NACIONAL 03-09-26'!L48</f>
        <v>7.333333333333333</v>
      </c>
      <c r="M48" s="30">
        <f>'[1]INVENTARIO NACIONAL 03-09-26'!M48</f>
        <v>9</v>
      </c>
      <c r="N48" s="15">
        <f>'[1]INVENTARIO NACIONAL 03-09-26'!N48</f>
        <v>-1.0909090909090908</v>
      </c>
      <c r="O48" s="16">
        <f>'[1]INVENTARIO NACIONAL 03-09-26'!O48</f>
        <v>0</v>
      </c>
      <c r="P48" s="17">
        <f>'[1]INVENTARIO NACIONAL 03-09-26'!P48</f>
        <v>0</v>
      </c>
      <c r="Q48" s="14">
        <f>'[1]INVENTARIO NACIONAL 03-09-26'!Q48</f>
        <v>0</v>
      </c>
      <c r="R48" s="16">
        <f>'[1]INVENTARIO NACIONAL 03-09-26'!R48</f>
        <v>0</v>
      </c>
      <c r="S48" s="15">
        <f>'[1]INVENTARIO NACIONAL 03-09-26'!S48</f>
        <v>0</v>
      </c>
      <c r="T48" s="18">
        <f>'[1]INVENTARIO NACIONAL 03-09-26'!T48</f>
        <v>0</v>
      </c>
      <c r="U48" s="17">
        <f>'[1]INVENTARIO NACIONAL 03-09-26'!U48</f>
        <v>0</v>
      </c>
      <c r="V48" s="14">
        <f>'[1]INVENTARIO NACIONAL 03-09-26'!V48</f>
        <v>0</v>
      </c>
      <c r="W48" s="16">
        <f>'[1]INVENTARIO NACIONAL 03-09-26'!W48</f>
        <v>0</v>
      </c>
      <c r="X48" s="15">
        <f>'[1]INVENTARIO NACIONAL 03-09-26'!X48</f>
        <v>0</v>
      </c>
      <c r="Y48" s="18">
        <f>'[1]INVENTARIO NACIONAL 03-09-26'!Y48</f>
        <v>0</v>
      </c>
      <c r="Z48" s="17">
        <f>'[1]INVENTARIO NACIONAL 03-09-26'!Z48</f>
        <v>0</v>
      </c>
      <c r="AA48" s="14">
        <f>'[1]INVENTARIO NACIONAL 03-09-26'!AA48</f>
        <v>0</v>
      </c>
      <c r="AB48" s="16">
        <f>'[1]INVENTARIO NACIONAL 03-09-26'!AB48</f>
        <v>0</v>
      </c>
      <c r="AC48" s="15">
        <f>'[1]INVENTARIO NACIONAL 03-09-26'!AC48</f>
        <v>0</v>
      </c>
      <c r="AD48" s="19">
        <f>'[1]INVENTARIO NACIONAL 03-09-26'!AD48</f>
        <v>3</v>
      </c>
      <c r="AE48" s="20">
        <f>'[1]INVENTARIO NACIONAL 03-09-26'!AE48</f>
        <v>54</v>
      </c>
      <c r="AF48" s="31">
        <f>'[1]INVENTARIO NACIONAL 03-09-26'!AF48</f>
        <v>4.2857142857142856</v>
      </c>
      <c r="AG48" s="22">
        <f>'[1]INVENTARIO NACIONAL 03-09-26'!AG48</f>
        <v>0</v>
      </c>
      <c r="AH48" s="23">
        <f>'[1]INVENTARIO NACIONAL 03-09-26'!AH48</f>
        <v>0</v>
      </c>
      <c r="AI48" s="26">
        <f>'[1]INVENTARIO NACIONAL 03-09-26'!AI48</f>
        <v>-1.2857142857142856</v>
      </c>
      <c r="AJ48" s="27">
        <f>'[1]INVENTARIO NACIONAL 03-09-26'!AJ48</f>
        <v>2.1428571428571428</v>
      </c>
      <c r="AK48" s="25">
        <f>'[1]INVENTARIO NACIONAL 03-09-26'!AK48</f>
        <v>3.4285714285714284</v>
      </c>
      <c r="AL48" s="28">
        <f>'[1]INVENTARIO NACIONAL 03-09-26'!AL48</f>
        <v>1.5</v>
      </c>
    </row>
    <row r="49" spans="2:39" ht="15" customHeight="1" x14ac:dyDescent="0.25">
      <c r="B49" s="10">
        <f>'[1]INVENTARIO NACIONAL 03-09-26'!B49</f>
        <v>140230</v>
      </c>
      <c r="C49" s="29" t="str">
        <f>'[1]INVENTARIO NACIONAL 03-09-26'!C49</f>
        <v>Cremigurt Líquido Dulce 230g</v>
      </c>
      <c r="D49" s="12">
        <f>'[1]INVENTARIO NACIONAL 03-09-26'!D49</f>
        <v>1.1599999999999999</v>
      </c>
      <c r="E49" s="13">
        <f>'[1]INVENTARIO NACIONAL 03-09-26'!E49</f>
        <v>10</v>
      </c>
      <c r="F49" s="14">
        <f>'[1]INVENTARIO NACIONAL 03-09-26'!F49</f>
        <v>11.6</v>
      </c>
      <c r="G49" s="14">
        <f>'[1]INVENTARIO NACIONAL 03-09-26'!G49</f>
        <v>0.1778496362166532</v>
      </c>
      <c r="H49" s="30">
        <f>'[1]INVENTARIO NACIONAL 03-09-26'!H49</f>
        <v>1237</v>
      </c>
      <c r="I49" s="15">
        <f>'[1]INVENTARIO NACIONAL 03-09-26'!I49</f>
        <v>-552.27272727272725</v>
      </c>
      <c r="J49" s="16">
        <f>'[1]INVENTARIO NACIONAL 03-09-26'!J49</f>
        <v>37</v>
      </c>
      <c r="K49" s="13">
        <f>'[1]INVENTARIO NACIONAL 03-09-26'!K49</f>
        <v>42.919999999999995</v>
      </c>
      <c r="L49" s="14">
        <f>'[1]INVENTARIO NACIONAL 03-09-26'!L49</f>
        <v>0.66017842660178427</v>
      </c>
      <c r="M49" s="30">
        <f>'[1]INVENTARIO NACIONAL 03-09-26'!M49</f>
        <v>1233</v>
      </c>
      <c r="N49" s="15">
        <f>'[1]INVENTARIO NACIONAL 03-09-26'!N49</f>
        <v>-523.4545454545455</v>
      </c>
      <c r="O49" s="16">
        <f>'[1]INVENTARIO NACIONAL 03-09-26'!O49</f>
        <v>56</v>
      </c>
      <c r="P49" s="17">
        <f>'[1]INVENTARIO NACIONAL 03-09-26'!P49</f>
        <v>64.959999999999994</v>
      </c>
      <c r="Q49" s="14">
        <f>'[1]INVENTARIO NACIONAL 03-09-26'!Q49</f>
        <v>11</v>
      </c>
      <c r="R49" s="16">
        <f>'[1]INVENTARIO NACIONAL 03-09-26'!R49</f>
        <v>112</v>
      </c>
      <c r="S49" s="15">
        <f>'[1]INVENTARIO NACIONAL 03-09-26'!S49</f>
        <v>-20.36363636363636</v>
      </c>
      <c r="T49" s="18">
        <f>'[1]INVENTARIO NACIONAL 03-09-26'!T49</f>
        <v>281</v>
      </c>
      <c r="U49" s="17">
        <f>'[1]INVENTARIO NACIONAL 03-09-26'!U49</f>
        <v>325.95999999999998</v>
      </c>
      <c r="V49" s="14">
        <f>'[1]INVENTARIO NACIONAL 03-09-26'!V49</f>
        <v>26.646551724137932</v>
      </c>
      <c r="W49" s="16">
        <f>'[1]INVENTARIO NACIONAL 03-09-26'!W49</f>
        <v>232</v>
      </c>
      <c r="X49" s="15">
        <f>'[1]INVENTARIO NACIONAL 03-09-26'!X49</f>
        <v>122.81818181818181</v>
      </c>
      <c r="Y49" s="18">
        <f>'[1]INVENTARIO NACIONAL 03-09-26'!Y49</f>
        <v>116</v>
      </c>
      <c r="Z49" s="17">
        <f>'[1]INVENTARIO NACIONAL 03-09-26'!Z49</f>
        <v>134.56</v>
      </c>
      <c r="AA49" s="14">
        <f>'[1]INVENTARIO NACIONAL 03-09-26'!AA49</f>
        <v>38.666666666666664</v>
      </c>
      <c r="AB49" s="16">
        <f>'[1]INVENTARIO NACIONAL 03-09-26'!AB49</f>
        <v>66</v>
      </c>
      <c r="AC49" s="15">
        <f>'[1]INVENTARIO NACIONAL 03-09-26'!AC49</f>
        <v>71</v>
      </c>
      <c r="AD49" s="19">
        <f>'[1]INVENTARIO NACIONAL 03-09-26'!AD49</f>
        <v>500</v>
      </c>
      <c r="AE49" s="20">
        <f>'[1]INVENTARIO NACIONAL 03-09-26'!AE49</f>
        <v>580</v>
      </c>
      <c r="AF49" s="21">
        <f>'[1]INVENTARIO NACIONAL 03-09-26'!AF49</f>
        <v>1371.4285714285713</v>
      </c>
      <c r="AG49" s="22">
        <f>'[1]INVENTARIO NACIONAL 03-09-26'!AG49</f>
        <v>3.6458333333333335</v>
      </c>
      <c r="AH49" s="23">
        <f>'[1]INVENTARIO NACIONAL 03-09-26'!AH49</f>
        <v>0.36458333333333337</v>
      </c>
      <c r="AI49" s="26">
        <f>'[1]INVENTARIO NACIONAL 03-09-26'!AI49</f>
        <v>-871.42857142857133</v>
      </c>
      <c r="AJ49" s="27">
        <f>'[1]INVENTARIO NACIONAL 03-09-26'!AJ49</f>
        <v>685.71428571428567</v>
      </c>
      <c r="AK49" s="25">
        <f>'[1]INVENTARIO NACIONAL 03-09-26'!AK49</f>
        <v>1557.1428571428569</v>
      </c>
      <c r="AL49" s="28">
        <f>'[1]INVENTARIO NACIONAL 03-09-26'!AL49</f>
        <v>12.5</v>
      </c>
    </row>
    <row r="50" spans="2:39" ht="15" customHeight="1" x14ac:dyDescent="0.25">
      <c r="B50" s="10">
        <f>'[1]INVENTARIO NACIONAL 03-09-26'!B50</f>
        <v>140231</v>
      </c>
      <c r="C50" s="29" t="str">
        <f>'[1]INVENTARIO NACIONAL 03-09-26'!C50</f>
        <v>Cremigurt Líquido Fresa 230g</v>
      </c>
      <c r="D50" s="12">
        <f>'[1]INVENTARIO NACIONAL 03-09-26'!D50</f>
        <v>1.1599999999999999</v>
      </c>
      <c r="E50" s="13">
        <f>'[1]INVENTARIO NACIONAL 03-09-26'!E50</f>
        <v>989</v>
      </c>
      <c r="F50" s="14">
        <f>'[1]INVENTARIO NACIONAL 03-09-26'!F50</f>
        <v>1147.24</v>
      </c>
      <c r="G50" s="14">
        <f>'[1]INVENTARIO NACIONAL 03-09-26'!G50</f>
        <v>3.8798145506419401</v>
      </c>
      <c r="H50" s="30">
        <f>'[1]INVENTARIO NACIONAL 03-09-26'!H50</f>
        <v>5608</v>
      </c>
      <c r="I50" s="15">
        <f>'[1]INVENTARIO NACIONAL 03-09-26'!I50</f>
        <v>-1560.090909090909</v>
      </c>
      <c r="J50" s="16">
        <f>'[1]INVENTARIO NACIONAL 03-09-26'!J50</f>
        <v>3810</v>
      </c>
      <c r="K50" s="13">
        <f>'[1]INVENTARIO NACIONAL 03-09-26'!K50</f>
        <v>4419.5999999999995</v>
      </c>
      <c r="L50" s="14">
        <f>'[1]INVENTARIO NACIONAL 03-09-26'!L50</f>
        <v>23.439597315436245</v>
      </c>
      <c r="M50" s="30">
        <f>'[1]INVENTARIO NACIONAL 03-09-26'!M50</f>
        <v>3576</v>
      </c>
      <c r="N50" s="15">
        <f>'[1]INVENTARIO NACIONAL 03-09-26'!N50</f>
        <v>2184.545454545455</v>
      </c>
      <c r="O50" s="16">
        <f>'[1]INVENTARIO NACIONAL 03-09-26'!O50</f>
        <v>142</v>
      </c>
      <c r="P50" s="17">
        <f>'[1]INVENTARIO NACIONAL 03-09-26'!P50</f>
        <v>164.72</v>
      </c>
      <c r="Q50" s="14">
        <f>'[1]INVENTARIO NACIONAL 03-09-26'!Q50</f>
        <v>6.5083333333333337</v>
      </c>
      <c r="R50" s="16">
        <f>'[1]INVENTARIO NACIONAL 03-09-26'!R50</f>
        <v>480</v>
      </c>
      <c r="S50" s="15">
        <f>'[1]INVENTARIO NACIONAL 03-09-26'!S50</f>
        <v>-185.27272727272725</v>
      </c>
      <c r="T50" s="18">
        <f>'[1]INVENTARIO NACIONAL 03-09-26'!T50</f>
        <v>82</v>
      </c>
      <c r="U50" s="17">
        <f>'[1]INVENTARIO NACIONAL 03-09-26'!U50</f>
        <v>95.11999999999999</v>
      </c>
      <c r="V50" s="14">
        <f>'[1]INVENTARIO NACIONAL 03-09-26'!V50</f>
        <v>1.0255827174530983</v>
      </c>
      <c r="W50" s="16">
        <f>'[1]INVENTARIO NACIONAL 03-09-26'!W50</f>
        <v>1759</v>
      </c>
      <c r="X50" s="15">
        <f>'[1]INVENTARIO NACIONAL 03-09-26'!X50</f>
        <v>-1117.3181818181818</v>
      </c>
      <c r="Y50" s="18">
        <f>'[1]INVENTARIO NACIONAL 03-09-26'!Y50</f>
        <v>69</v>
      </c>
      <c r="Z50" s="17">
        <f>'[1]INVENTARIO NACIONAL 03-09-26'!Z50</f>
        <v>80.039999999999992</v>
      </c>
      <c r="AA50" s="14">
        <f>'[1]INVENTARIO NACIONAL 03-09-26'!AA50</f>
        <v>6.9</v>
      </c>
      <c r="AB50" s="16">
        <f>'[1]INVENTARIO NACIONAL 03-09-26'!AB50</f>
        <v>220</v>
      </c>
      <c r="AC50" s="15">
        <f>'[1]INVENTARIO NACIONAL 03-09-26'!AC50</f>
        <v>-81</v>
      </c>
      <c r="AD50" s="19">
        <f>'[1]INVENTARIO NACIONAL 03-09-26'!AD50</f>
        <v>5092</v>
      </c>
      <c r="AE50" s="20">
        <f>'[1]INVENTARIO NACIONAL 03-09-26'!AE50</f>
        <v>5906.7199999999993</v>
      </c>
      <c r="AF50" s="21">
        <f>'[1]INVENTARIO NACIONAL 03-09-26'!AF50</f>
        <v>5544.2857142857147</v>
      </c>
      <c r="AG50" s="22">
        <f>'[1]INVENTARIO NACIONAL 03-09-26'!AG50</f>
        <v>9.1842308683329037</v>
      </c>
      <c r="AH50" s="23">
        <f>'[1]INVENTARIO NACIONAL 03-09-26'!AH50</f>
        <v>0.91842308683329033</v>
      </c>
      <c r="AI50" s="26">
        <f>'[1]INVENTARIO NACIONAL 03-09-26'!AI50</f>
        <v>-452.28571428571468</v>
      </c>
      <c r="AJ50" s="27">
        <f>'[1]INVENTARIO NACIONAL 03-09-26'!AJ50</f>
        <v>2772.1428571428573</v>
      </c>
      <c r="AK50" s="25">
        <f>'[1]INVENTARIO NACIONAL 03-09-26'!AK50</f>
        <v>3224.428571428572</v>
      </c>
      <c r="AL50" s="28">
        <f>'[1]INVENTARIO NACIONAL 03-09-26'!AL50</f>
        <v>127.3</v>
      </c>
      <c r="AM50" s="62" t="s">
        <v>15</v>
      </c>
    </row>
    <row r="51" spans="2:39" x14ac:dyDescent="0.25">
      <c r="B51" s="10">
        <f>'[1]INVENTARIO NACIONAL 03-09-26'!B51</f>
        <v>140232</v>
      </c>
      <c r="C51" s="29" t="str">
        <f>'[1]INVENTARIO NACIONAL 03-09-26'!C51</f>
        <v>Cremigurt Líquido Durazno 230g</v>
      </c>
      <c r="D51" s="12">
        <f>'[1]INVENTARIO NACIONAL 03-09-26'!D51</f>
        <v>1.1599999999999999</v>
      </c>
      <c r="E51" s="13">
        <f>'[1]INVENTARIO NACIONAL 03-09-26'!E51</f>
        <v>253</v>
      </c>
      <c r="F51" s="14">
        <f>'[1]INVENTARIO NACIONAL 03-09-26'!F51</f>
        <v>293.47999999999996</v>
      </c>
      <c r="G51" s="14">
        <f>'[1]INVENTARIO NACIONAL 03-09-26'!G51</f>
        <v>4.3792289535798581</v>
      </c>
      <c r="H51" s="30">
        <f>'[1]INVENTARIO NACIONAL 03-09-26'!H51</f>
        <v>1271</v>
      </c>
      <c r="I51" s="15">
        <f>'[1]INVENTARIO NACIONAL 03-09-26'!I51</f>
        <v>-324.72727272727275</v>
      </c>
      <c r="J51" s="16">
        <f>'[1]INVENTARIO NACIONAL 03-09-26'!J51</f>
        <v>3895</v>
      </c>
      <c r="K51" s="13">
        <f>'[1]INVENTARIO NACIONAL 03-09-26'!K51</f>
        <v>4518.2</v>
      </c>
      <c r="L51" s="14">
        <f>'[1]INVENTARIO NACIONAL 03-09-26'!L51</f>
        <v>87.438775510204081</v>
      </c>
      <c r="M51" s="30">
        <f>'[1]INVENTARIO NACIONAL 03-09-26'!M51</f>
        <v>980</v>
      </c>
      <c r="N51" s="15">
        <f>'[1]INVENTARIO NACIONAL 03-09-26'!N51</f>
        <v>3449.5454545454545</v>
      </c>
      <c r="O51" s="16">
        <f>'[1]INVENTARIO NACIONAL 03-09-26'!O51</f>
        <v>0</v>
      </c>
      <c r="P51" s="17">
        <f>'[1]INVENTARIO NACIONAL 03-09-26'!P51</f>
        <v>0</v>
      </c>
      <c r="Q51" s="14">
        <f>'[1]INVENTARIO NACIONAL 03-09-26'!Q51</f>
        <v>0</v>
      </c>
      <c r="R51" s="16">
        <f>'[1]INVENTARIO NACIONAL 03-09-26'!R51</f>
        <v>0</v>
      </c>
      <c r="S51" s="15">
        <f>'[1]INVENTARIO NACIONAL 03-09-26'!S51</f>
        <v>0</v>
      </c>
      <c r="T51" s="18">
        <f>'[1]INVENTARIO NACIONAL 03-09-26'!T51</f>
        <v>204</v>
      </c>
      <c r="U51" s="17">
        <f>'[1]INVENTARIO NACIONAL 03-09-26'!U51</f>
        <v>236.64</v>
      </c>
      <c r="V51" s="14">
        <f>'[1]INVENTARIO NACIONAL 03-09-26'!V51</f>
        <v>8.3420074349442377</v>
      </c>
      <c r="W51" s="16">
        <f>'[1]INVENTARIO NACIONAL 03-09-26'!W51</f>
        <v>538</v>
      </c>
      <c r="X51" s="15">
        <f>'[1]INVENTARIO NACIONAL 03-09-26'!X51</f>
        <v>-162.81818181818181</v>
      </c>
      <c r="Y51" s="18">
        <f>'[1]INVENTARIO NACIONAL 03-09-26'!Y51</f>
        <v>0</v>
      </c>
      <c r="Z51" s="17">
        <f>'[1]INVENTARIO NACIONAL 03-09-26'!Z51</f>
        <v>0</v>
      </c>
      <c r="AA51" s="14">
        <f>'[1]INVENTARIO NACIONAL 03-09-26'!AA51</f>
        <v>0</v>
      </c>
      <c r="AB51" s="16">
        <f>'[1]INVENTARIO NACIONAL 03-09-26'!AB51</f>
        <v>0</v>
      </c>
      <c r="AC51" s="15">
        <f>'[1]INVENTARIO NACIONAL 03-09-26'!AC51</f>
        <v>0</v>
      </c>
      <c r="AD51" s="19">
        <f>'[1]INVENTARIO NACIONAL 03-09-26'!AD51</f>
        <v>4352</v>
      </c>
      <c r="AE51" s="20">
        <f>'[1]INVENTARIO NACIONAL 03-09-26'!AE51</f>
        <v>5048.32</v>
      </c>
      <c r="AF51" s="21">
        <f>'[1]INVENTARIO NACIONAL 03-09-26'!AF51</f>
        <v>1328.0952380952381</v>
      </c>
      <c r="AG51" s="22">
        <f>'[1]INVENTARIO NACIONAL 03-09-26'!AG51</f>
        <v>32.768734313373976</v>
      </c>
      <c r="AH51" s="23">
        <f>'[1]INVENTARIO NACIONAL 03-09-26'!AH51</f>
        <v>3.2768734313373971</v>
      </c>
      <c r="AI51" s="26">
        <f>'[1]INVENTARIO NACIONAL 03-09-26'!AI51</f>
        <v>3023.9047619047619</v>
      </c>
      <c r="AJ51" s="27">
        <f>'[1]INVENTARIO NACIONAL 03-09-26'!AJ51</f>
        <v>664.04761904761904</v>
      </c>
      <c r="AK51" s="25">
        <f>'[1]INVENTARIO NACIONAL 03-09-26'!AK51</f>
        <v>-2359.8571428571431</v>
      </c>
      <c r="AL51" s="28">
        <f>'[1]INVENTARIO NACIONAL 03-09-26'!AL51</f>
        <v>108.8</v>
      </c>
      <c r="AM51" s="63">
        <f>SUM(AL13:AL51)</f>
        <v>5454.546031746032</v>
      </c>
    </row>
    <row r="52" spans="2:39" ht="15" customHeight="1" x14ac:dyDescent="0.25">
      <c r="B52" s="10">
        <f>'[1]INVENTARIO NACIONAL 03-09-26'!B52</f>
        <v>150360</v>
      </c>
      <c r="C52" s="29" t="str">
        <f>'[1]INVENTARIO NACIONAL 03-09-26'!C52</f>
        <v>Tevia Limon 360ml</v>
      </c>
      <c r="D52" s="12">
        <f>'[1]INVENTARIO NACIONAL 03-09-26'!D52</f>
        <v>0.81</v>
      </c>
      <c r="E52" s="13">
        <f>'[1]INVENTARIO NACIONAL 03-09-26'!E52</f>
        <v>5638</v>
      </c>
      <c r="F52" s="14">
        <f>'[1]INVENTARIO NACIONAL 03-09-26'!F52</f>
        <v>4566.7800000000007</v>
      </c>
      <c r="G52" s="14">
        <f>'[1]INVENTARIO NACIONAL 03-09-26'!G52</f>
        <v>46.876795162509453</v>
      </c>
      <c r="H52" s="30">
        <f>'[1]INVENTARIO NACIONAL 03-09-26'!H52</f>
        <v>2646</v>
      </c>
      <c r="I52" s="15">
        <f>'[1]INVENTARIO NACIONAL 03-09-26'!I52</f>
        <v>4435.272727272727</v>
      </c>
      <c r="J52" s="16">
        <f>'[1]INVENTARIO NACIONAL 03-09-26'!J52</f>
        <v>7084</v>
      </c>
      <c r="K52" s="13">
        <f>'[1]INVENTARIO NACIONAL 03-09-26'!K52</f>
        <v>5738.04</v>
      </c>
      <c r="L52" s="14">
        <f>'[1]INVENTARIO NACIONAL 03-09-26'!L52</f>
        <v>80.5</v>
      </c>
      <c r="M52" s="30">
        <f>'[1]INVENTARIO NACIONAL 03-09-26'!M52</f>
        <v>1936</v>
      </c>
      <c r="N52" s="15">
        <f>'[1]INVENTARIO NACIONAL 03-09-26'!N52</f>
        <v>6204</v>
      </c>
      <c r="O52" s="16">
        <f>'[1]INVENTARIO NACIONAL 03-09-26'!O52</f>
        <v>244</v>
      </c>
      <c r="P52" s="17">
        <f>'[1]INVENTARIO NACIONAL 03-09-26'!P52</f>
        <v>197.64000000000001</v>
      </c>
      <c r="Q52" s="14">
        <f>'[1]INVENTARIO NACIONAL 03-09-26'!Q52</f>
        <v>10.779116465863453</v>
      </c>
      <c r="R52" s="16">
        <f>'[1]INVENTARIO NACIONAL 03-09-26'!R52</f>
        <v>498</v>
      </c>
      <c r="S52" s="15">
        <f>'[1]INVENTARIO NACIONAL 03-09-26'!S52</f>
        <v>-95.545454545454561</v>
      </c>
      <c r="T52" s="18">
        <f>'[1]INVENTARIO NACIONAL 03-09-26'!T52</f>
        <v>821</v>
      </c>
      <c r="U52" s="17">
        <f>'[1]INVENTARIO NACIONAL 03-09-26'!U52</f>
        <v>665.01</v>
      </c>
      <c r="V52" s="14">
        <f>'[1]INVENTARIO NACIONAL 03-09-26'!V52</f>
        <v>20.046614872364042</v>
      </c>
      <c r="W52" s="16">
        <f>'[1]INVENTARIO NACIONAL 03-09-26'!W52</f>
        <v>901</v>
      </c>
      <c r="X52" s="15">
        <f>'[1]INVENTARIO NACIONAL 03-09-26'!X52</f>
        <v>206.68181818181824</v>
      </c>
      <c r="Y52" s="18">
        <f>'[1]INVENTARIO NACIONAL 03-09-26'!Y52</f>
        <v>159</v>
      </c>
      <c r="Z52" s="17">
        <f>'[1]INVENTARIO NACIONAL 03-09-26'!Z52</f>
        <v>128.79000000000002</v>
      </c>
      <c r="AA52" s="14">
        <f>'[1]INVENTARIO NACIONAL 03-09-26'!AA52</f>
        <v>14.697478991596638</v>
      </c>
      <c r="AB52" s="16">
        <f>'[1]INVENTARIO NACIONAL 03-09-26'!AB52</f>
        <v>238</v>
      </c>
      <c r="AC52" s="15">
        <f>'[1]INVENTARIO NACIONAL 03-09-26'!AC52</f>
        <v>-3.2727272727272805</v>
      </c>
      <c r="AD52" s="19">
        <f>'[1]INVENTARIO NACIONAL 03-09-26'!AD52</f>
        <v>13946</v>
      </c>
      <c r="AE52" s="20">
        <f>'[1]INVENTARIO NACIONAL 03-09-26'!AE52</f>
        <v>11296.26</v>
      </c>
      <c r="AF52" s="21">
        <f>'[1]INVENTARIO NACIONAL 03-09-26'!AF52</f>
        <v>2961.4285714285716</v>
      </c>
      <c r="AG52" s="22">
        <f>'[1]INVENTARIO NACIONAL 03-09-26'!AG52</f>
        <v>47.092136999517606</v>
      </c>
      <c r="AH52" s="23">
        <f>'[1]INVENTARIO NACIONAL 03-09-26'!AH52</f>
        <v>4.7092136999517606</v>
      </c>
      <c r="AI52" s="26">
        <f>'[1]INVENTARIO NACIONAL 03-09-26'!AI52</f>
        <v>10984.571428571428</v>
      </c>
      <c r="AJ52" s="27">
        <f>'[1]INVENTARIO NACIONAL 03-09-26'!AJ52</f>
        <v>1480.7142857142858</v>
      </c>
      <c r="AK52" s="25">
        <f>'[1]INVENTARIO NACIONAL 03-09-26'!AK52</f>
        <v>-9503.8571428571413</v>
      </c>
      <c r="AL52" s="28">
        <f>'[1]INVENTARIO NACIONAL 03-09-26'!AL52</f>
        <v>1162.1666666666667</v>
      </c>
    </row>
    <row r="53" spans="2:39" ht="15" customHeight="1" x14ac:dyDescent="0.25">
      <c r="B53" s="10">
        <f>'[1]INVENTARIO NACIONAL 03-09-26'!B53</f>
        <v>150361</v>
      </c>
      <c r="C53" s="29" t="str">
        <f>'[1]INVENTARIO NACIONAL 03-09-26'!C53</f>
        <v>Tevia Durazno 360ml</v>
      </c>
      <c r="D53" s="12">
        <f>'[1]INVENTARIO NACIONAL 03-09-26'!D53</f>
        <v>0.81</v>
      </c>
      <c r="E53" s="13">
        <f>'[1]INVENTARIO NACIONAL 03-09-26'!E53</f>
        <v>4134</v>
      </c>
      <c r="F53" s="14">
        <f>'[1]INVENTARIO NACIONAL 03-09-26'!F53</f>
        <v>3348.5400000000004</v>
      </c>
      <c r="G53" s="14">
        <f>'[1]INVENTARIO NACIONAL 03-09-26'!G53</f>
        <v>17.71139240506329</v>
      </c>
      <c r="H53" s="30">
        <f>'[1]INVENTARIO NACIONAL 03-09-26'!H53</f>
        <v>5135</v>
      </c>
      <c r="I53" s="15">
        <f>'[1]INVENTARIO NACIONAL 03-09-26'!I53</f>
        <v>1799.909090909091</v>
      </c>
      <c r="J53" s="16">
        <f>'[1]INVENTARIO NACIONAL 03-09-26'!J53</f>
        <v>6075</v>
      </c>
      <c r="K53" s="13">
        <f>'[1]INVENTARIO NACIONAL 03-09-26'!K53</f>
        <v>4920.75</v>
      </c>
      <c r="L53" s="14">
        <f>'[1]INVENTARIO NACIONAL 03-09-26'!L53</f>
        <v>42.094488188976371</v>
      </c>
      <c r="M53" s="30">
        <f>'[1]INVENTARIO NACIONAL 03-09-26'!M53</f>
        <v>3175.0000000000005</v>
      </c>
      <c r="N53" s="15">
        <f>'[1]INVENTARIO NACIONAL 03-09-26'!N53</f>
        <v>4631.818181818182</v>
      </c>
      <c r="O53" s="16">
        <f>'[1]INVENTARIO NACIONAL 03-09-26'!O53</f>
        <v>339</v>
      </c>
      <c r="P53" s="17">
        <f>'[1]INVENTARIO NACIONAL 03-09-26'!P53</f>
        <v>274.59000000000003</v>
      </c>
      <c r="Q53" s="14">
        <f>'[1]INVENTARIO NACIONAL 03-09-26'!Q53</f>
        <v>8.4462061155152881</v>
      </c>
      <c r="R53" s="16">
        <f>'[1]INVENTARIO NACIONAL 03-09-26'!R53</f>
        <v>883.00000000000011</v>
      </c>
      <c r="S53" s="15">
        <f>'[1]INVENTARIO NACIONAL 03-09-26'!S53</f>
        <v>-263.04545454545462</v>
      </c>
      <c r="T53" s="18">
        <f>'[1]INVENTARIO NACIONAL 03-09-26'!T53</f>
        <v>972</v>
      </c>
      <c r="U53" s="17">
        <f>'[1]INVENTARIO NACIONAL 03-09-26'!U53</f>
        <v>787.32</v>
      </c>
      <c r="V53" s="14">
        <f>'[1]INVENTARIO NACIONAL 03-09-26'!V53</f>
        <v>12.952150211992732</v>
      </c>
      <c r="W53" s="16">
        <f>'[1]INVENTARIO NACIONAL 03-09-26'!W53</f>
        <v>1651</v>
      </c>
      <c r="X53" s="15">
        <f>'[1]INVENTARIO NACIONAL 03-09-26'!X53</f>
        <v>-153.68181818181824</v>
      </c>
      <c r="Y53" s="18">
        <f>'[1]INVENTARIO NACIONAL 03-09-26'!Y53</f>
        <v>132</v>
      </c>
      <c r="Z53" s="17">
        <f>'[1]INVENTARIO NACIONAL 03-09-26'!Z53</f>
        <v>106.92</v>
      </c>
      <c r="AA53" s="14">
        <f>'[1]INVENTARIO NACIONAL 03-09-26'!AA53</f>
        <v>11.212355212355211</v>
      </c>
      <c r="AB53" s="16">
        <f>'[1]INVENTARIO NACIONAL 03-09-26'!AB53</f>
        <v>259</v>
      </c>
      <c r="AC53" s="15">
        <f>'[1]INVENTARIO NACIONAL 03-09-26'!AC53</f>
        <v>-44.590909090909093</v>
      </c>
      <c r="AD53" s="19">
        <f>'[1]INVENTARIO NACIONAL 03-09-26'!AD53</f>
        <v>11652</v>
      </c>
      <c r="AE53" s="20">
        <f>'[1]INVENTARIO NACIONAL 03-09-26'!AE53</f>
        <v>9438.1200000000008</v>
      </c>
      <c r="AF53" s="21">
        <f>'[1]INVENTARIO NACIONAL 03-09-26'!AF53</f>
        <v>5287.1428571428569</v>
      </c>
      <c r="AG53" s="22">
        <f>'[1]INVENTARIO NACIONAL 03-09-26'!AG53</f>
        <v>22.038368008646312</v>
      </c>
      <c r="AH53" s="23">
        <f>'[1]INVENTARIO NACIONAL 03-09-26'!AH53</f>
        <v>2.2038368008646314</v>
      </c>
      <c r="AI53" s="26">
        <f>'[1]INVENTARIO NACIONAL 03-09-26'!AI53</f>
        <v>6364.8571428571431</v>
      </c>
      <c r="AJ53" s="27">
        <f>'[1]INVENTARIO NACIONAL 03-09-26'!AJ53</f>
        <v>2643.5714285714284</v>
      </c>
      <c r="AK53" s="25">
        <f>'[1]INVENTARIO NACIONAL 03-09-26'!AK53</f>
        <v>-3721.2857142857147</v>
      </c>
      <c r="AL53" s="28">
        <f>'[1]INVENTARIO NACIONAL 03-09-26'!AL53</f>
        <v>971</v>
      </c>
    </row>
    <row r="54" spans="2:39" ht="15" customHeight="1" x14ac:dyDescent="0.25">
      <c r="B54" s="10">
        <f>'[1]INVENTARIO NACIONAL 03-09-26'!B54</f>
        <v>150362</v>
      </c>
      <c r="C54" s="29" t="str">
        <f>'[1]INVENTARIO NACIONAL 03-09-26'!C54</f>
        <v>Tevia Blueberry 360ml</v>
      </c>
      <c r="D54" s="12">
        <f>'[1]INVENTARIO NACIONAL 03-09-26'!D54</f>
        <v>0.81</v>
      </c>
      <c r="E54" s="13">
        <f>'[1]INVENTARIO NACIONAL 03-09-26'!E54</f>
        <v>3374</v>
      </c>
      <c r="F54" s="14">
        <f>'[1]INVENTARIO NACIONAL 03-09-26'!F54</f>
        <v>2732.94</v>
      </c>
      <c r="G54" s="14">
        <f>'[1]INVENTARIO NACIONAL 03-09-26'!G54</f>
        <v>21.56536897152818</v>
      </c>
      <c r="H54" s="30">
        <f>'[1]INVENTARIO NACIONAL 03-09-26'!H54</f>
        <v>3442</v>
      </c>
      <c r="I54" s="15">
        <f>'[1]INVENTARIO NACIONAL 03-09-26'!I54</f>
        <v>1809.4545454545453</v>
      </c>
      <c r="J54" s="16">
        <f>'[1]INVENTARIO NACIONAL 03-09-26'!J54</f>
        <v>6498</v>
      </c>
      <c r="K54" s="13">
        <f>'[1]INVENTARIO NACIONAL 03-09-26'!K54</f>
        <v>5263.38</v>
      </c>
      <c r="L54" s="14">
        <f>'[1]INVENTARIO NACIONAL 03-09-26'!L54</f>
        <v>81.876288659793815</v>
      </c>
      <c r="M54" s="30">
        <f>'[1]INVENTARIO NACIONAL 03-09-26'!M54</f>
        <v>1746</v>
      </c>
      <c r="N54" s="15">
        <f>'[1]INVENTARIO NACIONAL 03-09-26'!N54</f>
        <v>5704.363636363636</v>
      </c>
      <c r="O54" s="16">
        <f>'[1]INVENTARIO NACIONAL 03-09-26'!O54</f>
        <v>374</v>
      </c>
      <c r="P54" s="17">
        <f>'[1]INVENTARIO NACIONAL 03-09-26'!P54</f>
        <v>302.94</v>
      </c>
      <c r="Q54" s="14">
        <f>'[1]INVENTARIO NACIONAL 03-09-26'!Q54</f>
        <v>24.058479532163744</v>
      </c>
      <c r="R54" s="16">
        <f>'[1]INVENTARIO NACIONAL 03-09-26'!R54</f>
        <v>342</v>
      </c>
      <c r="S54" s="15">
        <f>'[1]INVENTARIO NACIONAL 03-09-26'!S54</f>
        <v>140.81818181818181</v>
      </c>
      <c r="T54" s="18">
        <f>'[1]INVENTARIO NACIONAL 03-09-26'!T54</f>
        <v>906</v>
      </c>
      <c r="U54" s="17">
        <f>'[1]INVENTARIO NACIONAL 03-09-26'!U54</f>
        <v>733.86</v>
      </c>
      <c r="V54" s="14">
        <f>'[1]INVENTARIO NACIONAL 03-09-26'!V54</f>
        <v>32.252427184466022</v>
      </c>
      <c r="W54" s="16">
        <f>'[1]INVENTARIO NACIONAL 03-09-26'!W54</f>
        <v>618</v>
      </c>
      <c r="X54" s="15">
        <f>'[1]INVENTARIO NACIONAL 03-09-26'!X54</f>
        <v>484.63636363636363</v>
      </c>
      <c r="Y54" s="18">
        <f>'[1]INVENTARIO NACIONAL 03-09-26'!Y54</f>
        <v>141</v>
      </c>
      <c r="Z54" s="17">
        <f>'[1]INVENTARIO NACIONAL 03-09-26'!Z54</f>
        <v>114.21000000000001</v>
      </c>
      <c r="AA54" s="14">
        <f>'[1]INVENTARIO NACIONAL 03-09-26'!AA54</f>
        <v>11.531598513011152</v>
      </c>
      <c r="AB54" s="16">
        <f>'[1]INVENTARIO NACIONAL 03-09-26'!AB54</f>
        <v>269</v>
      </c>
      <c r="AC54" s="15">
        <f>'[1]INVENTARIO NACIONAL 03-09-26'!AC54</f>
        <v>-42.409090909090907</v>
      </c>
      <c r="AD54" s="19">
        <f>'[1]INVENTARIO NACIONAL 03-09-26'!AD54</f>
        <v>11293</v>
      </c>
      <c r="AE54" s="20">
        <f>'[1]INVENTARIO NACIONAL 03-09-26'!AE54</f>
        <v>9147.33</v>
      </c>
      <c r="AF54" s="21">
        <f>'[1]INVENTARIO NACIONAL 03-09-26'!AF54</f>
        <v>3055.7142857142853</v>
      </c>
      <c r="AG54" s="22">
        <f>'[1]INVENTARIO NACIONAL 03-09-26'!AG54</f>
        <v>36.956989247311832</v>
      </c>
      <c r="AH54" s="23">
        <f>'[1]INVENTARIO NACIONAL 03-09-26'!AH54</f>
        <v>3.6956989247311833</v>
      </c>
      <c r="AI54" s="26">
        <f>'[1]INVENTARIO NACIONAL 03-09-26'!AI54</f>
        <v>8237.2857142857138</v>
      </c>
      <c r="AJ54" s="27">
        <f>'[1]INVENTARIO NACIONAL 03-09-26'!AJ54</f>
        <v>1527.8571428571427</v>
      </c>
      <c r="AK54" s="25">
        <f>'[1]INVENTARIO NACIONAL 03-09-26'!AK54</f>
        <v>-6709.4285714285706</v>
      </c>
      <c r="AL54" s="28">
        <f>'[1]INVENTARIO NACIONAL 03-09-26'!AL54</f>
        <v>941.08333333333337</v>
      </c>
    </row>
    <row r="55" spans="2:39" x14ac:dyDescent="0.25">
      <c r="B55" s="10">
        <f>'[1]INVENTARIO NACIONAL 03-09-26'!B55</f>
        <v>150363</v>
      </c>
      <c r="C55" s="29" t="str">
        <f>'[1]INVENTARIO NACIONAL 03-09-26'!C55</f>
        <v>Tevia Tropical Punch 360ml</v>
      </c>
      <c r="D55" s="12">
        <f>'[1]INVENTARIO NACIONAL 03-09-26'!D55</f>
        <v>0.81</v>
      </c>
      <c r="E55" s="13">
        <f>'[1]INVENTARIO NACIONAL 03-09-26'!E55</f>
        <v>5156</v>
      </c>
      <c r="F55" s="14">
        <f>'[1]INVENTARIO NACIONAL 03-09-26'!F55</f>
        <v>4176.3600000000006</v>
      </c>
      <c r="G55" s="14">
        <f>'[1]INVENTARIO NACIONAL 03-09-26'!G55</f>
        <v>41.6417033773862</v>
      </c>
      <c r="H55" s="30">
        <f>'[1]INVENTARIO NACIONAL 03-09-26'!H55</f>
        <v>2724</v>
      </c>
      <c r="I55" s="15">
        <f>'[1]INVENTARIO NACIONAL 03-09-26'!I55</f>
        <v>3917.818181818182</v>
      </c>
      <c r="J55" s="16">
        <f>'[1]INVENTARIO NACIONAL 03-09-26'!J55</f>
        <v>8526</v>
      </c>
      <c r="K55" s="13">
        <f>'[1]INVENTARIO NACIONAL 03-09-26'!K55</f>
        <v>6906.06</v>
      </c>
      <c r="L55" s="14">
        <f>'[1]INVENTARIO NACIONAL 03-09-26'!L55</f>
        <v>95.944757033248067</v>
      </c>
      <c r="M55" s="30">
        <f>'[1]INVENTARIO NACIONAL 03-09-26'!M55</f>
        <v>1955.0000000000002</v>
      </c>
      <c r="N55" s="15">
        <f>'[1]INVENTARIO NACIONAL 03-09-26'!N55</f>
        <v>7637.363636363636</v>
      </c>
      <c r="O55" s="16">
        <f>'[1]INVENTARIO NACIONAL 03-09-26'!O55</f>
        <v>249</v>
      </c>
      <c r="P55" s="17">
        <f>'[1]INVENTARIO NACIONAL 03-09-26'!P55</f>
        <v>201.69000000000003</v>
      </c>
      <c r="Q55" s="14">
        <f>'[1]INVENTARIO NACIONAL 03-09-26'!Q55</f>
        <v>12.173333333333334</v>
      </c>
      <c r="R55" s="16">
        <f>'[1]INVENTARIO NACIONAL 03-09-26'!R55</f>
        <v>449.99999999999994</v>
      </c>
      <c r="S55" s="15">
        <f>'[1]INVENTARIO NACIONAL 03-09-26'!S55</f>
        <v>-57.818181818181813</v>
      </c>
      <c r="T55" s="18">
        <f>'[1]INVENTARIO NACIONAL 03-09-26'!T55</f>
        <v>595</v>
      </c>
      <c r="U55" s="17">
        <f>'[1]INVENTARIO NACIONAL 03-09-26'!U55</f>
        <v>481.95000000000005</v>
      </c>
      <c r="V55" s="14">
        <f>'[1]INVENTARIO NACIONAL 03-09-26'!V55</f>
        <v>18.462623413258111</v>
      </c>
      <c r="W55" s="16">
        <f>'[1]INVENTARIO NACIONAL 03-09-26'!W55</f>
        <v>709</v>
      </c>
      <c r="X55" s="15">
        <f>'[1]INVENTARIO NACIONAL 03-09-26'!X55</f>
        <v>111.59090909090912</v>
      </c>
      <c r="Y55" s="18">
        <f>'[1]INVENTARIO NACIONAL 03-09-26'!Y55</f>
        <v>153</v>
      </c>
      <c r="Z55" s="17">
        <f>'[1]INVENTARIO NACIONAL 03-09-26'!Z55</f>
        <v>123.93</v>
      </c>
      <c r="AA55" s="14">
        <f>'[1]INVENTARIO NACIONAL 03-09-26'!AA55</f>
        <v>13.463999999999999</v>
      </c>
      <c r="AB55" s="16">
        <f>'[1]INVENTARIO NACIONAL 03-09-26'!AB55</f>
        <v>250.00000000000003</v>
      </c>
      <c r="AC55" s="15">
        <f>'[1]INVENTARIO NACIONAL 03-09-26'!AC55</f>
        <v>-17.454545454545467</v>
      </c>
      <c r="AD55" s="19">
        <f>'[1]INVENTARIO NACIONAL 03-09-26'!AD55</f>
        <v>14679</v>
      </c>
      <c r="AE55" s="20">
        <f>'[1]INVENTARIO NACIONAL 03-09-26'!AE55</f>
        <v>11889.990000000002</v>
      </c>
      <c r="AF55" s="21">
        <f>'[1]INVENTARIO NACIONAL 03-09-26'!AF55</f>
        <v>2899.0476190476193</v>
      </c>
      <c r="AG55" s="22">
        <f>'[1]INVENTARIO NACIONAL 03-09-26'!AG55</f>
        <v>50.633869908015768</v>
      </c>
      <c r="AH55" s="23">
        <f>'[1]INVENTARIO NACIONAL 03-09-26'!AH55</f>
        <v>5.0633869908015763</v>
      </c>
      <c r="AI55" s="26">
        <f>'[1]INVENTARIO NACIONAL 03-09-26'!AI55</f>
        <v>11779.952380952382</v>
      </c>
      <c r="AJ55" s="27">
        <f>'[1]INVENTARIO NACIONAL 03-09-26'!AJ55</f>
        <v>1449.5238095238096</v>
      </c>
      <c r="AK55" s="25">
        <f>'[1]INVENTARIO NACIONAL 03-09-26'!AK55</f>
        <v>-10330.428571428572</v>
      </c>
      <c r="AL55" s="28">
        <f>'[1]INVENTARIO NACIONAL 03-09-26'!AL55</f>
        <v>1223.25</v>
      </c>
    </row>
    <row r="56" spans="2:39" x14ac:dyDescent="0.25">
      <c r="B56" s="10">
        <f>'[1]INVENTARIO NACIONAL 03-09-26'!B56</f>
        <v>151500</v>
      </c>
      <c r="C56" s="29" t="str">
        <f>'[1]INVENTARIO NACIONAL 03-09-26'!C56</f>
        <v>Tevia Limon 1.5L</v>
      </c>
      <c r="D56" s="12">
        <f>'[1]INVENTARIO NACIONAL 03-09-26'!D56</f>
        <v>2.62</v>
      </c>
      <c r="E56" s="13">
        <f>'[1]INVENTARIO NACIONAL 03-09-26'!E56</f>
        <v>173</v>
      </c>
      <c r="F56" s="14">
        <f>'[1]INVENTARIO NACIONAL 03-09-26'!F56</f>
        <v>453.26</v>
      </c>
      <c r="G56" s="14">
        <f>'[1]INVENTARIO NACIONAL 03-09-26'!G56</f>
        <v>7.6272545090180355</v>
      </c>
      <c r="H56" s="30">
        <f>'[1]INVENTARIO NACIONAL 03-09-26'!H56</f>
        <v>499</v>
      </c>
      <c r="I56" s="15">
        <f>'[1]INVENTARIO NACIONAL 03-09-26'!I56</f>
        <v>-53.818181818181841</v>
      </c>
      <c r="J56" s="32">
        <f>'[1]INVENTARIO NACIONAL 03-09-26'!J56</f>
        <v>253</v>
      </c>
      <c r="K56" s="13">
        <f>'[1]INVENTARIO NACIONAL 03-09-26'!K56</f>
        <v>662.86</v>
      </c>
      <c r="L56" s="14">
        <f>'[1]INVENTARIO NACIONAL 03-09-26'!L56</f>
        <v>12.507865168539325</v>
      </c>
      <c r="M56" s="30">
        <f>'[1]INVENTARIO NACIONAL 03-09-26'!M56</f>
        <v>445</v>
      </c>
      <c r="N56" s="15">
        <f>'[1]INVENTARIO NACIONAL 03-09-26'!N56</f>
        <v>50.727272727272748</v>
      </c>
      <c r="O56" s="32">
        <f>'[1]INVENTARIO NACIONAL 03-09-26'!O56</f>
        <v>28</v>
      </c>
      <c r="P56" s="17">
        <f>'[1]INVENTARIO NACIONAL 03-09-26'!P56</f>
        <v>73.36</v>
      </c>
      <c r="Q56" s="14">
        <f>'[1]INVENTARIO NACIONAL 03-09-26'!Q56</f>
        <v>20.533333333333335</v>
      </c>
      <c r="R56" s="16">
        <f>'[1]INVENTARIO NACIONAL 03-09-26'!R56</f>
        <v>30</v>
      </c>
      <c r="S56" s="15">
        <f>'[1]INVENTARIO NACIONAL 03-09-26'!S56</f>
        <v>7.5454545454545467</v>
      </c>
      <c r="T56" s="18">
        <f>'[1]INVENTARIO NACIONAL 03-09-26'!T56</f>
        <v>62</v>
      </c>
      <c r="U56" s="17">
        <f>'[1]INVENTARIO NACIONAL 03-09-26'!U56</f>
        <v>162.44</v>
      </c>
      <c r="V56" s="14">
        <f>'[1]INVENTARIO NACIONAL 03-09-26'!V56</f>
        <v>7.255319148936171</v>
      </c>
      <c r="W56" s="16">
        <f>'[1]INVENTARIO NACIONAL 03-09-26'!W56</f>
        <v>188</v>
      </c>
      <c r="X56" s="15">
        <f>'[1]INVENTARIO NACIONAL 03-09-26'!X56</f>
        <v>-66.181818181818187</v>
      </c>
      <c r="Y56" s="18">
        <f>'[1]INVENTARIO NACIONAL 03-09-26'!Y56</f>
        <v>52</v>
      </c>
      <c r="Z56" s="17">
        <f>'[1]INVENTARIO NACIONAL 03-09-26'!Z56</f>
        <v>136.24</v>
      </c>
      <c r="AA56" s="14">
        <f>'[1]INVENTARIO NACIONAL 03-09-26'!AA56</f>
        <v>22.88</v>
      </c>
      <c r="AB56" s="16">
        <f>'[1]INVENTARIO NACIONAL 03-09-26'!AB56</f>
        <v>50</v>
      </c>
      <c r="AC56" s="15">
        <f>'[1]INVENTARIO NACIONAL 03-09-26'!AC56</f>
        <v>17.909090909090907</v>
      </c>
      <c r="AD56" s="19">
        <f>'[1]INVENTARIO NACIONAL 03-09-26'!AD56</f>
        <v>568</v>
      </c>
      <c r="AE56" s="20">
        <f>'[1]INVENTARIO NACIONAL 03-09-26'!AE56</f>
        <v>1488.16</v>
      </c>
      <c r="AF56" s="21">
        <f>'[1]INVENTARIO NACIONAL 03-09-26'!AF56</f>
        <v>577.14285714285711</v>
      </c>
      <c r="AG56" s="22">
        <f>'[1]INVENTARIO NACIONAL 03-09-26'!AG56</f>
        <v>9.8415841584158432</v>
      </c>
      <c r="AH56" s="23">
        <f>'[1]INVENTARIO NACIONAL 03-09-26'!AH56</f>
        <v>0.98415841584158426</v>
      </c>
      <c r="AI56" s="26">
        <f>'[1]INVENTARIO NACIONAL 03-09-26'!AI56</f>
        <v>-9.1428571428571104</v>
      </c>
      <c r="AJ56" s="27">
        <f>'[1]INVENTARIO NACIONAL 03-09-26'!AJ56</f>
        <v>288.57142857142856</v>
      </c>
      <c r="AK56" s="25">
        <f>'[1]INVENTARIO NACIONAL 03-09-26'!AK56</f>
        <v>297.71428571428567</v>
      </c>
      <c r="AL56" s="28">
        <f>'[1]INVENTARIO NACIONAL 03-09-26'!AL56</f>
        <v>94.666666666666671</v>
      </c>
    </row>
    <row r="57" spans="2:39" x14ac:dyDescent="0.25">
      <c r="B57" s="10">
        <f>'[1]INVENTARIO NACIONAL 03-09-26'!B57</f>
        <v>151501</v>
      </c>
      <c r="C57" s="29" t="str">
        <f>'[1]INVENTARIO NACIONAL 03-09-26'!C57</f>
        <v>Tevia Durazno 1.5 L</v>
      </c>
      <c r="D57" s="12">
        <f>'[1]INVENTARIO NACIONAL 03-09-26'!D57</f>
        <v>2.62</v>
      </c>
      <c r="E57" s="13">
        <f>'[1]INVENTARIO NACIONAL 03-09-26'!E57</f>
        <v>108</v>
      </c>
      <c r="F57" s="14">
        <f>'[1]INVENTARIO NACIONAL 03-09-26'!F57</f>
        <v>282.96000000000004</v>
      </c>
      <c r="G57" s="14">
        <f>'[1]INVENTARIO NACIONAL 03-09-26'!G57</f>
        <v>2.6138613861386135</v>
      </c>
      <c r="H57" s="30">
        <f>'[1]INVENTARIO NACIONAL 03-09-26'!H57</f>
        <v>909</v>
      </c>
      <c r="I57" s="15">
        <f>'[1]INVENTARIO NACIONAL 03-09-26'!I57</f>
        <v>-305.18181818181819</v>
      </c>
      <c r="J57" s="32">
        <f>'[1]INVENTARIO NACIONAL 03-09-26'!J57</f>
        <v>121</v>
      </c>
      <c r="K57" s="13">
        <f>'[1]INVENTARIO NACIONAL 03-09-26'!K57</f>
        <v>317.02000000000004</v>
      </c>
      <c r="L57" s="14">
        <f>'[1]INVENTARIO NACIONAL 03-09-26'!L57</f>
        <v>3.0953488372093028</v>
      </c>
      <c r="M57" s="30">
        <f>'[1]INVENTARIO NACIONAL 03-09-26'!M57</f>
        <v>859.99999999999989</v>
      </c>
      <c r="N57" s="15">
        <f>'[1]INVENTARIO NACIONAL 03-09-26'!N57</f>
        <v>-269.90909090909088</v>
      </c>
      <c r="O57" s="32">
        <f>'[1]INVENTARIO NACIONAL 03-09-26'!O57</f>
        <v>12</v>
      </c>
      <c r="P57" s="17">
        <f>'[1]INVENTARIO NACIONAL 03-09-26'!P57</f>
        <v>31.44</v>
      </c>
      <c r="Q57" s="14">
        <f>'[1]INVENTARIO NACIONAL 03-09-26'!Q57</f>
        <v>3.8260869565217392</v>
      </c>
      <c r="R57" s="16">
        <f>'[1]INVENTARIO NACIONAL 03-09-26'!R57</f>
        <v>69</v>
      </c>
      <c r="S57" s="15">
        <f>'[1]INVENTARIO NACIONAL 03-09-26'!S57</f>
        <v>-35.045454545454547</v>
      </c>
      <c r="T57" s="18">
        <f>'[1]INVENTARIO NACIONAL 03-09-26'!T57</f>
        <v>8</v>
      </c>
      <c r="U57" s="17">
        <f>'[1]INVENTARIO NACIONAL 03-09-26'!U57</f>
        <v>20.96</v>
      </c>
      <c r="V57" s="14">
        <f>'[1]INVENTARIO NACIONAL 03-09-26'!V57</f>
        <v>0.56957928802588997</v>
      </c>
      <c r="W57" s="16">
        <f>'[1]INVENTARIO NACIONAL 03-09-26'!W57</f>
        <v>309</v>
      </c>
      <c r="X57" s="15">
        <f>'[1]INVENTARIO NACIONAL 03-09-26'!X57</f>
        <v>-202.68181818181819</v>
      </c>
      <c r="Y57" s="18">
        <f>'[1]INVENTARIO NACIONAL 03-09-26'!Y57</f>
        <v>68</v>
      </c>
      <c r="Z57" s="17">
        <f>'[1]INVENTARIO NACIONAL 03-09-26'!Z57</f>
        <v>178.16</v>
      </c>
      <c r="AA57" s="14">
        <f>'[1]INVENTARIO NACIONAL 03-09-26'!AA57</f>
        <v>28.769230769230766</v>
      </c>
      <c r="AB57" s="16">
        <f>'[1]INVENTARIO NACIONAL 03-09-26'!AB57</f>
        <v>52</v>
      </c>
      <c r="AC57" s="15">
        <f>'[1]INVENTARIO NACIONAL 03-09-26'!AC57</f>
        <v>32.545454545454547</v>
      </c>
      <c r="AD57" s="19">
        <f>'[1]INVENTARIO NACIONAL 03-09-26'!AD57</f>
        <v>317</v>
      </c>
      <c r="AE57" s="20">
        <f>'[1]INVENTARIO NACIONAL 03-09-26'!AE57</f>
        <v>830.54000000000008</v>
      </c>
      <c r="AF57" s="21">
        <f>'[1]INVENTARIO NACIONAL 03-09-26'!AF57</f>
        <v>1047.1428571428571</v>
      </c>
      <c r="AG57" s="22">
        <f>'[1]INVENTARIO NACIONAL 03-09-26'!AG57</f>
        <v>3.0272851296043659</v>
      </c>
      <c r="AH57" s="23">
        <f>'[1]INVENTARIO NACIONAL 03-09-26'!AH57</f>
        <v>0.30272851296043657</v>
      </c>
      <c r="AI57" s="26">
        <f>'[1]INVENTARIO NACIONAL 03-09-26'!AI57</f>
        <v>-730.14285714285711</v>
      </c>
      <c r="AJ57" s="27">
        <f>'[1]INVENTARIO NACIONAL 03-09-26'!AJ57</f>
        <v>523.57142857142856</v>
      </c>
      <c r="AK57" s="25">
        <f>'[1]INVENTARIO NACIONAL 03-09-26'!AK57</f>
        <v>1253.7142857142858</v>
      </c>
      <c r="AL57" s="28">
        <f>'[1]INVENTARIO NACIONAL 03-09-26'!AL57</f>
        <v>52.833333333333336</v>
      </c>
    </row>
    <row r="58" spans="2:39" x14ac:dyDescent="0.25">
      <c r="B58" s="10">
        <f>'[1]INVENTARIO NACIONAL 03-09-26'!B58</f>
        <v>151502</v>
      </c>
      <c r="C58" s="29" t="str">
        <f>'[1]INVENTARIO NACIONAL 03-09-26'!C58</f>
        <v>Tevia Blueberry 1.5 L</v>
      </c>
      <c r="D58" s="12">
        <f>'[1]INVENTARIO NACIONAL 03-09-26'!D58</f>
        <v>2.62</v>
      </c>
      <c r="E58" s="13">
        <f>'[1]INVENTARIO NACIONAL 03-09-26'!E58</f>
        <v>247</v>
      </c>
      <c r="F58" s="14">
        <f>'[1]INVENTARIO NACIONAL 03-09-26'!F58</f>
        <v>647.14</v>
      </c>
      <c r="G58" s="14">
        <f>'[1]INVENTARIO NACIONAL 03-09-26'!G58</f>
        <v>12.876777251184834</v>
      </c>
      <c r="H58" s="30">
        <f>'[1]INVENTARIO NACIONAL 03-09-26'!H58</f>
        <v>422</v>
      </c>
      <c r="I58" s="15">
        <f>'[1]INVENTARIO NACIONAL 03-09-26'!I58</f>
        <v>55.181818181818159</v>
      </c>
      <c r="J58" s="32">
        <f>'[1]INVENTARIO NACIONAL 03-09-26'!J58</f>
        <v>274</v>
      </c>
      <c r="K58" s="13">
        <f>'[1]INVENTARIO NACIONAL 03-09-26'!K58</f>
        <v>717.88</v>
      </c>
      <c r="L58" s="14">
        <f>'[1]INVENTARIO NACIONAL 03-09-26'!L58</f>
        <v>14.810810810810811</v>
      </c>
      <c r="M58" s="30">
        <f>'[1]INVENTARIO NACIONAL 03-09-26'!M58</f>
        <v>407</v>
      </c>
      <c r="N58" s="15">
        <f>'[1]INVENTARIO NACIONAL 03-09-26'!N58</f>
        <v>89</v>
      </c>
      <c r="O58" s="32">
        <f>'[1]INVENTARIO NACIONAL 03-09-26'!O58</f>
        <v>21</v>
      </c>
      <c r="P58" s="17">
        <f>'[1]INVENTARIO NACIONAL 03-09-26'!P58</f>
        <v>55.02</v>
      </c>
      <c r="Q58" s="14">
        <f>'[1]INVENTARIO NACIONAL 03-09-26'!Q58</f>
        <v>10.266666666666667</v>
      </c>
      <c r="R58" s="16">
        <f>'[1]INVENTARIO NACIONAL 03-09-26'!R58</f>
        <v>45</v>
      </c>
      <c r="S58" s="15">
        <f>'[1]INVENTARIO NACIONAL 03-09-26'!S58</f>
        <v>-9.6818181818181799</v>
      </c>
      <c r="T58" s="18">
        <f>'[1]INVENTARIO NACIONAL 03-09-26'!T58</f>
        <v>43</v>
      </c>
      <c r="U58" s="17">
        <f>'[1]INVENTARIO NACIONAL 03-09-26'!U58</f>
        <v>112.66000000000001</v>
      </c>
      <c r="V58" s="14">
        <f>'[1]INVENTARIO NACIONAL 03-09-26'!V58</f>
        <v>8.5225225225225216</v>
      </c>
      <c r="W58" s="16">
        <f>'[1]INVENTARIO NACIONAL 03-09-26'!W58</f>
        <v>111</v>
      </c>
      <c r="X58" s="15">
        <f>'[1]INVENTARIO NACIONAL 03-09-26'!X58</f>
        <v>-32.681818181818187</v>
      </c>
      <c r="Y58" s="18">
        <f>'[1]INVENTARIO NACIONAL 03-09-26'!Y58</f>
        <v>51</v>
      </c>
      <c r="Z58" s="17">
        <f>'[1]INVENTARIO NACIONAL 03-09-26'!Z58</f>
        <v>133.62</v>
      </c>
      <c r="AA58" s="14">
        <f>'[1]INVENTARIO NACIONAL 03-09-26'!AA58</f>
        <v>22</v>
      </c>
      <c r="AB58" s="16">
        <f>'[1]INVENTARIO NACIONAL 03-09-26'!AB58</f>
        <v>51</v>
      </c>
      <c r="AC58" s="15">
        <f>'[1]INVENTARIO NACIONAL 03-09-26'!AC58</f>
        <v>16.227272727272727</v>
      </c>
      <c r="AD58" s="19">
        <f>'[1]INVENTARIO NACIONAL 03-09-26'!AD58</f>
        <v>636</v>
      </c>
      <c r="AE58" s="20">
        <f>'[1]INVENTARIO NACIONAL 03-09-26'!AE58</f>
        <v>1666.3200000000002</v>
      </c>
      <c r="AF58" s="21">
        <f>'[1]INVENTARIO NACIONAL 03-09-26'!AF58</f>
        <v>493.33333333333337</v>
      </c>
      <c r="AG58" s="22">
        <f>'[1]INVENTARIO NACIONAL 03-09-26'!AG58</f>
        <v>12.891891891891891</v>
      </c>
      <c r="AH58" s="23">
        <f>'[1]INVENTARIO NACIONAL 03-09-26'!AH58</f>
        <v>1.2891891891891891</v>
      </c>
      <c r="AI58" s="26">
        <f>'[1]INVENTARIO NACIONAL 03-09-26'!AI58</f>
        <v>142.66666666666663</v>
      </c>
      <c r="AJ58" s="27">
        <f>'[1]INVENTARIO NACIONAL 03-09-26'!AJ58</f>
        <v>246.66666666666669</v>
      </c>
      <c r="AK58" s="25">
        <f>'[1]INVENTARIO NACIONAL 03-09-26'!AK58</f>
        <v>104.00000000000006</v>
      </c>
      <c r="AL58" s="28">
        <f>'[1]INVENTARIO NACIONAL 03-09-26'!AL58</f>
        <v>106</v>
      </c>
      <c r="AM58" s="62" t="s">
        <v>16</v>
      </c>
    </row>
    <row r="59" spans="2:39" x14ac:dyDescent="0.25">
      <c r="B59" s="33">
        <f>'[1]INVENTARIO NACIONAL 03-09-26'!B59</f>
        <v>151503</v>
      </c>
      <c r="C59" s="11" t="str">
        <f>'[1]INVENTARIO NACIONAL 03-09-26'!C59</f>
        <v>Tevia Tropical Punch 1.5 L</v>
      </c>
      <c r="D59" s="12">
        <f>'[1]INVENTARIO NACIONAL 03-09-26'!D59</f>
        <v>2.62</v>
      </c>
      <c r="E59" s="13">
        <f>'[1]INVENTARIO NACIONAL 03-09-26'!E59</f>
        <v>102</v>
      </c>
      <c r="F59" s="14">
        <f>'[1]INVENTARIO NACIONAL 03-09-26'!F59</f>
        <v>267.24</v>
      </c>
      <c r="G59" s="14">
        <f>'[1]INVENTARIO NACIONAL 03-09-26'!G59</f>
        <v>4.408644400785855</v>
      </c>
      <c r="H59" s="30">
        <f>'[1]INVENTARIO NACIONAL 03-09-26'!H59</f>
        <v>509</v>
      </c>
      <c r="I59" s="15">
        <f>'[1]INVENTARIO NACIONAL 03-09-26'!I59</f>
        <v>-129.36363636363637</v>
      </c>
      <c r="J59" s="32">
        <f>'[1]INVENTARIO NACIONAL 03-09-26'!J59</f>
        <v>160</v>
      </c>
      <c r="K59" s="13">
        <f>'[1]INVENTARIO NACIONAL 03-09-26'!K59</f>
        <v>419.20000000000005</v>
      </c>
      <c r="L59" s="14">
        <f>'[1]INVENTARIO NACIONAL 03-09-26'!L59</f>
        <v>8.7128712871287135</v>
      </c>
      <c r="M59" s="30">
        <f>'[1]INVENTARIO NACIONAL 03-09-26'!M59</f>
        <v>404</v>
      </c>
      <c r="N59" s="15">
        <f>'[1]INVENTARIO NACIONAL 03-09-26'!N59</f>
        <v>-23.636363636363626</v>
      </c>
      <c r="O59" s="32">
        <f>'[1]INVENTARIO NACIONAL 03-09-26'!O59</f>
        <v>1</v>
      </c>
      <c r="P59" s="17">
        <f>'[1]INVENTARIO NACIONAL 03-09-26'!P59</f>
        <v>2.62</v>
      </c>
      <c r="Q59" s="14">
        <f>'[1]INVENTARIO NACIONAL 03-09-26'!Q59</f>
        <v>0.84615384615384615</v>
      </c>
      <c r="R59" s="16">
        <f>'[1]INVENTARIO NACIONAL 03-09-26'!R59</f>
        <v>26</v>
      </c>
      <c r="S59" s="15">
        <f>'[1]INVENTARIO NACIONAL 03-09-26'!S59</f>
        <v>-16.727272727272727</v>
      </c>
      <c r="T59" s="18">
        <f>'[1]INVENTARIO NACIONAL 03-09-26'!T59</f>
        <v>23</v>
      </c>
      <c r="U59" s="17">
        <f>'[1]INVENTARIO NACIONAL 03-09-26'!U59</f>
        <v>60.260000000000005</v>
      </c>
      <c r="V59" s="14">
        <f>'[1]INVENTARIO NACIONAL 03-09-26'!V59</f>
        <v>2.5948717948717945</v>
      </c>
      <c r="W59" s="16">
        <f>'[1]INVENTARIO NACIONAL 03-09-26'!W59</f>
        <v>195.00000000000003</v>
      </c>
      <c r="X59" s="15">
        <f>'[1]INVENTARIO NACIONAL 03-09-26'!X59</f>
        <v>-109.95454545454547</v>
      </c>
      <c r="Y59" s="18">
        <f>'[1]INVENTARIO NACIONAL 03-09-26'!Y59</f>
        <v>44</v>
      </c>
      <c r="Z59" s="17">
        <f>'[1]INVENTARIO NACIONAL 03-09-26'!Z59</f>
        <v>115.28</v>
      </c>
      <c r="AA59" s="14">
        <f>'[1]INVENTARIO NACIONAL 03-09-26'!AA59</f>
        <v>34.571428571428569</v>
      </c>
      <c r="AB59" s="16">
        <f>'[1]INVENTARIO NACIONAL 03-09-26'!AB59</f>
        <v>28</v>
      </c>
      <c r="AC59" s="15">
        <f>'[1]INVENTARIO NACIONAL 03-09-26'!AC59</f>
        <v>24.90909090909091</v>
      </c>
      <c r="AD59" s="19">
        <f>'[1]INVENTARIO NACIONAL 03-09-26'!AD59</f>
        <v>330</v>
      </c>
      <c r="AE59" s="20">
        <f>'[1]INVENTARIO NACIONAL 03-09-26'!AE59</f>
        <v>864.6</v>
      </c>
      <c r="AF59" s="21">
        <f>'[1]INVENTARIO NACIONAL 03-09-26'!AF59</f>
        <v>553.33333333333337</v>
      </c>
      <c r="AG59" s="22">
        <f>'[1]INVENTARIO NACIONAL 03-09-26'!AG59</f>
        <v>5.9638554216867465</v>
      </c>
      <c r="AH59" s="23">
        <f>'[1]INVENTARIO NACIONAL 03-09-26'!AH59</f>
        <v>0.59638554216867468</v>
      </c>
      <c r="AI59" s="26">
        <f>'[1]INVENTARIO NACIONAL 03-09-26'!AI59</f>
        <v>-223.33333333333337</v>
      </c>
      <c r="AJ59" s="27">
        <f>'[1]INVENTARIO NACIONAL 03-09-26'!AJ59</f>
        <v>276.66666666666669</v>
      </c>
      <c r="AK59" s="25">
        <f>'[1]INVENTARIO NACIONAL 03-09-26'!AK59</f>
        <v>500.00000000000006</v>
      </c>
      <c r="AL59" s="28">
        <f>'[1]INVENTARIO NACIONAL 03-09-26'!AL59</f>
        <v>55</v>
      </c>
      <c r="AM59" s="63">
        <f>SUM(AL52:AL59)</f>
        <v>4606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145236.85714285719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129152.12000000001</v>
      </c>
      <c r="E62" s="64">
        <f>D62*100/D67</f>
        <v>31.519041044219556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214372.92000000004</v>
      </c>
      <c r="E63" s="64">
        <f>D63*100/D67</f>
        <v>52.316825029656464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14077.140000000001</v>
      </c>
      <c r="E64" s="64">
        <f>D64*100/D67</f>
        <v>3.4354678300691068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42320.060000000012</v>
      </c>
      <c r="E65" s="64">
        <f>D65*100/D67</f>
        <v>10.32803571581972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9836.8000000000011</v>
      </c>
      <c r="E66" s="64">
        <f>D66*100/D67</f>
        <v>2.4006303802351745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409759.04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103665</v>
      </c>
      <c r="E70" s="64">
        <f>D70*100/D75</f>
        <v>33.415745838544552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159699</v>
      </c>
      <c r="E71" s="64">
        <f>D71*100/D75</f>
        <v>51.477945253168635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10690</v>
      </c>
      <c r="E72" s="64">
        <f>D72*100/D75</f>
        <v>3.4458527276712609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29547</v>
      </c>
      <c r="E73" s="64">
        <f>D73*100/D75</f>
        <v>9.5242853643126999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6627</v>
      </c>
      <c r="E74" s="64">
        <f>D74*100/D75</f>
        <v>2.1361708163028483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310228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2026-09-07T12:01:17Z</dcterms:modified>
</cp:coreProperties>
</file>