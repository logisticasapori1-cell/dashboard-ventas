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rbit\Desktop\Almacén\Mi_Dashboard_Ventas\dashboard_supply_v.2.0\data\"/>
    </mc:Choice>
  </mc:AlternateContent>
  <xr:revisionPtr revIDLastSave="0" documentId="13_ncr:1_{CD73858E-1A6F-4301-9FEF-FC35027B0CC4}" xr6:coauthVersionLast="47" xr6:coauthVersionMax="47" xr10:uidLastSave="{00000000-0000-0000-0000-000000000000}"/>
  <bookViews>
    <workbookView xWindow="-120" yWindow="-120" windowWidth="29040" windowHeight="15720" xr2:uid="{75DCD74C-609F-43BF-97F7-A30B35570E21}"/>
  </bookViews>
  <sheets>
    <sheet name="Hoja1" sheetId="1" r:id="rId1"/>
  </sheets>
  <externalReferences>
    <externalReference r:id="rId2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62" i="1" l="1"/>
  <c r="D63" i="1"/>
  <c r="D64" i="1"/>
  <c r="D65" i="1"/>
  <c r="D66" i="1"/>
  <c r="D67" i="1"/>
  <c r="B12" i="1"/>
  <c r="C12" i="1"/>
  <c r="D12" i="1"/>
  <c r="E12" i="1"/>
  <c r="F12" i="1"/>
  <c r="G12" i="1"/>
  <c r="H12" i="1"/>
  <c r="I12" i="1"/>
  <c r="J12" i="1"/>
  <c r="K12" i="1"/>
  <c r="L12" i="1"/>
  <c r="M12" i="1"/>
  <c r="N12" i="1"/>
  <c r="O12" i="1"/>
  <c r="P12" i="1"/>
  <c r="Q12" i="1"/>
  <c r="R12" i="1"/>
  <c r="S12" i="1"/>
  <c r="T12" i="1"/>
  <c r="U12" i="1"/>
  <c r="V12" i="1"/>
  <c r="W12" i="1"/>
  <c r="X12" i="1"/>
  <c r="Y12" i="1"/>
  <c r="Z12" i="1"/>
  <c r="AA12" i="1"/>
  <c r="AB12" i="1"/>
  <c r="AC12" i="1"/>
  <c r="AD12" i="1"/>
  <c r="AE12" i="1"/>
  <c r="AF12" i="1"/>
  <c r="AG12" i="1"/>
  <c r="AH12" i="1"/>
  <c r="AI12" i="1"/>
  <c r="AJ12" i="1"/>
  <c r="AK12" i="1"/>
  <c r="AL12" i="1"/>
  <c r="D74" i="1" l="1"/>
  <c r="D70" i="1"/>
  <c r="D72" i="1"/>
  <c r="E67" i="1"/>
  <c r="AK60" i="1"/>
  <c r="AM59" i="1"/>
  <c r="D71" i="1"/>
  <c r="D73" i="1"/>
  <c r="D75" i="1"/>
  <c r="AM51" i="1"/>
  <c r="E62" i="1"/>
  <c r="E64" i="1"/>
  <c r="E65" i="1"/>
  <c r="E74" i="1"/>
  <c r="E63" i="1"/>
  <c r="E66" i="1"/>
  <c r="E73" i="1" l="1"/>
  <c r="E75" i="1"/>
  <c r="E72" i="1"/>
  <c r="E71" i="1"/>
  <c r="E70" i="1"/>
</calcChain>
</file>

<file path=xl/sharedStrings.xml><?xml version="1.0" encoding="utf-8"?>
<sst xmlns="http://schemas.openxmlformats.org/spreadsheetml/2006/main" count="81" uniqueCount="81">
  <si>
    <t>Sistema Integral de Control de Inventarios</t>
  </si>
  <si>
    <t>SICI</t>
  </si>
  <si>
    <t>VALORIZADO</t>
  </si>
  <si>
    <t>REPRESENTACION %</t>
  </si>
  <si>
    <t>Valor $ Total Inventario CARACAS:</t>
  </si>
  <si>
    <t>Valor $ Total Inventario CARABOBO:</t>
  </si>
  <si>
    <t>Valor $ Total Inventario ORIENTE:</t>
  </si>
  <si>
    <t>Valor $ Total Inventario LARA:</t>
  </si>
  <si>
    <t>Valor $ Total Inventario Producto:</t>
  </si>
  <si>
    <t>INVENTARIO</t>
  </si>
  <si>
    <t>Total Inventario CARACAS:</t>
  </si>
  <si>
    <t>Total Inventario CARABOBO:</t>
  </si>
  <si>
    <t>Total Inventario ORIENTE:</t>
  </si>
  <si>
    <t>Total Inventario LARA:</t>
  </si>
  <si>
    <t>Total Inventario Producto:</t>
  </si>
  <si>
    <t>Total Und Cestas</t>
  </si>
  <si>
    <t>Total Und Bultos</t>
  </si>
  <si>
    <t>Units Produce</t>
  </si>
  <si>
    <t>Valor $ Total Inventario ZULIA:</t>
  </si>
  <si>
    <t>Total Inventario ZULIA:</t>
  </si>
  <si>
    <t>110150</t>
  </si>
  <si>
    <t>Cremosillo Tradicional 150g</t>
  </si>
  <si>
    <t>110151</t>
  </si>
  <si>
    <t>Cremosillo Coco 150g</t>
  </si>
  <si>
    <t>110230</t>
  </si>
  <si>
    <t>Cremosillo Tradicional 230g</t>
  </si>
  <si>
    <t>110400</t>
  </si>
  <si>
    <t>Cremosillo Tradicional 400g</t>
  </si>
  <si>
    <t>111000</t>
  </si>
  <si>
    <t>Cremosillo Tradicional 1000g</t>
  </si>
  <si>
    <t>120130</t>
  </si>
  <si>
    <t>Gelatina Saltarina Fresa 130g</t>
  </si>
  <si>
    <t>120131</t>
  </si>
  <si>
    <t>Gelatina Saltarina Chicle 130g</t>
  </si>
  <si>
    <t>120132</t>
  </si>
  <si>
    <t>Gelatina Saltarina Kolita 130g</t>
  </si>
  <si>
    <t>130150</t>
  </si>
  <si>
    <t>Cremigurt Natural 150g</t>
  </si>
  <si>
    <t>130151</t>
  </si>
  <si>
    <t>Cremigurt Dulce 150g</t>
  </si>
  <si>
    <t>130152</t>
  </si>
  <si>
    <t>Cremigurt Fresa 150g</t>
  </si>
  <si>
    <t>130153</t>
  </si>
  <si>
    <t>Cremigurt Durazno 150g</t>
  </si>
  <si>
    <t>130154</t>
  </si>
  <si>
    <t>Cremigurt Piña 150g</t>
  </si>
  <si>
    <t>130155</t>
  </si>
  <si>
    <t>Cremigurt Griego 150g</t>
  </si>
  <si>
    <t>Cremigurt Griego Mango 150g</t>
  </si>
  <si>
    <t>Cremigurt Griego Ciruela 150g</t>
  </si>
  <si>
    <t>Cremigurt Griego Mora 150g</t>
  </si>
  <si>
    <t>Cremigurt Natural 700g</t>
  </si>
  <si>
    <t>Cremigurt Dulce 700g</t>
  </si>
  <si>
    <t>Cremigurt Griego Fresa 700g</t>
  </si>
  <si>
    <t>Cremigurt Griego 700g</t>
  </si>
  <si>
    <t>Griego Mykonos 700g</t>
  </si>
  <si>
    <t>Cremigurt Power Natural 150g</t>
  </si>
  <si>
    <t>Cremigurt Power Mantecado 150g</t>
  </si>
  <si>
    <t>Cremigurt Power CheesseCake Fresa 150g</t>
  </si>
  <si>
    <t>Cremigurt Power Cookies and Cream 150g</t>
  </si>
  <si>
    <t>Cremigurt Power Piña Colada 150g</t>
  </si>
  <si>
    <t>Cremigurt Power Dulce de Leche 150g</t>
  </si>
  <si>
    <t>Cremigurt Power Natural 700g</t>
  </si>
  <si>
    <t>Cremigurt Power Mantecado 700g</t>
  </si>
  <si>
    <t>Cremigurt Griego Fresa S/A 150g</t>
  </si>
  <si>
    <t>Cremigurt Griego Coco Vainilla S/A 150g</t>
  </si>
  <si>
    <t>Cremigurt Griego Pie de Limón S/A 150g</t>
  </si>
  <si>
    <t>Cremigurt Griego Caramelo Salado S/A 150g</t>
  </si>
  <si>
    <t>Cremigurt Griego Natural 4 Kg</t>
  </si>
  <si>
    <t>Cremigurt Griego Dulce 4 Kg</t>
  </si>
  <si>
    <t>Cremigurt Líquido Dulce 230g</t>
  </si>
  <si>
    <t>Cremigurt Líquido Fresa 230g</t>
  </si>
  <si>
    <t>Cremigurt Líquido Durazno 230g</t>
  </si>
  <si>
    <t>Tevia Limon 360ml</t>
  </si>
  <si>
    <t>Tevia Durazno 360ml</t>
  </si>
  <si>
    <t>Tevia Blueberry 360ml</t>
  </si>
  <si>
    <t>Tevia Tropical Punch 360ml</t>
  </si>
  <si>
    <t>Tevia Limon 1.5L</t>
  </si>
  <si>
    <t>Tevia Durazno 1.5 L</t>
  </si>
  <si>
    <t>Tevia Blueberry 1.5 L</t>
  </si>
  <si>
    <t>Tevia Tropical Punch 1.5 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</si>
</sst>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$-540A]#,##0.00"/>
    <numFmt numFmtId="165" formatCode="0.0"/>
  </numFmts>
  <fonts count="2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28"/>
      <color theme="0"/>
      <name val="Calibri"/>
      <family val="2"/>
      <scheme val="minor"/>
    </font>
    <font>
      <b/>
      <sz val="9"/>
      <color theme="0"/>
      <name val="Calibri"/>
      <family val="2"/>
      <scheme val="minor"/>
    </font>
    <font>
      <sz val="9"/>
      <color theme="1"/>
      <name val="Tahoma"/>
      <family val="2"/>
    </font>
    <font>
      <sz val="9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9"/>
      <name val="Calibri"/>
      <family val="2"/>
      <scheme val="minor"/>
    </font>
    <font>
      <b/>
      <sz val="9"/>
      <color theme="0"/>
      <name val="Tahoma"/>
      <family val="2"/>
    </font>
    <font>
      <b/>
      <sz val="8"/>
      <color theme="0"/>
      <name val="Tahoma"/>
      <family val="2"/>
    </font>
    <font>
      <b/>
      <sz val="8"/>
      <color theme="1"/>
      <name val="Tahoma"/>
      <family val="2"/>
    </font>
    <font>
      <sz val="9"/>
      <color indexed="8"/>
      <name val="Tahoma"/>
      <family val="2"/>
    </font>
    <font>
      <sz val="8"/>
      <name val="Tahoma"/>
      <family val="2"/>
    </font>
    <font>
      <i/>
      <sz val="11"/>
      <color theme="1"/>
      <name val="Calibri"/>
      <family val="2"/>
      <scheme val="minor"/>
    </font>
    <font>
      <i/>
      <sz val="10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8"/>
      <color theme="1"/>
      <name val="Tahoma"/>
      <family val="2"/>
    </font>
    <font>
      <b/>
      <sz val="8"/>
      <color theme="1"/>
      <name val="Calibri"/>
      <family val="2"/>
      <scheme val="minor"/>
    </font>
    <font>
      <b/>
      <sz val="10"/>
      <name val="Calibri"/>
      <family val="2"/>
      <scheme val="minor"/>
    </font>
    <font>
      <sz val="11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FF7C8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56617"/>
        <bgColor indexed="64"/>
      </patternFill>
    </fill>
    <fill>
      <patternFill patternType="solid">
        <fgColor theme="5" tint="-0.249977111117893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auto="1"/>
      </left>
      <right/>
      <top style="thin">
        <color auto="1"/>
      </top>
      <bottom style="dashed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dotted">
        <color auto="1"/>
      </left>
      <right style="dotted">
        <color auto="1"/>
      </right>
      <top style="dotted">
        <color auto="1"/>
      </top>
      <bottom style="dotted">
        <color auto="1"/>
      </bottom>
      <diagonal/>
    </border>
    <border>
      <left style="dotted">
        <color auto="1"/>
      </left>
      <right/>
      <top style="dotted">
        <color auto="1"/>
      </top>
      <bottom style="dotted">
        <color auto="1"/>
      </bottom>
      <diagonal/>
    </border>
    <border>
      <left/>
      <right style="dotted">
        <color auto="1"/>
      </right>
      <top style="dotted">
        <color auto="1"/>
      </top>
      <bottom style="dotted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3">
    <xf numFmtId="0" fontId="0" fillId="0" borderId="0"/>
    <xf numFmtId="9" fontId="1" fillId="0" borderId="0" applyFont="0" applyFill="0" applyBorder="0" applyAlignment="0" applyProtection="0"/>
    <xf numFmtId="0" fontId="1" fillId="0" borderId="0"/>
  </cellStyleXfs>
  <cellXfs count="70">
    <xf numFmtId="0" fontId="0" fillId="0" borderId="0" xfId="0"/>
    <xf numFmtId="0" fontId="4" fillId="3" borderId="0" xfId="0" applyFont="1" applyFill="1" applyAlignment="1">
      <alignment vertical="center"/>
    </xf>
    <xf numFmtId="0" fontId="5" fillId="3" borderId="0" xfId="0" applyFont="1" applyFill="1" applyAlignment="1">
      <alignment horizontal="center"/>
    </xf>
    <xf numFmtId="0" fontId="6" fillId="3" borderId="0" xfId="0" applyFont="1" applyFill="1" applyAlignment="1">
      <alignment horizontal="center"/>
    </xf>
    <xf numFmtId="0" fontId="6" fillId="3" borderId="0" xfId="0" applyFont="1" applyFill="1" applyAlignment="1">
      <alignment vertical="top"/>
    </xf>
    <xf numFmtId="0" fontId="6" fillId="3" borderId="0" xfId="0" applyFont="1" applyFill="1"/>
    <xf numFmtId="0" fontId="7" fillId="3" borderId="0" xfId="0" applyFont="1" applyFill="1" applyAlignment="1">
      <alignment horizontal="left" vertical="top"/>
    </xf>
    <xf numFmtId="0" fontId="8" fillId="3" borderId="0" xfId="0" applyFont="1" applyFill="1" applyAlignment="1">
      <alignment horizontal="center" vertical="center"/>
    </xf>
    <xf numFmtId="0" fontId="10" fillId="2" borderId="2" xfId="0" applyFont="1" applyFill="1" applyBorder="1" applyAlignment="1">
      <alignment horizontal="center" vertical="center" wrapText="1"/>
    </xf>
    <xf numFmtId="0" fontId="10" fillId="2" borderId="3" xfId="0" applyFont="1" applyFill="1" applyBorder="1" applyAlignment="1">
      <alignment horizontal="center" vertical="center" wrapText="1"/>
    </xf>
    <xf numFmtId="0" fontId="11" fillId="3" borderId="4" xfId="0" applyFont="1" applyFill="1" applyBorder="1" applyAlignment="1">
      <alignment horizontal="center"/>
    </xf>
    <xf numFmtId="0" fontId="12" fillId="3" borderId="1" xfId="0" applyFont="1" applyFill="1" applyBorder="1" applyAlignment="1">
      <alignment horizontal="left" vertical="top" wrapText="1"/>
    </xf>
    <xf numFmtId="0" fontId="12" fillId="3" borderId="1" xfId="0" applyFont="1" applyFill="1" applyBorder="1" applyAlignment="1">
      <alignment horizontal="right" vertical="top" wrapText="1"/>
    </xf>
    <xf numFmtId="0" fontId="6" fillId="3" borderId="1" xfId="0" applyFont="1" applyFill="1" applyBorder="1" applyAlignment="1">
      <alignment horizontal="center" vertical="center"/>
    </xf>
    <xf numFmtId="2" fontId="6" fillId="3" borderId="1" xfId="0" applyNumberFormat="1" applyFont="1" applyFill="1" applyBorder="1" applyAlignment="1">
      <alignment horizontal="center" vertical="center"/>
    </xf>
    <xf numFmtId="1" fontId="6" fillId="4" borderId="1" xfId="0" applyNumberFormat="1" applyFont="1" applyFill="1" applyBorder="1" applyAlignment="1">
      <alignment horizontal="center" vertical="center"/>
    </xf>
    <xf numFmtId="1" fontId="13" fillId="3" borderId="1" xfId="0" applyNumberFormat="1" applyFont="1" applyFill="1" applyBorder="1" applyAlignment="1">
      <alignment horizontal="center" vertical="center"/>
    </xf>
    <xf numFmtId="0" fontId="13" fillId="3" borderId="1" xfId="0" applyFont="1" applyFill="1" applyBorder="1" applyAlignment="1">
      <alignment horizontal="center" vertical="center"/>
    </xf>
    <xf numFmtId="0" fontId="6" fillId="3" borderId="1" xfId="2" applyFont="1" applyFill="1" applyBorder="1" applyAlignment="1">
      <alignment horizontal="center" vertical="center"/>
    </xf>
    <xf numFmtId="1" fontId="6" fillId="5" borderId="1" xfId="0" applyNumberFormat="1" applyFont="1" applyFill="1" applyBorder="1" applyAlignment="1">
      <alignment horizontal="center"/>
    </xf>
    <xf numFmtId="0" fontId="6" fillId="3" borderId="5" xfId="0" applyFont="1" applyFill="1" applyBorder="1" applyAlignment="1">
      <alignment horizontal="center"/>
    </xf>
    <xf numFmtId="1" fontId="6" fillId="3" borderId="6" xfId="0" applyNumberFormat="1" applyFont="1" applyFill="1" applyBorder="1" applyAlignment="1">
      <alignment horizontal="center" vertical="center"/>
    </xf>
    <xf numFmtId="1" fontId="14" fillId="3" borderId="6" xfId="0" applyNumberFormat="1" applyFont="1" applyFill="1" applyBorder="1" applyAlignment="1">
      <alignment horizontal="center" vertical="center"/>
    </xf>
    <xf numFmtId="9" fontId="15" fillId="0" borderId="0" xfId="1" applyFont="1"/>
    <xf numFmtId="1" fontId="16" fillId="0" borderId="0" xfId="0" applyNumberFormat="1" applyFont="1"/>
    <xf numFmtId="1" fontId="16" fillId="6" borderId="6" xfId="0" applyNumberFormat="1" applyFont="1" applyFill="1" applyBorder="1"/>
    <xf numFmtId="1" fontId="16" fillId="0" borderId="6" xfId="0" applyNumberFormat="1" applyFont="1" applyBorder="1"/>
    <xf numFmtId="1" fontId="16" fillId="0" borderId="7" xfId="0" applyNumberFormat="1" applyFont="1" applyBorder="1"/>
    <xf numFmtId="1" fontId="16" fillId="0" borderId="8" xfId="0" applyNumberFormat="1" applyFont="1" applyBorder="1"/>
    <xf numFmtId="0" fontId="12" fillId="0" borderId="1" xfId="0" applyFont="1" applyBorder="1" applyAlignment="1">
      <alignment horizontal="left" vertical="top" wrapText="1"/>
    </xf>
    <xf numFmtId="1" fontId="6" fillId="3" borderId="1" xfId="0" applyNumberFormat="1" applyFont="1" applyFill="1" applyBorder="1" applyAlignment="1">
      <alignment horizontal="center" vertical="center"/>
    </xf>
    <xf numFmtId="3" fontId="6" fillId="3" borderId="6" xfId="0" applyNumberFormat="1" applyFont="1" applyFill="1" applyBorder="1" applyAlignment="1">
      <alignment horizontal="center" vertical="center"/>
    </xf>
    <xf numFmtId="1" fontId="17" fillId="3" borderId="1" xfId="0" applyNumberFormat="1" applyFont="1" applyFill="1" applyBorder="1" applyAlignment="1">
      <alignment horizontal="center"/>
    </xf>
    <xf numFmtId="0" fontId="11" fillId="3" borderId="1" xfId="0" applyFont="1" applyFill="1" applyBorder="1" applyAlignment="1">
      <alignment horizontal="center"/>
    </xf>
    <xf numFmtId="0" fontId="17" fillId="0" borderId="0" xfId="0" applyFont="1" applyAlignment="1">
      <alignment horizontal="center"/>
    </xf>
    <xf numFmtId="0" fontId="0" fillId="3" borderId="0" xfId="0" applyFill="1" applyAlignment="1">
      <alignment horizontal="center"/>
    </xf>
    <xf numFmtId="0" fontId="0" fillId="3" borderId="0" xfId="0" applyFill="1" applyAlignment="1">
      <alignment horizontal="center" vertical="center"/>
    </xf>
    <xf numFmtId="0" fontId="18" fillId="7" borderId="3" xfId="0" applyFont="1" applyFill="1" applyBorder="1" applyAlignment="1">
      <alignment horizontal="right"/>
    </xf>
    <xf numFmtId="1" fontId="2" fillId="8" borderId="3" xfId="0" applyNumberFormat="1" applyFont="1" applyFill="1" applyBorder="1"/>
    <xf numFmtId="0" fontId="5" fillId="3" borderId="0" xfId="0" applyFont="1" applyFill="1" applyAlignment="1">
      <alignment horizontal="left"/>
    </xf>
    <xf numFmtId="0" fontId="2" fillId="3" borderId="0" xfId="0" applyFont="1" applyFill="1" applyAlignment="1">
      <alignment horizontal="left"/>
    </xf>
    <xf numFmtId="0" fontId="17" fillId="3" borderId="0" xfId="0" applyFont="1" applyFill="1" applyAlignment="1">
      <alignment horizontal="left"/>
    </xf>
    <xf numFmtId="164" fontId="8" fillId="3" borderId="0" xfId="0" applyNumberFormat="1" applyFont="1" applyFill="1" applyAlignment="1">
      <alignment horizontal="center" vertical="center"/>
    </xf>
    <xf numFmtId="2" fontId="19" fillId="3" borderId="0" xfId="0" applyNumberFormat="1" applyFont="1" applyFill="1" applyAlignment="1">
      <alignment horizontal="center" vertical="center"/>
    </xf>
    <xf numFmtId="164" fontId="6" fillId="3" borderId="0" xfId="0" applyNumberFormat="1" applyFont="1" applyFill="1" applyAlignment="1">
      <alignment horizontal="center"/>
    </xf>
    <xf numFmtId="0" fontId="19" fillId="3" borderId="0" xfId="0" applyFont="1" applyFill="1" applyAlignment="1">
      <alignment horizontal="center" vertical="center"/>
    </xf>
    <xf numFmtId="0" fontId="17" fillId="3" borderId="0" xfId="0" applyFont="1" applyFill="1" applyAlignment="1">
      <alignment horizontal="center"/>
    </xf>
    <xf numFmtId="0" fontId="20" fillId="3" borderId="0" xfId="0" applyFont="1" applyFill="1" applyAlignment="1">
      <alignment horizontal="center" vertical="center"/>
    </xf>
    <xf numFmtId="0" fontId="0" fillId="0" borderId="0" xfId="0" applyAlignment="1">
      <alignment horizontal="center"/>
    </xf>
    <xf numFmtId="1" fontId="6" fillId="3" borderId="0" xfId="0" applyNumberFormat="1" applyFont="1" applyFill="1" applyAlignment="1">
      <alignment horizontal="center"/>
    </xf>
    <xf numFmtId="1" fontId="19" fillId="3" borderId="0" xfId="0" applyNumberFormat="1" applyFont="1" applyFill="1" applyAlignment="1">
      <alignment horizontal="center" vertical="center"/>
    </xf>
    <xf numFmtId="0" fontId="0" fillId="3" borderId="0" xfId="0" applyFill="1"/>
    <xf numFmtId="1" fontId="0" fillId="3" borderId="0" xfId="0" applyNumberFormat="1" applyFill="1" applyAlignment="1">
      <alignment horizont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6" fillId="0" borderId="0" xfId="0" applyFont="1"/>
    <xf numFmtId="0" fontId="16" fillId="3" borderId="0" xfId="0" applyFont="1" applyFill="1"/>
    <xf numFmtId="0" fontId="9" fillId="9" borderId="1" xfId="0" applyFont="1" applyFill="1" applyBorder="1" applyAlignment="1">
      <alignment horizontal="center" vertical="center" wrapText="1"/>
    </xf>
    <xf numFmtId="0" fontId="9" fillId="9" borderId="1" xfId="0" applyFont="1" applyFill="1" applyBorder="1" applyAlignment="1">
      <alignment horizontal="center" vertical="center"/>
    </xf>
    <xf numFmtId="0" fontId="10" fillId="9" borderId="1" xfId="0" applyFont="1" applyFill="1" applyBorder="1" applyAlignment="1">
      <alignment horizontal="center" vertical="center" wrapText="1"/>
    </xf>
    <xf numFmtId="0" fontId="10" fillId="10" borderId="1" xfId="0" applyFont="1" applyFill="1" applyBorder="1" applyAlignment="1">
      <alignment horizontal="center" vertical="center" wrapText="1"/>
    </xf>
    <xf numFmtId="0" fontId="16" fillId="0" borderId="0" xfId="0" applyFont="1"/>
    <xf numFmtId="0" fontId="18" fillId="7" borderId="9" xfId="0" applyFont="1" applyFill="1" applyBorder="1" applyAlignment="1">
      <alignment horizontal="right"/>
    </xf>
    <xf numFmtId="1" fontId="2" fillId="8" borderId="9" xfId="0" applyNumberFormat="1" applyFont="1" applyFill="1" applyBorder="1"/>
    <xf numFmtId="165" fontId="19" fillId="3" borderId="0" xfId="0" applyNumberFormat="1" applyFont="1" applyFill="1" applyAlignment="1">
      <alignment horizontal="center" vertical="center"/>
    </xf>
    <xf numFmtId="0" fontId="17" fillId="3" borderId="0" xfId="0" applyFont="1" applyFill="1" applyAlignment="1">
      <alignment horizontal="left"/>
    </xf>
    <xf numFmtId="1" fontId="19" fillId="3" borderId="0" xfId="0" applyNumberFormat="1" applyFont="1" applyFill="1" applyAlignment="1">
      <alignment horizontal="center" vertical="center"/>
    </xf>
    <xf numFmtId="0" fontId="3" fillId="9" borderId="0" xfId="0" applyFont="1" applyFill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5" fillId="3" borderId="0" xfId="0" applyFont="1" applyFill="1" applyAlignment="1">
      <alignment horizontal="center"/>
    </xf>
  </cellXfs>
  <cellStyles count="3">
    <cellStyle name="Normal" xfId="0" builtinId="0"/>
    <cellStyle name="Normal 4" xfId="2" xr:uid="{B7B7336F-77E9-4CA4-872F-8B91965C6C60}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216479</xdr:colOff>
      <xdr:row>1</xdr:row>
      <xdr:rowOff>69273</xdr:rowOff>
    </xdr:from>
    <xdr:to>
      <xdr:col>2</xdr:col>
      <xdr:colOff>528204</xdr:colOff>
      <xdr:row>4</xdr:row>
      <xdr:rowOff>106647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75997B34-CC00-4C66-AD48-D050EC990D1A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t="28581" b="27600"/>
        <a:stretch>
          <a:fillRect/>
        </a:stretch>
      </xdr:blipFill>
      <xdr:spPr>
        <a:xfrm>
          <a:off x="568904" y="259773"/>
          <a:ext cx="1073725" cy="608874"/>
        </a:xfrm>
        <a:prstGeom prst="rect">
          <a:avLst/>
        </a:prstGeom>
      </xdr:spPr>
    </xdr:pic>
    <xdr:clientData/>
  </xdr:twoCellAnchor>
  <xdr:twoCellAnchor editAs="oneCell">
    <xdr:from>
      <xdr:col>5</xdr:col>
      <xdr:colOff>606136</xdr:colOff>
      <xdr:row>6</xdr:row>
      <xdr:rowOff>60615</xdr:rowOff>
    </xdr:from>
    <xdr:to>
      <xdr:col>8</xdr:col>
      <xdr:colOff>286616</xdr:colOff>
      <xdr:row>8</xdr:row>
      <xdr:rowOff>127005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C58A5844-8306-43B0-81B9-247CB9E8BB34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t="37294" b="40571"/>
        <a:stretch>
          <a:fillRect/>
        </a:stretch>
      </xdr:blipFill>
      <xdr:spPr>
        <a:xfrm>
          <a:off x="5625811" y="1232190"/>
          <a:ext cx="1966480" cy="447390"/>
        </a:xfrm>
        <a:prstGeom prst="rect">
          <a:avLst/>
        </a:prstGeom>
      </xdr:spPr>
    </xdr:pic>
    <xdr:clientData/>
  </xdr:twoCellAnchor>
  <xdr:twoCellAnchor editAs="oneCell">
    <xdr:from>
      <xdr:col>11</xdr:col>
      <xdr:colOff>614798</xdr:colOff>
      <xdr:row>6</xdr:row>
      <xdr:rowOff>103911</xdr:rowOff>
    </xdr:from>
    <xdr:to>
      <xdr:col>13</xdr:col>
      <xdr:colOff>315191</xdr:colOff>
      <xdr:row>8</xdr:row>
      <xdr:rowOff>106272</xdr:rowOff>
    </xdr:to>
    <xdr:pic>
      <xdr:nvPicPr>
        <xdr:cNvPr id="5" name="Imagen 4">
          <a:extLst>
            <a:ext uri="{FF2B5EF4-FFF2-40B4-BE49-F238E27FC236}">
              <a16:creationId xmlns:a16="http://schemas.microsoft.com/office/drawing/2014/main" id="{79BB7EB2-3E69-4A09-AD62-B0B3544A118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duotone>
            <a:prstClr val="black"/>
            <a:srgbClr val="FF0000">
              <a:tint val="45000"/>
              <a:satMod val="400000"/>
            </a:srgbClr>
          </a:duotone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111223" y="1275486"/>
          <a:ext cx="1224393" cy="383361"/>
        </a:xfrm>
        <a:prstGeom prst="rect">
          <a:avLst/>
        </a:prstGeom>
      </xdr:spPr>
    </xdr:pic>
    <xdr:clientData/>
  </xdr:twoCellAnchor>
  <xdr:twoCellAnchor editAs="oneCell">
    <xdr:from>
      <xdr:col>19</xdr:col>
      <xdr:colOff>424295</xdr:colOff>
      <xdr:row>6</xdr:row>
      <xdr:rowOff>181840</xdr:rowOff>
    </xdr:from>
    <xdr:to>
      <xdr:col>21</xdr:col>
      <xdr:colOff>12989</xdr:colOff>
      <xdr:row>9</xdr:row>
      <xdr:rowOff>3145</xdr:rowOff>
    </xdr:to>
    <xdr:pic>
      <xdr:nvPicPr>
        <xdr:cNvPr id="6" name="Imagen 5">
          <a:extLst>
            <a:ext uri="{FF2B5EF4-FFF2-40B4-BE49-F238E27FC236}">
              <a16:creationId xmlns:a16="http://schemas.microsoft.com/office/drawing/2014/main" id="{2DE0C4B7-2BCA-43E8-8B2C-57A0EC1B03E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duotone>
            <a:prstClr val="black"/>
            <a:schemeClr val="accent6">
              <a:lumMod val="75000"/>
              <a:tint val="45000"/>
              <a:satMod val="400000"/>
            </a:schemeClr>
          </a:duotone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5864320" y="1305790"/>
          <a:ext cx="1112694" cy="392805"/>
        </a:xfrm>
        <a:prstGeom prst="rect">
          <a:avLst/>
        </a:prstGeom>
      </xdr:spPr>
    </xdr:pic>
    <xdr:clientData/>
  </xdr:twoCellAnchor>
  <xdr:twoCellAnchor editAs="oneCell">
    <xdr:from>
      <xdr:col>1</xdr:col>
      <xdr:colOff>216479</xdr:colOff>
      <xdr:row>1</xdr:row>
      <xdr:rowOff>69273</xdr:rowOff>
    </xdr:from>
    <xdr:to>
      <xdr:col>2</xdr:col>
      <xdr:colOff>528204</xdr:colOff>
      <xdr:row>4</xdr:row>
      <xdr:rowOff>106647</xdr:rowOff>
    </xdr:to>
    <xdr:pic>
      <xdr:nvPicPr>
        <xdr:cNvPr id="11" name="Imagen 10">
          <a:extLst>
            <a:ext uri="{FF2B5EF4-FFF2-40B4-BE49-F238E27FC236}">
              <a16:creationId xmlns:a16="http://schemas.microsoft.com/office/drawing/2014/main" id="{3BBB2AC2-668C-4AEE-B90E-C616CAD2BC88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t="28581" b="27600"/>
        <a:stretch>
          <a:fillRect/>
        </a:stretch>
      </xdr:blipFill>
      <xdr:spPr>
        <a:xfrm>
          <a:off x="568904" y="259773"/>
          <a:ext cx="1073725" cy="608874"/>
        </a:xfrm>
        <a:prstGeom prst="rect">
          <a:avLst/>
        </a:prstGeom>
      </xdr:spPr>
    </xdr:pic>
    <xdr:clientData/>
  </xdr:twoCellAnchor>
  <xdr:twoCellAnchor editAs="oneCell">
    <xdr:from>
      <xdr:col>1</xdr:col>
      <xdr:colOff>746365</xdr:colOff>
      <xdr:row>6</xdr:row>
      <xdr:rowOff>83127</xdr:rowOff>
    </xdr:from>
    <xdr:to>
      <xdr:col>2</xdr:col>
      <xdr:colOff>1333501</xdr:colOff>
      <xdr:row>8</xdr:row>
      <xdr:rowOff>93043</xdr:rowOff>
    </xdr:to>
    <xdr:pic>
      <xdr:nvPicPr>
        <xdr:cNvPr id="12" name="Imagen 11">
          <a:extLst>
            <a:ext uri="{FF2B5EF4-FFF2-40B4-BE49-F238E27FC236}">
              <a16:creationId xmlns:a16="http://schemas.microsoft.com/office/drawing/2014/main" id="{0148736D-9519-44C5-B221-FF2055DD6E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98790" y="1254702"/>
          <a:ext cx="1349136" cy="390916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R:\ALMACEN%202026\Inventario\Septiembre\Inventario%20Nacional%20Producto%20Terminado\Corte%20Diario%20Inventario%20Nacional%20Producto%20Terminado%20SEPTIEMBRE%202026.xlsx" TargetMode="External"/><Relationship Id="rId1" Type="http://schemas.openxmlformats.org/officeDocument/2006/relationships/externalLinkPath" Target="file:///R:\ALMACEN%202026\Inventario\Septiembre\Inventario%20Nacional%20Producto%20Terminado\Corte%20Diario%20Inventario%20Nacional%20Producto%20Terminado%20SEPTIEMBRE%202026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INVENTARIO NACIONAL INICIO"/>
      <sheetName val="INVENTARIO NACIONAL 02-09-2026"/>
      <sheetName val="INVENTARIO NACIONAL 03-09-26"/>
      <sheetName val="INVENTARIO NACIONAL 04-09-26"/>
      <sheetName val="INVENTARIO NACIONAL 08-09-26"/>
      <sheetName val="INVENTARIO NACIONAL 09-09-26"/>
      <sheetName val="INVENTARIO NACIONAL 10-09-26"/>
      <sheetName val="INVENTARIO NACIONAL 11-09-26"/>
      <sheetName val="INVENTARIO NACIONAL 14-09-26"/>
      <sheetName val="INVENTARIO NACIONAL 15-09-26"/>
      <sheetName val="INVENTARIO NACIONAL 16-09-26"/>
      <sheetName val="INVENTARIO NACIONAL 17-09-26"/>
      <sheetName val="INVENTARIO NACIONAL 17-09-16;15"/>
      <sheetName val="INVENTARIO NACIONAL 18-09-26"/>
      <sheetName val="INVENTARIO NACIONAL 21-09-26"/>
      <sheetName val="INVENTARIO NACIONAL 22-09-26"/>
      <sheetName val="INVENTARIO NACIONAL 23-09-26"/>
      <sheetName val="INVENTARIO NACIONAL 24-09-26"/>
      <sheetName val="INVENTARIO NACIONAL 25-09-26"/>
      <sheetName val="INVENTARIO NACIONAL 28-09-26"/>
      <sheetName val="INVENTARIO NACIONAL 29-09-26"/>
      <sheetName val="INVENTARIO NACIONAL 30-09-26"/>
      <sheetName val="CCC"/>
      <sheetName val="VINCULO VTS BY SKU AGOSTO"/>
      <sheetName val="VINCULO VTS BY SKU OPEN"/>
      <sheetName val="DESV. VTS BY SKU"/>
    </sheetNames>
    <sheetDataSet>
      <sheetData sheetId="0"/>
      <sheetData sheetId="1"/>
      <sheetData sheetId="2">
        <row r="12">
          <cell r="B12" t="str">
            <v>Referencia interna</v>
          </cell>
          <cell r="C12" t="str">
            <v>Presentacion</v>
          </cell>
          <cell r="D12" t="str">
            <v>Valor $ Costo/Prod.</v>
          </cell>
          <cell r="E12" t="str">
            <v>Existencia CCS</v>
          </cell>
          <cell r="F12" t="str">
            <v>Valor $ Total/CCS</v>
          </cell>
          <cell r="G12" t="str">
            <v>COBERTURA INVENTARIO (Días)</v>
          </cell>
          <cell r="H12" t="str">
            <v>UNITS SALES PROMED MES</v>
          </cell>
          <cell r="I12" t="str">
            <v>BALANCE</v>
          </cell>
          <cell r="J12" t="str">
            <v>Existencia CARABOBO</v>
          </cell>
          <cell r="K12" t="str">
            <v>Valor $ Total/CARABOBO</v>
          </cell>
          <cell r="L12" t="str">
            <v>COBERTURA INVENTARIO (Días)</v>
          </cell>
          <cell r="M12" t="str">
            <v>UNITS SALES PROMED MES</v>
          </cell>
          <cell r="N12" t="str">
            <v>BALANCE</v>
          </cell>
          <cell r="O12" t="str">
            <v>Existencia ORIENTE</v>
          </cell>
          <cell r="P12" t="str">
            <v>Valor $ Total/ORIENTE</v>
          </cell>
          <cell r="Q12" t="str">
            <v>COBERTURA INVENTARIO (Días)</v>
          </cell>
          <cell r="R12" t="str">
            <v>UNITS SALES PROMED MES</v>
          </cell>
          <cell r="S12" t="str">
            <v>BALANCE</v>
          </cell>
          <cell r="T12" t="str">
            <v>Existencia LARA</v>
          </cell>
          <cell r="U12" t="str">
            <v>Valor $ Total/LARA</v>
          </cell>
          <cell r="V12" t="str">
            <v>COBERTURA INVENTARIO (Días)</v>
          </cell>
          <cell r="W12" t="str">
            <v>UNITS SALES PROMED MES</v>
          </cell>
          <cell r="X12" t="str">
            <v>BALANCE</v>
          </cell>
          <cell r="Y12" t="str">
            <v>Existencia ZULIA</v>
          </cell>
          <cell r="Z12" t="str">
            <v>Valor $ Total/ZULIA</v>
          </cell>
          <cell r="AA12" t="str">
            <v>COBERTURA INVENTARIO (Días)</v>
          </cell>
          <cell r="AB12" t="str">
            <v>UNITS SALES PROMED MES</v>
          </cell>
          <cell r="AC12" t="str">
            <v>BALANCE</v>
          </cell>
          <cell r="AD12" t="str">
            <v>Existencia Total</v>
          </cell>
          <cell r="AE12" t="str">
            <v>Valor $ Total/Prod.</v>
          </cell>
          <cell r="AF12" t="str">
            <v>Demanda PROM AGOSTO 10 dias</v>
          </cell>
          <cell r="AG12" t="str">
            <v>COBERTURA INVENTARIO (Días)</v>
          </cell>
          <cell r="AH12" t="str">
            <v>EFFICIENCY. SICI %</v>
          </cell>
          <cell r="AI12" t="str">
            <v>Diferencia INV. DISP. / PROM. DEM.</v>
          </cell>
          <cell r="AJ12" t="str">
            <v>Demanda PROM JUNIO 5 dias</v>
          </cell>
          <cell r="AK12" t="str">
            <v>TOTAL Dif. Alcance Inv. (10 D STOCK 5 D VENTA)</v>
          </cell>
          <cell r="AL12" t="str">
            <v>Inventario de Cestas</v>
          </cell>
        </row>
      </sheetData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2ADD65-CD71-49F6-BA3C-8A3390E00AC0}">
  <dimension ref="A1:AM93"/>
  <sheetViews>
    <sheetView tabSelected="1" workbookViewId="0">
      <selection activeCell="I24" sqref="I24"/>
    </sheetView>
  </sheetViews>
  <sheetFormatPr baseColWidth="10" defaultRowHeight="15" x14ac:dyDescent="0.25"/>
  <cols>
    <col min="1" max="1" width="5.28515625" style="51" customWidth="1"/>
    <col min="2" max="2" width="11.42578125" style="34"/>
    <col min="3" max="3" width="35.42578125" style="48" customWidth="1"/>
    <col min="4" max="4" width="11" style="48" customWidth="1"/>
    <col min="5" max="5" width="12.140625" style="53" customWidth="1"/>
    <col min="6" max="9" width="11" style="53" customWidth="1"/>
    <col min="10" max="10" width="12.140625" style="48" customWidth="1"/>
    <col min="11" max="14" width="11" style="48" customWidth="1"/>
    <col min="15" max="15" width="12.140625" style="48" customWidth="1"/>
    <col min="16" max="19" width="11" style="48" customWidth="1"/>
    <col min="20" max="20" width="12.140625" style="48" customWidth="1"/>
    <col min="21" max="24" width="11" style="48" customWidth="1"/>
    <col min="25" max="25" width="12.140625" style="48" customWidth="1"/>
    <col min="26" max="29" width="11" style="48" customWidth="1"/>
    <col min="30" max="30" width="13.42578125" style="48" customWidth="1"/>
    <col min="31" max="31" width="11" style="48" customWidth="1"/>
    <col min="32" max="33" width="12.7109375" style="54" customWidth="1"/>
    <col min="38" max="38" width="9.140625" customWidth="1"/>
    <col min="39" max="39" width="13" customWidth="1"/>
  </cols>
  <sheetData>
    <row r="1" spans="1:38" ht="15" customHeight="1" x14ac:dyDescent="0.25">
      <c r="B1" s="67" t="s">
        <v>0</v>
      </c>
      <c r="C1" s="67"/>
      <c r="D1" s="67"/>
      <c r="E1" s="67"/>
      <c r="F1" s="67"/>
      <c r="G1" s="67"/>
      <c r="H1" s="67"/>
      <c r="I1" s="67"/>
      <c r="J1" s="67"/>
      <c r="K1" s="67"/>
      <c r="L1" s="67"/>
      <c r="M1" s="67"/>
      <c r="N1" s="67"/>
      <c r="O1" s="67"/>
      <c r="P1" s="67"/>
      <c r="Q1" s="67"/>
      <c r="R1" s="67"/>
      <c r="S1" s="67"/>
      <c r="T1" s="67"/>
      <c r="U1" s="67"/>
      <c r="V1" s="67"/>
      <c r="W1" s="67"/>
      <c r="X1" s="67"/>
      <c r="Y1" s="67"/>
      <c r="Z1" s="67"/>
      <c r="AA1" s="67"/>
      <c r="AB1" s="67"/>
      <c r="AC1" s="67"/>
      <c r="AD1" s="67"/>
      <c r="AE1" s="67"/>
      <c r="AF1" s="68" t="s">
        <v>1</v>
      </c>
      <c r="AG1" s="68"/>
      <c r="AH1" s="68"/>
      <c r="AI1" s="68"/>
      <c r="AJ1" s="68"/>
      <c r="AK1" s="68"/>
      <c r="AL1" s="68"/>
    </row>
    <row r="2" spans="1:38" ht="15" customHeight="1" x14ac:dyDescent="0.25">
      <c r="B2" s="67"/>
      <c r="C2" s="67"/>
      <c r="D2" s="67"/>
      <c r="E2" s="67"/>
      <c r="F2" s="67"/>
      <c r="G2" s="67"/>
      <c r="H2" s="67"/>
      <c r="I2" s="67"/>
      <c r="J2" s="67"/>
      <c r="K2" s="67"/>
      <c r="L2" s="67"/>
      <c r="M2" s="67"/>
      <c r="N2" s="67"/>
      <c r="O2" s="67"/>
      <c r="P2" s="67"/>
      <c r="Q2" s="67"/>
      <c r="R2" s="67"/>
      <c r="S2" s="67"/>
      <c r="T2" s="67"/>
      <c r="U2" s="67"/>
      <c r="V2" s="67"/>
      <c r="W2" s="67"/>
      <c r="X2" s="67"/>
      <c r="Y2" s="67"/>
      <c r="Z2" s="67"/>
      <c r="AA2" s="67"/>
      <c r="AB2" s="67"/>
      <c r="AC2" s="67"/>
      <c r="AD2" s="67"/>
      <c r="AE2" s="67"/>
      <c r="AF2" s="68"/>
      <c r="AG2" s="68"/>
      <c r="AH2" s="68"/>
      <c r="AI2" s="68"/>
      <c r="AJ2" s="68"/>
      <c r="AK2" s="68"/>
      <c r="AL2" s="68"/>
    </row>
    <row r="3" spans="1:38" ht="15" customHeight="1" x14ac:dyDescent="0.25">
      <c r="B3" s="67"/>
      <c r="C3" s="67"/>
      <c r="D3" s="67"/>
      <c r="E3" s="67"/>
      <c r="F3" s="67"/>
      <c r="G3" s="67"/>
      <c r="H3" s="67"/>
      <c r="I3" s="67"/>
      <c r="J3" s="67"/>
      <c r="K3" s="67"/>
      <c r="L3" s="67"/>
      <c r="M3" s="67"/>
      <c r="N3" s="67"/>
      <c r="O3" s="67"/>
      <c r="P3" s="67"/>
      <c r="Q3" s="67"/>
      <c r="R3" s="67"/>
      <c r="S3" s="67"/>
      <c r="T3" s="67"/>
      <c r="U3" s="67"/>
      <c r="V3" s="67"/>
      <c r="W3" s="67"/>
      <c r="X3" s="67"/>
      <c r="Y3" s="67"/>
      <c r="Z3" s="67"/>
      <c r="AA3" s="67"/>
      <c r="AB3" s="67"/>
      <c r="AC3" s="67"/>
      <c r="AD3" s="67"/>
      <c r="AE3" s="67"/>
      <c r="AF3" s="68"/>
      <c r="AG3" s="68"/>
      <c r="AH3" s="68"/>
      <c r="AI3" s="68"/>
      <c r="AJ3" s="68"/>
      <c r="AK3" s="68"/>
      <c r="AL3" s="68"/>
    </row>
    <row r="4" spans="1:38" ht="15" customHeight="1" x14ac:dyDescent="0.25">
      <c r="B4" s="67"/>
      <c r="C4" s="67"/>
      <c r="D4" s="67"/>
      <c r="E4" s="67"/>
      <c r="F4" s="67"/>
      <c r="G4" s="67"/>
      <c r="H4" s="67"/>
      <c r="I4" s="67"/>
      <c r="J4" s="67"/>
      <c r="K4" s="67"/>
      <c r="L4" s="67"/>
      <c r="M4" s="67"/>
      <c r="N4" s="67"/>
      <c r="O4" s="67"/>
      <c r="P4" s="67"/>
      <c r="Q4" s="67"/>
      <c r="R4" s="67"/>
      <c r="S4" s="67"/>
      <c r="T4" s="67"/>
      <c r="U4" s="67"/>
      <c r="V4" s="67"/>
      <c r="W4" s="67"/>
      <c r="X4" s="67"/>
      <c r="Y4" s="67"/>
      <c r="Z4" s="67"/>
      <c r="AA4" s="67"/>
      <c r="AB4" s="67"/>
      <c r="AC4" s="67"/>
      <c r="AD4" s="67"/>
      <c r="AE4" s="67"/>
      <c r="AF4" s="68"/>
      <c r="AG4" s="68"/>
      <c r="AH4" s="68"/>
      <c r="AI4" s="68"/>
      <c r="AJ4" s="68"/>
      <c r="AK4" s="68"/>
      <c r="AL4" s="68"/>
    </row>
    <row r="5" spans="1:38" ht="15" customHeight="1" x14ac:dyDescent="0.25">
      <c r="B5" s="67"/>
      <c r="C5" s="67"/>
      <c r="D5" s="67"/>
      <c r="E5" s="67"/>
      <c r="F5" s="67"/>
      <c r="G5" s="67"/>
      <c r="H5" s="67"/>
      <c r="I5" s="67"/>
      <c r="J5" s="67"/>
      <c r="K5" s="67"/>
      <c r="L5" s="67"/>
      <c r="M5" s="67"/>
      <c r="N5" s="67"/>
      <c r="O5" s="67"/>
      <c r="P5" s="67"/>
      <c r="Q5" s="67"/>
      <c r="R5" s="67"/>
      <c r="S5" s="67"/>
      <c r="T5" s="67"/>
      <c r="U5" s="67"/>
      <c r="V5" s="67"/>
      <c r="W5" s="67"/>
      <c r="X5" s="67"/>
      <c r="Y5" s="67"/>
      <c r="Z5" s="67"/>
      <c r="AA5" s="67"/>
      <c r="AB5" s="67"/>
      <c r="AC5" s="67"/>
      <c r="AD5" s="67"/>
      <c r="AE5" s="67"/>
      <c r="AF5" s="68"/>
      <c r="AG5" s="68"/>
      <c r="AH5" s="68"/>
      <c r="AI5" s="68"/>
      <c r="AJ5" s="68"/>
      <c r="AK5" s="68"/>
      <c r="AL5" s="68"/>
    </row>
    <row r="6" spans="1:38" ht="17.25" customHeight="1" x14ac:dyDescent="0.25">
      <c r="B6" s="67"/>
      <c r="C6" s="67"/>
      <c r="D6" s="67"/>
      <c r="E6" s="67"/>
      <c r="F6" s="67"/>
      <c r="G6" s="67"/>
      <c r="H6" s="67"/>
      <c r="I6" s="67"/>
      <c r="J6" s="67"/>
      <c r="K6" s="67"/>
      <c r="L6" s="67"/>
      <c r="M6" s="67"/>
      <c r="N6" s="67"/>
      <c r="O6" s="67"/>
      <c r="P6" s="67"/>
      <c r="Q6" s="67"/>
      <c r="R6" s="67"/>
      <c r="S6" s="67"/>
      <c r="T6" s="67"/>
      <c r="U6" s="67"/>
      <c r="V6" s="67"/>
      <c r="W6" s="67"/>
      <c r="X6" s="67"/>
      <c r="Y6" s="67"/>
      <c r="Z6" s="67"/>
      <c r="AA6" s="67"/>
      <c r="AB6" s="67"/>
      <c r="AC6" s="67"/>
      <c r="AD6" s="67"/>
      <c r="AE6" s="67"/>
      <c r="AF6" s="68"/>
      <c r="AG6" s="68"/>
      <c r="AH6" s="68"/>
      <c r="AI6" s="68"/>
      <c r="AJ6" s="68"/>
      <c r="AK6" s="68"/>
      <c r="AL6" s="68"/>
    </row>
    <row r="7" spans="1:38" s="55" customFormat="1" ht="10.5" customHeight="1" x14ac:dyDescent="0.2">
      <c r="A7" s="5"/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</row>
    <row r="8" spans="1:38" s="55" customFormat="1" ht="10.5" customHeight="1" x14ac:dyDescent="0.2">
      <c r="A8" s="5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</row>
    <row r="9" spans="1:38" s="55" customFormat="1" ht="10.5" customHeight="1" x14ac:dyDescent="0.2">
      <c r="A9" s="5"/>
      <c r="B9" s="2"/>
      <c r="C9" s="3"/>
      <c r="D9" s="3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</row>
    <row r="10" spans="1:38" s="55" customFormat="1" ht="10.5" customHeight="1" x14ac:dyDescent="0.2">
      <c r="A10" s="5"/>
      <c r="B10" s="2"/>
      <c r="C10" s="3"/>
      <c r="D10" s="3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  <c r="AD10" s="5"/>
      <c r="AE10" s="5"/>
      <c r="AF10" s="5"/>
      <c r="AG10" s="5"/>
      <c r="AH10" s="5"/>
      <c r="AI10" s="5"/>
      <c r="AJ10" s="5"/>
      <c r="AK10" s="5"/>
      <c r="AL10" s="5"/>
    </row>
    <row r="11" spans="1:38" s="55" customFormat="1" ht="10.5" customHeight="1" x14ac:dyDescent="0.2">
      <c r="A11" s="5"/>
      <c r="B11" s="2"/>
      <c r="C11" s="6"/>
      <c r="D11" s="6"/>
      <c r="E11" s="7"/>
      <c r="F11" s="7"/>
      <c r="G11" s="7"/>
      <c r="H11" s="7"/>
      <c r="I11" s="7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</row>
    <row r="12" spans="1:38" s="61" customFormat="1" ht="42" x14ac:dyDescent="0.2">
      <c r="A12" s="56"/>
      <c r="B12" s="57" t="str">
        <f>'[1]INVENTARIO NACIONAL 03-09-26'!B12</f>
        <v>Referencia interna</v>
      </c>
      <c r="C12" s="58" t="str">
        <f>'[1]INVENTARIO NACIONAL 03-09-26'!C12</f>
        <v>Presentacion</v>
      </c>
      <c r="D12" s="57" t="str">
        <f>'[1]INVENTARIO NACIONAL 03-09-26'!D12</f>
        <v>Valor $ Costo/Prod.</v>
      </c>
      <c r="E12" s="57" t="str">
        <f>'[1]INVENTARIO NACIONAL 03-09-26'!E12</f>
        <v>Existencia CCS</v>
      </c>
      <c r="F12" s="59" t="str">
        <f>'[1]INVENTARIO NACIONAL 03-09-26'!F12</f>
        <v>Valor $ Total/CCS</v>
      </c>
      <c r="G12" s="59" t="str">
        <f>'[1]INVENTARIO NACIONAL 03-09-26'!G12</f>
        <v>COBERTURA INVENTARIO (Días)</v>
      </c>
      <c r="H12" s="60" t="str">
        <f>'[1]INVENTARIO NACIONAL 03-09-26'!H12</f>
        <v>UNITS SALES PROMED MES</v>
      </c>
      <c r="I12" s="59" t="str">
        <f>'[1]INVENTARIO NACIONAL 03-09-26'!I12</f>
        <v>BALANCE</v>
      </c>
      <c r="J12" s="57" t="str">
        <f>'[1]INVENTARIO NACIONAL 03-09-26'!J12</f>
        <v>Existencia CARABOBO</v>
      </c>
      <c r="K12" s="59" t="str">
        <f>'[1]INVENTARIO NACIONAL 03-09-26'!K12</f>
        <v>Valor $ Total/CARABOBO</v>
      </c>
      <c r="L12" s="59" t="str">
        <f>'[1]INVENTARIO NACIONAL 03-09-26'!L12</f>
        <v>COBERTURA INVENTARIO (Días)</v>
      </c>
      <c r="M12" s="60" t="str">
        <f>'[1]INVENTARIO NACIONAL 03-09-26'!M12</f>
        <v>UNITS SALES PROMED MES</v>
      </c>
      <c r="N12" s="59" t="str">
        <f>'[1]INVENTARIO NACIONAL 03-09-26'!N12</f>
        <v>BALANCE</v>
      </c>
      <c r="O12" s="57" t="str">
        <f>'[1]INVENTARIO NACIONAL 03-09-26'!O12</f>
        <v>Existencia ORIENTE</v>
      </c>
      <c r="P12" s="59" t="str">
        <f>'[1]INVENTARIO NACIONAL 03-09-26'!P12</f>
        <v>Valor $ Total/ORIENTE</v>
      </c>
      <c r="Q12" s="59" t="str">
        <f>'[1]INVENTARIO NACIONAL 03-09-26'!Q12</f>
        <v>COBERTURA INVENTARIO (Días)</v>
      </c>
      <c r="R12" s="60" t="str">
        <f>'[1]INVENTARIO NACIONAL 03-09-26'!R12</f>
        <v>UNITS SALES PROMED MES</v>
      </c>
      <c r="S12" s="59" t="str">
        <f>'[1]INVENTARIO NACIONAL 03-09-26'!S12</f>
        <v>BALANCE</v>
      </c>
      <c r="T12" s="57" t="str">
        <f>'[1]INVENTARIO NACIONAL 03-09-26'!T12</f>
        <v>Existencia LARA</v>
      </c>
      <c r="U12" s="59" t="str">
        <f>'[1]INVENTARIO NACIONAL 03-09-26'!U12</f>
        <v>Valor $ Total/LARA</v>
      </c>
      <c r="V12" s="59" t="str">
        <f>'[1]INVENTARIO NACIONAL 03-09-26'!V12</f>
        <v>COBERTURA INVENTARIO (Días)</v>
      </c>
      <c r="W12" s="60" t="str">
        <f>'[1]INVENTARIO NACIONAL 03-09-26'!W12</f>
        <v>UNITS SALES PROMED MES</v>
      </c>
      <c r="X12" s="59" t="str">
        <f>'[1]INVENTARIO NACIONAL 03-09-26'!X12</f>
        <v>BALANCE</v>
      </c>
      <c r="Y12" s="57" t="str">
        <f>'[1]INVENTARIO NACIONAL 03-09-26'!Y12</f>
        <v>Existencia ZULIA</v>
      </c>
      <c r="Z12" s="59" t="str">
        <f>'[1]INVENTARIO NACIONAL 03-09-26'!Z12</f>
        <v>Valor $ Total/ZULIA</v>
      </c>
      <c r="AA12" s="59" t="str">
        <f>'[1]INVENTARIO NACIONAL 03-09-26'!AA12</f>
        <v>COBERTURA INVENTARIO (Días)</v>
      </c>
      <c r="AB12" s="60" t="str">
        <f>'[1]INVENTARIO NACIONAL 03-09-26'!AB12</f>
        <v>UNITS SALES PROMED MES</v>
      </c>
      <c r="AC12" s="59" t="str">
        <f>'[1]INVENTARIO NACIONAL 03-09-26'!AC12</f>
        <v>BALANCE</v>
      </c>
      <c r="AD12" s="57" t="str">
        <f>'[1]INVENTARIO NACIONAL 03-09-26'!AD12</f>
        <v>Existencia Total</v>
      </c>
      <c r="AE12" s="57" t="str">
        <f>'[1]INVENTARIO NACIONAL 03-09-26'!AE12</f>
        <v>Valor $ Total/Prod.</v>
      </c>
      <c r="AF12" s="8" t="str">
        <f>'[1]INVENTARIO NACIONAL 03-09-26'!AF12</f>
        <v>Demanda PROM AGOSTO 10 dias</v>
      </c>
      <c r="AG12" s="8" t="str">
        <f>'[1]INVENTARIO NACIONAL 03-09-26'!AG12</f>
        <v>COBERTURA INVENTARIO (Días)</v>
      </c>
      <c r="AH12" s="9" t="str">
        <f>'[1]INVENTARIO NACIONAL 03-09-26'!AH12</f>
        <v>EFFICIENCY. SICI %</v>
      </c>
      <c r="AI12" s="9" t="str">
        <f>'[1]INVENTARIO NACIONAL 03-09-26'!AI12</f>
        <v>Diferencia INV. DISP. / PROM. DEM.</v>
      </c>
      <c r="AJ12" s="9" t="str">
        <f>'[1]INVENTARIO NACIONAL 03-09-26'!AJ12</f>
        <v>Demanda PROM JUNIO 5 dias</v>
      </c>
      <c r="AK12" s="8" t="str">
        <f>'[1]INVENTARIO NACIONAL 03-09-26'!AK12</f>
        <v>TOTAL Dif. Alcance Inv. (10 D STOCK 5 D VENTA)</v>
      </c>
      <c r="AL12" s="9" t="str">
        <f>'[1]INVENTARIO NACIONAL 03-09-26'!AL12</f>
        <v>Inventario de Cestas</v>
      </c>
    </row>
    <row r="13" spans="1:38" ht="15" customHeight="1" x14ac:dyDescent="0.25">
      <c r="A13" s="56"/>
      <c r="B13" s="10" t="s">
        <v>20</v>
      </c>
      <c r="C13" s="11" t="s">
        <v>21</v>
      </c>
      <c r="D13" s="12">
        <v>1.36</v>
      </c>
      <c r="E13" s="13">
        <v>5468</v>
      </c>
      <c r="F13" s="14">
        <v>7436.4800000000005</v>
      </c>
      <c r="G13" s="14">
        <v>6.9537939805002109</v>
      </c>
      <c r="H13" s="30">
        <v>17299.333333333336</v>
      </c>
      <c r="I13" s="15">
        <v>-2395.3333333333348</v>
      </c>
      <c r="J13" s="16">
        <v>7805</v>
      </c>
      <c r="K13" s="13">
        <v>10614.800000000001</v>
      </c>
      <c r="L13" s="14">
        <v>34.218162839248436</v>
      </c>
      <c r="M13" s="30">
        <v>5018.0952380952385</v>
      </c>
      <c r="N13" s="15">
        <v>5524.0476190476184</v>
      </c>
      <c r="O13" s="16">
        <v>866</v>
      </c>
      <c r="P13" s="17">
        <v>1177.76</v>
      </c>
      <c r="Q13" s="14">
        <v>20.319553072625698</v>
      </c>
      <c r="R13" s="16">
        <v>937.61904761904771</v>
      </c>
      <c r="S13" s="15">
        <v>13.619047619047592</v>
      </c>
      <c r="T13" s="18">
        <v>510</v>
      </c>
      <c r="U13" s="17">
        <v>693.6</v>
      </c>
      <c r="V13" s="14">
        <v>10.500000000000002</v>
      </c>
      <c r="W13" s="16">
        <v>1068.5714285714284</v>
      </c>
      <c r="X13" s="15">
        <v>-267.142857142857</v>
      </c>
      <c r="Y13" s="18">
        <v>584</v>
      </c>
      <c r="Z13" s="17">
        <v>794.24</v>
      </c>
      <c r="AA13" s="14">
        <v>19.528662420382165</v>
      </c>
      <c r="AB13" s="16">
        <v>657.90476190476193</v>
      </c>
      <c r="AC13" s="15">
        <v>-73.904761904761926</v>
      </c>
      <c r="AD13" s="19">
        <v>15233</v>
      </c>
      <c r="AE13" s="20">
        <v>20716.88</v>
      </c>
      <c r="AF13" s="21">
        <v>11880.952380952382</v>
      </c>
      <c r="AG13" s="22">
        <v>7.3664128256513024</v>
      </c>
      <c r="AH13" s="23">
        <v>0.73664128256513017</v>
      </c>
      <c r="AI13" s="24">
        <v>-3128.9523809523816</v>
      </c>
      <c r="AJ13" s="24">
        <v>5940.4761904761908</v>
      </c>
      <c r="AK13" s="25">
        <v>9069.4285714285725</v>
      </c>
      <c r="AL13" s="24">
        <v>109.4</v>
      </c>
    </row>
    <row r="14" spans="1:38" ht="15" customHeight="1" x14ac:dyDescent="0.25">
      <c r="A14" s="56"/>
      <c r="B14" s="10" t="s">
        <v>22</v>
      </c>
      <c r="C14" s="11" t="s">
        <v>23</v>
      </c>
      <c r="D14" s="12">
        <v>1.59</v>
      </c>
      <c r="E14" s="13">
        <v>0</v>
      </c>
      <c r="F14" s="14">
        <v>0</v>
      </c>
      <c r="G14" s="14">
        <v>0</v>
      </c>
      <c r="H14" s="30">
        <v>492.38095238095235</v>
      </c>
      <c r="I14" s="15">
        <v>-223.8095238095238</v>
      </c>
      <c r="J14" s="16">
        <v>0</v>
      </c>
      <c r="K14" s="13">
        <v>0</v>
      </c>
      <c r="L14" s="14">
        <v>0</v>
      </c>
      <c r="M14" s="30">
        <v>260.85714285714289</v>
      </c>
      <c r="N14" s="15">
        <v>-118.5714285714286</v>
      </c>
      <c r="O14" s="16">
        <v>88</v>
      </c>
      <c r="P14" s="17">
        <v>139.92000000000002</v>
      </c>
      <c r="Q14" s="14">
        <v>17.76923076923077</v>
      </c>
      <c r="R14" s="16">
        <v>108.95238095238096</v>
      </c>
      <c r="S14" s="15">
        <v>-11.047619047619051</v>
      </c>
      <c r="T14" s="18">
        <v>7</v>
      </c>
      <c r="U14" s="17">
        <v>11.13</v>
      </c>
      <c r="V14" s="14">
        <v>5.4444444444444438</v>
      </c>
      <c r="W14" s="16">
        <v>28.285714285714288</v>
      </c>
      <c r="X14" s="15">
        <v>-13.571428571428573</v>
      </c>
      <c r="Y14" s="18">
        <v>13</v>
      </c>
      <c r="Z14" s="17">
        <v>20.67</v>
      </c>
      <c r="AA14" s="14">
        <v>3.25</v>
      </c>
      <c r="AB14" s="16">
        <v>88</v>
      </c>
      <c r="AC14" s="15">
        <v>-75</v>
      </c>
      <c r="AD14" s="19">
        <v>108</v>
      </c>
      <c r="AE14" s="20">
        <v>171.72</v>
      </c>
      <c r="AF14" s="21">
        <v>763.80952380952385</v>
      </c>
      <c r="AG14" s="22">
        <v>8.4968827930174573</v>
      </c>
      <c r="AH14" s="23">
        <v>0.84968827930174562</v>
      </c>
      <c r="AI14" s="26">
        <v>-114.80952380952385</v>
      </c>
      <c r="AJ14" s="27">
        <v>381.90476190476193</v>
      </c>
      <c r="AK14" s="25">
        <v>496.71428571428578</v>
      </c>
      <c r="AL14" s="28">
        <v>8.1125000000000007</v>
      </c>
    </row>
    <row r="15" spans="1:38" ht="15" customHeight="1" x14ac:dyDescent="0.25">
      <c r="A15" s="56"/>
      <c r="B15" s="10" t="s">
        <v>24</v>
      </c>
      <c r="C15" s="11" t="s">
        <v>25</v>
      </c>
      <c r="D15" s="12">
        <v>2.0299999999999998</v>
      </c>
      <c r="E15" s="13">
        <v>2281</v>
      </c>
      <c r="F15" s="14">
        <v>4630.4299999999994</v>
      </c>
      <c r="G15" s="14">
        <v>6.7858053548661275</v>
      </c>
      <c r="H15" s="30">
        <v>7395.1428571428578</v>
      </c>
      <c r="I15" s="15">
        <v>-1080.4285714285716</v>
      </c>
      <c r="J15" s="16">
        <v>4133</v>
      </c>
      <c r="K15" s="13">
        <v>8389.99</v>
      </c>
      <c r="L15" s="14">
        <v>36.823504454815442</v>
      </c>
      <c r="M15" s="30">
        <v>2469.2380952380954</v>
      </c>
      <c r="N15" s="15">
        <v>3010.6190476190477</v>
      </c>
      <c r="O15" s="16">
        <v>164</v>
      </c>
      <c r="P15" s="17">
        <v>332.91999999999996</v>
      </c>
      <c r="Q15" s="14">
        <v>14.410041841004183</v>
      </c>
      <c r="R15" s="16">
        <v>250.38095238095238</v>
      </c>
      <c r="S15" s="15">
        <v>-63.61904761904762</v>
      </c>
      <c r="T15" s="18">
        <v>125</v>
      </c>
      <c r="U15" s="17">
        <v>253.74999999999997</v>
      </c>
      <c r="V15" s="14">
        <v>7.6754385964912286</v>
      </c>
      <c r="W15" s="16">
        <v>358.28571428571428</v>
      </c>
      <c r="X15" s="15">
        <v>-135.57142857142856</v>
      </c>
      <c r="Y15" s="18">
        <v>206</v>
      </c>
      <c r="Z15" s="17">
        <v>418.17999999999995</v>
      </c>
      <c r="AA15" s="14">
        <v>22.414507772020727</v>
      </c>
      <c r="AB15" s="16">
        <v>202.19047619047618</v>
      </c>
      <c r="AC15" s="15">
        <v>3.8095238095238244</v>
      </c>
      <c r="AD15" s="19">
        <v>6909</v>
      </c>
      <c r="AE15" s="20">
        <v>14025.269999999999</v>
      </c>
      <c r="AF15" s="21">
        <v>5094.7619047619046</v>
      </c>
      <c r="AG15" s="22">
        <v>4.7597906346387511</v>
      </c>
      <c r="AH15" s="23">
        <v>0.47597906346387514</v>
      </c>
      <c r="AI15" s="26">
        <v>-2669.7619047619046</v>
      </c>
      <c r="AJ15" s="27">
        <v>2547.3809523809523</v>
      </c>
      <c r="AK15" s="25">
        <v>5217.1428571428569</v>
      </c>
      <c r="AL15" s="28">
        <v>40.416666666666664</v>
      </c>
    </row>
    <row r="16" spans="1:38" ht="15" customHeight="1" x14ac:dyDescent="0.25">
      <c r="B16" s="10" t="s">
        <v>26</v>
      </c>
      <c r="C16" s="11" t="s">
        <v>27</v>
      </c>
      <c r="D16" s="12">
        <v>3.61</v>
      </c>
      <c r="E16" s="13">
        <v>176</v>
      </c>
      <c r="F16" s="14">
        <v>635.36</v>
      </c>
      <c r="G16" s="14">
        <v>2.3677130044843051</v>
      </c>
      <c r="H16" s="30">
        <v>1635.3333333333333</v>
      </c>
      <c r="I16" s="15">
        <v>-567.33333333333326</v>
      </c>
      <c r="J16" s="16">
        <v>694</v>
      </c>
      <c r="K16" s="13">
        <v>2505.3399999999997</v>
      </c>
      <c r="L16" s="14">
        <v>26.741284403669724</v>
      </c>
      <c r="M16" s="30">
        <v>570.95238095238096</v>
      </c>
      <c r="N16" s="15">
        <v>434.47619047619048</v>
      </c>
      <c r="O16" s="16">
        <v>36</v>
      </c>
      <c r="P16" s="17">
        <v>129.96</v>
      </c>
      <c r="Q16" s="14">
        <v>14.538461538461538</v>
      </c>
      <c r="R16" s="16">
        <v>54.476190476190482</v>
      </c>
      <c r="S16" s="15">
        <v>-13.523809523809526</v>
      </c>
      <c r="T16" s="18">
        <v>39</v>
      </c>
      <c r="U16" s="17">
        <v>140.79</v>
      </c>
      <c r="V16" s="14">
        <v>39</v>
      </c>
      <c r="W16" s="16">
        <v>22</v>
      </c>
      <c r="X16" s="15">
        <v>23</v>
      </c>
      <c r="Y16" s="18">
        <v>76</v>
      </c>
      <c r="Z16" s="17">
        <v>274.36</v>
      </c>
      <c r="AA16" s="14">
        <v>24.553846153846152</v>
      </c>
      <c r="AB16" s="16">
        <v>68.095238095238102</v>
      </c>
      <c r="AC16" s="15">
        <v>7.904761904761898</v>
      </c>
      <c r="AD16" s="19">
        <v>1021</v>
      </c>
      <c r="AE16" s="20">
        <v>3685.81</v>
      </c>
      <c r="AF16" s="21">
        <v>980</v>
      </c>
      <c r="AG16" s="22">
        <v>7.0510204081632653</v>
      </c>
      <c r="AH16" s="23">
        <v>0.70510204081632655</v>
      </c>
      <c r="AI16" s="26">
        <v>-289</v>
      </c>
      <c r="AJ16" s="27">
        <v>490</v>
      </c>
      <c r="AK16" s="25">
        <v>779</v>
      </c>
      <c r="AL16" s="28">
        <v>24.678571428571427</v>
      </c>
    </row>
    <row r="17" spans="2:38" ht="15" customHeight="1" x14ac:dyDescent="0.25">
      <c r="B17" s="10" t="s">
        <v>28</v>
      </c>
      <c r="C17" s="29" t="s">
        <v>29</v>
      </c>
      <c r="D17" s="12">
        <v>8.7799999999999994</v>
      </c>
      <c r="E17" s="13">
        <v>35</v>
      </c>
      <c r="F17" s="14">
        <v>307.29999999999995</v>
      </c>
      <c r="G17" s="14">
        <v>3.0625</v>
      </c>
      <c r="H17" s="30">
        <v>251.42857142857144</v>
      </c>
      <c r="I17" s="15">
        <v>-79.285714285714292</v>
      </c>
      <c r="J17" s="16">
        <v>69</v>
      </c>
      <c r="K17" s="13">
        <v>605.81999999999994</v>
      </c>
      <c r="L17" s="14">
        <v>36.224999999999994</v>
      </c>
      <c r="M17" s="30">
        <v>41.904761904761905</v>
      </c>
      <c r="N17" s="15">
        <v>49.952380952380949</v>
      </c>
      <c r="O17" s="16">
        <v>12</v>
      </c>
      <c r="P17" s="17">
        <v>105.35999999999999</v>
      </c>
      <c r="Q17" s="14">
        <v>22.909090909090907</v>
      </c>
      <c r="R17" s="16">
        <v>11.523809523809524</v>
      </c>
      <c r="S17" s="15">
        <v>1.5238095238095237</v>
      </c>
      <c r="T17" s="18">
        <v>16</v>
      </c>
      <c r="U17" s="17">
        <v>140.47999999999999</v>
      </c>
      <c r="V17" s="14">
        <v>176</v>
      </c>
      <c r="W17" s="16">
        <v>2</v>
      </c>
      <c r="X17" s="15">
        <v>14.545454545454545</v>
      </c>
      <c r="Y17" s="18">
        <v>6</v>
      </c>
      <c r="Z17" s="17">
        <v>52.679999999999993</v>
      </c>
      <c r="AA17" s="14">
        <v>13.999999999999998</v>
      </c>
      <c r="AB17" s="16">
        <v>9.4285714285714288</v>
      </c>
      <c r="AC17" s="15">
        <v>-3.4285714285714288</v>
      </c>
      <c r="AD17" s="19">
        <v>138</v>
      </c>
      <c r="AE17" s="20">
        <v>1211.6399999999999</v>
      </c>
      <c r="AF17" s="21">
        <v>119.52380952380952</v>
      </c>
      <c r="AG17" s="22">
        <v>6.8605577689243029</v>
      </c>
      <c r="AH17" s="23">
        <v>0.68605577689243036</v>
      </c>
      <c r="AI17" s="26">
        <v>-37.523809523809518</v>
      </c>
      <c r="AJ17" s="27">
        <v>59.761904761904759</v>
      </c>
      <c r="AK17" s="25">
        <v>97.285714285714278</v>
      </c>
      <c r="AL17" s="28">
        <v>6.833333333333333</v>
      </c>
    </row>
    <row r="18" spans="2:38" ht="15" customHeight="1" x14ac:dyDescent="0.25">
      <c r="B18" s="10" t="s">
        <v>30</v>
      </c>
      <c r="C18" s="29" t="s">
        <v>31</v>
      </c>
      <c r="D18" s="12">
        <v>0.63</v>
      </c>
      <c r="E18" s="13">
        <v>7919</v>
      </c>
      <c r="F18" s="14">
        <v>4988.97</v>
      </c>
      <c r="G18" s="14">
        <v>9.7347655564011006</v>
      </c>
      <c r="H18" s="30">
        <v>17896.476190476191</v>
      </c>
      <c r="I18" s="15">
        <v>-215.76190476190459</v>
      </c>
      <c r="J18" s="16">
        <v>11566</v>
      </c>
      <c r="K18" s="13">
        <v>7286.58</v>
      </c>
      <c r="L18" s="14">
        <v>34.30593220338983</v>
      </c>
      <c r="M18" s="30">
        <v>7417.1428571428578</v>
      </c>
      <c r="N18" s="15">
        <v>8194.5714285714275</v>
      </c>
      <c r="O18" s="16">
        <v>968</v>
      </c>
      <c r="P18" s="17">
        <v>609.84</v>
      </c>
      <c r="Q18" s="14">
        <v>16.827814569536422</v>
      </c>
      <c r="R18" s="16">
        <v>1265.5238095238096</v>
      </c>
      <c r="S18" s="15">
        <v>-182.4761904761906</v>
      </c>
      <c r="T18" s="18">
        <v>1623</v>
      </c>
      <c r="U18" s="17">
        <v>1022.49</v>
      </c>
      <c r="V18" s="14">
        <v>10.275248718721736</v>
      </c>
      <c r="W18" s="16">
        <v>3474.9523809523812</v>
      </c>
      <c r="X18" s="15">
        <v>-904.23809523809541</v>
      </c>
      <c r="Y18" s="18">
        <v>257</v>
      </c>
      <c r="Z18" s="17">
        <v>161.91</v>
      </c>
      <c r="AA18" s="14">
        <v>14.786301369863015</v>
      </c>
      <c r="AB18" s="16">
        <v>382.38095238095235</v>
      </c>
      <c r="AC18" s="15">
        <v>-125.38095238095235</v>
      </c>
      <c r="AD18" s="19">
        <v>22333</v>
      </c>
      <c r="AE18" s="20">
        <v>14069.79</v>
      </c>
      <c r="AF18" s="21">
        <v>14603.333333333332</v>
      </c>
      <c r="AG18" s="22">
        <v>9.6738187628395345</v>
      </c>
      <c r="AH18" s="23">
        <v>0.96738187628395356</v>
      </c>
      <c r="AI18" s="26">
        <v>-476.33333333333212</v>
      </c>
      <c r="AJ18" s="27">
        <v>7301.6666666666661</v>
      </c>
      <c r="AK18" s="25">
        <v>7777.9999999999982</v>
      </c>
      <c r="AL18" s="28">
        <v>235.45</v>
      </c>
    </row>
    <row r="19" spans="2:38" ht="15" customHeight="1" x14ac:dyDescent="0.25">
      <c r="B19" s="10" t="s">
        <v>32</v>
      </c>
      <c r="C19" s="29" t="s">
        <v>33</v>
      </c>
      <c r="D19" s="12">
        <v>0.63</v>
      </c>
      <c r="E19" s="13">
        <v>155</v>
      </c>
      <c r="F19" s="14">
        <v>97.65</v>
      </c>
      <c r="G19" s="14">
        <v>2.4022140221402215</v>
      </c>
      <c r="H19" s="30">
        <v>1419.5238095238094</v>
      </c>
      <c r="I19" s="15">
        <v>-490.23809523809518</v>
      </c>
      <c r="J19" s="16">
        <v>1550</v>
      </c>
      <c r="K19" s="13">
        <v>976.5</v>
      </c>
      <c r="L19" s="14">
        <v>28.157439446366784</v>
      </c>
      <c r="M19" s="30">
        <v>1211.047619047619</v>
      </c>
      <c r="N19" s="15">
        <v>999.52380952380952</v>
      </c>
      <c r="O19" s="16">
        <v>117</v>
      </c>
      <c r="P19" s="17">
        <v>73.709999999999994</v>
      </c>
      <c r="Q19" s="14">
        <v>25.071428571428569</v>
      </c>
      <c r="R19" s="16">
        <v>102.66666666666667</v>
      </c>
      <c r="S19" s="15">
        <v>23.666666666666657</v>
      </c>
      <c r="T19" s="18">
        <v>141</v>
      </c>
      <c r="U19" s="17">
        <v>88.83</v>
      </c>
      <c r="V19" s="14">
        <v>10.462897526501767</v>
      </c>
      <c r="W19" s="16">
        <v>296.47619047619048</v>
      </c>
      <c r="X19" s="15">
        <v>-74.61904761904762</v>
      </c>
      <c r="Y19" s="18">
        <v>227</v>
      </c>
      <c r="Z19" s="17">
        <v>143.01</v>
      </c>
      <c r="AA19" s="14">
        <v>23.835000000000001</v>
      </c>
      <c r="AB19" s="16">
        <v>209.52380952380952</v>
      </c>
      <c r="AC19" s="15">
        <v>17.476190476190482</v>
      </c>
      <c r="AD19" s="19">
        <v>2190</v>
      </c>
      <c r="AE19" s="20">
        <v>1379.7</v>
      </c>
      <c r="AF19" s="21">
        <v>1503.8095238095239</v>
      </c>
      <c r="AG19" s="22">
        <v>11.843255224825839</v>
      </c>
      <c r="AH19" s="23">
        <v>1.1843255224825839</v>
      </c>
      <c r="AI19" s="26">
        <v>277.19047619047615</v>
      </c>
      <c r="AJ19" s="27">
        <v>751.90476190476193</v>
      </c>
      <c r="AK19" s="25">
        <v>474.71428571428578</v>
      </c>
      <c r="AL19" s="28">
        <v>29.683333333333334</v>
      </c>
    </row>
    <row r="20" spans="2:38" ht="15" customHeight="1" x14ac:dyDescent="0.25">
      <c r="B20" s="10" t="s">
        <v>34</v>
      </c>
      <c r="C20" s="29" t="s">
        <v>35</v>
      </c>
      <c r="D20" s="12">
        <v>0.63</v>
      </c>
      <c r="E20" s="13">
        <v>1269</v>
      </c>
      <c r="F20" s="14">
        <v>799.47</v>
      </c>
      <c r="G20" s="14">
        <v>9.403316866619619</v>
      </c>
      <c r="H20" s="30">
        <v>2968.9523809523812</v>
      </c>
      <c r="I20" s="15">
        <v>-80.523809523809632</v>
      </c>
      <c r="J20" s="16">
        <v>2914</v>
      </c>
      <c r="K20" s="13">
        <v>1835.82</v>
      </c>
      <c r="L20" s="14">
        <v>22.816554809843399</v>
      </c>
      <c r="M20" s="30">
        <v>2809.7142857142858</v>
      </c>
      <c r="N20" s="15">
        <v>1636.8571428571427</v>
      </c>
      <c r="O20" s="16">
        <v>202</v>
      </c>
      <c r="P20" s="17">
        <v>127.26</v>
      </c>
      <c r="Q20" s="14">
        <v>21.753846153846151</v>
      </c>
      <c r="R20" s="16">
        <v>204.28571428571431</v>
      </c>
      <c r="S20" s="15">
        <v>16.285714285714278</v>
      </c>
      <c r="T20" s="18">
        <v>330</v>
      </c>
      <c r="U20" s="17">
        <v>207.9</v>
      </c>
      <c r="V20" s="14">
        <v>10.5</v>
      </c>
      <c r="W20" s="16">
        <v>691.42857142857144</v>
      </c>
      <c r="X20" s="15">
        <v>-172.85714285714289</v>
      </c>
      <c r="Y20" s="18">
        <v>223</v>
      </c>
      <c r="Z20" s="17">
        <v>140.49</v>
      </c>
      <c r="AA20" s="14">
        <v>14.06306306306306</v>
      </c>
      <c r="AB20" s="16">
        <v>348.85714285714289</v>
      </c>
      <c r="AC20" s="15">
        <v>-125.85714285714289</v>
      </c>
      <c r="AD20" s="19">
        <v>4938</v>
      </c>
      <c r="AE20" s="20">
        <v>3110.94</v>
      </c>
      <c r="AF20" s="21">
        <v>3435.7142857142853</v>
      </c>
      <c r="AG20" s="22">
        <v>9.1509355509355519</v>
      </c>
      <c r="AH20" s="23">
        <v>0.91509355509355517</v>
      </c>
      <c r="AI20" s="26">
        <v>-291.71428571428532</v>
      </c>
      <c r="AJ20" s="27">
        <v>1717.8571428571427</v>
      </c>
      <c r="AK20" s="25">
        <v>2009.571428571428</v>
      </c>
      <c r="AL20" s="28">
        <v>52.4</v>
      </c>
    </row>
    <row r="21" spans="2:38" ht="15" customHeight="1" x14ac:dyDescent="0.25">
      <c r="B21" s="10" t="s">
        <v>36</v>
      </c>
      <c r="C21" s="29" t="s">
        <v>37</v>
      </c>
      <c r="D21" s="12">
        <v>1.0900000000000001</v>
      </c>
      <c r="E21" s="13">
        <v>2760</v>
      </c>
      <c r="F21" s="14">
        <v>3008.4</v>
      </c>
      <c r="G21" s="14">
        <v>9.191246431969553</v>
      </c>
      <c r="H21" s="30">
        <v>6606.2857142857138</v>
      </c>
      <c r="I21" s="15">
        <v>-242.85714285714266</v>
      </c>
      <c r="J21" s="16">
        <v>3406</v>
      </c>
      <c r="K21" s="13">
        <v>3712.5400000000004</v>
      </c>
      <c r="L21" s="14">
        <v>9.8738266151297616</v>
      </c>
      <c r="M21" s="30">
        <v>7588.9523809523816</v>
      </c>
      <c r="N21" s="15">
        <v>-43.523809523809632</v>
      </c>
      <c r="O21" s="16">
        <v>444</v>
      </c>
      <c r="P21" s="17">
        <v>483.96000000000004</v>
      </c>
      <c r="Q21" s="14">
        <v>16.243902439024392</v>
      </c>
      <c r="R21" s="16">
        <v>601.33333333333326</v>
      </c>
      <c r="S21" s="15">
        <v>-102.66666666666652</v>
      </c>
      <c r="T21" s="18">
        <v>688</v>
      </c>
      <c r="U21" s="17">
        <v>749.92000000000007</v>
      </c>
      <c r="V21" s="14">
        <v>8</v>
      </c>
      <c r="W21" s="16">
        <v>1892</v>
      </c>
      <c r="X21" s="15">
        <v>-688</v>
      </c>
      <c r="Y21" s="18">
        <v>294</v>
      </c>
      <c r="Z21" s="17">
        <v>320.46000000000004</v>
      </c>
      <c r="AA21" s="14">
        <v>13.84304932735426</v>
      </c>
      <c r="AB21" s="16">
        <v>467.23809523809524</v>
      </c>
      <c r="AC21" s="15">
        <v>-173.23809523809524</v>
      </c>
      <c r="AD21" s="19">
        <v>7592</v>
      </c>
      <c r="AE21" s="20">
        <v>8275.2800000000007</v>
      </c>
      <c r="AF21" s="21">
        <v>7661.9047619047615</v>
      </c>
      <c r="AG21" s="22">
        <v>8.3073337476693609</v>
      </c>
      <c r="AH21" s="23">
        <v>0.83073337476693598</v>
      </c>
      <c r="AI21" s="26">
        <v>-1296.9047619047615</v>
      </c>
      <c r="AJ21" s="27">
        <v>3830.9523809523807</v>
      </c>
      <c r="AK21" s="25">
        <v>5127.8571428571422</v>
      </c>
      <c r="AL21" s="28">
        <v>117.87037037037037</v>
      </c>
    </row>
    <row r="22" spans="2:38" ht="15" customHeight="1" x14ac:dyDescent="0.25">
      <c r="B22" s="10" t="s">
        <v>38</v>
      </c>
      <c r="C22" s="29" t="s">
        <v>39</v>
      </c>
      <c r="D22" s="12">
        <v>1.0900000000000001</v>
      </c>
      <c r="E22" s="13">
        <v>1824</v>
      </c>
      <c r="F22" s="14">
        <v>1988.16</v>
      </c>
      <c r="G22" s="14">
        <v>9.7416073245167851</v>
      </c>
      <c r="H22" s="30">
        <v>4119.2380952380954</v>
      </c>
      <c r="I22" s="15">
        <v>-48.380952380952294</v>
      </c>
      <c r="J22" s="16">
        <v>1502</v>
      </c>
      <c r="K22" s="13">
        <v>1637.18</v>
      </c>
      <c r="L22" s="14">
        <v>9.7713754646840147</v>
      </c>
      <c r="M22" s="30">
        <v>3381.7142857142858</v>
      </c>
      <c r="N22" s="15">
        <v>-35.142857142857338</v>
      </c>
      <c r="O22" s="16">
        <v>104</v>
      </c>
      <c r="P22" s="17">
        <v>113.36000000000001</v>
      </c>
      <c r="Q22" s="14">
        <v>14.463576158940397</v>
      </c>
      <c r="R22" s="16">
        <v>158.1904761904762</v>
      </c>
      <c r="S22" s="15">
        <v>-39.809523809523824</v>
      </c>
      <c r="T22" s="18">
        <v>254</v>
      </c>
      <c r="U22" s="17">
        <v>276.86</v>
      </c>
      <c r="V22" s="14">
        <v>9.8961038961038934</v>
      </c>
      <c r="W22" s="16">
        <v>564.66666666666674</v>
      </c>
      <c r="X22" s="15">
        <v>-156.66666666666674</v>
      </c>
      <c r="Y22" s="18">
        <v>21</v>
      </c>
      <c r="Z22" s="17">
        <v>22.89</v>
      </c>
      <c r="AA22" s="14">
        <v>2.4915254237288136</v>
      </c>
      <c r="AB22" s="16">
        <v>185.42857142857144</v>
      </c>
      <c r="AC22" s="15">
        <v>-164.42857142857144</v>
      </c>
      <c r="AD22" s="19">
        <v>3705</v>
      </c>
      <c r="AE22" s="20">
        <v>4038.4500000000003</v>
      </c>
      <c r="AF22" s="21">
        <v>3628.0952380952381</v>
      </c>
      <c r="AG22" s="22">
        <v>7.4557028481428009</v>
      </c>
      <c r="AH22" s="23">
        <v>0.74557028481428012</v>
      </c>
      <c r="AI22" s="26">
        <v>-923.09523809523807</v>
      </c>
      <c r="AJ22" s="27">
        <v>1814.047619047619</v>
      </c>
      <c r="AK22" s="25">
        <v>2737.1428571428569</v>
      </c>
      <c r="AL22" s="28">
        <v>50.092592592592595</v>
      </c>
    </row>
    <row r="23" spans="2:38" ht="15" customHeight="1" x14ac:dyDescent="0.25">
      <c r="B23" s="10" t="s">
        <v>40</v>
      </c>
      <c r="C23" s="29" t="s">
        <v>41</v>
      </c>
      <c r="D23" s="12">
        <v>1.1599999999999999</v>
      </c>
      <c r="E23" s="13">
        <v>21755</v>
      </c>
      <c r="F23" s="14">
        <v>25235.8</v>
      </c>
      <c r="G23" s="14">
        <v>13.444029191925138</v>
      </c>
      <c r="H23" s="30">
        <v>35600.190476190473</v>
      </c>
      <c r="I23" s="15">
        <v>-2517.8571428571413</v>
      </c>
      <c r="J23" s="16">
        <v>14701</v>
      </c>
      <c r="K23" s="13">
        <v>17053.16</v>
      </c>
      <c r="L23" s="14">
        <v>15.110420439528168</v>
      </c>
      <c r="M23" s="30">
        <v>21403.904761904763</v>
      </c>
      <c r="N23" s="15">
        <v>4971.9523809523816</v>
      </c>
      <c r="O23" s="16">
        <v>2315</v>
      </c>
      <c r="P23" s="17">
        <v>2685.3999999999996</v>
      </c>
      <c r="Q23" s="14">
        <v>15.526988182689236</v>
      </c>
      <c r="R23" s="16">
        <v>3280.0952380952381</v>
      </c>
      <c r="S23" s="15">
        <v>-666.90476190476193</v>
      </c>
      <c r="T23" s="18">
        <v>5600</v>
      </c>
      <c r="U23" s="17">
        <v>6496</v>
      </c>
      <c r="V23" s="14">
        <v>10.059019758788812</v>
      </c>
      <c r="W23" s="16">
        <v>12247.714285714284</v>
      </c>
      <c r="X23" s="15">
        <v>-3307.4285714285706</v>
      </c>
      <c r="Y23" s="18">
        <v>1156</v>
      </c>
      <c r="Z23" s="17">
        <v>1340.9599999999998</v>
      </c>
      <c r="AA23" s="14">
        <v>23.409836065573771</v>
      </c>
      <c r="AB23" s="16">
        <v>1086.3809523809523</v>
      </c>
      <c r="AC23" s="15">
        <v>69.619047619047706</v>
      </c>
      <c r="AD23" s="19">
        <v>45527</v>
      </c>
      <c r="AE23" s="20">
        <v>52811.32</v>
      </c>
      <c r="AF23" s="21">
        <v>35215.238095238099</v>
      </c>
      <c r="AG23" s="22">
        <v>10.458824643011681</v>
      </c>
      <c r="AH23" s="23">
        <v>1.0458824643011682</v>
      </c>
      <c r="AI23" s="26">
        <v>1615.761904761901</v>
      </c>
      <c r="AJ23" s="27">
        <v>17607.61904761905</v>
      </c>
      <c r="AK23" s="25">
        <v>15991.857142857149</v>
      </c>
      <c r="AL23" s="28">
        <v>682.05555555555554</v>
      </c>
    </row>
    <row r="24" spans="2:38" ht="15" customHeight="1" x14ac:dyDescent="0.25">
      <c r="B24" s="10" t="s">
        <v>42</v>
      </c>
      <c r="C24" s="29" t="s">
        <v>43</v>
      </c>
      <c r="D24" s="12">
        <v>1.1599999999999999</v>
      </c>
      <c r="E24" s="13">
        <v>9245</v>
      </c>
      <c r="F24" s="14">
        <v>10724.199999999999</v>
      </c>
      <c r="G24" s="14">
        <v>8.4650098103335516</v>
      </c>
      <c r="H24" s="30">
        <v>24027.142857142855</v>
      </c>
      <c r="I24" s="15">
        <v>-1676.4285714285706</v>
      </c>
      <c r="J24" s="16">
        <v>12059</v>
      </c>
      <c r="K24" s="13">
        <v>13988.439999999999</v>
      </c>
      <c r="L24" s="14">
        <v>20.412622924391421</v>
      </c>
      <c r="M24" s="30">
        <v>12996.761904761906</v>
      </c>
      <c r="N24" s="15">
        <v>6151.3809523809523</v>
      </c>
      <c r="O24" s="16">
        <v>1352</v>
      </c>
      <c r="P24" s="17">
        <v>1568.32</v>
      </c>
      <c r="Q24" s="14">
        <v>15.557260273972604</v>
      </c>
      <c r="R24" s="16">
        <v>1911.9047619047617</v>
      </c>
      <c r="S24" s="15">
        <v>-386.09523809523807</v>
      </c>
      <c r="T24" s="18">
        <v>3242</v>
      </c>
      <c r="U24" s="17">
        <v>3760.72</v>
      </c>
      <c r="V24" s="14">
        <v>10.968583856935718</v>
      </c>
      <c r="W24" s="16">
        <v>6502.5714285714284</v>
      </c>
      <c r="X24" s="15">
        <v>-1487.1428571428569</v>
      </c>
      <c r="Y24" s="18">
        <v>643</v>
      </c>
      <c r="Z24" s="17">
        <v>745.88</v>
      </c>
      <c r="AA24" s="14">
        <v>15.867215041128084</v>
      </c>
      <c r="AB24" s="16">
        <v>891.52380952380952</v>
      </c>
      <c r="AC24" s="15">
        <v>-248.52380952380952</v>
      </c>
      <c r="AD24" s="19">
        <v>26541</v>
      </c>
      <c r="AE24" s="20">
        <v>30787.559999999998</v>
      </c>
      <c r="AF24" s="21">
        <v>23050</v>
      </c>
      <c r="AG24" s="22">
        <v>9.9132321041214748</v>
      </c>
      <c r="AH24" s="23">
        <v>0.99132321041214755</v>
      </c>
      <c r="AI24" s="26">
        <v>-200</v>
      </c>
      <c r="AJ24" s="27">
        <v>11525</v>
      </c>
      <c r="AK24" s="25">
        <v>11725</v>
      </c>
      <c r="AL24" s="28">
        <v>423.14814814814815</v>
      </c>
    </row>
    <row r="25" spans="2:38" ht="15" customHeight="1" x14ac:dyDescent="0.25">
      <c r="B25" s="10" t="s">
        <v>44</v>
      </c>
      <c r="C25" s="29" t="s">
        <v>45</v>
      </c>
      <c r="D25" s="12">
        <v>1.1599999999999999</v>
      </c>
      <c r="E25" s="13">
        <v>9854</v>
      </c>
      <c r="F25" s="14">
        <v>11430.64</v>
      </c>
      <c r="G25" s="14">
        <v>9.3652244750181026</v>
      </c>
      <c r="H25" s="30">
        <v>23148.190476190473</v>
      </c>
      <c r="I25" s="15">
        <v>-667.90476190476147</v>
      </c>
      <c r="J25" s="16">
        <v>13327</v>
      </c>
      <c r="K25" s="13">
        <v>15459.32</v>
      </c>
      <c r="L25" s="14">
        <v>21.43917573157653</v>
      </c>
      <c r="M25" s="30">
        <v>13675.619047619048</v>
      </c>
      <c r="N25" s="15">
        <v>7110.8095238095239</v>
      </c>
      <c r="O25" s="16">
        <v>1648</v>
      </c>
      <c r="P25" s="17">
        <v>1911.6799999999998</v>
      </c>
      <c r="Q25" s="14">
        <v>15.449999999999998</v>
      </c>
      <c r="R25" s="16">
        <v>2346.666666666667</v>
      </c>
      <c r="S25" s="15">
        <v>-485.33333333333394</v>
      </c>
      <c r="T25" s="18">
        <v>3238</v>
      </c>
      <c r="U25" s="17">
        <v>3756.08</v>
      </c>
      <c r="V25" s="14">
        <v>10.740483335965882</v>
      </c>
      <c r="W25" s="16">
        <v>6632.4761904761908</v>
      </c>
      <c r="X25" s="15">
        <v>-1585.6190476190477</v>
      </c>
      <c r="Y25" s="18">
        <v>448</v>
      </c>
      <c r="Z25" s="17">
        <v>519.67999999999995</v>
      </c>
      <c r="AA25" s="14">
        <v>15.101123595505616</v>
      </c>
      <c r="AB25" s="16">
        <v>652.66666666666674</v>
      </c>
      <c r="AC25" s="15">
        <v>-204.66666666666674</v>
      </c>
      <c r="AD25" s="19">
        <v>28515</v>
      </c>
      <c r="AE25" s="20">
        <v>33077.399999999994</v>
      </c>
      <c r="AF25" s="21">
        <v>22664.761904761905</v>
      </c>
      <c r="AG25" s="22">
        <v>8.0949449533574249</v>
      </c>
      <c r="AH25" s="23">
        <v>0.80949449533574247</v>
      </c>
      <c r="AI25" s="26">
        <v>-4317.7619047619046</v>
      </c>
      <c r="AJ25" s="27">
        <v>11332.380952380952</v>
      </c>
      <c r="AK25" s="25">
        <v>15650.142857142857</v>
      </c>
      <c r="AL25" s="28">
        <v>339.75925925925924</v>
      </c>
    </row>
    <row r="26" spans="2:38" ht="15" customHeight="1" x14ac:dyDescent="0.25">
      <c r="B26" s="10" t="s">
        <v>46</v>
      </c>
      <c r="C26" s="29" t="s">
        <v>47</v>
      </c>
      <c r="D26" s="12">
        <v>1.1599999999999999</v>
      </c>
      <c r="E26" s="13">
        <v>17668</v>
      </c>
      <c r="F26" s="14">
        <v>20494.879999999997</v>
      </c>
      <c r="G26" s="14">
        <v>12.960771299821847</v>
      </c>
      <c r="H26" s="30">
        <v>29990.190476190473</v>
      </c>
      <c r="I26" s="15">
        <v>-2779.8571428571413</v>
      </c>
      <c r="J26" s="16">
        <v>11173</v>
      </c>
      <c r="K26" s="13">
        <v>12960.679999999998</v>
      </c>
      <c r="L26" s="14">
        <v>15.212201763485478</v>
      </c>
      <c r="M26" s="30">
        <v>16158.476190476191</v>
      </c>
      <c r="N26" s="15">
        <v>3828.2380952380954</v>
      </c>
      <c r="O26" s="16">
        <v>1283</v>
      </c>
      <c r="P26" s="17">
        <v>1488.28</v>
      </c>
      <c r="Q26" s="14">
        <v>15.068791946308725</v>
      </c>
      <c r="R26" s="16">
        <v>1873.1428571428571</v>
      </c>
      <c r="S26" s="15">
        <v>-419.85714285714266</v>
      </c>
      <c r="T26" s="18">
        <v>3754</v>
      </c>
      <c r="U26" s="17">
        <v>4354.6399999999994</v>
      </c>
      <c r="V26" s="14">
        <v>9.878947368421052</v>
      </c>
      <c r="W26" s="16">
        <v>8360</v>
      </c>
      <c r="X26" s="15">
        <v>-2326</v>
      </c>
      <c r="Y26" s="18">
        <v>770</v>
      </c>
      <c r="Z26" s="17">
        <v>893.19999999999993</v>
      </c>
      <c r="AA26" s="14">
        <v>17.021052631578947</v>
      </c>
      <c r="AB26" s="16">
        <v>995.2380952380953</v>
      </c>
      <c r="AC26" s="15">
        <v>-225.2380952380953</v>
      </c>
      <c r="AD26" s="19">
        <v>34648</v>
      </c>
      <c r="AE26" s="20">
        <v>40191.68</v>
      </c>
      <c r="AF26" s="21">
        <v>26740</v>
      </c>
      <c r="AG26" s="22">
        <v>8.8522812266267756</v>
      </c>
      <c r="AH26" s="23">
        <v>0.88522812266267759</v>
      </c>
      <c r="AI26" s="26">
        <v>-3069</v>
      </c>
      <c r="AJ26" s="27">
        <v>13370</v>
      </c>
      <c r="AK26" s="25">
        <v>16439</v>
      </c>
      <c r="AL26" s="28">
        <v>438.35185185185185</v>
      </c>
    </row>
    <row r="27" spans="2:38" ht="15" customHeight="1" x14ac:dyDescent="0.25">
      <c r="B27" s="10">
        <v>130157</v>
      </c>
      <c r="C27" s="29" t="s">
        <v>48</v>
      </c>
      <c r="D27" s="12">
        <v>1.1599999999999999</v>
      </c>
      <c r="E27" s="13">
        <v>3660</v>
      </c>
      <c r="F27" s="14">
        <v>4245.5999999999995</v>
      </c>
      <c r="G27" s="14">
        <v>10.296048225050233</v>
      </c>
      <c r="H27" s="30">
        <v>7820.4761904761908</v>
      </c>
      <c r="I27" s="15">
        <v>105.23809523809541</v>
      </c>
      <c r="J27" s="16">
        <v>5726</v>
      </c>
      <c r="K27" s="13">
        <v>6642.16</v>
      </c>
      <c r="L27" s="14">
        <v>29.941733067729082</v>
      </c>
      <c r="M27" s="30">
        <v>4207.2380952380954</v>
      </c>
      <c r="N27" s="15">
        <v>3813.6190476190477</v>
      </c>
      <c r="O27" s="16">
        <v>536</v>
      </c>
      <c r="P27" s="17">
        <v>621.76</v>
      </c>
      <c r="Q27" s="14">
        <v>18.885906040268459</v>
      </c>
      <c r="R27" s="16">
        <v>624.38095238095229</v>
      </c>
      <c r="S27" s="15">
        <v>-31.619047619047478</v>
      </c>
      <c r="T27" s="18">
        <v>1397</v>
      </c>
      <c r="U27" s="17">
        <v>1620.52</v>
      </c>
      <c r="V27" s="14">
        <v>11.66945107398568</v>
      </c>
      <c r="W27" s="16">
        <v>2633.7142857142858</v>
      </c>
      <c r="X27" s="15">
        <v>-518.42857142857156</v>
      </c>
      <c r="Y27" s="18">
        <v>301</v>
      </c>
      <c r="Z27" s="17">
        <v>349.15999999999997</v>
      </c>
      <c r="AA27" s="14">
        <v>22.101398601398603</v>
      </c>
      <c r="AB27" s="16">
        <v>299.61904761904759</v>
      </c>
      <c r="AC27" s="15">
        <v>1.380952380952408</v>
      </c>
      <c r="AD27" s="19">
        <v>11620</v>
      </c>
      <c r="AE27" s="20">
        <v>13479.199999999999</v>
      </c>
      <c r="AF27" s="21">
        <v>3891.9047619047619</v>
      </c>
      <c r="AG27" s="22">
        <v>21.190138260124801</v>
      </c>
      <c r="AH27" s="23">
        <v>2.11901382601248</v>
      </c>
      <c r="AI27" s="26">
        <v>4355.0952380952385</v>
      </c>
      <c r="AJ27" s="27">
        <v>1945.952380952381</v>
      </c>
      <c r="AK27" s="25">
        <v>-2409.1428571428578</v>
      </c>
      <c r="AL27" s="28">
        <v>152.72222222222223</v>
      </c>
    </row>
    <row r="28" spans="2:38" ht="15" customHeight="1" x14ac:dyDescent="0.25">
      <c r="B28" s="10">
        <v>130158</v>
      </c>
      <c r="C28" s="29" t="s">
        <v>49</v>
      </c>
      <c r="D28" s="12">
        <v>1.1599999999999999</v>
      </c>
      <c r="E28" s="13">
        <v>3186</v>
      </c>
      <c r="F28" s="14">
        <v>3695.7599999999998</v>
      </c>
      <c r="G28" s="14">
        <v>8.7976331360946745</v>
      </c>
      <c r="H28" s="30">
        <v>7967.1428571428578</v>
      </c>
      <c r="I28" s="15">
        <v>-435.42857142857156</v>
      </c>
      <c r="J28" s="16">
        <v>7882</v>
      </c>
      <c r="K28" s="13">
        <v>9143.119999999999</v>
      </c>
      <c r="L28" s="14">
        <v>28.318562874251498</v>
      </c>
      <c r="M28" s="30">
        <v>6123.333333333333</v>
      </c>
      <c r="N28" s="15">
        <v>5098.666666666667</v>
      </c>
      <c r="O28" s="16">
        <v>643</v>
      </c>
      <c r="P28" s="17">
        <v>745.88</v>
      </c>
      <c r="Q28" s="14">
        <v>15.701162790697676</v>
      </c>
      <c r="R28" s="16">
        <v>900.95238095238085</v>
      </c>
      <c r="S28" s="15">
        <v>-176.04761904761904</v>
      </c>
      <c r="T28" s="18">
        <v>749</v>
      </c>
      <c r="U28" s="17">
        <v>868.83999999999992</v>
      </c>
      <c r="V28" s="14">
        <v>5.1167859466493173</v>
      </c>
      <c r="W28" s="16">
        <v>3220.3809523809523</v>
      </c>
      <c r="X28" s="15">
        <v>-1593.0952380952381</v>
      </c>
      <c r="Y28" s="18">
        <v>367</v>
      </c>
      <c r="Z28" s="17">
        <v>425.71999999999997</v>
      </c>
      <c r="AA28" s="14">
        <v>19.560913705583754</v>
      </c>
      <c r="AB28" s="16">
        <v>412.76190476190476</v>
      </c>
      <c r="AC28" s="15">
        <v>-45.761904761904759</v>
      </c>
      <c r="AD28" s="19">
        <v>12827</v>
      </c>
      <c r="AE28" s="20">
        <v>14879.32</v>
      </c>
      <c r="AF28" s="21">
        <v>4283.8095238095239</v>
      </c>
      <c r="AG28" s="22">
        <v>8.4714317474433081</v>
      </c>
      <c r="AH28" s="23">
        <v>0.84714317474433076</v>
      </c>
      <c r="AI28" s="26">
        <v>-654.80952380952385</v>
      </c>
      <c r="AJ28" s="27">
        <v>2141.9047619047619</v>
      </c>
      <c r="AK28" s="25">
        <v>2796.7142857142858</v>
      </c>
      <c r="AL28" s="28">
        <v>67.203703703703709</v>
      </c>
    </row>
    <row r="29" spans="2:38" ht="15" customHeight="1" x14ac:dyDescent="0.25">
      <c r="B29" s="10">
        <v>130159</v>
      </c>
      <c r="C29" s="29" t="s">
        <v>50</v>
      </c>
      <c r="D29" s="12">
        <v>1.1599999999999999</v>
      </c>
      <c r="E29" s="13">
        <v>1045</v>
      </c>
      <c r="F29" s="14">
        <v>1212.1999999999998</v>
      </c>
      <c r="G29" s="14">
        <v>2.6979345955249574</v>
      </c>
      <c r="H29" s="30">
        <v>8521.3333333333321</v>
      </c>
      <c r="I29" s="15">
        <v>-2828.3333333333326</v>
      </c>
      <c r="J29" s="16">
        <v>3904</v>
      </c>
      <c r="K29" s="13">
        <v>4528.6399999999994</v>
      </c>
      <c r="L29" s="14">
        <v>15.201928425737067</v>
      </c>
      <c r="M29" s="30">
        <v>5649.8095238095239</v>
      </c>
      <c r="N29" s="15">
        <v>1335.9047619047619</v>
      </c>
      <c r="O29" s="16">
        <v>659</v>
      </c>
      <c r="P29" s="17">
        <v>764.43999999999994</v>
      </c>
      <c r="Q29" s="14">
        <v>15.761958997722095</v>
      </c>
      <c r="R29" s="16">
        <v>919.80952380952385</v>
      </c>
      <c r="S29" s="15">
        <v>-177.19047619047615</v>
      </c>
      <c r="T29" s="18">
        <v>686</v>
      </c>
      <c r="U29" s="17">
        <v>795.76</v>
      </c>
      <c r="V29" s="14">
        <v>4.6833550065019507</v>
      </c>
      <c r="W29" s="16">
        <v>3222.4761904761908</v>
      </c>
      <c r="X29" s="15">
        <v>-1657.6190476190477</v>
      </c>
      <c r="Y29" s="18">
        <v>327</v>
      </c>
      <c r="Z29" s="17">
        <v>379.32</v>
      </c>
      <c r="AA29" s="14">
        <v>18.263297872340424</v>
      </c>
      <c r="AB29" s="16">
        <v>393.90476190476193</v>
      </c>
      <c r="AC29" s="15">
        <v>-66.904761904761926</v>
      </c>
      <c r="AD29" s="19">
        <v>6621</v>
      </c>
      <c r="AE29" s="20">
        <v>7680.36</v>
      </c>
      <c r="AF29" s="21">
        <v>3907.6190476190477</v>
      </c>
      <c r="AG29" s="22">
        <v>20.513770411893738</v>
      </c>
      <c r="AH29" s="23">
        <v>2.0513770411893737</v>
      </c>
      <c r="AI29" s="26">
        <v>4108.3809523809523</v>
      </c>
      <c r="AJ29" s="27">
        <v>1953.8095238095239</v>
      </c>
      <c r="AK29" s="25">
        <v>-2154.5714285714284</v>
      </c>
      <c r="AL29" s="28">
        <v>148.44444444444446</v>
      </c>
    </row>
    <row r="30" spans="2:38" ht="15" customHeight="1" x14ac:dyDescent="0.25">
      <c r="B30" s="10">
        <v>130700</v>
      </c>
      <c r="C30" s="29" t="s">
        <v>51</v>
      </c>
      <c r="D30" s="12">
        <v>3.68</v>
      </c>
      <c r="E30" s="13">
        <v>516</v>
      </c>
      <c r="F30" s="14">
        <v>1898.88</v>
      </c>
      <c r="G30" s="14">
        <v>4.779885310983679</v>
      </c>
      <c r="H30" s="30">
        <v>2374.9523809523807</v>
      </c>
      <c r="I30" s="15">
        <v>-563.5238095238094</v>
      </c>
      <c r="J30" s="16">
        <v>1466</v>
      </c>
      <c r="K30" s="13">
        <v>5394.88</v>
      </c>
      <c r="L30" s="14">
        <v>11.895672333848532</v>
      </c>
      <c r="M30" s="30">
        <v>2711.2380952380954</v>
      </c>
      <c r="N30" s="15">
        <v>233.61904761904771</v>
      </c>
      <c r="O30" s="16">
        <v>114</v>
      </c>
      <c r="P30" s="17">
        <v>419.52000000000004</v>
      </c>
      <c r="Q30" s="14">
        <v>19.152000000000001</v>
      </c>
      <c r="R30" s="16">
        <v>130.95238095238096</v>
      </c>
      <c r="S30" s="15">
        <v>-5.047619047619051</v>
      </c>
      <c r="T30" s="18">
        <v>319</v>
      </c>
      <c r="U30" s="17">
        <v>1173.92</v>
      </c>
      <c r="V30" s="14">
        <v>11</v>
      </c>
      <c r="W30" s="16">
        <v>638</v>
      </c>
      <c r="X30" s="15">
        <v>-145</v>
      </c>
      <c r="Y30" s="18">
        <v>101</v>
      </c>
      <c r="Z30" s="17">
        <v>371.68</v>
      </c>
      <c r="AA30" s="14">
        <v>18.28448275862069</v>
      </c>
      <c r="AB30" s="16">
        <v>121.52380952380952</v>
      </c>
      <c r="AC30" s="15">
        <v>-20.523809523809518</v>
      </c>
      <c r="AD30" s="19">
        <v>2516</v>
      </c>
      <c r="AE30" s="20">
        <v>9258.880000000001</v>
      </c>
      <c r="AF30" s="21">
        <v>2420</v>
      </c>
      <c r="AG30" s="22">
        <v>11.590909090909092</v>
      </c>
      <c r="AH30" s="23">
        <v>1.1590909090909092</v>
      </c>
      <c r="AI30" s="26">
        <v>385</v>
      </c>
      <c r="AJ30" s="27">
        <v>1210</v>
      </c>
      <c r="AK30" s="25">
        <v>825</v>
      </c>
      <c r="AL30" s="28">
        <v>175.3125</v>
      </c>
    </row>
    <row r="31" spans="2:38" ht="15" customHeight="1" x14ac:dyDescent="0.25">
      <c r="B31" s="10">
        <v>130701</v>
      </c>
      <c r="C31" s="29" t="s">
        <v>52</v>
      </c>
      <c r="D31" s="12">
        <v>3.68</v>
      </c>
      <c r="E31" s="13">
        <v>557</v>
      </c>
      <c r="F31" s="14">
        <v>2049.7600000000002</v>
      </c>
      <c r="G31" s="14">
        <v>10.731192660550459</v>
      </c>
      <c r="H31" s="30">
        <v>1141.9047619047619</v>
      </c>
      <c r="I31" s="15">
        <v>37.952380952380963</v>
      </c>
      <c r="J31" s="16">
        <v>780</v>
      </c>
      <c r="K31" s="13">
        <v>2870.4</v>
      </c>
      <c r="L31" s="14">
        <v>10.949197860962567</v>
      </c>
      <c r="M31" s="30">
        <v>1567.2380952380954</v>
      </c>
      <c r="N31" s="15">
        <v>67.619047619047592</v>
      </c>
      <c r="O31" s="16">
        <v>34</v>
      </c>
      <c r="P31" s="17">
        <v>125.12</v>
      </c>
      <c r="Q31" s="14">
        <v>39.666666666666664</v>
      </c>
      <c r="R31" s="16">
        <v>18.857142857142858</v>
      </c>
      <c r="S31" s="15">
        <v>16.857142857142854</v>
      </c>
      <c r="T31" s="18">
        <v>72</v>
      </c>
      <c r="U31" s="17">
        <v>264.96000000000004</v>
      </c>
      <c r="V31" s="14">
        <v>7.1320754716981138</v>
      </c>
      <c r="W31" s="16">
        <v>222.09523809523807</v>
      </c>
      <c r="X31" s="15">
        <v>-89.523809523809518</v>
      </c>
      <c r="Y31" s="18">
        <v>30</v>
      </c>
      <c r="Z31" s="17">
        <v>110.4</v>
      </c>
      <c r="AA31" s="14">
        <v>23.333333333333332</v>
      </c>
      <c r="AB31" s="16">
        <v>28.285714285714288</v>
      </c>
      <c r="AC31" s="15">
        <v>1.7142857142857117</v>
      </c>
      <c r="AD31" s="19">
        <v>1473</v>
      </c>
      <c r="AE31" s="20">
        <v>5420.64</v>
      </c>
      <c r="AF31" s="21">
        <v>1421.9047619047619</v>
      </c>
      <c r="AG31" s="22">
        <v>10.619557937039517</v>
      </c>
      <c r="AH31" s="23">
        <v>1.0619557937039517</v>
      </c>
      <c r="AI31" s="26">
        <v>88.095238095238074</v>
      </c>
      <c r="AJ31" s="27">
        <v>710.95238095238096</v>
      </c>
      <c r="AK31" s="25">
        <v>622.85714285714289</v>
      </c>
      <c r="AL31" s="28">
        <v>94.375</v>
      </c>
    </row>
    <row r="32" spans="2:38" ht="15" customHeight="1" x14ac:dyDescent="0.25">
      <c r="B32" s="10">
        <v>130702</v>
      </c>
      <c r="C32" s="29" t="s">
        <v>53</v>
      </c>
      <c r="D32" s="12">
        <v>4.1500000000000004</v>
      </c>
      <c r="E32" s="13">
        <v>1572</v>
      </c>
      <c r="F32" s="14">
        <v>6523.8</v>
      </c>
      <c r="G32" s="14">
        <v>7.0089171974522309</v>
      </c>
      <c r="H32" s="30">
        <v>4934.2857142857138</v>
      </c>
      <c r="I32" s="15">
        <v>-670.85714285714266</v>
      </c>
      <c r="J32" s="16">
        <v>2131</v>
      </c>
      <c r="K32" s="13">
        <v>8843.6500000000015</v>
      </c>
      <c r="L32" s="14">
        <v>11.602540834845735</v>
      </c>
      <c r="M32" s="30">
        <v>4040.6666666666665</v>
      </c>
      <c r="N32" s="15">
        <v>294.33333333333348</v>
      </c>
      <c r="O32" s="16">
        <v>236</v>
      </c>
      <c r="P32" s="17">
        <v>979.40000000000009</v>
      </c>
      <c r="Q32" s="14">
        <v>17.148788927335641</v>
      </c>
      <c r="R32" s="16">
        <v>302.76190476190476</v>
      </c>
      <c r="S32" s="15">
        <v>-39.238095238095241</v>
      </c>
      <c r="T32" s="18">
        <v>877</v>
      </c>
      <c r="U32" s="17">
        <v>3639.55</v>
      </c>
      <c r="V32" s="14">
        <v>10.169519602429597</v>
      </c>
      <c r="W32" s="16">
        <v>1897.2380952380954</v>
      </c>
      <c r="X32" s="15">
        <v>-502.80952380952385</v>
      </c>
      <c r="Y32" s="18">
        <v>258</v>
      </c>
      <c r="Z32" s="17">
        <v>1070.7</v>
      </c>
      <c r="AA32" s="14">
        <v>55.285714285714285</v>
      </c>
      <c r="AB32" s="16">
        <v>102.66666666666667</v>
      </c>
      <c r="AC32" s="15">
        <v>155.33333333333331</v>
      </c>
      <c r="AD32" s="19">
        <v>5074</v>
      </c>
      <c r="AE32" s="20">
        <v>21057.100000000002</v>
      </c>
      <c r="AF32" s="21">
        <v>5130.9523809523807</v>
      </c>
      <c r="AG32" s="22">
        <v>9.6141995359628769</v>
      </c>
      <c r="AH32" s="23">
        <v>0.96141995359628774</v>
      </c>
      <c r="AI32" s="26">
        <v>-197.95238095238074</v>
      </c>
      <c r="AJ32" s="27">
        <v>2565.4761904761904</v>
      </c>
      <c r="AK32" s="25">
        <v>2763.4285714285711</v>
      </c>
      <c r="AL32" s="28">
        <v>308.3125</v>
      </c>
    </row>
    <row r="33" spans="2:38" ht="15" customHeight="1" x14ac:dyDescent="0.25">
      <c r="B33" s="10">
        <v>130703</v>
      </c>
      <c r="C33" s="29" t="s">
        <v>54</v>
      </c>
      <c r="D33" s="12">
        <v>4.1500000000000004</v>
      </c>
      <c r="E33" s="13">
        <v>3270</v>
      </c>
      <c r="F33" s="14">
        <v>13570.500000000002</v>
      </c>
      <c r="G33" s="14">
        <v>7.3775247099269441</v>
      </c>
      <c r="H33" s="30">
        <v>9751.2380952380954</v>
      </c>
      <c r="I33" s="15">
        <v>-1162.3809523809523</v>
      </c>
      <c r="J33" s="16">
        <v>3993</v>
      </c>
      <c r="K33" s="13">
        <v>16570.95</v>
      </c>
      <c r="L33" s="14">
        <v>14.311827956989248</v>
      </c>
      <c r="M33" s="30">
        <v>6138</v>
      </c>
      <c r="N33" s="15">
        <v>1203</v>
      </c>
      <c r="O33" s="16">
        <v>336</v>
      </c>
      <c r="P33" s="17">
        <v>1394.4</v>
      </c>
      <c r="Q33" s="14">
        <v>17.596009975062344</v>
      </c>
      <c r="R33" s="16">
        <v>420.09523809523807</v>
      </c>
      <c r="S33" s="15">
        <v>-45.904761904761926</v>
      </c>
      <c r="T33" s="18">
        <v>984</v>
      </c>
      <c r="U33" s="17">
        <v>4083.6000000000004</v>
      </c>
      <c r="V33" s="14">
        <v>9.0631578947368414</v>
      </c>
      <c r="W33" s="16">
        <v>2388.5714285714284</v>
      </c>
      <c r="X33" s="15">
        <v>-753.14285714285711</v>
      </c>
      <c r="Y33" s="18">
        <v>188</v>
      </c>
      <c r="Z33" s="17">
        <v>780.2</v>
      </c>
      <c r="AA33" s="14">
        <v>12.859934853420196</v>
      </c>
      <c r="AB33" s="16">
        <v>321.61904761904759</v>
      </c>
      <c r="AC33" s="15">
        <v>-133.61904761904759</v>
      </c>
      <c r="AD33" s="19">
        <v>8771</v>
      </c>
      <c r="AE33" s="20">
        <v>36399.65</v>
      </c>
      <c r="AF33" s="21">
        <v>8113.8095238095239</v>
      </c>
      <c r="AG33" s="22">
        <v>8.9131991314044257</v>
      </c>
      <c r="AH33" s="23">
        <v>0.89131991314044245</v>
      </c>
      <c r="AI33" s="26">
        <v>-881.80952380952385</v>
      </c>
      <c r="AJ33" s="27">
        <v>4056.9047619047619</v>
      </c>
      <c r="AK33" s="25">
        <v>4938.7142857142862</v>
      </c>
      <c r="AL33" s="28">
        <v>452</v>
      </c>
    </row>
    <row r="34" spans="2:38" ht="15" customHeight="1" x14ac:dyDescent="0.25">
      <c r="B34" s="10">
        <v>130707</v>
      </c>
      <c r="C34" s="29" t="s">
        <v>55</v>
      </c>
      <c r="D34" s="12">
        <v>4.1500000000000004</v>
      </c>
      <c r="E34" s="13">
        <v>478</v>
      </c>
      <c r="F34" s="14">
        <v>1983.7000000000003</v>
      </c>
      <c r="G34" s="14">
        <v>8.2958677685950413</v>
      </c>
      <c r="H34" s="30">
        <v>1267.6190476190477</v>
      </c>
      <c r="I34" s="15">
        <v>-98.190476190476147</v>
      </c>
      <c r="J34" s="16">
        <v>256</v>
      </c>
      <c r="K34" s="13">
        <v>1062.4000000000001</v>
      </c>
      <c r="L34" s="14">
        <v>0</v>
      </c>
      <c r="M34" s="30">
        <v>0</v>
      </c>
      <c r="N34" s="15">
        <v>256</v>
      </c>
      <c r="O34" s="16">
        <v>0</v>
      </c>
      <c r="P34" s="17"/>
      <c r="Q34" s="14">
        <v>0</v>
      </c>
      <c r="R34" s="16">
        <v>83.80952380952381</v>
      </c>
      <c r="S34" s="15">
        <v>-76.19047619047619</v>
      </c>
      <c r="T34" s="18">
        <v>82</v>
      </c>
      <c r="U34" s="17">
        <v>340.3</v>
      </c>
      <c r="V34" s="14">
        <v>11.48</v>
      </c>
      <c r="W34" s="16">
        <v>157.14285714285714</v>
      </c>
      <c r="X34" s="15">
        <v>-32.285714285714278</v>
      </c>
      <c r="Y34" s="18">
        <v>32</v>
      </c>
      <c r="Z34" s="17">
        <v>132.80000000000001</v>
      </c>
      <c r="AA34" s="14">
        <v>0</v>
      </c>
      <c r="AB34" s="16">
        <v>0</v>
      </c>
      <c r="AC34" s="15">
        <v>32</v>
      </c>
      <c r="AD34" s="19">
        <v>848</v>
      </c>
      <c r="AE34" s="20">
        <v>3519.2000000000003</v>
      </c>
      <c r="AF34" s="31">
        <v>749.52380952380952</v>
      </c>
      <c r="AG34" s="22">
        <v>12.527954256670903</v>
      </c>
      <c r="AH34" s="23">
        <v>1.2527954256670901</v>
      </c>
      <c r="AI34" s="26">
        <v>189.47619047619048</v>
      </c>
      <c r="AJ34" s="27">
        <v>374.76190476190476</v>
      </c>
      <c r="AK34" s="25">
        <v>185.28571428571428</v>
      </c>
      <c r="AL34" s="28">
        <v>58.6875</v>
      </c>
    </row>
    <row r="35" spans="2:38" ht="15" customHeight="1" x14ac:dyDescent="0.25">
      <c r="B35" s="10">
        <v>131150</v>
      </c>
      <c r="C35" s="29" t="s">
        <v>56</v>
      </c>
      <c r="D35" s="12">
        <v>1.63</v>
      </c>
      <c r="E35" s="13">
        <v>1888</v>
      </c>
      <c r="F35" s="14">
        <v>3077.4399999999996</v>
      </c>
      <c r="G35" s="14">
        <v>4.4112149532710276</v>
      </c>
      <c r="H35" s="30">
        <v>9416</v>
      </c>
      <c r="I35" s="15">
        <v>-2392</v>
      </c>
      <c r="J35" s="16">
        <v>4660</v>
      </c>
      <c r="K35" s="13">
        <v>7595.7999999999993</v>
      </c>
      <c r="L35" s="14">
        <v>27.651879061881889</v>
      </c>
      <c r="M35" s="30">
        <v>3707.5238095238092</v>
      </c>
      <c r="N35" s="15">
        <v>2974.7619047619046</v>
      </c>
      <c r="O35" s="16">
        <v>622</v>
      </c>
      <c r="P35" s="17">
        <v>1013.8599999999999</v>
      </c>
      <c r="Q35" s="14">
        <v>17.58008075370121</v>
      </c>
      <c r="R35" s="16">
        <v>778.38095238095229</v>
      </c>
      <c r="S35" s="15">
        <v>-85.619047619047592</v>
      </c>
      <c r="T35" s="18">
        <v>416</v>
      </c>
      <c r="U35" s="17">
        <v>678.07999999999993</v>
      </c>
      <c r="V35" s="14">
        <v>8.8421052631578956</v>
      </c>
      <c r="W35" s="16">
        <v>1035.047619047619</v>
      </c>
      <c r="X35" s="15">
        <v>-336.7619047619047</v>
      </c>
      <c r="Y35" s="18">
        <v>208</v>
      </c>
      <c r="Z35" s="17">
        <v>339.03999999999996</v>
      </c>
      <c r="AA35" s="14">
        <v>13.822784810126583</v>
      </c>
      <c r="AB35" s="16">
        <v>331.04761904761904</v>
      </c>
      <c r="AC35" s="15">
        <v>-123.04761904761904</v>
      </c>
      <c r="AD35" s="19">
        <v>7794</v>
      </c>
      <c r="AE35" s="20">
        <v>12704.22</v>
      </c>
      <c r="AF35" s="21">
        <v>7879.5238095238092</v>
      </c>
      <c r="AG35" s="22">
        <v>6.7745210612195566</v>
      </c>
      <c r="AH35" s="23">
        <v>0.67745210612195572</v>
      </c>
      <c r="AI35" s="26">
        <v>-2541.5238095238092</v>
      </c>
      <c r="AJ35" s="27">
        <v>3939.7619047619046</v>
      </c>
      <c r="AK35" s="25">
        <v>6481.2857142857138</v>
      </c>
      <c r="AL35" s="28">
        <v>98.851851851851848</v>
      </c>
    </row>
    <row r="36" spans="2:38" ht="15" customHeight="1" x14ac:dyDescent="0.25">
      <c r="B36" s="10">
        <v>131151</v>
      </c>
      <c r="C36" s="29" t="s">
        <v>57</v>
      </c>
      <c r="D36" s="12">
        <v>1.63</v>
      </c>
      <c r="E36" s="13">
        <v>5276</v>
      </c>
      <c r="F36" s="14">
        <v>8599.8799999999992</v>
      </c>
      <c r="G36" s="14">
        <v>8.4306802617562013</v>
      </c>
      <c r="H36" s="30">
        <v>13767.809523809525</v>
      </c>
      <c r="I36" s="15">
        <v>-982.09523809523853</v>
      </c>
      <c r="J36" s="16">
        <v>2763</v>
      </c>
      <c r="K36" s="13">
        <v>4503.6899999999996</v>
      </c>
      <c r="L36" s="14">
        <v>11.88022113022113</v>
      </c>
      <c r="M36" s="30">
        <v>5116.5714285714284</v>
      </c>
      <c r="N36" s="15">
        <v>437.28571428571468</v>
      </c>
      <c r="O36" s="16">
        <v>1456</v>
      </c>
      <c r="P36" s="17">
        <v>2373.2799999999997</v>
      </c>
      <c r="Q36" s="14">
        <v>16.394638069705092</v>
      </c>
      <c r="R36" s="16">
        <v>1953.8095238095239</v>
      </c>
      <c r="S36" s="15">
        <v>-320.19047619047615</v>
      </c>
      <c r="T36" s="18">
        <v>1141</v>
      </c>
      <c r="U36" s="17">
        <v>1859.83</v>
      </c>
      <c r="V36" s="14">
        <v>10.871597096188749</v>
      </c>
      <c r="W36" s="16">
        <v>2308.9523809523807</v>
      </c>
      <c r="X36" s="15">
        <v>-538.23809523809518</v>
      </c>
      <c r="Y36" s="18">
        <v>404</v>
      </c>
      <c r="Z36" s="17">
        <v>658.52</v>
      </c>
      <c r="AA36" s="14">
        <v>14.989399293286219</v>
      </c>
      <c r="AB36" s="16">
        <v>592.95238095238096</v>
      </c>
      <c r="AC36" s="15">
        <v>-188.95238095238096</v>
      </c>
      <c r="AD36" s="19">
        <v>11040</v>
      </c>
      <c r="AE36" s="20">
        <v>17995.199999999997</v>
      </c>
      <c r="AF36" s="21">
        <v>12737.142857142859</v>
      </c>
      <c r="AG36" s="22">
        <v>7.1366083445491251</v>
      </c>
      <c r="AH36" s="23">
        <v>0.71366083445491246</v>
      </c>
      <c r="AI36" s="26">
        <v>-3647.1428571428587</v>
      </c>
      <c r="AJ36" s="27">
        <v>6368.5714285714294</v>
      </c>
      <c r="AK36" s="25">
        <v>10015.714285714288</v>
      </c>
      <c r="AL36" s="28">
        <v>168.33333333333334</v>
      </c>
    </row>
    <row r="37" spans="2:38" ht="15" customHeight="1" x14ac:dyDescent="0.25">
      <c r="B37" s="10">
        <v>131152</v>
      </c>
      <c r="C37" s="29" t="s">
        <v>58</v>
      </c>
      <c r="D37" s="12">
        <v>1.63</v>
      </c>
      <c r="E37" s="13">
        <v>126</v>
      </c>
      <c r="F37" s="14">
        <v>205.38</v>
      </c>
      <c r="G37" s="14">
        <v>0.43185898482128288</v>
      </c>
      <c r="H37" s="30">
        <v>6418.7619047619046</v>
      </c>
      <c r="I37" s="15">
        <v>-2791.6190476190477</v>
      </c>
      <c r="J37" s="16">
        <v>2130</v>
      </c>
      <c r="K37" s="13">
        <v>3471.8999999999996</v>
      </c>
      <c r="L37" s="14">
        <v>15.137055837563452</v>
      </c>
      <c r="M37" s="30">
        <v>3095.7142857142858</v>
      </c>
      <c r="N37" s="15">
        <v>722.85714285714266</v>
      </c>
      <c r="O37" s="16">
        <v>885</v>
      </c>
      <c r="P37" s="17">
        <v>1442.55</v>
      </c>
      <c r="Q37" s="14">
        <v>15.487500000000001</v>
      </c>
      <c r="R37" s="16">
        <v>1257.1428571428571</v>
      </c>
      <c r="S37" s="15">
        <v>-257.85714285714266</v>
      </c>
      <c r="T37" s="18">
        <v>314</v>
      </c>
      <c r="U37" s="17">
        <v>511.82</v>
      </c>
      <c r="V37" s="14">
        <v>5.6455479452054798</v>
      </c>
      <c r="W37" s="16">
        <v>1223.6190476190477</v>
      </c>
      <c r="X37" s="15">
        <v>-575.90476190476193</v>
      </c>
      <c r="Y37" s="18">
        <v>160</v>
      </c>
      <c r="Z37" s="17">
        <v>260.79999999999995</v>
      </c>
      <c r="AA37" s="14">
        <v>10.980392156862745</v>
      </c>
      <c r="AB37" s="16">
        <v>320.57142857142856</v>
      </c>
      <c r="AC37" s="15">
        <v>-160.57142857142856</v>
      </c>
      <c r="AD37" s="19">
        <v>3615</v>
      </c>
      <c r="AE37" s="20">
        <v>5892.45</v>
      </c>
      <c r="AF37" s="21">
        <v>5291.9047619047615</v>
      </c>
      <c r="AG37" s="22">
        <v>6.1187798074327366</v>
      </c>
      <c r="AH37" s="23">
        <v>0.61187798074327371</v>
      </c>
      <c r="AI37" s="26">
        <v>-2053.9047619047615</v>
      </c>
      <c r="AJ37" s="27">
        <v>2645.9523809523807</v>
      </c>
      <c r="AK37" s="25">
        <v>4699.8571428571422</v>
      </c>
      <c r="AL37" s="28">
        <v>59.962962962962962</v>
      </c>
    </row>
    <row r="38" spans="2:38" ht="15" customHeight="1" x14ac:dyDescent="0.25">
      <c r="B38" s="10">
        <v>131153</v>
      </c>
      <c r="C38" s="29" t="s">
        <v>59</v>
      </c>
      <c r="D38" s="12">
        <v>1.63</v>
      </c>
      <c r="E38" s="13">
        <v>1846</v>
      </c>
      <c r="F38" s="14">
        <v>3008.98</v>
      </c>
      <c r="G38" s="14">
        <v>8.7666214382632308</v>
      </c>
      <c r="H38" s="30">
        <v>4632.5714285714284</v>
      </c>
      <c r="I38" s="15">
        <v>-259.71428571428532</v>
      </c>
      <c r="J38" s="16">
        <v>1034</v>
      </c>
      <c r="K38" s="13">
        <v>1685.4199999999998</v>
      </c>
      <c r="L38" s="14">
        <v>8.682127149140344</v>
      </c>
      <c r="M38" s="30">
        <v>2620.0952380952381</v>
      </c>
      <c r="N38" s="15">
        <v>-156.95238095238096</v>
      </c>
      <c r="O38" s="16">
        <v>554</v>
      </c>
      <c r="P38" s="17">
        <v>903.02</v>
      </c>
      <c r="Q38" s="14">
        <v>14.801526717557252</v>
      </c>
      <c r="R38" s="16">
        <v>823.42857142857144</v>
      </c>
      <c r="S38" s="15">
        <v>-194.57142857142867</v>
      </c>
      <c r="T38" s="18">
        <v>391</v>
      </c>
      <c r="U38" s="17">
        <v>637.32999999999993</v>
      </c>
      <c r="V38" s="14">
        <v>10.5</v>
      </c>
      <c r="W38" s="16">
        <v>819.2380952380953</v>
      </c>
      <c r="X38" s="15">
        <v>-204.80952380952385</v>
      </c>
      <c r="Y38" s="18">
        <v>389</v>
      </c>
      <c r="Z38" s="17">
        <v>634.06999999999994</v>
      </c>
      <c r="AA38" s="14">
        <v>13.413793103448276</v>
      </c>
      <c r="AB38" s="16">
        <v>638</v>
      </c>
      <c r="AC38" s="15">
        <v>-249</v>
      </c>
      <c r="AD38" s="19">
        <v>4214</v>
      </c>
      <c r="AE38" s="20">
        <v>6868.82</v>
      </c>
      <c r="AF38" s="21">
        <v>4018.5714285714284</v>
      </c>
      <c r="AG38" s="22">
        <v>8.9384998222538226</v>
      </c>
      <c r="AH38" s="23">
        <v>0.89384998222538214</v>
      </c>
      <c r="AI38" s="26">
        <v>-426.57142857142844</v>
      </c>
      <c r="AJ38" s="27">
        <v>2009.2857142857142</v>
      </c>
      <c r="AK38" s="25">
        <v>2435.8571428571427</v>
      </c>
      <c r="AL38" s="28">
        <v>66.518518518518519</v>
      </c>
    </row>
    <row r="39" spans="2:38" ht="15" customHeight="1" x14ac:dyDescent="0.25">
      <c r="B39" s="10">
        <v>131154</v>
      </c>
      <c r="C39" s="29" t="s">
        <v>60</v>
      </c>
      <c r="D39" s="12">
        <v>1.63</v>
      </c>
      <c r="E39" s="13">
        <v>1071</v>
      </c>
      <c r="F39" s="14">
        <v>1745.7299999999998</v>
      </c>
      <c r="G39" s="14">
        <v>10.504904250350304</v>
      </c>
      <c r="H39" s="30">
        <v>2242.9523809523807</v>
      </c>
      <c r="I39" s="15">
        <v>51.476190476190482</v>
      </c>
      <c r="J39" s="16">
        <v>2241</v>
      </c>
      <c r="K39" s="13">
        <v>3652.83</v>
      </c>
      <c r="L39" s="14">
        <v>39.348662207357854</v>
      </c>
      <c r="M39" s="30">
        <v>1252.952380952381</v>
      </c>
      <c r="N39" s="15">
        <v>1671.4761904761904</v>
      </c>
      <c r="O39" s="16">
        <v>548</v>
      </c>
      <c r="P39" s="17">
        <v>893.2399999999999</v>
      </c>
      <c r="Q39" s="14">
        <v>20.083769633507856</v>
      </c>
      <c r="R39" s="16">
        <v>600.28571428571422</v>
      </c>
      <c r="S39" s="15">
        <v>2.2857142857143344</v>
      </c>
      <c r="T39" s="18">
        <v>524</v>
      </c>
      <c r="U39" s="17">
        <v>854.11999999999989</v>
      </c>
      <c r="V39" s="14">
        <v>9.6020942408376975</v>
      </c>
      <c r="W39" s="16">
        <v>1200.5714285714284</v>
      </c>
      <c r="X39" s="15">
        <v>-349.142857142857</v>
      </c>
      <c r="Y39" s="18">
        <v>395</v>
      </c>
      <c r="Z39" s="17">
        <v>643.84999999999991</v>
      </c>
      <c r="AA39" s="14">
        <v>66.36</v>
      </c>
      <c r="AB39" s="16">
        <v>130.95238095238096</v>
      </c>
      <c r="AC39" s="15">
        <v>264.04761904761904</v>
      </c>
      <c r="AD39" s="19">
        <v>4779</v>
      </c>
      <c r="AE39" s="20">
        <v>7789.7699999999995</v>
      </c>
      <c r="AF39" s="21">
        <v>760.95238095238096</v>
      </c>
      <c r="AG39" s="22">
        <v>118.11514392991238</v>
      </c>
      <c r="AH39" s="23">
        <v>11.811514392991239</v>
      </c>
      <c r="AI39" s="26">
        <v>8227.0476190476184</v>
      </c>
      <c r="AJ39" s="27">
        <v>380.47619047619048</v>
      </c>
      <c r="AK39" s="25">
        <v>-7846.5714285714275</v>
      </c>
      <c r="AL39" s="28">
        <v>166.44444444444446</v>
      </c>
    </row>
    <row r="40" spans="2:38" ht="15" customHeight="1" x14ac:dyDescent="0.25">
      <c r="B40" s="10">
        <v>131155</v>
      </c>
      <c r="C40" s="29" t="s">
        <v>61</v>
      </c>
      <c r="D40" s="12">
        <v>1.63</v>
      </c>
      <c r="E40" s="13">
        <v>1357</v>
      </c>
      <c r="F40" s="14">
        <v>2211.91</v>
      </c>
      <c r="G40" s="14">
        <v>10.2544080604534</v>
      </c>
      <c r="H40" s="30">
        <v>2911.3333333333335</v>
      </c>
      <c r="I40" s="15">
        <v>33.666666666666515</v>
      </c>
      <c r="J40" s="16">
        <v>579</v>
      </c>
      <c r="K40" s="13">
        <v>943.77</v>
      </c>
      <c r="L40" s="14">
        <v>8.4790794979079482</v>
      </c>
      <c r="M40" s="30">
        <v>1502.2857142857144</v>
      </c>
      <c r="N40" s="15">
        <v>-103.85714285714289</v>
      </c>
      <c r="O40" s="16">
        <v>661</v>
      </c>
      <c r="P40" s="17">
        <v>1077.4299999999998</v>
      </c>
      <c r="Q40" s="14">
        <v>19.119834710743802</v>
      </c>
      <c r="R40" s="16">
        <v>760.57142857142856</v>
      </c>
      <c r="S40" s="15">
        <v>-30.428571428571331</v>
      </c>
      <c r="T40" s="18">
        <v>632</v>
      </c>
      <c r="U40" s="17">
        <v>1030.1599999999999</v>
      </c>
      <c r="V40" s="14">
        <v>9.9789473684210517</v>
      </c>
      <c r="W40" s="16">
        <v>1393.3333333333335</v>
      </c>
      <c r="X40" s="15">
        <v>-381.33333333333348</v>
      </c>
      <c r="Y40" s="18">
        <v>409</v>
      </c>
      <c r="Z40" s="17">
        <v>666.67</v>
      </c>
      <c r="AA40" s="14">
        <v>72.17647058823529</v>
      </c>
      <c r="AB40" s="16">
        <v>124.66666666666667</v>
      </c>
      <c r="AC40" s="15">
        <v>284.33333333333331</v>
      </c>
      <c r="AD40" s="19">
        <v>3638</v>
      </c>
      <c r="AE40" s="20">
        <v>5929.94</v>
      </c>
      <c r="AF40" s="21">
        <v>720.95238095238096</v>
      </c>
      <c r="AG40" s="22">
        <v>122.01915455746366</v>
      </c>
      <c r="AH40" s="23">
        <v>12.201915455746366</v>
      </c>
      <c r="AI40" s="26">
        <v>8076.0476190476193</v>
      </c>
      <c r="AJ40" s="27">
        <v>360.47619047619048</v>
      </c>
      <c r="AK40" s="25">
        <v>-7715.5714285714284</v>
      </c>
      <c r="AL40" s="28">
        <v>162.90740740740742</v>
      </c>
    </row>
    <row r="41" spans="2:38" ht="15" customHeight="1" x14ac:dyDescent="0.25">
      <c r="B41" s="10">
        <v>131700</v>
      </c>
      <c r="C41" s="29" t="s">
        <v>62</v>
      </c>
      <c r="D41" s="12">
        <v>6.15</v>
      </c>
      <c r="E41" s="13">
        <v>461</v>
      </c>
      <c r="F41" s="14">
        <v>2835.15</v>
      </c>
      <c r="G41" s="14">
        <v>6.4755852842809363</v>
      </c>
      <c r="H41" s="30">
        <v>1566.1904761904761</v>
      </c>
      <c r="I41" s="15">
        <v>-250.90476190476193</v>
      </c>
      <c r="J41" s="16">
        <v>286</v>
      </c>
      <c r="K41" s="13">
        <v>1758.9</v>
      </c>
      <c r="L41" s="14">
        <v>7.4887780548628431</v>
      </c>
      <c r="M41" s="30">
        <v>840.19047619047615</v>
      </c>
      <c r="N41" s="15">
        <v>-95.904761904761926</v>
      </c>
      <c r="O41" s="16">
        <v>58</v>
      </c>
      <c r="P41" s="17">
        <v>356.70000000000005</v>
      </c>
      <c r="Q41" s="14">
        <v>12.821052631578947</v>
      </c>
      <c r="R41" s="16">
        <v>99.523809523809518</v>
      </c>
      <c r="S41" s="15">
        <v>-32.476190476190482</v>
      </c>
      <c r="T41" s="18">
        <v>101</v>
      </c>
      <c r="U41" s="17">
        <v>621.15000000000009</v>
      </c>
      <c r="V41" s="14">
        <v>8.157692307692308</v>
      </c>
      <c r="W41" s="16">
        <v>272.38095238095241</v>
      </c>
      <c r="X41" s="15">
        <v>-97.095238095238102</v>
      </c>
      <c r="Y41" s="18">
        <v>65</v>
      </c>
      <c r="Z41" s="17">
        <v>399.75</v>
      </c>
      <c r="AA41" s="14">
        <v>14.368421052631579</v>
      </c>
      <c r="AB41" s="16">
        <v>99.523809523809518</v>
      </c>
      <c r="AC41" s="15">
        <v>-34.523809523809518</v>
      </c>
      <c r="AD41" s="19">
        <v>971</v>
      </c>
      <c r="AE41" s="20">
        <v>5971.6500000000005</v>
      </c>
      <c r="AF41" s="21">
        <v>1278.5714285714287</v>
      </c>
      <c r="AG41" s="22">
        <v>10.50391061452514</v>
      </c>
      <c r="AH41" s="23">
        <v>1.0503910614525138</v>
      </c>
      <c r="AI41" s="26">
        <v>64.428571428571331</v>
      </c>
      <c r="AJ41" s="27">
        <v>639.28571428571433</v>
      </c>
      <c r="AK41" s="25">
        <v>574.857142857143</v>
      </c>
      <c r="AL41" s="28">
        <v>24.87037037037037</v>
      </c>
    </row>
    <row r="42" spans="2:38" ht="15" customHeight="1" x14ac:dyDescent="0.25">
      <c r="B42" s="10">
        <v>131701</v>
      </c>
      <c r="C42" s="29" t="s">
        <v>63</v>
      </c>
      <c r="D42" s="12">
        <v>6.15</v>
      </c>
      <c r="E42" s="13">
        <v>270</v>
      </c>
      <c r="F42" s="14">
        <v>1660.5</v>
      </c>
      <c r="G42" s="14">
        <v>3.5130111524163565</v>
      </c>
      <c r="H42" s="30">
        <v>1690.8571428571429</v>
      </c>
      <c r="I42" s="15">
        <v>-498.57142857142867</v>
      </c>
      <c r="J42" s="16">
        <v>288</v>
      </c>
      <c r="K42" s="13">
        <v>1771.2</v>
      </c>
      <c r="L42" s="14">
        <v>6.8962371721778792</v>
      </c>
      <c r="M42" s="30">
        <v>918.7619047619047</v>
      </c>
      <c r="N42" s="15">
        <v>-129.61904761904759</v>
      </c>
      <c r="O42" s="16">
        <v>95</v>
      </c>
      <c r="P42" s="17">
        <v>584.25</v>
      </c>
      <c r="Q42" s="14">
        <v>14.249999999999998</v>
      </c>
      <c r="R42" s="16">
        <v>146.66666666666669</v>
      </c>
      <c r="S42" s="15">
        <v>-38.333333333333371</v>
      </c>
      <c r="T42" s="18">
        <v>186</v>
      </c>
      <c r="U42" s="17">
        <v>1143.9000000000001</v>
      </c>
      <c r="V42" s="14">
        <v>10.790055248618785</v>
      </c>
      <c r="W42" s="16">
        <v>379.23809523809524</v>
      </c>
      <c r="X42" s="15">
        <v>-89.809523809523796</v>
      </c>
      <c r="Y42" s="18">
        <v>62</v>
      </c>
      <c r="Z42" s="17">
        <v>381.3</v>
      </c>
      <c r="AA42" s="14">
        <v>19.147058823529413</v>
      </c>
      <c r="AB42" s="16">
        <v>71.238095238095241</v>
      </c>
      <c r="AC42" s="15">
        <v>-9.2380952380952408</v>
      </c>
      <c r="AD42" s="19">
        <v>901</v>
      </c>
      <c r="AE42" s="20">
        <v>5541.1500000000005</v>
      </c>
      <c r="AF42" s="21">
        <v>1433.3333333333335</v>
      </c>
      <c r="AG42" s="22">
        <v>4.2488372093023257</v>
      </c>
      <c r="AH42" s="23">
        <v>0.42488372093023252</v>
      </c>
      <c r="AI42" s="26">
        <v>-824.33333333333348</v>
      </c>
      <c r="AJ42" s="27">
        <v>716.66666666666674</v>
      </c>
      <c r="AK42" s="25">
        <v>1541.0000000000002</v>
      </c>
      <c r="AL42" s="28">
        <v>11.277777777777779</v>
      </c>
    </row>
    <row r="43" spans="2:38" ht="15" customHeight="1" x14ac:dyDescent="0.25">
      <c r="B43" s="10">
        <v>132150</v>
      </c>
      <c r="C43" s="29" t="s">
        <v>64</v>
      </c>
      <c r="D43" s="12">
        <v>1.1599999999999999</v>
      </c>
      <c r="E43" s="13">
        <v>2916</v>
      </c>
      <c r="F43" s="14">
        <v>3382.56</v>
      </c>
      <c r="G43" s="14">
        <v>8.6175063326766104</v>
      </c>
      <c r="H43" s="30">
        <v>7444.3809523809532</v>
      </c>
      <c r="I43" s="15">
        <v>-467.80952380952385</v>
      </c>
      <c r="J43" s="16">
        <v>7767</v>
      </c>
      <c r="K43" s="13">
        <v>9009.7199999999993</v>
      </c>
      <c r="L43" s="14">
        <v>31.068000000000001</v>
      </c>
      <c r="M43" s="30">
        <v>5500</v>
      </c>
      <c r="N43" s="15">
        <v>5267</v>
      </c>
      <c r="O43" s="16">
        <v>705</v>
      </c>
      <c r="P43" s="17">
        <v>817.8</v>
      </c>
      <c r="Q43" s="14">
        <v>15.310237849017579</v>
      </c>
      <c r="R43" s="16">
        <v>1013.0476190476192</v>
      </c>
      <c r="S43" s="15">
        <v>-215.95238095238096</v>
      </c>
      <c r="T43" s="18">
        <v>1177</v>
      </c>
      <c r="U43" s="17">
        <v>1365.32</v>
      </c>
      <c r="V43" s="14">
        <v>9.851335193304104</v>
      </c>
      <c r="W43" s="16">
        <v>2628.4761904761908</v>
      </c>
      <c r="X43" s="15">
        <v>-734.61904761904793</v>
      </c>
      <c r="Y43" s="18">
        <v>476</v>
      </c>
      <c r="Z43" s="17">
        <v>552.16</v>
      </c>
      <c r="AA43" s="14">
        <v>15.099697885196376</v>
      </c>
      <c r="AB43" s="16">
        <v>693.52380952380952</v>
      </c>
      <c r="AC43" s="15">
        <v>-217.52380952380952</v>
      </c>
      <c r="AD43" s="19">
        <v>13041</v>
      </c>
      <c r="AE43" s="20">
        <v>15127.56</v>
      </c>
      <c r="AF43" s="21">
        <v>6521.9047619047615</v>
      </c>
      <c r="AG43" s="22">
        <v>13.462324766355142</v>
      </c>
      <c r="AH43" s="23">
        <v>1.346232476635514</v>
      </c>
      <c r="AI43" s="26">
        <v>2258.0952380952385</v>
      </c>
      <c r="AJ43" s="27">
        <v>3260.9523809523807</v>
      </c>
      <c r="AK43" s="25">
        <v>1002.8571428571422</v>
      </c>
      <c r="AL43" s="28">
        <v>162.59259259259258</v>
      </c>
    </row>
    <row r="44" spans="2:38" ht="15" customHeight="1" x14ac:dyDescent="0.25">
      <c r="B44" s="10">
        <v>132151</v>
      </c>
      <c r="C44" s="29" t="s">
        <v>65</v>
      </c>
      <c r="D44" s="12">
        <v>1.1599999999999999</v>
      </c>
      <c r="E44" s="13">
        <v>2966</v>
      </c>
      <c r="F44" s="14">
        <v>3440.56</v>
      </c>
      <c r="G44" s="14">
        <v>10.310544611819235</v>
      </c>
      <c r="H44" s="30">
        <v>6328.666666666667</v>
      </c>
      <c r="I44" s="15">
        <v>89.33333333333303</v>
      </c>
      <c r="J44" s="16">
        <v>5587</v>
      </c>
      <c r="K44" s="13">
        <v>6480.9199999999992</v>
      </c>
      <c r="L44" s="14">
        <v>28.962478400394964</v>
      </c>
      <c r="M44" s="30">
        <v>4243.9047619047615</v>
      </c>
      <c r="N44" s="15">
        <v>3657.9523809523807</v>
      </c>
      <c r="O44" s="16">
        <v>502</v>
      </c>
      <c r="P44" s="17">
        <v>582.31999999999994</v>
      </c>
      <c r="Q44" s="14">
        <v>19.028880866425997</v>
      </c>
      <c r="R44" s="16">
        <v>580.38095238095229</v>
      </c>
      <c r="S44" s="15">
        <v>-25.619047619047478</v>
      </c>
      <c r="T44" s="18">
        <v>735</v>
      </c>
      <c r="U44" s="17">
        <v>852.59999999999991</v>
      </c>
      <c r="V44" s="14">
        <v>11.241806263656228</v>
      </c>
      <c r="W44" s="16">
        <v>1438.3809523809523</v>
      </c>
      <c r="X44" s="15">
        <v>-311.09523809523807</v>
      </c>
      <c r="Y44" s="18">
        <v>394</v>
      </c>
      <c r="Z44" s="17">
        <v>457.03999999999996</v>
      </c>
      <c r="AA44" s="14">
        <v>12.84782608695652</v>
      </c>
      <c r="AB44" s="16">
        <v>674.66666666666674</v>
      </c>
      <c r="AC44" s="15">
        <v>-280.66666666666674</v>
      </c>
      <c r="AD44" s="19">
        <v>10184</v>
      </c>
      <c r="AE44" s="20">
        <v>11813.439999999999</v>
      </c>
      <c r="AF44" s="21">
        <v>6290.4761904761908</v>
      </c>
      <c r="AG44" s="22">
        <v>10.854504163512491</v>
      </c>
      <c r="AH44" s="23">
        <v>1.0854504163512491</v>
      </c>
      <c r="AI44" s="26">
        <v>537.52380952380918</v>
      </c>
      <c r="AJ44" s="27">
        <v>3145.2380952380954</v>
      </c>
      <c r="AK44" s="25">
        <v>2607.7142857142862</v>
      </c>
      <c r="AL44" s="28">
        <v>126.44444444444444</v>
      </c>
    </row>
    <row r="45" spans="2:38" ht="15" customHeight="1" x14ac:dyDescent="0.25">
      <c r="B45" s="10">
        <v>132152</v>
      </c>
      <c r="C45" s="29" t="s">
        <v>66</v>
      </c>
      <c r="D45" s="12">
        <v>1.1599999999999999</v>
      </c>
      <c r="E45" s="13">
        <v>3406</v>
      </c>
      <c r="F45" s="14">
        <v>3950.9599999999996</v>
      </c>
      <c r="G45" s="14">
        <v>8.8863212821468505</v>
      </c>
      <c r="H45" s="30">
        <v>8432.2857142857138</v>
      </c>
      <c r="I45" s="15">
        <v>-426.85714285714266</v>
      </c>
      <c r="J45" s="16">
        <v>6227</v>
      </c>
      <c r="K45" s="13">
        <v>7223.32</v>
      </c>
      <c r="L45" s="14">
        <v>24.419607843137253</v>
      </c>
      <c r="M45" s="30">
        <v>5610</v>
      </c>
      <c r="N45" s="15">
        <v>3677</v>
      </c>
      <c r="O45" s="16">
        <v>658</v>
      </c>
      <c r="P45" s="17">
        <v>763.28</v>
      </c>
      <c r="Q45" s="14">
        <v>15.234840132304301</v>
      </c>
      <c r="R45" s="16">
        <v>950.19047619047615</v>
      </c>
      <c r="S45" s="15">
        <v>-205.80952380952385</v>
      </c>
      <c r="T45" s="18">
        <v>1095</v>
      </c>
      <c r="U45" s="17">
        <v>1270.1999999999998</v>
      </c>
      <c r="V45" s="14">
        <v>11.549472626820693</v>
      </c>
      <c r="W45" s="16">
        <v>2085.8095238095239</v>
      </c>
      <c r="X45" s="15">
        <v>-421.95238095238096</v>
      </c>
      <c r="Y45" s="18">
        <v>406</v>
      </c>
      <c r="Z45" s="17">
        <v>470.96</v>
      </c>
      <c r="AA45" s="14">
        <v>13.796116504854368</v>
      </c>
      <c r="AB45" s="16">
        <v>647.42857142857144</v>
      </c>
      <c r="AC45" s="15">
        <v>-241.42857142857144</v>
      </c>
      <c r="AD45" s="19">
        <v>11792</v>
      </c>
      <c r="AE45" s="20">
        <v>13678.72</v>
      </c>
      <c r="AF45" s="21">
        <v>8521.9047619047615</v>
      </c>
      <c r="AG45" s="22">
        <v>9.785371032632991</v>
      </c>
      <c r="AH45" s="23">
        <v>0.97853710326329912</v>
      </c>
      <c r="AI45" s="26">
        <v>-182.90476190476147</v>
      </c>
      <c r="AJ45" s="27">
        <v>4260.9523809523807</v>
      </c>
      <c r="AK45" s="25">
        <v>4443.8571428571422</v>
      </c>
      <c r="AL45" s="28">
        <v>154.42592592592592</v>
      </c>
    </row>
    <row r="46" spans="2:38" ht="15" customHeight="1" x14ac:dyDescent="0.25">
      <c r="B46" s="10">
        <v>132153</v>
      </c>
      <c r="C46" s="29" t="s">
        <v>67</v>
      </c>
      <c r="D46" s="12">
        <v>1.1599999999999999</v>
      </c>
      <c r="E46" s="13">
        <v>2523</v>
      </c>
      <c r="F46" s="14">
        <v>2926.68</v>
      </c>
      <c r="G46" s="14">
        <v>8.865963855421688</v>
      </c>
      <c r="H46" s="30">
        <v>6260.5714285714284</v>
      </c>
      <c r="I46" s="15">
        <v>-322.71428571428532</v>
      </c>
      <c r="J46" s="16">
        <v>4236</v>
      </c>
      <c r="K46" s="13">
        <v>4913.7599999999993</v>
      </c>
      <c r="L46" s="14">
        <v>26.071512309495898</v>
      </c>
      <c r="M46" s="30">
        <v>3574.4761904761908</v>
      </c>
      <c r="N46" s="15">
        <v>2611.2380952380954</v>
      </c>
      <c r="O46" s="16">
        <v>449</v>
      </c>
      <c r="P46" s="17">
        <v>520.83999999999992</v>
      </c>
      <c r="Q46" s="14">
        <v>17.428835489833642</v>
      </c>
      <c r="R46" s="16">
        <v>566.76190476190482</v>
      </c>
      <c r="S46" s="15">
        <v>-66.238095238095298</v>
      </c>
      <c r="T46" s="18">
        <v>571</v>
      </c>
      <c r="U46" s="17">
        <v>662.3599999999999</v>
      </c>
      <c r="V46" s="14">
        <v>14.767241379310345</v>
      </c>
      <c r="W46" s="16">
        <v>850.66666666666663</v>
      </c>
      <c r="X46" s="15">
        <v>-47.666666666666629</v>
      </c>
      <c r="Y46" s="18">
        <v>506</v>
      </c>
      <c r="Z46" s="17">
        <v>586.95999999999992</v>
      </c>
      <c r="AA46" s="14">
        <v>22.656716417910449</v>
      </c>
      <c r="AB46" s="16">
        <v>491.33333333333331</v>
      </c>
      <c r="AC46" s="15">
        <v>14.666666666666686</v>
      </c>
      <c r="AD46" s="19">
        <v>8285</v>
      </c>
      <c r="AE46" s="20">
        <v>9610.5999999999985</v>
      </c>
      <c r="AF46" s="21">
        <v>5790</v>
      </c>
      <c r="AG46" s="22">
        <v>10.768566493955095</v>
      </c>
      <c r="AH46" s="23">
        <v>1.0768566493955094</v>
      </c>
      <c r="AI46" s="26">
        <v>445</v>
      </c>
      <c r="AJ46" s="27">
        <v>2895</v>
      </c>
      <c r="AK46" s="25">
        <v>2450</v>
      </c>
      <c r="AL46" s="28">
        <v>115.46296296296296</v>
      </c>
    </row>
    <row r="47" spans="2:38" ht="15" customHeight="1" x14ac:dyDescent="0.25">
      <c r="B47" s="10">
        <v>134000</v>
      </c>
      <c r="C47" s="29" t="s">
        <v>68</v>
      </c>
      <c r="D47" s="12">
        <v>18</v>
      </c>
      <c r="E47" s="13"/>
      <c r="F47" s="14">
        <v>0</v>
      </c>
      <c r="G47" s="14">
        <v>0</v>
      </c>
      <c r="H47" s="30">
        <v>0</v>
      </c>
      <c r="I47" s="15">
        <v>0</v>
      </c>
      <c r="J47" s="16">
        <v>29</v>
      </c>
      <c r="K47" s="13">
        <v>522</v>
      </c>
      <c r="L47" s="14">
        <v>10.15</v>
      </c>
      <c r="M47" s="30">
        <v>62.857142857142861</v>
      </c>
      <c r="N47" s="15">
        <v>0.42857142857142705</v>
      </c>
      <c r="O47" s="16">
        <v>0</v>
      </c>
      <c r="P47" s="17">
        <v>0</v>
      </c>
      <c r="Q47" s="14">
        <v>0</v>
      </c>
      <c r="R47" s="16">
        <v>0</v>
      </c>
      <c r="S47" s="15">
        <v>0</v>
      </c>
      <c r="T47" s="18">
        <v>15</v>
      </c>
      <c r="U47" s="17">
        <v>270</v>
      </c>
      <c r="V47" s="14">
        <v>15.749999999999998</v>
      </c>
      <c r="W47" s="16">
        <v>20.952380952380953</v>
      </c>
      <c r="X47" s="15">
        <v>-0.23809523809523903</v>
      </c>
      <c r="Y47" s="18">
        <v>0</v>
      </c>
      <c r="Z47" s="17">
        <v>0</v>
      </c>
      <c r="AA47" s="14">
        <v>0</v>
      </c>
      <c r="AB47" s="16">
        <v>0</v>
      </c>
      <c r="AC47" s="15">
        <v>0</v>
      </c>
      <c r="AD47" s="19">
        <v>44</v>
      </c>
      <c r="AE47" s="20">
        <v>792</v>
      </c>
      <c r="AF47" s="31">
        <v>24.761904761904763</v>
      </c>
      <c r="AG47" s="22">
        <v>6.865384615384615</v>
      </c>
      <c r="AH47" s="23">
        <v>0.68653846153846154</v>
      </c>
      <c r="AI47" s="26">
        <v>-7.7619047619047628</v>
      </c>
      <c r="AJ47" s="27">
        <v>12.380952380952381</v>
      </c>
      <c r="AK47" s="25">
        <v>20.142857142857146</v>
      </c>
      <c r="AL47" s="28">
        <v>8.5</v>
      </c>
    </row>
    <row r="48" spans="2:38" ht="15" customHeight="1" x14ac:dyDescent="0.25">
      <c r="B48" s="10">
        <v>134001</v>
      </c>
      <c r="C48" s="29" t="s">
        <v>69</v>
      </c>
      <c r="D48" s="12">
        <v>18</v>
      </c>
      <c r="E48" s="13"/>
      <c r="F48" s="14">
        <v>0</v>
      </c>
      <c r="G48" s="14">
        <v>0</v>
      </c>
      <c r="H48" s="30">
        <v>0</v>
      </c>
      <c r="I48" s="15">
        <v>0</v>
      </c>
      <c r="J48" s="16">
        <v>11</v>
      </c>
      <c r="K48" s="13">
        <v>198</v>
      </c>
      <c r="L48" s="14">
        <v>21</v>
      </c>
      <c r="M48" s="30">
        <v>11.523809523809524</v>
      </c>
      <c r="N48" s="15">
        <v>5.7619047619047619</v>
      </c>
      <c r="O48" s="16">
        <v>0</v>
      </c>
      <c r="P48" s="17">
        <v>0</v>
      </c>
      <c r="Q48" s="14">
        <v>0</v>
      </c>
      <c r="R48" s="16">
        <v>0</v>
      </c>
      <c r="S48" s="15">
        <v>0</v>
      </c>
      <c r="T48" s="18">
        <v>0</v>
      </c>
      <c r="U48" s="17">
        <v>0</v>
      </c>
      <c r="V48" s="14">
        <v>0</v>
      </c>
      <c r="W48" s="16">
        <v>0</v>
      </c>
      <c r="X48" s="15">
        <v>0</v>
      </c>
      <c r="Y48" s="18">
        <v>0</v>
      </c>
      <c r="Z48" s="17">
        <v>0</v>
      </c>
      <c r="AA48" s="14">
        <v>0</v>
      </c>
      <c r="AB48" s="16">
        <v>0</v>
      </c>
      <c r="AC48" s="15">
        <v>0</v>
      </c>
      <c r="AD48" s="19">
        <v>11</v>
      </c>
      <c r="AE48" s="20">
        <v>198</v>
      </c>
      <c r="AF48" s="31">
        <v>4.2857142857142856</v>
      </c>
      <c r="AG48" s="22">
        <v>0</v>
      </c>
      <c r="AH48" s="23">
        <v>0</v>
      </c>
      <c r="AI48" s="26">
        <v>-3.2857142857142856</v>
      </c>
      <c r="AJ48" s="27">
        <v>2.1428571428571428</v>
      </c>
      <c r="AK48" s="25">
        <v>5.4285714285714288</v>
      </c>
      <c r="AL48" s="28">
        <v>0.5</v>
      </c>
    </row>
    <row r="49" spans="2:39" ht="15" customHeight="1" x14ac:dyDescent="0.25">
      <c r="B49" s="10">
        <v>140230</v>
      </c>
      <c r="C49" s="29" t="s">
        <v>70</v>
      </c>
      <c r="D49" s="12">
        <v>1.1599999999999999</v>
      </c>
      <c r="E49" s="13">
        <v>15</v>
      </c>
      <c r="F49" s="14">
        <v>17.399999999999999</v>
      </c>
      <c r="G49" s="14">
        <v>0.3</v>
      </c>
      <c r="H49" s="30">
        <v>1100</v>
      </c>
      <c r="I49" s="15">
        <v>-485</v>
      </c>
      <c r="J49" s="16">
        <v>0</v>
      </c>
      <c r="K49" s="13">
        <v>0</v>
      </c>
      <c r="L49" s="14">
        <v>0</v>
      </c>
      <c r="M49" s="30">
        <v>1179.6190476190477</v>
      </c>
      <c r="N49" s="15">
        <v>-536.19047619047615</v>
      </c>
      <c r="O49" s="16">
        <v>24</v>
      </c>
      <c r="P49" s="17">
        <v>27.839999999999996</v>
      </c>
      <c r="Q49" s="14">
        <v>3.2101910828025479</v>
      </c>
      <c r="R49" s="16">
        <v>164.47619047619048</v>
      </c>
      <c r="S49" s="15">
        <v>-125.52380952380952</v>
      </c>
      <c r="T49" s="18">
        <v>1</v>
      </c>
      <c r="U49" s="17">
        <v>1.1599999999999999</v>
      </c>
      <c r="V49" s="14">
        <v>8.9743589743589744E-2</v>
      </c>
      <c r="W49" s="16">
        <v>245.14285714285714</v>
      </c>
      <c r="X49" s="15">
        <v>-177.28571428571428</v>
      </c>
      <c r="Y49" s="18">
        <v>8</v>
      </c>
      <c r="Z49" s="17">
        <v>9.2799999999999994</v>
      </c>
      <c r="AA49" s="14">
        <v>1.6633663366336635</v>
      </c>
      <c r="AB49" s="16">
        <v>105.80952380952381</v>
      </c>
      <c r="AC49" s="15">
        <v>-97.80952380952381</v>
      </c>
      <c r="AD49" s="19">
        <v>48</v>
      </c>
      <c r="AE49" s="20">
        <v>55.679999999999993</v>
      </c>
      <c r="AF49" s="21">
        <v>1371.4285714285713</v>
      </c>
      <c r="AG49" s="22">
        <v>15.655208333333334</v>
      </c>
      <c r="AH49" s="23">
        <v>1.5655208333333335</v>
      </c>
      <c r="AI49" s="26">
        <v>775.57142857142867</v>
      </c>
      <c r="AJ49" s="27">
        <v>685.71428571428567</v>
      </c>
      <c r="AK49" s="25">
        <v>-89.857142857143003</v>
      </c>
      <c r="AL49" s="28">
        <v>53.674999999999997</v>
      </c>
    </row>
    <row r="50" spans="2:39" ht="15" customHeight="1" x14ac:dyDescent="0.25">
      <c r="B50" s="10">
        <v>140231</v>
      </c>
      <c r="C50" s="29" t="s">
        <v>71</v>
      </c>
      <c r="D50" s="12">
        <v>1.1599999999999999</v>
      </c>
      <c r="E50" s="13">
        <v>1382</v>
      </c>
      <c r="F50" s="14">
        <v>1603.12</v>
      </c>
      <c r="G50" s="14">
        <v>4.7359660574412539</v>
      </c>
      <c r="H50" s="30">
        <v>6419.8095238095239</v>
      </c>
      <c r="I50" s="15">
        <v>-1536.0952380952381</v>
      </c>
      <c r="J50" s="16">
        <v>789</v>
      </c>
      <c r="K50" s="13">
        <v>915.2399999999999</v>
      </c>
      <c r="L50" s="14">
        <v>4.0481309552895191</v>
      </c>
      <c r="M50" s="30">
        <v>4287.9047619047615</v>
      </c>
      <c r="N50" s="15">
        <v>-1160.047619047619</v>
      </c>
      <c r="O50" s="16">
        <v>69</v>
      </c>
      <c r="P50" s="17">
        <v>80.039999999999992</v>
      </c>
      <c r="Q50" s="14">
        <v>1.6409966024915061</v>
      </c>
      <c r="R50" s="16">
        <v>925.04761904761915</v>
      </c>
      <c r="S50" s="15">
        <v>-771.95238095238096</v>
      </c>
      <c r="T50" s="18">
        <v>483</v>
      </c>
      <c r="U50" s="17">
        <v>560.28</v>
      </c>
      <c r="V50" s="14">
        <v>12.074999999999999</v>
      </c>
      <c r="W50" s="16">
        <v>880</v>
      </c>
      <c r="X50" s="15">
        <v>-157</v>
      </c>
      <c r="Y50" s="18">
        <v>21</v>
      </c>
      <c r="Z50" s="17">
        <v>24.36</v>
      </c>
      <c r="AA50" s="14">
        <v>1.8374999999999999</v>
      </c>
      <c r="AB50" s="16">
        <v>251.42857142857144</v>
      </c>
      <c r="AC50" s="15">
        <v>-230.42857142857144</v>
      </c>
      <c r="AD50" s="19">
        <v>2744</v>
      </c>
      <c r="AE50" s="20">
        <v>3183.04</v>
      </c>
      <c r="AF50" s="21">
        <v>5544.2857142857147</v>
      </c>
      <c r="AG50" s="22">
        <v>6.8863694923988659</v>
      </c>
      <c r="AH50" s="23">
        <v>0.68863694923988661</v>
      </c>
      <c r="AI50" s="26">
        <v>-1726.2857142857147</v>
      </c>
      <c r="AJ50" s="27">
        <v>2772.1428571428573</v>
      </c>
      <c r="AK50" s="25">
        <v>4498.4285714285725</v>
      </c>
      <c r="AL50" s="28">
        <v>95.45</v>
      </c>
      <c r="AM50" s="62" t="s">
        <v>15</v>
      </c>
    </row>
    <row r="51" spans="2:39" x14ac:dyDescent="0.25">
      <c r="B51" s="10">
        <v>140232</v>
      </c>
      <c r="C51" s="29" t="s">
        <v>72</v>
      </c>
      <c r="D51" s="12">
        <v>1.1599999999999999</v>
      </c>
      <c r="E51" s="13">
        <v>934</v>
      </c>
      <c r="F51" s="14">
        <v>1083.4399999999998</v>
      </c>
      <c r="G51" s="14">
        <v>4.7572156196943967</v>
      </c>
      <c r="H51" s="30">
        <v>4319.3333333333339</v>
      </c>
      <c r="I51" s="15">
        <v>-1029.3333333333337</v>
      </c>
      <c r="J51" s="16">
        <v>1046</v>
      </c>
      <c r="K51" s="13">
        <v>1213.3599999999999</v>
      </c>
      <c r="L51" s="14">
        <v>6.3467206009823753</v>
      </c>
      <c r="M51" s="30">
        <v>3625.8095238095234</v>
      </c>
      <c r="N51" s="15">
        <v>-602.09523809523807</v>
      </c>
      <c r="O51" s="16">
        <v>230</v>
      </c>
      <c r="P51" s="17">
        <v>266.79999999999995</v>
      </c>
      <c r="Q51" s="14">
        <v>17.627737226277372</v>
      </c>
      <c r="R51" s="16">
        <v>287.04761904761904</v>
      </c>
      <c r="S51" s="15">
        <v>-30.952380952380963</v>
      </c>
      <c r="T51" s="18">
        <v>391</v>
      </c>
      <c r="U51" s="17">
        <v>453.55999999999995</v>
      </c>
      <c r="V51" s="14">
        <v>11.388349514563107</v>
      </c>
      <c r="W51" s="16">
        <v>755.33333333333337</v>
      </c>
      <c r="X51" s="15">
        <v>-158.33333333333337</v>
      </c>
      <c r="Y51" s="18">
        <v>88</v>
      </c>
      <c r="Z51" s="17">
        <v>102.08</v>
      </c>
      <c r="AA51" s="14">
        <v>16.648648648648649</v>
      </c>
      <c r="AB51" s="16">
        <v>116.28571428571428</v>
      </c>
      <c r="AC51" s="15">
        <v>-28.285714285714278</v>
      </c>
      <c r="AD51" s="19">
        <v>2689</v>
      </c>
      <c r="AE51" s="20">
        <v>3119.24</v>
      </c>
      <c r="AF51" s="21">
        <v>1328.0952380952381</v>
      </c>
      <c r="AG51" s="22">
        <v>26.812836141986377</v>
      </c>
      <c r="AH51" s="23">
        <v>2.6812836141986374</v>
      </c>
      <c r="AI51" s="26">
        <v>2232.9047619047619</v>
      </c>
      <c r="AJ51" s="27">
        <v>664.04761904761904</v>
      </c>
      <c r="AK51" s="25">
        <v>-1568.8571428571429</v>
      </c>
      <c r="AL51" s="28">
        <v>89.025000000000006</v>
      </c>
      <c r="AM51" s="63">
        <f>SUM(AL13:AL51)</f>
        <v>5580.5526455026438</v>
      </c>
    </row>
    <row r="52" spans="2:39" ht="15" customHeight="1" x14ac:dyDescent="0.25">
      <c r="B52" s="10">
        <v>150360</v>
      </c>
      <c r="C52" s="29" t="s">
        <v>73</v>
      </c>
      <c r="D52" s="12">
        <v>0.81</v>
      </c>
      <c r="E52" s="13">
        <v>1761</v>
      </c>
      <c r="F52" s="14">
        <v>1426.41</v>
      </c>
      <c r="G52" s="14">
        <v>11.250684514755097</v>
      </c>
      <c r="H52" s="30">
        <v>3443.5238095238092</v>
      </c>
      <c r="I52" s="15">
        <v>195.76190476190482</v>
      </c>
      <c r="J52" s="16">
        <v>3733</v>
      </c>
      <c r="K52" s="13">
        <v>3023.73</v>
      </c>
      <c r="L52" s="14">
        <v>68.947229551451187</v>
      </c>
      <c r="M52" s="30">
        <v>1191.1428571428571</v>
      </c>
      <c r="N52" s="15">
        <v>3191.5714285714284</v>
      </c>
      <c r="O52" s="16">
        <v>10</v>
      </c>
      <c r="P52" s="17">
        <v>8.1000000000000014</v>
      </c>
      <c r="Q52" s="14">
        <v>0.8366533864541833</v>
      </c>
      <c r="R52" s="16">
        <v>262.95238095238096</v>
      </c>
      <c r="S52" s="15">
        <v>-229.04761904761904</v>
      </c>
      <c r="T52" s="18">
        <v>234</v>
      </c>
      <c r="U52" s="17">
        <v>189.54000000000002</v>
      </c>
      <c r="V52" s="14">
        <v>9.4137931034482758</v>
      </c>
      <c r="W52" s="16">
        <v>546.85714285714289</v>
      </c>
      <c r="X52" s="15">
        <v>-163.71428571428572</v>
      </c>
      <c r="Y52" s="18">
        <v>92</v>
      </c>
      <c r="Z52" s="17">
        <v>74.52000000000001</v>
      </c>
      <c r="AA52" s="14">
        <v>37.882352941176471</v>
      </c>
      <c r="AB52" s="16">
        <v>53.428571428571423</v>
      </c>
      <c r="AC52" s="15">
        <v>38.571428571428577</v>
      </c>
      <c r="AD52" s="19">
        <v>5830</v>
      </c>
      <c r="AE52" s="20">
        <v>4722.3</v>
      </c>
      <c r="AF52" s="21">
        <v>2961.4285714285716</v>
      </c>
      <c r="AG52" s="22">
        <v>13.652194886637721</v>
      </c>
      <c r="AH52" s="23">
        <v>1.3652194886637723</v>
      </c>
      <c r="AI52" s="26">
        <v>1081.5714285714284</v>
      </c>
      <c r="AJ52" s="27">
        <v>1480.7142857142858</v>
      </c>
      <c r="AK52" s="25">
        <v>399.14285714285734</v>
      </c>
      <c r="AL52" s="28">
        <v>336.91666666666669</v>
      </c>
    </row>
    <row r="53" spans="2:39" ht="15" customHeight="1" x14ac:dyDescent="0.25">
      <c r="B53" s="10">
        <v>150361</v>
      </c>
      <c r="C53" s="29" t="s">
        <v>74</v>
      </c>
      <c r="D53" s="12">
        <v>0.81</v>
      </c>
      <c r="E53" s="13">
        <v>78</v>
      </c>
      <c r="F53" s="14">
        <v>63.180000000000007</v>
      </c>
      <c r="G53" s="14">
        <v>0.28762071992976296</v>
      </c>
      <c r="H53" s="30">
        <v>5966.1904761904761</v>
      </c>
      <c r="I53" s="15">
        <v>-2633.9047619047619</v>
      </c>
      <c r="J53" s="16">
        <v>9886</v>
      </c>
      <c r="K53" s="13">
        <v>8007.6600000000008</v>
      </c>
      <c r="L53" s="14">
        <v>80.002312138728328</v>
      </c>
      <c r="M53" s="30">
        <v>2718.5714285714284</v>
      </c>
      <c r="N53" s="15">
        <v>8650.2857142857138</v>
      </c>
      <c r="O53" s="16">
        <v>388</v>
      </c>
      <c r="P53" s="17">
        <v>314.28000000000003</v>
      </c>
      <c r="Q53" s="14">
        <v>12.535384615384615</v>
      </c>
      <c r="R53" s="16">
        <v>680.95238095238096</v>
      </c>
      <c r="S53" s="15">
        <v>-231.04761904761904</v>
      </c>
      <c r="T53" s="18">
        <v>592</v>
      </c>
      <c r="U53" s="17">
        <v>479.52000000000004</v>
      </c>
      <c r="V53" s="14">
        <v>10.607508532423209</v>
      </c>
      <c r="W53" s="16">
        <v>1227.8095238095239</v>
      </c>
      <c r="X53" s="15">
        <v>-300.95238095238096</v>
      </c>
      <c r="Y53" s="18">
        <v>207</v>
      </c>
      <c r="Z53" s="17">
        <v>167.67000000000002</v>
      </c>
      <c r="AA53" s="14">
        <v>28.598684210526315</v>
      </c>
      <c r="AB53" s="16">
        <v>159.23809523809524</v>
      </c>
      <c r="AC53" s="15">
        <v>47.761904761904759</v>
      </c>
      <c r="AD53" s="19">
        <v>11151</v>
      </c>
      <c r="AE53" s="20">
        <v>9032.3100000000013</v>
      </c>
      <c r="AF53" s="21">
        <v>5287.1428571428569</v>
      </c>
      <c r="AG53" s="22">
        <v>16.776546879221833</v>
      </c>
      <c r="AH53" s="23">
        <v>1.6776546879221832</v>
      </c>
      <c r="AI53" s="26">
        <v>3582.8571428571431</v>
      </c>
      <c r="AJ53" s="27">
        <v>2643.5714285714284</v>
      </c>
      <c r="AK53" s="25">
        <v>-939.28571428571468</v>
      </c>
      <c r="AL53" s="28">
        <v>739.16666666666663</v>
      </c>
    </row>
    <row r="54" spans="2:39" ht="15" customHeight="1" x14ac:dyDescent="0.25">
      <c r="B54" s="10">
        <v>150362</v>
      </c>
      <c r="C54" s="29" t="s">
        <v>75</v>
      </c>
      <c r="D54" s="12">
        <v>0.81</v>
      </c>
      <c r="E54" s="13">
        <v>2994</v>
      </c>
      <c r="F54" s="14">
        <v>2425.1400000000003</v>
      </c>
      <c r="G54" s="14">
        <v>16.084420567920183</v>
      </c>
      <c r="H54" s="30">
        <v>4095.1428571428569</v>
      </c>
      <c r="I54" s="15">
        <v>1132.5714285714287</v>
      </c>
      <c r="J54" s="16">
        <v>1955</v>
      </c>
      <c r="K54" s="13">
        <v>1583.5500000000002</v>
      </c>
      <c r="L54" s="14">
        <v>31.899766899766899</v>
      </c>
      <c r="M54" s="30">
        <v>1348.2857142857142</v>
      </c>
      <c r="N54" s="15">
        <v>1342.1428571428571</v>
      </c>
      <c r="O54" s="16">
        <v>191</v>
      </c>
      <c r="P54" s="17">
        <v>154.71</v>
      </c>
      <c r="Q54" s="14">
        <v>15.309160305343511</v>
      </c>
      <c r="R54" s="16">
        <v>274.47619047619048</v>
      </c>
      <c r="S54" s="15">
        <v>-58.523809523809518</v>
      </c>
      <c r="T54" s="18">
        <v>416</v>
      </c>
      <c r="U54" s="17">
        <v>336.96000000000004</v>
      </c>
      <c r="V54" s="14">
        <v>18.626865671641792</v>
      </c>
      <c r="W54" s="16">
        <v>491.33333333333331</v>
      </c>
      <c r="X54" s="15">
        <v>58.666666666666686</v>
      </c>
      <c r="Y54" s="18">
        <v>178</v>
      </c>
      <c r="Z54" s="17">
        <v>144.18</v>
      </c>
      <c r="AA54" s="14">
        <v>19.570680628272253</v>
      </c>
      <c r="AB54" s="16">
        <v>200.09523809523807</v>
      </c>
      <c r="AC54" s="15">
        <v>-22.095238095238074</v>
      </c>
      <c r="AD54" s="19">
        <v>5734</v>
      </c>
      <c r="AE54" s="20">
        <v>4644.54</v>
      </c>
      <c r="AF54" s="21">
        <v>3055.7142857142853</v>
      </c>
      <c r="AG54" s="22">
        <v>39.876110331930811</v>
      </c>
      <c r="AH54" s="23">
        <v>3.9876110331930814</v>
      </c>
      <c r="AI54" s="26">
        <v>9129.2857142857138</v>
      </c>
      <c r="AJ54" s="27">
        <v>1527.8571428571427</v>
      </c>
      <c r="AK54" s="25">
        <v>-7601.4285714285706</v>
      </c>
      <c r="AL54" s="28">
        <v>1015.4166666666666</v>
      </c>
    </row>
    <row r="55" spans="2:39" x14ac:dyDescent="0.25">
      <c r="B55" s="10">
        <v>150363</v>
      </c>
      <c r="C55" s="29" t="s">
        <v>76</v>
      </c>
      <c r="D55" s="12">
        <v>0.81</v>
      </c>
      <c r="E55" s="13">
        <v>1832</v>
      </c>
      <c r="F55" s="14">
        <v>1483.92</v>
      </c>
      <c r="G55" s="14">
        <v>11.216326530612244</v>
      </c>
      <c r="H55" s="30">
        <v>3593.3333333333335</v>
      </c>
      <c r="I55" s="15">
        <v>198.66666666666652</v>
      </c>
      <c r="J55" s="16">
        <v>6135</v>
      </c>
      <c r="K55" s="13">
        <v>4969.3500000000004</v>
      </c>
      <c r="L55" s="14">
        <v>83.713450292397653</v>
      </c>
      <c r="M55" s="30">
        <v>1612.2857142857144</v>
      </c>
      <c r="N55" s="15">
        <v>5402.1428571428569</v>
      </c>
      <c r="O55" s="16">
        <v>289</v>
      </c>
      <c r="P55" s="17">
        <v>234.09</v>
      </c>
      <c r="Q55" s="14">
        <v>16.905292479108635</v>
      </c>
      <c r="R55" s="16">
        <v>376.09523809523807</v>
      </c>
      <c r="S55" s="15">
        <v>-52.904761904761926</v>
      </c>
      <c r="T55" s="18">
        <v>401</v>
      </c>
      <c r="U55" s="17">
        <v>324.81</v>
      </c>
      <c r="V55" s="14">
        <v>15.918714555765597</v>
      </c>
      <c r="W55" s="16">
        <v>554.19047619047615</v>
      </c>
      <c r="X55" s="15">
        <v>-2.0476190476190368</v>
      </c>
      <c r="Y55" s="18">
        <v>194</v>
      </c>
      <c r="Z55" s="17">
        <v>157.14000000000001</v>
      </c>
      <c r="AA55" s="14">
        <v>21.21875</v>
      </c>
      <c r="AB55" s="16">
        <v>201.14285714285714</v>
      </c>
      <c r="AC55" s="15">
        <v>-7.1428571428571388</v>
      </c>
      <c r="AD55" s="19">
        <v>8851</v>
      </c>
      <c r="AE55" s="20">
        <v>7169.31</v>
      </c>
      <c r="AF55" s="21">
        <v>2899.0476190476193</v>
      </c>
      <c r="AG55" s="22">
        <v>47.270696452036788</v>
      </c>
      <c r="AH55" s="23">
        <v>4.7270696452036791</v>
      </c>
      <c r="AI55" s="26">
        <v>10804.952380952382</v>
      </c>
      <c r="AJ55" s="27">
        <v>1449.5238095238096</v>
      </c>
      <c r="AK55" s="25">
        <v>-9355.4285714285725</v>
      </c>
      <c r="AL55" s="28">
        <v>1142</v>
      </c>
    </row>
    <row r="56" spans="2:39" x14ac:dyDescent="0.25">
      <c r="B56" s="10">
        <v>151500</v>
      </c>
      <c r="C56" s="29" t="s">
        <v>77</v>
      </c>
      <c r="D56" s="12">
        <v>2.62</v>
      </c>
      <c r="E56" s="13">
        <v>357</v>
      </c>
      <c r="F56" s="14">
        <v>935.34</v>
      </c>
      <c r="G56" s="14">
        <v>12.37128712871287</v>
      </c>
      <c r="H56" s="30">
        <v>634.85714285714289</v>
      </c>
      <c r="I56" s="15">
        <v>68.428571428571445</v>
      </c>
      <c r="J56" s="32">
        <v>10</v>
      </c>
      <c r="K56" s="13">
        <v>26.200000000000003</v>
      </c>
      <c r="L56" s="14">
        <v>0.70945945945945943</v>
      </c>
      <c r="M56" s="30">
        <v>310.09523809523807</v>
      </c>
      <c r="N56" s="15">
        <v>-130.95238095238096</v>
      </c>
      <c r="O56" s="32">
        <v>42</v>
      </c>
      <c r="P56" s="17">
        <v>110.04</v>
      </c>
      <c r="Q56" s="14">
        <v>14.7</v>
      </c>
      <c r="R56" s="16">
        <v>62.857142857142861</v>
      </c>
      <c r="S56" s="15">
        <v>-15.142857142857146</v>
      </c>
      <c r="T56" s="18">
        <v>102</v>
      </c>
      <c r="U56" s="17">
        <v>267.24</v>
      </c>
      <c r="V56" s="14">
        <v>14.571428571428571</v>
      </c>
      <c r="W56" s="16">
        <v>154</v>
      </c>
      <c r="X56" s="15">
        <v>-10</v>
      </c>
      <c r="Y56" s="18">
        <v>39</v>
      </c>
      <c r="Z56" s="17">
        <v>102.18</v>
      </c>
      <c r="AA56" s="14">
        <v>22.135135135135137</v>
      </c>
      <c r="AB56" s="16">
        <v>38.761904761904759</v>
      </c>
      <c r="AC56" s="15">
        <v>0.2380952380952408</v>
      </c>
      <c r="AD56" s="19">
        <v>550</v>
      </c>
      <c r="AE56" s="20">
        <v>1441</v>
      </c>
      <c r="AF56" s="21">
        <v>577.14285714285711</v>
      </c>
      <c r="AG56" s="22">
        <v>14.831683168316832</v>
      </c>
      <c r="AH56" s="23">
        <v>1.4831683168316832</v>
      </c>
      <c r="AI56" s="26">
        <v>278.85714285714289</v>
      </c>
      <c r="AJ56" s="27">
        <v>288.57142857142856</v>
      </c>
      <c r="AK56" s="25">
        <v>9.7142857142856656</v>
      </c>
      <c r="AL56" s="28">
        <v>142.66666666666666</v>
      </c>
    </row>
    <row r="57" spans="2:39" x14ac:dyDescent="0.25">
      <c r="B57" s="10">
        <v>151501</v>
      </c>
      <c r="C57" s="29" t="s">
        <v>78</v>
      </c>
      <c r="D57" s="12">
        <v>2.62</v>
      </c>
      <c r="E57" s="13">
        <v>120</v>
      </c>
      <c r="F57" s="14">
        <v>314.40000000000003</v>
      </c>
      <c r="G57" s="14">
        <v>1.9236641221374047</v>
      </c>
      <c r="H57" s="30">
        <v>1372.3809523809523</v>
      </c>
      <c r="I57" s="15">
        <v>-503.80952380952385</v>
      </c>
      <c r="J57" s="32">
        <v>0</v>
      </c>
      <c r="K57" s="13">
        <v>0</v>
      </c>
      <c r="L57" s="14">
        <v>0</v>
      </c>
      <c r="M57" s="30">
        <v>589.80952380952385</v>
      </c>
      <c r="N57" s="15">
        <v>-268.09523809523807</v>
      </c>
      <c r="O57" s="32">
        <v>69</v>
      </c>
      <c r="P57" s="17">
        <v>180.78</v>
      </c>
      <c r="Q57" s="14">
        <v>9.9246575342465757</v>
      </c>
      <c r="R57" s="16">
        <v>152.95238095238096</v>
      </c>
      <c r="S57" s="15">
        <v>-70.047619047619037</v>
      </c>
      <c r="T57" s="18">
        <v>30</v>
      </c>
      <c r="U57" s="17">
        <v>78.600000000000009</v>
      </c>
      <c r="V57" s="14">
        <v>1.4928909952606635</v>
      </c>
      <c r="W57" s="16">
        <v>442.09523809523807</v>
      </c>
      <c r="X57" s="15">
        <v>-291.52380952380952</v>
      </c>
      <c r="Y57" s="18">
        <v>54</v>
      </c>
      <c r="Z57" s="17">
        <v>141.48000000000002</v>
      </c>
      <c r="AA57" s="14">
        <v>29.842105263157894</v>
      </c>
      <c r="AB57" s="16">
        <v>39.80952380952381</v>
      </c>
      <c r="AC57" s="15">
        <v>14.19047619047619</v>
      </c>
      <c r="AD57" s="19">
        <v>273</v>
      </c>
      <c r="AE57" s="20">
        <v>715.26</v>
      </c>
      <c r="AF57" s="21">
        <v>1047.1428571428571</v>
      </c>
      <c r="AG57" s="22">
        <v>9.5402455661664405</v>
      </c>
      <c r="AH57" s="23">
        <v>0.95402455661664398</v>
      </c>
      <c r="AI57" s="26">
        <v>-48.14285714285711</v>
      </c>
      <c r="AJ57" s="27">
        <v>523.57142857142856</v>
      </c>
      <c r="AK57" s="25">
        <v>571.71428571428567</v>
      </c>
      <c r="AL57" s="28">
        <v>166.5</v>
      </c>
    </row>
    <row r="58" spans="2:39" x14ac:dyDescent="0.25">
      <c r="B58" s="10">
        <v>151502</v>
      </c>
      <c r="C58" s="29" t="s">
        <v>79</v>
      </c>
      <c r="D58" s="12">
        <v>2.62</v>
      </c>
      <c r="E58" s="13">
        <v>42</v>
      </c>
      <c r="F58" s="14">
        <v>110.04</v>
      </c>
      <c r="G58" s="14">
        <v>1.785425101214575</v>
      </c>
      <c r="H58" s="30">
        <v>517.52380952380952</v>
      </c>
      <c r="I58" s="15">
        <v>-193.23809523809521</v>
      </c>
      <c r="J58" s="32">
        <v>22</v>
      </c>
      <c r="K58" s="13">
        <v>57.64</v>
      </c>
      <c r="L58" s="14">
        <v>2.2647058823529416</v>
      </c>
      <c r="M58" s="30">
        <v>213.71428571428569</v>
      </c>
      <c r="N58" s="15">
        <v>-75.142857142857139</v>
      </c>
      <c r="O58" s="32">
        <v>21</v>
      </c>
      <c r="P58" s="17">
        <v>55.02</v>
      </c>
      <c r="Q58" s="14">
        <v>13.781250000000004</v>
      </c>
      <c r="R58" s="16">
        <v>33.523809523809518</v>
      </c>
      <c r="S58" s="15">
        <v>-9.4761904761904709</v>
      </c>
      <c r="T58" s="18">
        <v>88</v>
      </c>
      <c r="U58" s="17">
        <v>230.56</v>
      </c>
      <c r="V58" s="14">
        <v>17.600000000000001</v>
      </c>
      <c r="W58" s="16">
        <v>110</v>
      </c>
      <c r="X58" s="15">
        <v>8</v>
      </c>
      <c r="Y58" s="18">
        <v>36</v>
      </c>
      <c r="Z58" s="17">
        <v>94.320000000000007</v>
      </c>
      <c r="AA58" s="14">
        <v>22.90909090909091</v>
      </c>
      <c r="AB58" s="16">
        <v>34.571428571428569</v>
      </c>
      <c r="AC58" s="15">
        <v>1.4285714285714306</v>
      </c>
      <c r="AD58" s="19">
        <v>209</v>
      </c>
      <c r="AE58" s="20">
        <v>547.58000000000004</v>
      </c>
      <c r="AF58" s="21">
        <v>493.33333333333337</v>
      </c>
      <c r="AG58" s="22">
        <v>11.797297297297296</v>
      </c>
      <c r="AH58" s="23">
        <v>1.1797297297297296</v>
      </c>
      <c r="AI58" s="26">
        <v>88.666666666666629</v>
      </c>
      <c r="AJ58" s="27">
        <v>246.66666666666669</v>
      </c>
      <c r="AK58" s="25">
        <v>158.00000000000006</v>
      </c>
      <c r="AL58" s="28">
        <v>97</v>
      </c>
      <c r="AM58" s="62" t="s">
        <v>16</v>
      </c>
    </row>
    <row r="59" spans="2:39" x14ac:dyDescent="0.25">
      <c r="B59" s="33">
        <v>151503</v>
      </c>
      <c r="C59" s="11" t="s">
        <v>80</v>
      </c>
      <c r="D59" s="12">
        <v>2.62</v>
      </c>
      <c r="E59" s="13">
        <v>123</v>
      </c>
      <c r="F59" s="14">
        <v>322.26</v>
      </c>
      <c r="G59" s="14">
        <v>4.1594202898550732</v>
      </c>
      <c r="H59" s="30">
        <v>650.57142857142856</v>
      </c>
      <c r="I59" s="15">
        <v>-172.71428571428567</v>
      </c>
      <c r="J59" s="32">
        <v>34</v>
      </c>
      <c r="K59" s="13">
        <v>89.08</v>
      </c>
      <c r="L59" s="14">
        <v>3.1315789473684208</v>
      </c>
      <c r="M59" s="30">
        <v>238.85714285714286</v>
      </c>
      <c r="N59" s="15">
        <v>-74.571428571428584</v>
      </c>
      <c r="O59" s="32">
        <v>20</v>
      </c>
      <c r="P59" s="17">
        <v>52.400000000000006</v>
      </c>
      <c r="Q59" s="14">
        <v>6.0869565217391317</v>
      </c>
      <c r="R59" s="16">
        <v>72.285714285714278</v>
      </c>
      <c r="S59" s="15">
        <v>-45.714285714285708</v>
      </c>
      <c r="T59" s="18">
        <v>90</v>
      </c>
      <c r="U59" s="17">
        <v>235.8</v>
      </c>
      <c r="V59" s="14">
        <v>15.365853658536585</v>
      </c>
      <c r="W59" s="16">
        <v>128.85714285714286</v>
      </c>
      <c r="X59" s="15">
        <v>-3.7142857142857224</v>
      </c>
      <c r="Y59" s="18">
        <v>47</v>
      </c>
      <c r="Z59" s="17">
        <v>123.14</v>
      </c>
      <c r="AA59" s="14">
        <v>47</v>
      </c>
      <c r="AB59" s="16">
        <v>22</v>
      </c>
      <c r="AC59" s="15">
        <v>25</v>
      </c>
      <c r="AD59" s="19">
        <v>314</v>
      </c>
      <c r="AE59" s="20">
        <v>822.68000000000006</v>
      </c>
      <c r="AF59" s="21">
        <v>553.33333333333337</v>
      </c>
      <c r="AG59" s="22">
        <v>12.289156626506024</v>
      </c>
      <c r="AH59" s="23">
        <v>1.2289156626506024</v>
      </c>
      <c r="AI59" s="26">
        <v>126.66666666666663</v>
      </c>
      <c r="AJ59" s="27">
        <v>276.66666666666669</v>
      </c>
      <c r="AK59" s="25">
        <v>150.00000000000006</v>
      </c>
      <c r="AL59" s="28">
        <v>113.33333333333333</v>
      </c>
      <c r="AM59" s="63">
        <f>SUM(AL52:AL59)</f>
        <v>3753</v>
      </c>
    </row>
    <row r="60" spans="2:39" x14ac:dyDescent="0.25">
      <c r="C60" s="35"/>
      <c r="D60" s="35"/>
      <c r="E60" s="35"/>
      <c r="F60" s="35"/>
      <c r="G60" s="35"/>
      <c r="H60" s="35"/>
      <c r="I60" s="35"/>
      <c r="J60" s="35"/>
      <c r="K60" s="35"/>
      <c r="L60" s="35"/>
      <c r="M60" s="35"/>
      <c r="N60" s="35"/>
      <c r="O60" s="35"/>
      <c r="P60" s="35"/>
      <c r="Q60" s="35"/>
      <c r="R60" s="35"/>
      <c r="S60" s="35"/>
      <c r="T60" s="35"/>
      <c r="U60" s="35"/>
      <c r="V60" s="35"/>
      <c r="W60" s="35"/>
      <c r="X60" s="35"/>
      <c r="Y60" s="35"/>
      <c r="Z60" s="35"/>
      <c r="AA60" s="35"/>
      <c r="AB60" s="35"/>
      <c r="AC60" s="35"/>
      <c r="AD60" s="35"/>
      <c r="AE60" s="35"/>
      <c r="AF60" s="36"/>
      <c r="AG60" s="36"/>
      <c r="AJ60" s="37" t="s">
        <v>17</v>
      </c>
      <c r="AK60" s="38">
        <f>SUMIF(AK13:AK59,"&gt;0")</f>
        <v>147790.42857142861</v>
      </c>
    </row>
    <row r="61" spans="2:39" x14ac:dyDescent="0.25">
      <c r="B61" s="39" t="s">
        <v>2</v>
      </c>
      <c r="C61" s="40"/>
      <c r="D61" s="40"/>
      <c r="E61" s="69" t="s">
        <v>3</v>
      </c>
      <c r="F61" s="69"/>
      <c r="G61" s="2"/>
      <c r="H61" s="2"/>
      <c r="I61" s="2"/>
      <c r="J61" s="35"/>
      <c r="K61" s="35"/>
      <c r="L61" s="35"/>
      <c r="M61" s="35"/>
      <c r="N61" s="35"/>
      <c r="O61" s="35"/>
      <c r="P61" s="35"/>
      <c r="Q61" s="35"/>
      <c r="R61" s="35"/>
      <c r="S61" s="35"/>
      <c r="T61" s="35"/>
      <c r="U61" s="35"/>
      <c r="V61" s="35"/>
      <c r="W61" s="35"/>
      <c r="X61" s="35"/>
      <c r="Y61" s="35"/>
      <c r="Z61" s="35"/>
      <c r="AA61" s="35"/>
      <c r="AB61" s="35"/>
      <c r="AC61" s="35"/>
      <c r="AD61" s="35"/>
      <c r="AE61" s="35"/>
      <c r="AF61" s="36"/>
      <c r="AG61" s="36"/>
    </row>
    <row r="62" spans="2:39" x14ac:dyDescent="0.25">
      <c r="B62" s="65" t="s">
        <v>4</v>
      </c>
      <c r="C62" s="65"/>
      <c r="D62" s="42">
        <f>SUM(F13:F59)</f>
        <v>173788.32</v>
      </c>
      <c r="E62" s="64">
        <f>D62*100/D67</f>
        <v>35.136132855048153</v>
      </c>
      <c r="F62" s="64"/>
      <c r="G62" s="43"/>
      <c r="H62" s="43"/>
      <c r="I62" s="43"/>
      <c r="J62" s="35"/>
      <c r="K62" s="35"/>
      <c r="L62" s="35"/>
      <c r="M62" s="35"/>
      <c r="N62" s="35"/>
      <c r="O62" s="35"/>
      <c r="P62" s="35"/>
      <c r="Q62" s="35"/>
      <c r="R62" s="35"/>
      <c r="S62" s="35"/>
      <c r="T62" s="35"/>
      <c r="U62" s="35"/>
      <c r="V62" s="35"/>
      <c r="W62" s="35"/>
      <c r="X62" s="35"/>
      <c r="Y62" s="35"/>
      <c r="Z62" s="35"/>
      <c r="AA62" s="35"/>
      <c r="AB62" s="35"/>
      <c r="AC62" s="35"/>
      <c r="AD62" s="35"/>
      <c r="AE62" s="35"/>
      <c r="AF62" s="36"/>
      <c r="AG62" s="36"/>
    </row>
    <row r="63" spans="2:39" x14ac:dyDescent="0.25">
      <c r="B63" s="41" t="s">
        <v>5</v>
      </c>
      <c r="C63" s="41"/>
      <c r="D63" s="44">
        <f>SUM(K13:K59)</f>
        <v>225699.41</v>
      </c>
      <c r="E63" s="64">
        <f>D63*100/D67</f>
        <v>45.63140063190658</v>
      </c>
      <c r="F63" s="64"/>
      <c r="G63" s="43"/>
      <c r="H63" s="43"/>
      <c r="I63" s="43"/>
      <c r="J63" s="35"/>
      <c r="K63" s="35"/>
      <c r="L63" s="35"/>
      <c r="M63" s="35"/>
      <c r="N63" s="35"/>
      <c r="O63" s="35"/>
      <c r="P63" s="35"/>
      <c r="Q63" s="35"/>
      <c r="R63" s="35"/>
      <c r="S63" s="35"/>
      <c r="T63" s="35"/>
      <c r="U63" s="35"/>
      <c r="V63" s="35"/>
      <c r="W63" s="35"/>
      <c r="X63" s="35"/>
      <c r="Y63" s="35"/>
      <c r="Z63" s="35"/>
      <c r="AA63" s="35"/>
      <c r="AB63" s="35"/>
      <c r="AC63" s="35"/>
      <c r="AD63" s="35"/>
      <c r="AE63" s="35"/>
      <c r="AF63" s="36"/>
      <c r="AG63" s="36"/>
    </row>
    <row r="64" spans="2:39" x14ac:dyDescent="0.25">
      <c r="B64" s="41" t="s">
        <v>6</v>
      </c>
      <c r="C64" s="41"/>
      <c r="D64" s="44">
        <f>SUM(P13:P59)</f>
        <v>28810.92</v>
      </c>
      <c r="E64" s="64">
        <f>D64*100/D67</f>
        <v>5.8249272033711117</v>
      </c>
      <c r="F64" s="64"/>
      <c r="G64" s="43"/>
      <c r="H64" s="43"/>
      <c r="I64" s="43"/>
      <c r="J64" s="35"/>
      <c r="K64" s="35"/>
      <c r="L64" s="35"/>
      <c r="M64" s="35"/>
      <c r="N64" s="35"/>
      <c r="O64" s="35"/>
      <c r="P64" s="35"/>
      <c r="Q64" s="35"/>
      <c r="R64" s="35"/>
      <c r="S64" s="35"/>
      <c r="T64" s="35"/>
      <c r="U64" s="35"/>
      <c r="V64" s="35"/>
      <c r="W64" s="35"/>
      <c r="X64" s="35"/>
      <c r="Y64" s="35"/>
      <c r="Z64" s="35"/>
      <c r="AA64" s="35"/>
      <c r="AB64" s="35"/>
      <c r="AC64" s="35"/>
      <c r="AD64" s="35"/>
      <c r="AE64" s="35"/>
      <c r="AF64" s="36"/>
      <c r="AG64" s="36"/>
    </row>
    <row r="65" spans="2:33" x14ac:dyDescent="0.25">
      <c r="B65" s="41" t="s">
        <v>7</v>
      </c>
      <c r="C65" s="41"/>
      <c r="D65" s="44">
        <f>SUM(U13:U59)</f>
        <v>49655.54</v>
      </c>
      <c r="E65" s="64">
        <f>D65*100/D67</f>
        <v>10.039245735439284</v>
      </c>
      <c r="F65" s="64"/>
      <c r="G65" s="43"/>
      <c r="H65" s="43"/>
      <c r="I65" s="43"/>
      <c r="J65" s="35"/>
      <c r="K65" s="35"/>
      <c r="L65" s="35"/>
      <c r="M65" s="35"/>
      <c r="N65" s="35"/>
      <c r="O65" s="35"/>
      <c r="P65" s="35"/>
      <c r="Q65" s="35"/>
      <c r="R65" s="35"/>
      <c r="S65" s="35"/>
      <c r="T65" s="35"/>
      <c r="U65" s="35"/>
      <c r="V65" s="35"/>
      <c r="W65" s="35"/>
      <c r="X65" s="35"/>
      <c r="Y65" s="35"/>
      <c r="Z65" s="35"/>
      <c r="AA65" s="35"/>
      <c r="AB65" s="35"/>
      <c r="AC65" s="35"/>
      <c r="AD65" s="35"/>
      <c r="AE65" s="35"/>
      <c r="AF65" s="36"/>
      <c r="AG65" s="36"/>
    </row>
    <row r="66" spans="2:33" x14ac:dyDescent="0.25">
      <c r="B66" s="41" t="s">
        <v>18</v>
      </c>
      <c r="C66" s="41"/>
      <c r="D66" s="44">
        <f>SUM(Z13:Z59)</f>
        <v>16660.060000000001</v>
      </c>
      <c r="E66" s="64">
        <f>D66*100/D67</f>
        <v>3.3682935742348712</v>
      </c>
      <c r="F66" s="64"/>
      <c r="G66" s="43"/>
      <c r="H66" s="43"/>
      <c r="I66" s="43"/>
      <c r="J66" s="35"/>
      <c r="K66" s="35"/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  <c r="AB66" s="35"/>
      <c r="AC66" s="35"/>
      <c r="AD66" s="35"/>
      <c r="AE66" s="35"/>
      <c r="AF66" s="36"/>
      <c r="AG66" s="36"/>
    </row>
    <row r="67" spans="2:33" x14ac:dyDescent="0.25">
      <c r="B67" s="65" t="s">
        <v>8</v>
      </c>
      <c r="C67" s="65"/>
      <c r="D67" s="44">
        <f>SUM(AE13:AE59)</f>
        <v>494614.25</v>
      </c>
      <c r="E67" s="66">
        <f>D67*100/D67</f>
        <v>100</v>
      </c>
      <c r="F67" s="66"/>
      <c r="G67" s="45"/>
      <c r="H67" s="45"/>
      <c r="I67" s="45"/>
      <c r="J67" s="35"/>
      <c r="K67" s="35"/>
      <c r="L67" s="35"/>
      <c r="M67" s="35"/>
      <c r="N67" s="35"/>
      <c r="O67" s="35"/>
      <c r="P67" s="35"/>
      <c r="Q67" s="35"/>
      <c r="R67" s="35"/>
      <c r="S67" s="35"/>
      <c r="T67" s="35"/>
      <c r="U67" s="35"/>
      <c r="V67" s="35"/>
      <c r="W67" s="35"/>
      <c r="X67" s="35"/>
      <c r="Y67" s="35"/>
      <c r="Z67" s="35"/>
      <c r="AA67" s="35"/>
      <c r="AB67" s="35"/>
      <c r="AC67" s="35"/>
      <c r="AD67" s="35"/>
      <c r="AE67" s="35"/>
      <c r="AF67" s="36"/>
      <c r="AG67" s="36"/>
    </row>
    <row r="68" spans="2:33" x14ac:dyDescent="0.25">
      <c r="B68" s="46"/>
      <c r="C68" s="35"/>
      <c r="D68" s="35"/>
      <c r="E68" s="47"/>
      <c r="F68" s="47"/>
      <c r="G68" s="47"/>
      <c r="H68" s="47"/>
      <c r="I68" s="47"/>
      <c r="J68" s="35"/>
      <c r="K68" s="35"/>
      <c r="L68" s="35"/>
      <c r="M68" s="35"/>
      <c r="N68" s="35"/>
      <c r="O68" s="35"/>
      <c r="P68" s="35"/>
      <c r="Q68" s="35"/>
      <c r="R68" s="35"/>
      <c r="S68" s="35"/>
      <c r="T68" s="35"/>
      <c r="U68" s="35"/>
      <c r="V68" s="35"/>
      <c r="W68" s="35"/>
      <c r="X68" s="35"/>
      <c r="Y68" s="35"/>
      <c r="Z68" s="35"/>
      <c r="AA68" s="35"/>
      <c r="AB68" s="35"/>
      <c r="AC68" s="35"/>
      <c r="AD68" s="35"/>
      <c r="AE68" s="35"/>
      <c r="AF68" s="36"/>
      <c r="AG68" s="36"/>
    </row>
    <row r="69" spans="2:33" x14ac:dyDescent="0.25">
      <c r="B69" s="39" t="s">
        <v>9</v>
      </c>
      <c r="C69" s="35"/>
      <c r="D69" s="35"/>
      <c r="E69" s="47"/>
      <c r="F69" s="47"/>
      <c r="G69" s="47"/>
      <c r="H69" s="47"/>
      <c r="I69" s="47"/>
      <c r="J69" s="35"/>
      <c r="K69" s="35"/>
      <c r="L69" s="35"/>
      <c r="M69" s="35"/>
      <c r="N69" s="35"/>
      <c r="O69" s="35"/>
      <c r="P69" s="35"/>
      <c r="Q69" s="35"/>
      <c r="R69" s="35"/>
      <c r="S69" s="35"/>
      <c r="T69" s="35"/>
      <c r="U69" s="35"/>
      <c r="V69" s="35"/>
      <c r="W69" s="35"/>
      <c r="X69" s="35"/>
      <c r="Y69" s="35"/>
      <c r="Z69" s="35"/>
      <c r="AA69" s="35"/>
      <c r="AB69" s="35"/>
      <c r="AC69" s="35"/>
      <c r="AD69" s="35"/>
      <c r="AE69" s="35"/>
      <c r="AF69" s="36"/>
      <c r="AG69" s="36"/>
    </row>
    <row r="70" spans="2:33" x14ac:dyDescent="0.25">
      <c r="B70" s="65" t="s">
        <v>10</v>
      </c>
      <c r="C70" s="65"/>
      <c r="D70" s="3">
        <f>SUM(E13:E59)</f>
        <v>128437</v>
      </c>
      <c r="E70" s="64">
        <f>D70*100/D75</f>
        <v>34.915590593992114</v>
      </c>
      <c r="F70" s="64"/>
      <c r="G70" s="43"/>
      <c r="H70" s="43"/>
      <c r="I70" s="43"/>
      <c r="J70" s="35"/>
      <c r="K70" s="35"/>
      <c r="L70" s="35"/>
      <c r="M70" s="35"/>
      <c r="N70" s="35"/>
      <c r="O70" s="35"/>
      <c r="P70" s="35"/>
      <c r="Q70" s="35"/>
      <c r="R70" s="35"/>
      <c r="S70" s="35"/>
      <c r="T70" s="35"/>
      <c r="U70" s="35"/>
      <c r="V70" s="35"/>
      <c r="W70" s="35"/>
      <c r="X70" s="35"/>
      <c r="Y70" s="35"/>
      <c r="Z70" s="35"/>
      <c r="AA70" s="35"/>
      <c r="AB70" s="35"/>
      <c r="AC70" s="35"/>
      <c r="AE70" s="35"/>
      <c r="AF70" s="36"/>
      <c r="AG70" s="36"/>
    </row>
    <row r="71" spans="2:33" x14ac:dyDescent="0.25">
      <c r="B71" s="41" t="s">
        <v>11</v>
      </c>
      <c r="C71" s="41"/>
      <c r="D71" s="49">
        <f>SUM(J13:J59)</f>
        <v>172485</v>
      </c>
      <c r="E71" s="64">
        <f>D71*100/D75</f>
        <v>46.890036699741742</v>
      </c>
      <c r="F71" s="64"/>
      <c r="G71" s="43"/>
      <c r="H71" s="43"/>
      <c r="I71" s="43"/>
      <c r="J71" s="35"/>
      <c r="K71" s="35"/>
      <c r="L71" s="35"/>
      <c r="M71" s="35"/>
      <c r="N71" s="35"/>
      <c r="O71" s="35"/>
      <c r="P71" s="35"/>
      <c r="Q71" s="35"/>
      <c r="R71" s="35"/>
      <c r="S71" s="35"/>
      <c r="T71" s="35"/>
      <c r="U71" s="35"/>
      <c r="V71" s="35"/>
      <c r="W71" s="35"/>
      <c r="X71" s="35"/>
      <c r="Y71" s="35"/>
      <c r="Z71" s="35"/>
      <c r="AA71" s="35"/>
      <c r="AB71" s="35"/>
      <c r="AC71" s="35"/>
      <c r="AD71" s="35"/>
      <c r="AE71" s="35"/>
      <c r="AF71" s="36"/>
      <c r="AG71" s="36"/>
    </row>
    <row r="72" spans="2:33" x14ac:dyDescent="0.25">
      <c r="B72" s="41" t="s">
        <v>12</v>
      </c>
      <c r="C72" s="41"/>
      <c r="D72" s="49">
        <f>SUM(O13:O59)</f>
        <v>20703</v>
      </c>
      <c r="E72" s="64">
        <f>D72*100/D75</f>
        <v>5.6281092836754114</v>
      </c>
      <c r="F72" s="64"/>
      <c r="G72" s="43"/>
      <c r="H72" s="43"/>
      <c r="I72" s="43"/>
      <c r="J72" s="35"/>
      <c r="K72" s="35"/>
      <c r="L72" s="35"/>
      <c r="M72" s="35"/>
      <c r="N72" s="35"/>
      <c r="O72" s="35"/>
      <c r="P72" s="35"/>
      <c r="Q72" s="35"/>
      <c r="R72" s="35"/>
      <c r="S72" s="35"/>
      <c r="T72" s="35"/>
      <c r="U72" s="35"/>
      <c r="V72" s="35"/>
      <c r="W72" s="35"/>
      <c r="X72" s="35"/>
      <c r="Y72" s="35"/>
      <c r="Z72" s="35"/>
      <c r="AA72" s="35"/>
      <c r="AB72" s="35"/>
      <c r="AC72" s="35"/>
      <c r="AD72" s="35"/>
      <c r="AE72" s="35"/>
      <c r="AF72" s="36"/>
      <c r="AG72" s="36"/>
    </row>
    <row r="73" spans="2:33" x14ac:dyDescent="0.25">
      <c r="B73" s="41" t="s">
        <v>13</v>
      </c>
      <c r="C73" s="41"/>
      <c r="D73" s="49">
        <f>SUM(T13:T59)</f>
        <v>34859</v>
      </c>
      <c r="E73" s="64">
        <f>D73*100/D75</f>
        <v>9.4764170178061704</v>
      </c>
      <c r="F73" s="64"/>
      <c r="G73" s="50"/>
      <c r="H73" s="50"/>
      <c r="I73" s="50"/>
      <c r="J73" s="35"/>
      <c r="K73" s="35"/>
      <c r="L73" s="35"/>
      <c r="M73" s="35"/>
      <c r="N73" s="35"/>
      <c r="O73" s="35"/>
      <c r="P73" s="35"/>
      <c r="Q73" s="35"/>
      <c r="R73" s="35"/>
      <c r="S73" s="35"/>
      <c r="T73" s="35"/>
      <c r="U73" s="35"/>
      <c r="V73" s="35"/>
      <c r="W73" s="35"/>
      <c r="X73" s="35"/>
      <c r="Y73" s="35"/>
      <c r="Z73" s="35"/>
      <c r="AA73" s="35"/>
      <c r="AB73" s="35"/>
      <c r="AC73" s="35"/>
      <c r="AD73" s="35"/>
      <c r="AE73" s="35"/>
      <c r="AF73" s="36"/>
      <c r="AG73" s="36"/>
    </row>
    <row r="74" spans="2:33" x14ac:dyDescent="0.25">
      <c r="B74" s="41" t="s">
        <v>19</v>
      </c>
      <c r="C74" s="41"/>
      <c r="D74" s="49">
        <f>SUM(Y13:Y59)</f>
        <v>11366</v>
      </c>
      <c r="E74" s="64">
        <f>D74*100/D75</f>
        <v>3.0898464047845589</v>
      </c>
      <c r="F74" s="64"/>
      <c r="G74" s="50"/>
      <c r="H74" s="50"/>
      <c r="I74" s="50"/>
      <c r="J74" s="35"/>
      <c r="K74" s="35"/>
      <c r="L74" s="35"/>
      <c r="M74" s="35"/>
      <c r="N74" s="35"/>
      <c r="O74" s="35"/>
      <c r="P74" s="35"/>
      <c r="Q74" s="35"/>
      <c r="R74" s="35"/>
      <c r="S74" s="35"/>
      <c r="T74" s="35"/>
      <c r="U74" s="35"/>
      <c r="V74" s="35"/>
      <c r="W74" s="35"/>
      <c r="X74" s="35"/>
      <c r="Y74" s="35"/>
      <c r="Z74" s="35"/>
      <c r="AA74" s="35"/>
      <c r="AB74" s="35"/>
      <c r="AC74" s="35"/>
      <c r="AD74" s="35"/>
      <c r="AE74" s="35"/>
      <c r="AF74" s="36"/>
      <c r="AG74" s="36"/>
    </row>
    <row r="75" spans="2:33" x14ac:dyDescent="0.25">
      <c r="B75" s="65" t="s">
        <v>14</v>
      </c>
      <c r="C75" s="65"/>
      <c r="D75" s="49">
        <f>SUM(AD13:AD59)</f>
        <v>367850</v>
      </c>
      <c r="E75" s="66">
        <f>D75*100/D75</f>
        <v>100</v>
      </c>
      <c r="F75" s="66"/>
      <c r="G75" s="50"/>
      <c r="H75" s="50"/>
      <c r="I75" s="50"/>
      <c r="J75" s="51"/>
      <c r="K75" s="51"/>
      <c r="L75" s="51"/>
      <c r="M75" s="51"/>
      <c r="N75" s="51"/>
      <c r="O75" s="51"/>
      <c r="P75" s="51"/>
      <c r="Q75" s="51"/>
      <c r="R75" s="51"/>
      <c r="S75" s="51"/>
      <c r="T75" s="51"/>
      <c r="U75" s="51"/>
      <c r="V75" s="51"/>
      <c r="W75" s="51"/>
      <c r="X75" s="51"/>
      <c r="Y75" s="51"/>
      <c r="Z75" s="51"/>
      <c r="AA75" s="51"/>
      <c r="AB75" s="51"/>
      <c r="AC75" s="51"/>
      <c r="AD75" s="51"/>
      <c r="AE75" s="51"/>
      <c r="AF75" s="36"/>
      <c r="AG75" s="36"/>
    </row>
    <row r="76" spans="2:33" x14ac:dyDescent="0.25">
      <c r="B76" s="46"/>
      <c r="C76" s="35"/>
      <c r="D76" s="52"/>
      <c r="E76" s="47"/>
      <c r="F76" s="47"/>
      <c r="G76" s="47"/>
      <c r="H76" s="47"/>
      <c r="I76" s="47"/>
      <c r="J76" s="35"/>
      <c r="K76" s="35"/>
      <c r="L76" s="35"/>
      <c r="M76" s="35"/>
      <c r="N76" s="35"/>
      <c r="O76" s="35"/>
      <c r="P76" s="35"/>
      <c r="Q76" s="35"/>
      <c r="R76" s="35"/>
      <c r="S76" s="35"/>
      <c r="T76" s="35"/>
      <c r="U76" s="35"/>
      <c r="V76" s="35"/>
      <c r="W76" s="35"/>
      <c r="X76" s="35"/>
      <c r="Y76" s="35"/>
      <c r="Z76" s="35"/>
      <c r="AA76" s="35"/>
      <c r="AB76" s="35"/>
      <c r="AC76" s="35"/>
      <c r="AD76" s="35"/>
      <c r="AE76" s="35"/>
      <c r="AF76" s="36"/>
      <c r="AG76" s="36"/>
    </row>
    <row r="77" spans="2:33" x14ac:dyDescent="0.25">
      <c r="B77" s="46"/>
      <c r="C77" s="35"/>
      <c r="D77" s="35"/>
      <c r="E77" s="47"/>
      <c r="F77" s="47"/>
      <c r="G77" s="47"/>
      <c r="H77" s="47"/>
      <c r="I77" s="47"/>
      <c r="J77" s="35"/>
      <c r="K77" s="35"/>
      <c r="L77" s="35"/>
      <c r="M77" s="35"/>
      <c r="N77" s="35"/>
      <c r="O77" s="35"/>
      <c r="P77" s="35"/>
      <c r="Q77" s="35"/>
      <c r="R77" s="35"/>
      <c r="S77" s="35"/>
      <c r="T77" s="35"/>
      <c r="U77" s="35"/>
      <c r="V77" s="35"/>
      <c r="W77" s="35"/>
      <c r="X77" s="35"/>
      <c r="Y77" s="35"/>
      <c r="Z77" s="35"/>
      <c r="AA77" s="35"/>
      <c r="AB77" s="35"/>
      <c r="AC77" s="35"/>
      <c r="AD77" s="35"/>
      <c r="AE77" s="35"/>
      <c r="AF77" s="36"/>
      <c r="AG77" s="36"/>
    </row>
    <row r="78" spans="2:33" x14ac:dyDescent="0.25">
      <c r="B78" s="46"/>
      <c r="C78" s="35"/>
      <c r="D78" s="35"/>
      <c r="E78" s="47"/>
      <c r="F78" s="47"/>
      <c r="G78" s="47"/>
      <c r="H78" s="47"/>
      <c r="I78" s="47"/>
      <c r="J78" s="35"/>
      <c r="K78" s="35"/>
      <c r="L78" s="35"/>
      <c r="M78" s="35"/>
      <c r="N78" s="35"/>
      <c r="O78" s="35"/>
      <c r="P78" s="35"/>
      <c r="Q78" s="35"/>
      <c r="R78" s="35"/>
      <c r="S78" s="35"/>
      <c r="T78" s="35"/>
      <c r="U78" s="35"/>
      <c r="V78" s="35"/>
      <c r="W78" s="35"/>
      <c r="X78" s="35"/>
      <c r="Y78" s="35"/>
      <c r="Z78" s="35"/>
      <c r="AA78" s="35"/>
      <c r="AB78" s="35"/>
      <c r="AC78" s="35"/>
      <c r="AD78" s="35"/>
      <c r="AE78" s="35"/>
      <c r="AF78" s="36"/>
      <c r="AG78" s="36"/>
    </row>
    <row r="79" spans="2:33" x14ac:dyDescent="0.25">
      <c r="B79" s="46"/>
      <c r="C79" s="35"/>
      <c r="D79" s="35"/>
      <c r="E79" s="47"/>
      <c r="F79" s="47"/>
      <c r="G79" s="47"/>
      <c r="H79" s="47"/>
      <c r="I79" s="47"/>
      <c r="J79" s="35"/>
      <c r="K79" s="35"/>
      <c r="L79" s="35"/>
      <c r="M79" s="35"/>
      <c r="N79" s="35"/>
      <c r="O79" s="35"/>
      <c r="P79" s="35"/>
      <c r="Q79" s="35"/>
      <c r="R79" s="35"/>
      <c r="S79" s="35"/>
      <c r="T79" s="35"/>
      <c r="U79" s="35"/>
      <c r="V79" s="35"/>
      <c r="W79" s="35"/>
      <c r="X79" s="35"/>
      <c r="Y79" s="35"/>
      <c r="Z79" s="35"/>
      <c r="AA79" s="35"/>
      <c r="AB79" s="35"/>
      <c r="AC79" s="35"/>
      <c r="AD79" s="35"/>
      <c r="AE79" s="35"/>
      <c r="AF79" s="36"/>
      <c r="AG79" s="36"/>
    </row>
    <row r="80" spans="2:33" x14ac:dyDescent="0.25">
      <c r="B80" s="46"/>
      <c r="C80" s="35"/>
      <c r="D80" s="35"/>
      <c r="E80" s="47"/>
      <c r="F80" s="47"/>
      <c r="G80" s="47"/>
      <c r="H80" s="47"/>
      <c r="I80" s="47"/>
      <c r="J80" s="35"/>
      <c r="K80" s="35"/>
      <c r="L80" s="35"/>
      <c r="M80" s="35"/>
      <c r="N80" s="35"/>
      <c r="O80" s="35"/>
      <c r="P80" s="35"/>
      <c r="Q80" s="35"/>
      <c r="R80" s="35"/>
      <c r="S80" s="35"/>
      <c r="T80" s="35"/>
      <c r="U80" s="35"/>
      <c r="V80" s="35"/>
      <c r="W80" s="35"/>
      <c r="X80" s="35"/>
      <c r="Y80" s="35"/>
      <c r="Z80" s="35"/>
      <c r="AA80" s="35"/>
      <c r="AB80" s="35"/>
      <c r="AC80" s="35"/>
      <c r="AD80" s="35"/>
      <c r="AE80" s="35"/>
      <c r="AF80" s="36"/>
      <c r="AG80" s="36"/>
    </row>
    <row r="81" spans="2:33" x14ac:dyDescent="0.25">
      <c r="B81" s="46"/>
      <c r="C81" s="35"/>
      <c r="D81" s="35"/>
      <c r="E81" s="47"/>
      <c r="F81" s="47"/>
      <c r="G81" s="47"/>
      <c r="H81" s="47"/>
      <c r="I81" s="47"/>
      <c r="J81" s="35"/>
      <c r="K81" s="35"/>
      <c r="L81" s="35"/>
      <c r="M81" s="35"/>
      <c r="N81" s="35"/>
      <c r="O81" s="35"/>
      <c r="P81" s="35"/>
      <c r="Q81" s="35"/>
      <c r="R81" s="35"/>
      <c r="S81" s="35"/>
      <c r="T81" s="35"/>
      <c r="U81" s="35"/>
      <c r="V81" s="35"/>
      <c r="W81" s="35"/>
      <c r="X81" s="35"/>
      <c r="Y81" s="35"/>
      <c r="Z81" s="35"/>
      <c r="AA81" s="35"/>
      <c r="AB81" s="35"/>
      <c r="AC81" s="35"/>
      <c r="AD81" s="35"/>
      <c r="AE81" s="35"/>
      <c r="AF81" s="36"/>
      <c r="AG81" s="36"/>
    </row>
    <row r="82" spans="2:33" x14ac:dyDescent="0.25">
      <c r="B82" s="46"/>
      <c r="C82" s="35"/>
      <c r="D82" s="35"/>
      <c r="E82" s="47"/>
      <c r="F82" s="47"/>
      <c r="G82" s="47"/>
      <c r="H82" s="47"/>
      <c r="I82" s="47"/>
      <c r="J82" s="35"/>
      <c r="K82" s="35"/>
      <c r="L82" s="35"/>
      <c r="M82" s="35"/>
      <c r="N82" s="35"/>
      <c r="O82" s="35"/>
      <c r="P82" s="35"/>
      <c r="Q82" s="35"/>
      <c r="R82" s="35"/>
      <c r="S82" s="35"/>
      <c r="T82" s="35"/>
      <c r="U82" s="35"/>
      <c r="V82" s="35"/>
      <c r="W82" s="35"/>
      <c r="X82" s="35"/>
      <c r="Y82" s="35"/>
      <c r="Z82" s="35"/>
      <c r="AA82" s="35"/>
      <c r="AB82" s="35"/>
      <c r="AC82" s="35"/>
      <c r="AD82" s="35"/>
      <c r="AE82" s="35"/>
      <c r="AF82" s="36"/>
      <c r="AG82" s="36"/>
    </row>
    <row r="83" spans="2:33" x14ac:dyDescent="0.25">
      <c r="B83" s="46"/>
      <c r="C83" s="35"/>
      <c r="D83" s="35"/>
      <c r="E83" s="47"/>
      <c r="F83" s="47"/>
      <c r="G83" s="47"/>
      <c r="H83" s="47"/>
      <c r="I83" s="47"/>
      <c r="J83" s="35"/>
      <c r="K83" s="35"/>
      <c r="L83" s="35"/>
      <c r="M83" s="35"/>
      <c r="N83" s="35"/>
      <c r="O83" s="35"/>
      <c r="P83" s="35"/>
      <c r="Q83" s="35"/>
      <c r="R83" s="35"/>
      <c r="S83" s="35"/>
      <c r="T83" s="35"/>
      <c r="U83" s="35"/>
      <c r="V83" s="35"/>
      <c r="W83" s="35"/>
      <c r="X83" s="35"/>
      <c r="Y83" s="35"/>
      <c r="Z83" s="35"/>
      <c r="AA83" s="35"/>
      <c r="AB83" s="35"/>
      <c r="AC83" s="35"/>
      <c r="AD83" s="35"/>
      <c r="AE83" s="35"/>
      <c r="AF83" s="36"/>
      <c r="AG83" s="36"/>
    </row>
    <row r="84" spans="2:33" x14ac:dyDescent="0.25">
      <c r="B84" s="46"/>
      <c r="C84" s="35"/>
      <c r="D84" s="35"/>
      <c r="E84" s="47"/>
      <c r="F84" s="47"/>
      <c r="G84" s="47"/>
      <c r="H84" s="47"/>
      <c r="I84" s="47"/>
      <c r="J84" s="35"/>
      <c r="K84" s="35"/>
      <c r="L84" s="35"/>
      <c r="M84" s="35"/>
      <c r="N84" s="35"/>
      <c r="O84" s="35"/>
      <c r="P84" s="35"/>
      <c r="Q84" s="35"/>
      <c r="R84" s="35"/>
      <c r="S84" s="35"/>
      <c r="T84" s="35"/>
      <c r="U84" s="35"/>
      <c r="V84" s="35"/>
      <c r="W84" s="35"/>
      <c r="X84" s="35"/>
      <c r="Y84" s="35"/>
      <c r="Z84" s="35"/>
      <c r="AA84" s="35"/>
      <c r="AB84" s="35"/>
      <c r="AC84" s="35"/>
      <c r="AD84" s="35"/>
      <c r="AE84" s="35"/>
      <c r="AF84" s="36"/>
      <c r="AG84" s="36"/>
    </row>
    <row r="85" spans="2:33" x14ac:dyDescent="0.25">
      <c r="B85" s="46"/>
      <c r="C85" s="35"/>
      <c r="D85" s="35"/>
      <c r="E85" s="47"/>
      <c r="F85" s="47"/>
      <c r="G85" s="47"/>
      <c r="H85" s="47"/>
      <c r="I85" s="47"/>
      <c r="J85" s="35"/>
      <c r="K85" s="35"/>
      <c r="L85" s="35"/>
      <c r="M85" s="35"/>
      <c r="N85" s="35"/>
      <c r="O85" s="35"/>
      <c r="P85" s="35"/>
      <c r="Q85" s="35"/>
      <c r="R85" s="35"/>
      <c r="S85" s="35"/>
      <c r="T85" s="35"/>
      <c r="U85" s="35"/>
      <c r="V85" s="35"/>
      <c r="W85" s="35"/>
      <c r="X85" s="35"/>
      <c r="Y85" s="35"/>
      <c r="Z85" s="35"/>
      <c r="AA85" s="35"/>
      <c r="AB85" s="35"/>
      <c r="AC85" s="35"/>
      <c r="AD85" s="35"/>
      <c r="AE85" s="35"/>
      <c r="AF85" s="36"/>
      <c r="AG85" s="36"/>
    </row>
    <row r="86" spans="2:33" x14ac:dyDescent="0.25">
      <c r="B86" s="46"/>
      <c r="C86" s="35"/>
      <c r="D86" s="35"/>
      <c r="E86" s="47"/>
      <c r="F86" s="47"/>
      <c r="G86" s="47"/>
      <c r="H86" s="47"/>
      <c r="I86" s="47"/>
      <c r="J86" s="35"/>
      <c r="K86" s="35"/>
      <c r="L86" s="35"/>
      <c r="M86" s="35"/>
      <c r="N86" s="35"/>
      <c r="O86" s="35"/>
      <c r="P86" s="35"/>
      <c r="Q86" s="35"/>
      <c r="R86" s="35"/>
      <c r="S86" s="35"/>
      <c r="T86" s="35"/>
      <c r="U86" s="35"/>
      <c r="V86" s="35"/>
      <c r="W86" s="35"/>
      <c r="X86" s="35"/>
      <c r="Y86" s="35"/>
      <c r="Z86" s="35"/>
      <c r="AA86" s="35"/>
      <c r="AB86" s="35"/>
      <c r="AC86" s="35"/>
      <c r="AD86" s="35"/>
      <c r="AE86" s="35"/>
      <c r="AF86" s="36"/>
      <c r="AG86" s="36"/>
    </row>
    <row r="87" spans="2:33" x14ac:dyDescent="0.25">
      <c r="B87" s="46"/>
      <c r="C87" s="35"/>
      <c r="D87" s="35"/>
      <c r="E87" s="47"/>
      <c r="F87" s="47"/>
      <c r="G87" s="47"/>
      <c r="H87" s="47"/>
      <c r="I87" s="47"/>
      <c r="J87" s="35"/>
      <c r="K87" s="35"/>
      <c r="L87" s="35"/>
      <c r="M87" s="35"/>
      <c r="N87" s="35"/>
      <c r="O87" s="35"/>
      <c r="P87" s="35"/>
      <c r="Q87" s="35"/>
      <c r="R87" s="35"/>
      <c r="S87" s="35"/>
      <c r="T87" s="35"/>
      <c r="U87" s="35"/>
      <c r="V87" s="35"/>
      <c r="W87" s="35"/>
      <c r="X87" s="35"/>
      <c r="Y87" s="35"/>
      <c r="Z87" s="35"/>
      <c r="AA87" s="35"/>
      <c r="AB87" s="35"/>
      <c r="AC87" s="35"/>
      <c r="AD87" s="35"/>
      <c r="AE87" s="35"/>
      <c r="AF87" s="36"/>
      <c r="AG87" s="36"/>
    </row>
    <row r="88" spans="2:33" x14ac:dyDescent="0.25">
      <c r="B88" s="46"/>
      <c r="C88" s="35"/>
      <c r="D88" s="35"/>
      <c r="E88" s="47"/>
      <c r="F88" s="47"/>
      <c r="G88" s="47"/>
      <c r="H88" s="47"/>
      <c r="I88" s="47"/>
      <c r="J88" s="35"/>
      <c r="K88" s="35"/>
      <c r="L88" s="35"/>
      <c r="M88" s="35"/>
      <c r="N88" s="35"/>
      <c r="O88" s="35"/>
      <c r="P88" s="35"/>
      <c r="Q88" s="35"/>
      <c r="R88" s="35"/>
      <c r="S88" s="35"/>
      <c r="T88" s="35"/>
      <c r="U88" s="35"/>
      <c r="V88" s="35"/>
      <c r="W88" s="35"/>
      <c r="X88" s="35"/>
      <c r="Y88" s="35"/>
      <c r="Z88" s="35"/>
      <c r="AA88" s="35"/>
      <c r="AB88" s="35"/>
      <c r="AC88" s="35"/>
      <c r="AD88" s="35"/>
      <c r="AE88" s="35"/>
      <c r="AF88" s="36"/>
      <c r="AG88" s="36"/>
    </row>
    <row r="89" spans="2:33" x14ac:dyDescent="0.25">
      <c r="B89" s="46"/>
      <c r="C89" s="35"/>
      <c r="D89" s="35"/>
      <c r="E89" s="47"/>
      <c r="F89" s="47"/>
      <c r="G89" s="47"/>
      <c r="H89" s="47"/>
      <c r="I89" s="47"/>
      <c r="J89" s="35"/>
      <c r="K89" s="35"/>
      <c r="L89" s="35"/>
      <c r="M89" s="35"/>
      <c r="N89" s="35"/>
      <c r="O89" s="35"/>
      <c r="P89" s="35"/>
      <c r="Q89" s="35"/>
      <c r="R89" s="35"/>
      <c r="S89" s="35"/>
      <c r="T89" s="35"/>
      <c r="U89" s="35"/>
      <c r="V89" s="35"/>
      <c r="W89" s="35"/>
      <c r="X89" s="35"/>
      <c r="Y89" s="35"/>
      <c r="Z89" s="35"/>
      <c r="AA89" s="35"/>
      <c r="AB89" s="35"/>
      <c r="AC89" s="35"/>
      <c r="AD89" s="35"/>
      <c r="AE89" s="35"/>
      <c r="AF89" s="36"/>
      <c r="AG89" s="36"/>
    </row>
    <row r="90" spans="2:33" x14ac:dyDescent="0.25">
      <c r="B90" s="46"/>
      <c r="C90" s="35"/>
      <c r="D90" s="35"/>
      <c r="E90" s="47"/>
      <c r="AD90" s="35"/>
      <c r="AE90" s="35"/>
      <c r="AF90" s="36"/>
      <c r="AG90" s="36"/>
    </row>
    <row r="91" spans="2:33" x14ac:dyDescent="0.25">
      <c r="B91" s="46"/>
      <c r="C91" s="35"/>
      <c r="D91" s="35"/>
      <c r="E91" s="47"/>
      <c r="AD91" s="35"/>
      <c r="AE91" s="35"/>
      <c r="AF91" s="36"/>
      <c r="AG91" s="36"/>
    </row>
    <row r="92" spans="2:33" x14ac:dyDescent="0.25">
      <c r="B92" s="46"/>
      <c r="C92" s="35"/>
      <c r="D92" s="35"/>
      <c r="E92" s="47"/>
      <c r="AD92" s="35"/>
      <c r="AE92" s="35"/>
      <c r="AF92" s="36"/>
      <c r="AG92" s="36"/>
    </row>
    <row r="93" spans="2:33" x14ac:dyDescent="0.25">
      <c r="B93" s="46"/>
      <c r="C93" s="35"/>
      <c r="D93" s="35"/>
      <c r="E93" s="47"/>
      <c r="AD93" s="35"/>
      <c r="AE93" s="35"/>
      <c r="AF93" s="36"/>
      <c r="AG93" s="36"/>
    </row>
  </sheetData>
  <mergeCells count="19">
    <mergeCell ref="E65:F65"/>
    <mergeCell ref="E63:F63"/>
    <mergeCell ref="E64:F64"/>
    <mergeCell ref="B1:AE6"/>
    <mergeCell ref="AF1:AL6"/>
    <mergeCell ref="E61:F61"/>
    <mergeCell ref="B62:C62"/>
    <mergeCell ref="E62:F62"/>
    <mergeCell ref="E66:F66"/>
    <mergeCell ref="E67:F67"/>
    <mergeCell ref="E71:F71"/>
    <mergeCell ref="B67:C67"/>
    <mergeCell ref="B70:C70"/>
    <mergeCell ref="E70:F70"/>
    <mergeCell ref="E72:F72"/>
    <mergeCell ref="E73:F73"/>
    <mergeCell ref="E74:F74"/>
    <mergeCell ref="B75:C75"/>
    <mergeCell ref="E75:F75"/>
  </mergeCells>
  <conditionalFormatting sqref="G13:G59">
    <cfRule type="colorScale" priority="14">
      <colorScale>
        <cfvo type="min"/>
        <cfvo type="num" val="12"/>
        <cfvo type="max"/>
        <color rgb="FFF8696B"/>
        <color rgb="FFFCFCFF"/>
        <color rgb="FF5A8AC6"/>
      </colorScale>
    </cfRule>
  </conditionalFormatting>
  <conditionalFormatting sqref="L13:L59">
    <cfRule type="colorScale" priority="15">
      <colorScale>
        <cfvo type="min"/>
        <cfvo type="num" val="12"/>
        <cfvo type="max"/>
        <color rgb="FFF8696B"/>
        <color rgb="FFFCFCFF"/>
        <color rgb="FF5A8AC6"/>
      </colorScale>
    </cfRule>
  </conditionalFormatting>
  <conditionalFormatting sqref="Q13:Q59">
    <cfRule type="colorScale" priority="16">
      <colorScale>
        <cfvo type="min"/>
        <cfvo type="num" val="12"/>
        <cfvo type="max"/>
        <color rgb="FFF8696B"/>
        <color rgb="FFFCFCFF"/>
        <color rgb="FF5A8AC6"/>
      </colorScale>
    </cfRule>
  </conditionalFormatting>
  <conditionalFormatting sqref="V13:V59">
    <cfRule type="colorScale" priority="17">
      <colorScale>
        <cfvo type="min"/>
        <cfvo type="num" val="12"/>
        <cfvo type="max"/>
        <color rgb="FFF8696B"/>
        <color rgb="FFFCFCFF"/>
        <color rgb="FF5A8AC6"/>
      </colorScale>
    </cfRule>
  </conditionalFormatting>
  <conditionalFormatting sqref="AA13:AA59">
    <cfRule type="colorScale" priority="18">
      <colorScale>
        <cfvo type="min"/>
        <cfvo type="num" val="12"/>
        <cfvo type="max"/>
        <color rgb="FFF8696B"/>
        <color rgb="FFFCFCFF"/>
        <color rgb="FF5A8AC6"/>
      </colorScale>
    </cfRule>
  </conditionalFormatting>
  <conditionalFormatting sqref="AG13:AG59">
    <cfRule type="colorScale" priority="1">
      <colorScale>
        <cfvo type="num" val="9"/>
        <cfvo type="num" val="10"/>
        <cfvo type="num" val="15"/>
        <color rgb="FFFF7128"/>
        <color rgb="FFFFEB84"/>
        <color rgb="FF92D050"/>
      </colorScale>
    </cfRule>
  </conditionalFormatting>
  <conditionalFormatting sqref="AH13:AH59">
    <cfRule type="colorScale" priority="19">
      <colorScale>
        <cfvo type="min"/>
        <cfvo type="percentile" val="50"/>
        <cfvo type="percentile" val="90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Orbit</dc:creator>
  <cp:lastModifiedBy>Orbit</cp:lastModifiedBy>
  <cp:lastPrinted>2026-09-15T12:02:34Z</cp:lastPrinted>
  <dcterms:created xsi:type="dcterms:W3CDTF">2026-08-13T20:33:16Z</dcterms:created>
  <dcterms:modified xsi:type="dcterms:W3CDTF">2026-09-30T12:18:20Z</dcterms:modified>
</cp:coreProperties>
</file>