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8_{4AC9DD11-6CA1-4247-B7CF-396B4CCDC3B0}" xr6:coauthVersionLast="47" xr6:coauthVersionMax="47" xr10:uidLastSave="{00000000-0000-0000-0000-000000000000}"/>
  <bookViews>
    <workbookView xWindow="-120" yWindow="-120" windowWidth="29040" windowHeight="15720" xr2:uid="{75DCD74C-609F-43BF-97F7-A30B35570E21}"/>
  </bookViews>
  <sheets>
    <sheet name="Hoja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E74" i="1"/>
  <c r="D74" i="1"/>
  <c r="E73" i="1"/>
  <c r="D73" i="1"/>
  <c r="E72" i="1"/>
  <c r="D72" i="1"/>
  <c r="E71" i="1"/>
  <c r="D71" i="1"/>
  <c r="E70" i="1"/>
  <c r="D70" i="1"/>
  <c r="E67" i="1"/>
  <c r="D67" i="1"/>
  <c r="E66" i="1"/>
  <c r="D66" i="1"/>
  <c r="E65" i="1"/>
  <c r="D65" i="1"/>
  <c r="E64" i="1"/>
  <c r="D64" i="1"/>
  <c r="E63" i="1"/>
  <c r="D63" i="1"/>
  <c r="E62" i="1"/>
  <c r="D62" i="1"/>
  <c r="AK60" i="1"/>
  <c r="AM59" i="1"/>
  <c r="AM51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<sst xmlns="http://schemas.openxmlformats.org/spreadsheetml/2006/main" count="81" uniqueCount="81">
  <si>
    <t>Sistema Integral de Control de Inventarios</t>
  </si>
  <si>
    <t>SICI</t>
  </si>
  <si>
    <t>VALORIZADO</t>
  </si>
  <si>
    <t>REPRESENTACION %</t>
  </si>
  <si>
    <t>Valor $ Total Inventario CARACAS:</t>
  </si>
  <si>
    <t>Valor $ Total Inventario CARABOBO:</t>
  </si>
  <si>
    <t>Valor $ Total Inventario ORIENTE:</t>
  </si>
  <si>
    <t>Valor $ Total Inventario LARA:</t>
  </si>
  <si>
    <t>Valor $ Total Inventario Producto:</t>
  </si>
  <si>
    <t>INVENTARIO</t>
  </si>
  <si>
    <t>Total Inventario CARACAS:</t>
  </si>
  <si>
    <t>Total Inventario CARABOBO:</t>
  </si>
  <si>
    <t>Total Inventario ORIENTE:</t>
  </si>
  <si>
    <t>Total Inventario LARA:</t>
  </si>
  <si>
    <t>Total Inventario Producto:</t>
  </si>
  <si>
    <t>Total Und Cestas</t>
  </si>
  <si>
    <t>Total Und Bultos</t>
  </si>
  <si>
    <t>Units Produce</t>
  </si>
  <si>
    <t>Valor $ Total Inventario ZULIA:</t>
  </si>
  <si>
    <t>Total Inventario ZULIA:</t>
  </si>
  <si>
    <t>110150</t>
  </si>
  <si>
    <t>Cremosillo Tradicional 150g</t>
  </si>
  <si>
    <t>110151</t>
  </si>
  <si>
    <t>Cremosillo Coco 150g</t>
  </si>
  <si>
    <t>110230</t>
  </si>
  <si>
    <t>Cremosillo Tradicional 230g</t>
  </si>
  <si>
    <t>110400</t>
  </si>
  <si>
    <t>Cremosillo Tradicional 400g</t>
  </si>
  <si>
    <t>111000</t>
  </si>
  <si>
    <t>Cremosillo Tradicional 1000g</t>
  </si>
  <si>
    <t>120130</t>
  </si>
  <si>
    <t>Gelatina Saltarina Fresa 130g</t>
  </si>
  <si>
    <t>120131</t>
  </si>
  <si>
    <t>Gelatina Saltarina Chicle 130g</t>
  </si>
  <si>
    <t>120132</t>
  </si>
  <si>
    <t>Gelatina Saltarina Kolita 130g</t>
  </si>
  <si>
    <t>130150</t>
  </si>
  <si>
    <t>Cremigurt Natural 150g</t>
  </si>
  <si>
    <t>130151</t>
  </si>
  <si>
    <t>Cremigurt Dulce 150g</t>
  </si>
  <si>
    <t>130152</t>
  </si>
  <si>
    <t>Cremigurt Fresa 150g</t>
  </si>
  <si>
    <t>130153</t>
  </si>
  <si>
    <t>Cremigurt Durazno 150g</t>
  </si>
  <si>
    <t>130154</t>
  </si>
  <si>
    <t>Cremigurt Piña 150g</t>
  </si>
  <si>
    <t>130155</t>
  </si>
  <si>
    <t>Cremigurt Griego 150g</t>
  </si>
  <si>
    <t>Cremigurt Griego Mango 150g</t>
  </si>
  <si>
    <t>Cremigurt Griego Ciruela 150g</t>
  </si>
  <si>
    <t>Cremigurt Griego Mora 150g</t>
  </si>
  <si>
    <t>Cremigurt Natural 700g</t>
  </si>
  <si>
    <t>Cremigurt Dulce 700g</t>
  </si>
  <si>
    <t>Cremigurt Griego Fresa 700g</t>
  </si>
  <si>
    <t>Cremigurt Griego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</si>
  <si>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</si>
  <si>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</si>
  <si>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</si>
  <si>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</si>
  <si>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</si>
  <si>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Piña Colada 150g</t>
  </si>
  <si>
    <t>Cremigurt Power Dulce de Leche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</si>
  <si>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</si>
  <si>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</si>
  <si>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</si>
  <si>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</si>
  <si>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</si>
  <si>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</si>
  <si>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Griego Natural 4 Kg</t>
  </si>
  <si>
    <t>Cremigurt Griego Dulce 4 Kg</t>
  </si>
  <si>
    <t>Cremigurt Líquido Dulce 230g</t>
  </si>
  <si>
    <t>Cremigurt Líquido Fresa 230g</t>
  </si>
  <si>
    <t>Cremigurt Líquido Durazno 230g</t>
  </si>
  <si>
    <t>Tevia Limon 360ml</t>
  </si>
  <si>
    <t>Tevia Durazno 360ml</t>
  </si>
  <si>
    <t>Tevia Blueberry 360ml</t>
  </si>
  <si>
    <t>Tevia Tropical Punch 360ml</t>
  </si>
  <si>
    <t>Tevia Limon 1.5L</t>
  </si>
  <si>
    <t>Tevia Durazno 1.5 L</t>
  </si>
  <si>
    <t>Tevia Blueberry 1.5 L</t>
  </si>
  <si>
    <t>Tevia Tropical Punch 1.5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</si>
</sst>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Tahoma"/>
      <family val="2"/>
    </font>
    <font>
      <b/>
      <sz val="8"/>
      <color theme="0"/>
      <name val="Tahoma"/>
      <family val="2"/>
    </font>
    <font>
      <b/>
      <sz val="8"/>
      <color theme="1"/>
      <name val="Tahoma"/>
      <family val="2"/>
    </font>
    <font>
      <sz val="9"/>
      <color indexed="8"/>
      <name val="Tahoma"/>
      <family val="2"/>
    </font>
    <font>
      <sz val="8"/>
      <name val="Tahoma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6617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vertical="top"/>
    </xf>
    <xf numFmtId="0" fontId="6" fillId="3" borderId="0" xfId="0" applyFont="1" applyFill="1"/>
    <xf numFmtId="0" fontId="7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" fontId="6" fillId="3" borderId="6" xfId="0" applyNumberFormat="1" applyFont="1" applyFill="1" applyBorder="1" applyAlignment="1">
      <alignment horizontal="center" vertical="center"/>
    </xf>
    <xf numFmtId="1" fontId="14" fillId="3" borderId="6" xfId="0" applyNumberFormat="1" applyFont="1" applyFill="1" applyBorder="1" applyAlignment="1">
      <alignment horizontal="center" vertical="center"/>
    </xf>
    <xf numFmtId="9" fontId="15" fillId="0" borderId="0" xfId="1" applyFont="1"/>
    <xf numFmtId="1" fontId="16" fillId="0" borderId="0" xfId="0" applyNumberFormat="1" applyFont="1"/>
    <xf numFmtId="1" fontId="16" fillId="6" borderId="6" xfId="0" applyNumberFormat="1" applyFont="1" applyFill="1" applyBorder="1"/>
    <xf numFmtId="1" fontId="16" fillId="0" borderId="6" xfId="0" applyNumberFormat="1" applyFont="1" applyBorder="1"/>
    <xf numFmtId="1" fontId="16" fillId="0" borderId="7" xfId="0" applyNumberFormat="1" applyFont="1" applyBorder="1"/>
    <xf numFmtId="1" fontId="16" fillId="0" borderId="8" xfId="0" applyNumberFormat="1" applyFont="1" applyBorder="1"/>
    <xf numFmtId="0" fontId="12" fillId="0" borderId="1" xfId="0" applyFont="1" applyBorder="1" applyAlignment="1">
      <alignment horizontal="left" vertical="top" wrapText="1"/>
    </xf>
    <xf numFmtId="1" fontId="6" fillId="3" borderId="1" xfId="0" applyNumberFormat="1" applyFont="1" applyFill="1" applyBorder="1" applyAlignment="1">
      <alignment horizontal="center" vertical="center"/>
    </xf>
    <xf numFmtId="3" fontId="6" fillId="3" borderId="6" xfId="0" applyNumberFormat="1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8" fillId="7" borderId="3" xfId="0" applyFont="1" applyFill="1" applyBorder="1" applyAlignment="1">
      <alignment horizontal="right"/>
    </xf>
    <xf numFmtId="1" fontId="2" fillId="8" borderId="3" xfId="0" applyNumberFormat="1" applyFont="1" applyFill="1" applyBorder="1"/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164" fontId="8" fillId="3" borderId="0" xfId="0" applyNumberFormat="1" applyFont="1" applyFill="1" applyAlignment="1">
      <alignment horizontal="center" vertical="center"/>
    </xf>
    <xf numFmtId="2" fontId="19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" fontId="6" fillId="3" borderId="0" xfId="0" applyNumberFormat="1" applyFont="1" applyFill="1" applyAlignment="1">
      <alignment horizontal="center"/>
    </xf>
    <xf numFmtId="1" fontId="19" fillId="3" borderId="0" xfId="0" applyNumberFormat="1" applyFont="1" applyFill="1" applyAlignment="1">
      <alignment horizontal="center" vertical="center"/>
    </xf>
    <xf numFmtId="0" fontId="0" fillId="3" borderId="0" xfId="0" applyFill="1"/>
    <xf numFmtId="1" fontId="0" fillId="3" borderId="0" xfId="0" applyNumberForma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16" fillId="3" borderId="0" xfId="0" applyFont="1" applyFill="1"/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8" fillId="7" borderId="9" xfId="0" applyFont="1" applyFill="1" applyBorder="1" applyAlignment="1">
      <alignment horizontal="right"/>
    </xf>
    <xf numFmtId="1" fontId="2" fillId="8" borderId="9" xfId="0" applyNumberFormat="1" applyFont="1" applyFill="1" applyBorder="1"/>
    <xf numFmtId="165" fontId="19" fillId="3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  <xf numFmtId="1" fontId="19" fillId="3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4" xfId="2" xr:uid="{B7B7336F-77E9-4CA4-872F-8B91965C6C6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216479</xdr:colOff>
      <xdr:row>1</xdr:row>
      <xdr:rowOff>69273</xdr:rowOff>
    </xdr:from>
    <xdr:to>
      <xdr:col>2</xdr:col>
      <xdr:colOff>528204</xdr:colOff>
      <xdr:row>4</xdr:row>
      <xdr:rowOff>106647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997B34-CC00-4C66-AD48-D050EC990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81" b="27600"/>
        <a:stretch>
          <a:fillRect/>
        </a:stretch>
      </xdr:blipFill>
      <xdr:spPr>
        <a:xfrm>
          <a:off x="568904" y="259773"/>
          <a:ext cx="1073725" cy="608874"/>
        </a:xfrm>
        <a:prstGeom prst="rect">
          <a:avLst/>
        </a:prstGeom>
      </xdr:spPr>
    </xdr:pic>
    <xdr:clientData/>
  </xdr:twoCellAnchor>
  <xdr:twoCellAnchor editAs="oneCell">
    <xdr:from>
      <xdr:col>5</xdr:col>
      <xdr:colOff>606136</xdr:colOff>
      <xdr:row>6</xdr:row>
      <xdr:rowOff>60615</xdr:rowOff>
    </xdr:from>
    <xdr:to>
      <xdr:col>8</xdr:col>
      <xdr:colOff>286616</xdr:colOff>
      <xdr:row>8</xdr:row>
      <xdr:rowOff>127005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8A5844-8306-43B0-81B9-247CB9E8B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294" b="40571"/>
        <a:stretch>
          <a:fillRect/>
        </a:stretch>
      </xdr:blipFill>
      <xdr:spPr>
        <a:xfrm>
          <a:off x="5625811" y="1232190"/>
          <a:ext cx="1966480" cy="447390"/>
        </a:xfrm>
        <a:prstGeom prst="rect">
          <a:avLst/>
        </a:prstGeom>
      </xdr:spPr>
    </xdr:pic>
    <xdr:clientData/>
  </xdr:twoCellAnchor>
  <xdr:twoCellAnchor editAs="oneCell">
    <xdr:from>
      <xdr:col>11</xdr:col>
      <xdr:colOff>614798</xdr:colOff>
      <xdr:row>6</xdr:row>
      <xdr:rowOff>103911</xdr:rowOff>
    </xdr:from>
    <xdr:to>
      <xdr:col>13</xdr:col>
      <xdr:colOff>315191</xdr:colOff>
      <xdr:row>8</xdr:row>
      <xdr:rowOff>106272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BB7EB2-3E69-4A09-AD62-B0B3544A1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1223" y="1275486"/>
          <a:ext cx="1224393" cy="383361"/>
        </a:xfrm>
        <a:prstGeom prst="rect">
          <a:avLst/>
        </a:prstGeom>
      </xdr:spPr>
    </xdr:pic>
    <xdr:clientData/>
  </xdr:twoCellAnchor>
  <xdr:twoCellAnchor editAs="oneCell">
    <xdr:from>
      <xdr:col>19</xdr:col>
      <xdr:colOff>424295</xdr:colOff>
      <xdr:row>6</xdr:row>
      <xdr:rowOff>181840</xdr:rowOff>
    </xdr:from>
    <xdr:to>
      <xdr:col>21</xdr:col>
      <xdr:colOff>12989</xdr:colOff>
      <xdr:row>9</xdr:row>
      <xdr:rowOff>3145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E0C4B7-2BCA-43E8-8B2C-57A0EC1B0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6">
              <a:lumMod val="75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4320" y="1305790"/>
          <a:ext cx="1112694" cy="392805"/>
        </a:xfrm>
        <a:prstGeom prst="rect">
          <a:avLst/>
        </a:prstGeom>
      </xdr:spPr>
    </xdr:pic>
    <xdr:clientData/>
  </xdr:twoCellAnchor>
  <xdr:twoCellAnchor editAs="oneCell">
    <xdr:from>
      <xdr:col>1</xdr:col>
      <xdr:colOff>216479</xdr:colOff>
      <xdr:row>1</xdr:row>
      <xdr:rowOff>69273</xdr:rowOff>
    </xdr:from>
    <xdr:to>
      <xdr:col>2</xdr:col>
      <xdr:colOff>528204</xdr:colOff>
      <xdr:row>4</xdr:row>
      <xdr:rowOff>106647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BBB2AC2-668C-4AEE-B90E-C616CAD2B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81" b="27600"/>
        <a:stretch>
          <a:fillRect/>
        </a:stretch>
      </xdr:blipFill>
      <xdr:spPr>
        <a:xfrm>
          <a:off x="568904" y="259773"/>
          <a:ext cx="1073725" cy="608874"/>
        </a:xfrm>
        <a:prstGeom prst="rect">
          <a:avLst/>
        </a:prstGeom>
      </xdr:spPr>
    </xdr:pic>
    <xdr:clientData/>
  </xdr:twoCellAnchor>
  <xdr:twoCellAnchor editAs="oneCell">
    <xdr:from>
      <xdr:col>1</xdr:col>
      <xdr:colOff>746365</xdr:colOff>
      <xdr:row>6</xdr:row>
      <xdr:rowOff>83127</xdr:rowOff>
    </xdr:from>
    <xdr:to>
      <xdr:col>2</xdr:col>
      <xdr:colOff>1333501</xdr:colOff>
      <xdr:row>8</xdr:row>
      <xdr:rowOff>93043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148736D-9519-44C5-B221-FF2055DD6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0" y="1254702"/>
          <a:ext cx="1349136" cy="390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LMACEN%202026/Inventario/Septiembre/Inventario%20Nacional%20Producto%20Terminado/Corte%20Diario%20Inventario%20Nacional%20Producto%20Terminado%20SEPTIEMBRE%202026.xlsx" TargetMode="External"/><Relationship Id="rId2" Type="http://schemas.openxmlformats.org/officeDocument/2006/relationships/externalLinkPath" Target="file:///R:\ALMACEN%202026\Inventario\Septiembre\Inventario%20Nacional%20Producto%20Terminado\Corte%20Diario%20Inventario%20Nacional%20Producto%20Terminado%20SEPTIEMBRE%202026.xlsx" TargetMode="External"/><Relationship Id="rId1" Type="http://schemas.openxmlformats.org/officeDocument/2006/relationships/externalLinkPath" Target="/ALMACEN%202026/Inventario/Septiembre/Inventario%20Nacional%20Producto%20Terminado/Corte%20Diario%20Inventario%20Nacional%20Producto%20Terminado%20SEPTIEM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 NACIONAL INICIO"/>
      <sheetName val="INVENTARIO NACIONAL 02-09-2026"/>
      <sheetName val="INVENTARIO NACIONAL 03-09-26"/>
      <sheetName val="INVENTARIO NACIONAL 04-09-26"/>
      <sheetName val="INVENTARIO NACIONAL 08-09-26"/>
      <sheetName val="INVENTARIO NACIONAL 09-09-26"/>
      <sheetName val="INVENTARIO NACIONAL 10-09-26"/>
      <sheetName val="INVENTARIO NACIONAL 11-09-26"/>
      <sheetName val="INVENTARIO NACIONAL 14-09-26"/>
      <sheetName val="INVENTARIO NACIONAL 15-09-26"/>
      <sheetName val="INVENTARIO NACIONAL 16-09-26"/>
      <sheetName val="INVENTARIO NACIONAL 17-09-26"/>
      <sheetName val="INVENTARIO NACIONAL 17-09-16;15"/>
      <sheetName val="INVENTARIO NACIONAL 18-09-26"/>
      <sheetName val="INVENTARIO NACIONAL 21-09-26"/>
      <sheetName val="INVENTARIO NACIONAL 22-09-26"/>
      <sheetName val="INVENTARIO NACIONAL 23-09-26"/>
      <sheetName val="INVENTARIO NACIONAL 24-09-26"/>
      <sheetName val="INVENTARIO NACIONAL 25-09-26"/>
      <sheetName val="INVENTARIO NACIONAL 28-09-26"/>
      <sheetName val="INVENTARIO NACIONAL 29-09-26"/>
      <sheetName val="INVENTARIO NACIONAL 30-09-26"/>
      <sheetName val="CCC"/>
      <sheetName val="VINCULO VTS BY SKU AGOSTO"/>
      <sheetName val="VINCULO VTS BY SKU OPEN"/>
      <sheetName val="DESV. VTS BY SKU"/>
    </sheetNames>
    <sheetDataSet>
      <sheetData sheetId="0"/>
      <sheetData sheetId="1"/>
      <sheetData sheetId="2">
        <row r="12">
          <cell r="B12" t="str">
            <v>Referencia interna</v>
          </cell>
          <cell r="C12" t="str">
            <v>Presentacion</v>
          </cell>
          <cell r="D12" t="str">
            <v>Valor $ Costo/Prod.</v>
          </cell>
          <cell r="E12" t="str">
            <v>Existencia CCS</v>
          </cell>
          <cell r="F12" t="str">
            <v>Valor $ Total/CCS</v>
          </cell>
          <cell r="G12" t="str">
            <v>COBERTURA INVENTARIO (Días)</v>
          </cell>
          <cell r="H12" t="str">
            <v>UNITS SALES PROMED MES</v>
          </cell>
          <cell r="I12" t="str">
            <v>BALANCE</v>
          </cell>
          <cell r="J12" t="str">
            <v>Existencia CARABOBO</v>
          </cell>
          <cell r="K12" t="str">
            <v>Valor $ Total/CARABOBO</v>
          </cell>
          <cell r="L12" t="str">
            <v>COBERTURA INVENTARIO (Días)</v>
          </cell>
          <cell r="M12" t="str">
            <v>UNITS SALES PROMED MES</v>
          </cell>
          <cell r="N12" t="str">
            <v>BALANCE</v>
          </cell>
          <cell r="O12" t="str">
            <v>Existencia ORIENTE</v>
          </cell>
          <cell r="P12" t="str">
            <v>Valor $ Total/ORIENTE</v>
          </cell>
          <cell r="Q12" t="str">
            <v>COBERTURA INVENTARIO (Días)</v>
          </cell>
          <cell r="R12" t="str">
            <v>UNITS SALES PROMED MES</v>
          </cell>
          <cell r="S12" t="str">
            <v>BALANCE</v>
          </cell>
          <cell r="T12" t="str">
            <v>Existencia LARA</v>
          </cell>
          <cell r="U12" t="str">
            <v>Valor $ Total/LARA</v>
          </cell>
          <cell r="V12" t="str">
            <v>COBERTURA INVENTARIO (Días)</v>
          </cell>
          <cell r="W12" t="str">
            <v>UNITS SALES PROMED MES</v>
          </cell>
          <cell r="X12" t="str">
            <v>BALANCE</v>
          </cell>
          <cell r="Y12" t="str">
            <v>Existencia ZULIA</v>
          </cell>
          <cell r="Z12" t="str">
            <v>Valor $ Total/ZULIA</v>
          </cell>
          <cell r="AA12" t="str">
            <v>COBERTURA INVENTARIO (Días)</v>
          </cell>
          <cell r="AB12" t="str">
            <v>UNITS SALES PROMED MES</v>
          </cell>
          <cell r="AC12" t="str">
            <v>BALANCE</v>
          </cell>
          <cell r="AD12" t="str">
            <v>Existencia Total</v>
          </cell>
          <cell r="AE12" t="str">
            <v>Valor $ Total/Prod.</v>
          </cell>
          <cell r="AF12" t="str">
            <v>Demanda PROM AGOSTO 10 dias</v>
          </cell>
          <cell r="AG12" t="str">
            <v>COBERTURA INVENTARIO (Días)</v>
          </cell>
          <cell r="AH12" t="str">
            <v>EFFICIENCY. SICI %</v>
          </cell>
          <cell r="AI12" t="str">
            <v>Diferencia INV. DISP. / PROM. DEM.</v>
          </cell>
          <cell r="AJ12" t="str">
            <v>Demanda PROM JUNIO 5 dias</v>
          </cell>
          <cell r="AK12" t="str">
            <v>TOTAL Dif. Alcance Inv. (10 D STOCK 5 D VENTA)</v>
          </cell>
          <cell r="AL12" t="str">
            <v>Inventario de Cestas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G1" t="str">
            <v>DASHBOARD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DD65-CD71-49F6-BA3C-8A3390E00AC0}">
  <dimension ref="A1:AM93"/>
  <sheetViews>
    <sheetView tabSelected="1" workbookViewId="0">
      <selection activeCell="D13" sqref="D13:AE59"/>
    </sheetView>
  </sheetViews>
  <sheetFormatPr baseColWidth="10" defaultRowHeight="15" x14ac:dyDescent="0.25"/>
  <cols>
    <col min="1" max="1" width="5.28515625" style="51" customWidth="1"/>
    <col min="2" max="2" width="11.42578125" style="34"/>
    <col min="3" max="3" width="35.42578125" style="48" customWidth="1"/>
    <col min="4" max="4" width="11" style="48" customWidth="1"/>
    <col min="5" max="5" width="12.140625" style="53" customWidth="1"/>
    <col min="6" max="9" width="11" style="53" customWidth="1"/>
    <col min="10" max="10" width="12.140625" style="48" customWidth="1"/>
    <col min="11" max="14" width="11" style="48" customWidth="1"/>
    <col min="15" max="15" width="12.140625" style="48" customWidth="1"/>
    <col min="16" max="19" width="11" style="48" customWidth="1"/>
    <col min="20" max="20" width="12.140625" style="48" customWidth="1"/>
    <col min="21" max="24" width="11" style="48" customWidth="1"/>
    <col min="25" max="25" width="12.140625" style="48" customWidth="1"/>
    <col min="26" max="29" width="11" style="48" customWidth="1"/>
    <col min="30" max="30" width="13.42578125" style="48" customWidth="1"/>
    <col min="31" max="31" width="11" style="48" customWidth="1"/>
    <col min="32" max="33" width="12.7109375" style="54" customWidth="1"/>
    <col min="38" max="38" width="9.140625" customWidth="1"/>
    <col min="39" max="39" width="13" customWidth="1"/>
  </cols>
  <sheetData>
    <row r="1" spans="1:38" ht="15" customHeight="1" x14ac:dyDescent="0.25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6" t="s">
        <v>1</v>
      </c>
      <c r="AG1" s="66"/>
      <c r="AH1" s="66"/>
      <c r="AI1" s="66"/>
      <c r="AJ1" s="66"/>
      <c r="AK1" s="66"/>
      <c r="AL1" s="66"/>
    </row>
    <row r="2" spans="1:38" ht="15" customHeight="1" x14ac:dyDescent="0.25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  <c r="AG2" s="66"/>
      <c r="AH2" s="66"/>
      <c r="AI2" s="66"/>
      <c r="AJ2" s="66"/>
      <c r="AK2" s="66"/>
      <c r="AL2" s="66"/>
    </row>
    <row r="3" spans="1:38" ht="15" customHeight="1" x14ac:dyDescent="0.2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6"/>
      <c r="AG3" s="66"/>
      <c r="AH3" s="66"/>
      <c r="AI3" s="66"/>
      <c r="AJ3" s="66"/>
      <c r="AK3" s="66"/>
      <c r="AL3" s="66"/>
    </row>
    <row r="4" spans="1:38" ht="15" customHeight="1" x14ac:dyDescent="0.25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6"/>
      <c r="AG4" s="66"/>
      <c r="AH4" s="66"/>
      <c r="AI4" s="66"/>
      <c r="AJ4" s="66"/>
      <c r="AK4" s="66"/>
      <c r="AL4" s="66"/>
    </row>
    <row r="5" spans="1:38" ht="15" customHeight="1" x14ac:dyDescent="0.25"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6"/>
      <c r="AG5" s="66"/>
      <c r="AH5" s="66"/>
      <c r="AI5" s="66"/>
      <c r="AJ5" s="66"/>
      <c r="AK5" s="66"/>
      <c r="AL5" s="66"/>
    </row>
    <row r="6" spans="1:38" ht="17.25" customHeight="1" x14ac:dyDescent="0.25"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6"/>
      <c r="AG6" s="66"/>
      <c r="AH6" s="66"/>
      <c r="AI6" s="66"/>
      <c r="AJ6" s="66"/>
      <c r="AK6" s="66"/>
      <c r="AL6" s="66"/>
    </row>
    <row r="7" spans="1:38" s="55" customFormat="1" ht="10.5" customHeight="1" x14ac:dyDescent="0.2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s="55" customFormat="1" ht="10.5" customHeight="1" x14ac:dyDescent="0.2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s="55" customFormat="1" ht="10.5" customHeight="1" x14ac:dyDescent="0.2">
      <c r="A9" s="5"/>
      <c r="B9" s="2"/>
      <c r="C9" s="3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s="55" customFormat="1" ht="10.5" customHeight="1" x14ac:dyDescent="0.2">
      <c r="A10" s="5"/>
      <c r="B10" s="2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s="55" customFormat="1" ht="10.5" customHeight="1" x14ac:dyDescent="0.2">
      <c r="A11" s="5"/>
      <c r="B11" s="2"/>
      <c r="C11" s="6"/>
      <c r="D11" s="6"/>
      <c r="E11" s="7"/>
      <c r="F11" s="7"/>
      <c r="G11" s="7"/>
      <c r="H11" s="7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s="61" customFormat="1" ht="42" x14ac:dyDescent="0.2">
      <c r="A12" s="56"/>
      <c r="B12" s="57" t="str">
        <f>'[1]INVENTARIO NACIONAL 03-09-26'!B12</f>
        <v>Referencia interna</v>
      </c>
      <c r="C12" s="58" t="str">
        <f>'[1]INVENTARIO NACIONAL 03-09-26'!C12</f>
        <v>Presentacion</v>
      </c>
      <c r="D12" s="57" t="str">
        <f>'[1]INVENTARIO NACIONAL 03-09-26'!D12</f>
        <v>Valor $ Costo/Prod.</v>
      </c>
      <c r="E12" s="57" t="str">
        <f>'[1]INVENTARIO NACIONAL 03-09-26'!E12</f>
        <v>Existencia CCS</v>
      </c>
      <c r="F12" s="59" t="str">
        <f>'[1]INVENTARIO NACIONAL 03-09-26'!F12</f>
        <v>Valor $ Total/CCS</v>
      </c>
      <c r="G12" s="59" t="str">
        <f>'[1]INVENTARIO NACIONAL 03-09-26'!G12</f>
        <v>COBERTURA INVENTARIO (Días)</v>
      </c>
      <c r="H12" s="60" t="str">
        <f>'[1]INVENTARIO NACIONAL 03-09-26'!H12</f>
        <v>UNITS SALES PROMED MES</v>
      </c>
      <c r="I12" s="59" t="str">
        <f>'[1]INVENTARIO NACIONAL 03-09-26'!I12</f>
        <v>BALANCE</v>
      </c>
      <c r="J12" s="57" t="str">
        <f>'[1]INVENTARIO NACIONAL 03-09-26'!J12</f>
        <v>Existencia CARABOBO</v>
      </c>
      <c r="K12" s="59" t="str">
        <f>'[1]INVENTARIO NACIONAL 03-09-26'!K12</f>
        <v>Valor $ Total/CARABOBO</v>
      </c>
      <c r="L12" s="59" t="str">
        <f>'[1]INVENTARIO NACIONAL 03-09-26'!L12</f>
        <v>COBERTURA INVENTARIO (Días)</v>
      </c>
      <c r="M12" s="60" t="str">
        <f>'[1]INVENTARIO NACIONAL 03-09-26'!M12</f>
        <v>UNITS SALES PROMED MES</v>
      </c>
      <c r="N12" s="59" t="str">
        <f>'[1]INVENTARIO NACIONAL 03-09-26'!N12</f>
        <v>BALANCE</v>
      </c>
      <c r="O12" s="57" t="str">
        <f>'[1]INVENTARIO NACIONAL 03-09-26'!O12</f>
        <v>Existencia ORIENTE</v>
      </c>
      <c r="P12" s="59" t="str">
        <f>'[1]INVENTARIO NACIONAL 03-09-26'!P12</f>
        <v>Valor $ Total/ORIENTE</v>
      </c>
      <c r="Q12" s="59" t="str">
        <f>'[1]INVENTARIO NACIONAL 03-09-26'!Q12</f>
        <v>COBERTURA INVENTARIO (Días)</v>
      </c>
      <c r="R12" s="60" t="str">
        <f>'[1]INVENTARIO NACIONAL 03-09-26'!R12</f>
        <v>UNITS SALES PROMED MES</v>
      </c>
      <c r="S12" s="59" t="str">
        <f>'[1]INVENTARIO NACIONAL 03-09-26'!S12</f>
        <v>BALANCE</v>
      </c>
      <c r="T12" s="57" t="str">
        <f>'[1]INVENTARIO NACIONAL 03-09-26'!T12</f>
        <v>Existencia LARA</v>
      </c>
      <c r="U12" s="59" t="str">
        <f>'[1]INVENTARIO NACIONAL 03-09-26'!U12</f>
        <v>Valor $ Total/LARA</v>
      </c>
      <c r="V12" s="59" t="str">
        <f>'[1]INVENTARIO NACIONAL 03-09-26'!V12</f>
        <v>COBERTURA INVENTARIO (Días)</v>
      </c>
      <c r="W12" s="60" t="str">
        <f>'[1]INVENTARIO NACIONAL 03-09-26'!W12</f>
        <v>UNITS SALES PROMED MES</v>
      </c>
      <c r="X12" s="59" t="str">
        <f>'[1]INVENTARIO NACIONAL 03-09-26'!X12</f>
        <v>BALANCE</v>
      </c>
      <c r="Y12" s="57" t="str">
        <f>'[1]INVENTARIO NACIONAL 03-09-26'!Y12</f>
        <v>Existencia ZULIA</v>
      </c>
      <c r="Z12" s="59" t="str">
        <f>'[1]INVENTARIO NACIONAL 03-09-26'!Z12</f>
        <v>Valor $ Total/ZULIA</v>
      </c>
      <c r="AA12" s="59" t="str">
        <f>'[1]INVENTARIO NACIONAL 03-09-26'!AA12</f>
        <v>COBERTURA INVENTARIO (Días)</v>
      </c>
      <c r="AB12" s="60" t="str">
        <f>'[1]INVENTARIO NACIONAL 03-09-26'!AB12</f>
        <v>UNITS SALES PROMED MES</v>
      </c>
      <c r="AC12" s="59" t="str">
        <f>'[1]INVENTARIO NACIONAL 03-09-26'!AC12</f>
        <v>BALANCE</v>
      </c>
      <c r="AD12" s="57" t="str">
        <f>'[1]INVENTARIO NACIONAL 03-09-26'!AD12</f>
        <v>Existencia Total</v>
      </c>
      <c r="AE12" s="57" t="str">
        <f>'[1]INVENTARIO NACIONAL 03-09-26'!AE12</f>
        <v>Valor $ Total/Prod.</v>
      </c>
      <c r="AF12" s="8" t="str">
        <f>'[1]INVENTARIO NACIONAL 03-09-26'!AF12</f>
        <v>Demanda PROM AGOSTO 10 dias</v>
      </c>
      <c r="AG12" s="8" t="str">
        <f>'[1]INVENTARIO NACIONAL 03-09-26'!AG12</f>
        <v>COBERTURA INVENTARIO (Días)</v>
      </c>
      <c r="AH12" s="9" t="str">
        <f>'[1]INVENTARIO NACIONAL 03-09-26'!AH12</f>
        <v>EFFICIENCY. SICI %</v>
      </c>
      <c r="AI12" s="9" t="str">
        <f>'[1]INVENTARIO NACIONAL 03-09-26'!AI12</f>
        <v>Diferencia INV. DISP. / PROM. DEM.</v>
      </c>
      <c r="AJ12" s="9" t="str">
        <f>'[1]INVENTARIO NACIONAL 03-09-26'!AJ12</f>
        <v>Demanda PROM JUNIO 5 dias</v>
      </c>
      <c r="AK12" s="8" t="str">
        <f>'[1]INVENTARIO NACIONAL 03-09-26'!AK12</f>
        <v>TOTAL Dif. Alcance Inv. (10 D STOCK 5 D VENTA)</v>
      </c>
      <c r="AL12" s="9" t="str">
        <f>'[1]INVENTARIO NACIONAL 03-09-26'!AL12</f>
        <v>Inventario de Cestas</v>
      </c>
    </row>
    <row r="13" spans="1:38" ht="15" customHeight="1" x14ac:dyDescent="0.25">
      <c r="A13" s="56"/>
      <c r="B13" s="10" t="s">
        <v>20</v>
      </c>
      <c r="C13" s="11" t="s">
        <v>21</v>
      </c>
      <c r="D13" s="12">
        <v>1.36</v>
      </c>
      <c r="E13" s="13">
        <v>1432</v>
      </c>
      <c r="F13" s="14">
        <v>1947.5200000000002</v>
      </c>
      <c r="G13" s="14">
        <v>2.3847930918470341</v>
      </c>
      <c r="H13" s="30">
        <v>13210.370370370369</v>
      </c>
      <c r="I13" s="15">
        <v>-4572.7138047138033</v>
      </c>
      <c r="J13" s="16">
        <v>1994</v>
      </c>
      <c r="K13" s="13">
        <v>2711.84</v>
      </c>
      <c r="L13" s="14">
        <v>11.79247311827957</v>
      </c>
      <c r="M13" s="30">
        <v>3720</v>
      </c>
      <c r="N13" s="15">
        <v>303.09090909090901</v>
      </c>
      <c r="O13" s="16">
        <v>461</v>
      </c>
      <c r="P13" s="17">
        <v>626.96</v>
      </c>
      <c r="Q13" s="14">
        <v>14.15894519131334</v>
      </c>
      <c r="R13" s="16">
        <v>716.2962962962963</v>
      </c>
      <c r="S13" s="15">
        <v>-190.17845117845127</v>
      </c>
      <c r="T13" s="18">
        <v>993</v>
      </c>
      <c r="U13" s="17">
        <v>1350.48</v>
      </c>
      <c r="V13" s="14">
        <v>26.145478723404256</v>
      </c>
      <c r="W13" s="16">
        <v>835.55555555555554</v>
      </c>
      <c r="X13" s="15">
        <v>385.32323232323233</v>
      </c>
      <c r="Y13" s="18">
        <v>399</v>
      </c>
      <c r="Z13" s="17">
        <v>542.64</v>
      </c>
      <c r="AA13" s="14">
        <v>16.035588633288228</v>
      </c>
      <c r="AB13" s="16">
        <v>547.40740740740739</v>
      </c>
      <c r="AC13" s="15">
        <v>-148.40740740740739</v>
      </c>
      <c r="AD13" s="19">
        <v>5279</v>
      </c>
      <c r="AE13" s="20">
        <v>7179.4400000000005</v>
      </c>
      <c r="AF13" s="21">
        <v>11880.952380952382</v>
      </c>
      <c r="AG13" s="22">
        <v>7.3664128256513024</v>
      </c>
      <c r="AH13" s="23">
        <v>0.73664128256513017</v>
      </c>
      <c r="AI13" s="24">
        <v>-3128.9523809523816</v>
      </c>
      <c r="AJ13" s="24">
        <v>5940.4761904761908</v>
      </c>
      <c r="AK13" s="25">
        <v>9069.4285714285725</v>
      </c>
      <c r="AL13" s="24">
        <v>109.4</v>
      </c>
    </row>
    <row r="14" spans="1:38" ht="15" customHeight="1" x14ac:dyDescent="0.25">
      <c r="A14" s="56"/>
      <c r="B14" s="10" t="s">
        <v>22</v>
      </c>
      <c r="C14" s="11" t="s">
        <v>23</v>
      </c>
      <c r="D14" s="12">
        <v>1.59</v>
      </c>
      <c r="E14" s="13">
        <v>4</v>
      </c>
      <c r="F14" s="14">
        <v>6.36</v>
      </c>
      <c r="G14" s="14">
        <v>0.25276595744680852</v>
      </c>
      <c r="H14" s="30">
        <v>348.14814814814815</v>
      </c>
      <c r="I14" s="15">
        <v>-154.24915824915826</v>
      </c>
      <c r="J14" s="16">
        <v>0</v>
      </c>
      <c r="K14" s="13">
        <v>0</v>
      </c>
      <c r="L14" s="14">
        <v>0</v>
      </c>
      <c r="M14" s="30">
        <v>184.44444444444443</v>
      </c>
      <c r="N14" s="15">
        <v>-83.83838383838382</v>
      </c>
      <c r="O14" s="16"/>
      <c r="P14" s="17">
        <v>0</v>
      </c>
      <c r="Q14" s="14">
        <v>0</v>
      </c>
      <c r="R14" s="16">
        <v>82.962962962962962</v>
      </c>
      <c r="S14" s="15">
        <v>-75.420875420875419</v>
      </c>
      <c r="T14" s="18">
        <v>3</v>
      </c>
      <c r="U14" s="17">
        <v>4.7700000000000005</v>
      </c>
      <c r="V14" s="14">
        <v>3.3000000000000003</v>
      </c>
      <c r="W14" s="16">
        <v>20</v>
      </c>
      <c r="X14" s="15">
        <v>-11.545454545454545</v>
      </c>
      <c r="Y14" s="18"/>
      <c r="Z14" s="17">
        <v>0</v>
      </c>
      <c r="AA14" s="14">
        <v>0</v>
      </c>
      <c r="AB14" s="16">
        <v>66.666666666666671</v>
      </c>
      <c r="AC14" s="15">
        <v>-66.666666666666671</v>
      </c>
      <c r="AD14" s="19">
        <v>7</v>
      </c>
      <c r="AE14" s="20">
        <v>11.13</v>
      </c>
      <c r="AF14" s="21">
        <v>763.80952380952385</v>
      </c>
      <c r="AG14" s="22">
        <v>8.4968827930174573</v>
      </c>
      <c r="AH14" s="23">
        <v>0.84968827930174562</v>
      </c>
      <c r="AI14" s="26">
        <v>-114.80952380952385</v>
      </c>
      <c r="AJ14" s="27">
        <v>381.90476190476193</v>
      </c>
      <c r="AK14" s="25">
        <v>496.71428571428578</v>
      </c>
      <c r="AL14" s="28">
        <v>8.1125000000000007</v>
      </c>
    </row>
    <row r="15" spans="1:38" ht="15" customHeight="1" x14ac:dyDescent="0.25">
      <c r="A15" s="56"/>
      <c r="B15" s="10" t="s">
        <v>24</v>
      </c>
      <c r="C15" s="11" t="s">
        <v>25</v>
      </c>
      <c r="D15" s="12">
        <v>2.0299999999999998</v>
      </c>
      <c r="E15" s="13">
        <v>624</v>
      </c>
      <c r="F15" s="14">
        <v>1266.7199999999998</v>
      </c>
      <c r="G15" s="14">
        <v>2.4740088105726876</v>
      </c>
      <c r="H15" s="30">
        <v>5548.8888888888887</v>
      </c>
      <c r="I15" s="15">
        <v>-1898.2222222222222</v>
      </c>
      <c r="J15" s="16">
        <v>1015</v>
      </c>
      <c r="K15" s="13">
        <v>2060.4499999999998</v>
      </c>
      <c r="L15" s="14">
        <v>12.431134020618558</v>
      </c>
      <c r="M15" s="30">
        <v>1796.2962962962961</v>
      </c>
      <c r="N15" s="15">
        <v>198.5016835016836</v>
      </c>
      <c r="O15" s="16"/>
      <c r="P15" s="17">
        <v>0</v>
      </c>
      <c r="Q15" s="14">
        <v>0</v>
      </c>
      <c r="R15" s="16">
        <v>209.62962962962962</v>
      </c>
      <c r="S15" s="15">
        <v>-190.57239057239056</v>
      </c>
      <c r="T15" s="18">
        <v>991</v>
      </c>
      <c r="U15" s="17">
        <v>2011.7299999999998</v>
      </c>
      <c r="V15" s="14">
        <v>75.662467866323908</v>
      </c>
      <c r="W15" s="16">
        <v>288.14814814814815</v>
      </c>
      <c r="X15" s="15">
        <v>781.43771043771039</v>
      </c>
      <c r="Y15" s="18">
        <v>213</v>
      </c>
      <c r="Z15" s="17">
        <v>432.39</v>
      </c>
      <c r="AA15" s="14">
        <v>29.423720930232555</v>
      </c>
      <c r="AB15" s="16">
        <v>159.25925925925927</v>
      </c>
      <c r="AC15" s="15">
        <v>53.740740740740733</v>
      </c>
      <c r="AD15" s="19">
        <v>2843</v>
      </c>
      <c r="AE15" s="20">
        <v>5771.2899999999991</v>
      </c>
      <c r="AF15" s="21">
        <v>5094.7619047619046</v>
      </c>
      <c r="AG15" s="22">
        <v>4.7597906346387511</v>
      </c>
      <c r="AH15" s="23">
        <v>0.47597906346387514</v>
      </c>
      <c r="AI15" s="26">
        <v>-2669.7619047619046</v>
      </c>
      <c r="AJ15" s="27">
        <v>2547.3809523809523</v>
      </c>
      <c r="AK15" s="25">
        <v>5217.1428571428569</v>
      </c>
      <c r="AL15" s="28">
        <v>40.416666666666664</v>
      </c>
    </row>
    <row r="16" spans="1:38" ht="15" customHeight="1" x14ac:dyDescent="0.25">
      <c r="B16" s="10" t="s">
        <v>26</v>
      </c>
      <c r="C16" s="11" t="s">
        <v>27</v>
      </c>
      <c r="D16" s="12">
        <v>3.61</v>
      </c>
      <c r="E16" s="13">
        <v>569</v>
      </c>
      <c r="F16" s="14">
        <v>2054.09</v>
      </c>
      <c r="G16" s="14">
        <v>9.8826315789473682</v>
      </c>
      <c r="H16" s="30">
        <v>1266.6666666666667</v>
      </c>
      <c r="I16" s="15">
        <v>-6.7575757575757507</v>
      </c>
      <c r="J16" s="16">
        <v>0</v>
      </c>
      <c r="K16" s="13">
        <v>0</v>
      </c>
      <c r="L16" s="14">
        <v>0</v>
      </c>
      <c r="M16" s="30">
        <v>409.62962962962962</v>
      </c>
      <c r="N16" s="15">
        <v>-186.1952861952862</v>
      </c>
      <c r="O16" s="16">
        <v>75</v>
      </c>
      <c r="P16" s="17">
        <v>270.75</v>
      </c>
      <c r="Q16" s="14">
        <v>41.25</v>
      </c>
      <c r="R16" s="16">
        <v>40</v>
      </c>
      <c r="S16" s="15">
        <v>38.63636363636364</v>
      </c>
      <c r="T16" s="18">
        <v>136</v>
      </c>
      <c r="U16" s="17">
        <v>490.96</v>
      </c>
      <c r="V16" s="14">
        <v>149.6</v>
      </c>
      <c r="W16" s="16">
        <v>20</v>
      </c>
      <c r="X16" s="15">
        <v>121.45454545454545</v>
      </c>
      <c r="Y16" s="18">
        <v>79</v>
      </c>
      <c r="Z16" s="17">
        <v>285.19</v>
      </c>
      <c r="AA16" s="14">
        <v>33.046478873239437</v>
      </c>
      <c r="AB16" s="16">
        <v>52.592592592592595</v>
      </c>
      <c r="AC16" s="15">
        <v>26.407407407407405</v>
      </c>
      <c r="AD16" s="19">
        <v>859</v>
      </c>
      <c r="AE16" s="20">
        <v>3100.99</v>
      </c>
      <c r="AF16" s="21">
        <v>980</v>
      </c>
      <c r="AG16" s="22">
        <v>7.0510204081632653</v>
      </c>
      <c r="AH16" s="23">
        <v>0.70510204081632655</v>
      </c>
      <c r="AI16" s="26">
        <v>-289</v>
      </c>
      <c r="AJ16" s="27">
        <v>490</v>
      </c>
      <c r="AK16" s="25">
        <v>779</v>
      </c>
      <c r="AL16" s="28">
        <v>24.678571428571427</v>
      </c>
    </row>
    <row r="17" spans="2:38" ht="15" customHeight="1" x14ac:dyDescent="0.25">
      <c r="B17" s="10" t="s">
        <v>28</v>
      </c>
      <c r="C17" s="29" t="s">
        <v>29</v>
      </c>
      <c r="D17" s="12">
        <v>8.7799999999999994</v>
      </c>
      <c r="E17" s="13">
        <v>54</v>
      </c>
      <c r="F17" s="14">
        <v>474.11999999999995</v>
      </c>
      <c r="G17" s="14">
        <v>6.192277992277992</v>
      </c>
      <c r="H17" s="30">
        <v>191.85185185185188</v>
      </c>
      <c r="I17" s="15">
        <v>-33.205387205387211</v>
      </c>
      <c r="J17" s="16">
        <v>89</v>
      </c>
      <c r="K17" s="13">
        <v>781.42</v>
      </c>
      <c r="L17" s="14">
        <v>56.240425531914887</v>
      </c>
      <c r="M17" s="30">
        <v>34.814814814814817</v>
      </c>
      <c r="N17" s="15">
        <v>73.17508417508418</v>
      </c>
      <c r="O17" s="16">
        <v>21</v>
      </c>
      <c r="P17" s="17">
        <v>184.38</v>
      </c>
      <c r="Q17" s="14">
        <v>56.70000000000001</v>
      </c>
      <c r="R17" s="16">
        <v>8.148148148148147</v>
      </c>
      <c r="S17" s="15">
        <v>13.592592592592595</v>
      </c>
      <c r="T17" s="18">
        <v>16</v>
      </c>
      <c r="U17" s="17">
        <v>140.47999999999999</v>
      </c>
      <c r="V17" s="14">
        <v>176</v>
      </c>
      <c r="W17" s="16">
        <v>2</v>
      </c>
      <c r="X17" s="15">
        <v>14.545454545454545</v>
      </c>
      <c r="Y17" s="18">
        <v>33</v>
      </c>
      <c r="Z17" s="17">
        <v>289.73999999999995</v>
      </c>
      <c r="AA17" s="14">
        <v>108.90000000000002</v>
      </c>
      <c r="AB17" s="16">
        <v>6.6666666666666661</v>
      </c>
      <c r="AC17" s="15">
        <v>26.333333333333336</v>
      </c>
      <c r="AD17" s="19">
        <v>213</v>
      </c>
      <c r="AE17" s="20">
        <v>1870.1399999999999</v>
      </c>
      <c r="AF17" s="21">
        <v>119.52380952380952</v>
      </c>
      <c r="AG17" s="22">
        <v>6.8605577689243029</v>
      </c>
      <c r="AH17" s="23">
        <v>0.68605577689243036</v>
      </c>
      <c r="AI17" s="26">
        <v>-37.523809523809518</v>
      </c>
      <c r="AJ17" s="27">
        <v>59.761904761904759</v>
      </c>
      <c r="AK17" s="25">
        <v>97.285714285714278</v>
      </c>
      <c r="AL17" s="28">
        <v>6.833333333333333</v>
      </c>
    </row>
    <row r="18" spans="2:38" ht="15" customHeight="1" x14ac:dyDescent="0.25">
      <c r="B18" s="10" t="s">
        <v>30</v>
      </c>
      <c r="C18" s="29" t="s">
        <v>31</v>
      </c>
      <c r="D18" s="12">
        <v>0.63</v>
      </c>
      <c r="E18" s="13">
        <v>3189</v>
      </c>
      <c r="F18" s="14">
        <v>2009.07</v>
      </c>
      <c r="G18" s="14">
        <v>5.2519296883664186</v>
      </c>
      <c r="H18" s="30">
        <v>13358.51851851852</v>
      </c>
      <c r="I18" s="15">
        <v>-2883.0538720538734</v>
      </c>
      <c r="J18" s="16">
        <v>7900</v>
      </c>
      <c r="K18" s="13">
        <v>4977</v>
      </c>
      <c r="L18" s="14">
        <v>31.426466648807928</v>
      </c>
      <c r="M18" s="30">
        <v>5530.3703703703704</v>
      </c>
      <c r="N18" s="15">
        <v>5386.1952861952859</v>
      </c>
      <c r="O18" s="16">
        <v>437</v>
      </c>
      <c r="P18" s="17">
        <v>275.31</v>
      </c>
      <c r="Q18" s="14">
        <v>10.006861989205861</v>
      </c>
      <c r="R18" s="16">
        <v>960.74074074074076</v>
      </c>
      <c r="S18" s="15">
        <v>-436.40067340067333</v>
      </c>
      <c r="T18" s="18">
        <v>1400</v>
      </c>
      <c r="U18" s="17">
        <v>882</v>
      </c>
      <c r="V18" s="14">
        <v>11.123595505617976</v>
      </c>
      <c r="W18" s="16">
        <v>2768.8888888888891</v>
      </c>
      <c r="X18" s="15">
        <v>-613.7373737373739</v>
      </c>
      <c r="Y18" s="18">
        <v>513</v>
      </c>
      <c r="Z18" s="17">
        <v>323.19</v>
      </c>
      <c r="AA18" s="14">
        <v>37.070802919708029</v>
      </c>
      <c r="AB18" s="16">
        <v>304.44444444444446</v>
      </c>
      <c r="AC18" s="15">
        <v>208.55555555555554</v>
      </c>
      <c r="AD18" s="19">
        <v>13439</v>
      </c>
      <c r="AE18" s="20">
        <v>8466.57</v>
      </c>
      <c r="AF18" s="21">
        <v>14603.333333333332</v>
      </c>
      <c r="AG18" s="22">
        <v>9.6738187628395345</v>
      </c>
      <c r="AH18" s="23">
        <v>0.96738187628395356</v>
      </c>
      <c r="AI18" s="26">
        <v>-476.33333333333212</v>
      </c>
      <c r="AJ18" s="27">
        <v>7301.6666666666661</v>
      </c>
      <c r="AK18" s="25">
        <v>7777.9999999999982</v>
      </c>
      <c r="AL18" s="28">
        <v>235.45</v>
      </c>
    </row>
    <row r="19" spans="2:38" ht="15" customHeight="1" x14ac:dyDescent="0.25">
      <c r="B19" s="10" t="s">
        <v>32</v>
      </c>
      <c r="C19" s="29" t="s">
        <v>33</v>
      </c>
      <c r="D19" s="12">
        <v>0.63</v>
      </c>
      <c r="E19" s="13">
        <v>1015</v>
      </c>
      <c r="F19" s="14">
        <v>639.45000000000005</v>
      </c>
      <c r="G19" s="14">
        <v>21.139901823281907</v>
      </c>
      <c r="H19" s="30">
        <v>1056.2962962962963</v>
      </c>
      <c r="I19" s="15">
        <v>534.86531986531986</v>
      </c>
      <c r="J19" s="16">
        <v>1625</v>
      </c>
      <c r="K19" s="13">
        <v>1023.75</v>
      </c>
      <c r="L19" s="14">
        <v>40.762246621621621</v>
      </c>
      <c r="M19" s="30">
        <v>877.03703703703707</v>
      </c>
      <c r="N19" s="15">
        <v>1226.3468013468014</v>
      </c>
      <c r="O19" s="16">
        <v>122</v>
      </c>
      <c r="P19" s="17">
        <v>76.86</v>
      </c>
      <c r="Q19" s="14">
        <v>35.875247524752474</v>
      </c>
      <c r="R19" s="16">
        <v>74.814814814814824</v>
      </c>
      <c r="S19" s="15">
        <v>53.986531986531986</v>
      </c>
      <c r="T19" s="18">
        <v>54</v>
      </c>
      <c r="U19" s="17">
        <v>34.020000000000003</v>
      </c>
      <c r="V19" s="14">
        <v>4.1984293193717273</v>
      </c>
      <c r="W19" s="16">
        <v>282.96296296296299</v>
      </c>
      <c r="X19" s="15">
        <v>-151.79124579124581</v>
      </c>
      <c r="Y19" s="18">
        <v>145</v>
      </c>
      <c r="Z19" s="17">
        <v>91.35</v>
      </c>
      <c r="AA19" s="14">
        <v>20.030232558139534</v>
      </c>
      <c r="AB19" s="16">
        <v>159.25925925925927</v>
      </c>
      <c r="AC19" s="15">
        <v>-14.259259259259267</v>
      </c>
      <c r="AD19" s="19">
        <v>2961</v>
      </c>
      <c r="AE19" s="20">
        <v>1865.43</v>
      </c>
      <c r="AF19" s="21">
        <v>1503.8095238095239</v>
      </c>
      <c r="AG19" s="22">
        <v>11.843255224825839</v>
      </c>
      <c r="AH19" s="23">
        <v>1.1843255224825839</v>
      </c>
      <c r="AI19" s="26">
        <v>277.19047619047615</v>
      </c>
      <c r="AJ19" s="27">
        <v>751.90476190476193</v>
      </c>
      <c r="AK19" s="25">
        <v>474.71428571428578</v>
      </c>
      <c r="AL19" s="28">
        <v>29.683333333333334</v>
      </c>
    </row>
    <row r="20" spans="2:38" ht="15" customHeight="1" x14ac:dyDescent="0.25">
      <c r="B20" s="10" t="s">
        <v>34</v>
      </c>
      <c r="C20" s="29" t="s">
        <v>35</v>
      </c>
      <c r="D20" s="12">
        <v>0.63</v>
      </c>
      <c r="E20" s="13">
        <v>434</v>
      </c>
      <c r="F20" s="14">
        <v>273.42</v>
      </c>
      <c r="G20" s="14">
        <v>4.2027388327355721</v>
      </c>
      <c r="H20" s="30">
        <v>2271.8518518518517</v>
      </c>
      <c r="I20" s="15">
        <v>-598.65993265993257</v>
      </c>
      <c r="J20" s="16">
        <v>761</v>
      </c>
      <c r="K20" s="13">
        <v>479.43</v>
      </c>
      <c r="L20" s="14">
        <v>8.0433096085409233</v>
      </c>
      <c r="M20" s="30">
        <v>2081.4814814814818</v>
      </c>
      <c r="N20" s="15">
        <v>-185.1279461279463</v>
      </c>
      <c r="O20" s="16">
        <v>3</v>
      </c>
      <c r="P20" s="17">
        <v>1.8900000000000001</v>
      </c>
      <c r="Q20" s="14">
        <v>0.43891625615763552</v>
      </c>
      <c r="R20" s="16">
        <v>150.37037037037035</v>
      </c>
      <c r="S20" s="15">
        <v>-133.70033670033666</v>
      </c>
      <c r="T20" s="18">
        <v>554</v>
      </c>
      <c r="U20" s="17">
        <v>349.02</v>
      </c>
      <c r="V20" s="14">
        <v>19.24421052631579</v>
      </c>
      <c r="W20" s="16">
        <v>633.33333333333337</v>
      </c>
      <c r="X20" s="15">
        <v>93.393939393939377</v>
      </c>
      <c r="Y20" s="18">
        <v>137</v>
      </c>
      <c r="Z20" s="17">
        <v>86.31</v>
      </c>
      <c r="AA20" s="14">
        <v>11.592307692307692</v>
      </c>
      <c r="AB20" s="16">
        <v>260</v>
      </c>
      <c r="AC20" s="15">
        <v>-123</v>
      </c>
      <c r="AD20" s="19">
        <v>1889</v>
      </c>
      <c r="AE20" s="20">
        <v>1190.07</v>
      </c>
      <c r="AF20" s="21">
        <v>3435.7142857142853</v>
      </c>
      <c r="AG20" s="22">
        <v>9.1509355509355519</v>
      </c>
      <c r="AH20" s="23">
        <v>0.91509355509355517</v>
      </c>
      <c r="AI20" s="26">
        <v>-291.71428571428532</v>
      </c>
      <c r="AJ20" s="27">
        <v>1717.8571428571427</v>
      </c>
      <c r="AK20" s="25">
        <v>2009.571428571428</v>
      </c>
      <c r="AL20" s="28">
        <v>52.4</v>
      </c>
    </row>
    <row r="21" spans="2:38" ht="15" customHeight="1" x14ac:dyDescent="0.25">
      <c r="B21" s="10" t="s">
        <v>36</v>
      </c>
      <c r="C21" s="29" t="s">
        <v>37</v>
      </c>
      <c r="D21" s="12">
        <v>1.0900000000000001</v>
      </c>
      <c r="E21" s="13">
        <v>2248</v>
      </c>
      <c r="F21" s="14">
        <v>2450.3200000000002</v>
      </c>
      <c r="G21" s="14">
        <v>9.6287280069224099</v>
      </c>
      <c r="H21" s="30">
        <v>5136.2962962962965</v>
      </c>
      <c r="I21" s="15">
        <v>-86.68013468013487</v>
      </c>
      <c r="J21" s="16">
        <v>1175</v>
      </c>
      <c r="K21" s="13">
        <v>1280.75</v>
      </c>
      <c r="L21" s="14">
        <v>4.583333333333333</v>
      </c>
      <c r="M21" s="30">
        <v>5640</v>
      </c>
      <c r="N21" s="15">
        <v>-1388.636363636364</v>
      </c>
      <c r="O21" s="16">
        <v>804</v>
      </c>
      <c r="P21" s="17">
        <v>876.36</v>
      </c>
      <c r="Q21" s="14">
        <v>37.369014084507043</v>
      </c>
      <c r="R21" s="16">
        <v>473.33333333333337</v>
      </c>
      <c r="S21" s="15">
        <v>373.69696969696969</v>
      </c>
      <c r="T21" s="18">
        <v>906</v>
      </c>
      <c r="U21" s="17">
        <v>987.54000000000008</v>
      </c>
      <c r="V21" s="14">
        <v>12.8256434699714</v>
      </c>
      <c r="W21" s="16">
        <v>1554.0740740740741</v>
      </c>
      <c r="X21" s="15">
        <v>-224.2356902356903</v>
      </c>
      <c r="Y21" s="18">
        <v>563</v>
      </c>
      <c r="Z21" s="17">
        <v>613.67000000000007</v>
      </c>
      <c r="AA21" s="14">
        <v>34.908350730688937</v>
      </c>
      <c r="AB21" s="16">
        <v>354.81481481481478</v>
      </c>
      <c r="AC21" s="15">
        <v>208.18518518518516</v>
      </c>
      <c r="AD21" s="19">
        <v>5696</v>
      </c>
      <c r="AE21" s="20">
        <v>6208.64</v>
      </c>
      <c r="AF21" s="21">
        <v>7661.9047619047615</v>
      </c>
      <c r="AG21" s="22">
        <v>8.3073337476693609</v>
      </c>
      <c r="AH21" s="23">
        <v>0.83073337476693598</v>
      </c>
      <c r="AI21" s="26">
        <v>-1296.9047619047615</v>
      </c>
      <c r="AJ21" s="27">
        <v>3830.9523809523807</v>
      </c>
      <c r="AK21" s="25">
        <v>5127.8571428571422</v>
      </c>
      <c r="AL21" s="28">
        <v>117.87037037037037</v>
      </c>
    </row>
    <row r="22" spans="2:38" ht="15" customHeight="1" x14ac:dyDescent="0.25">
      <c r="B22" s="10" t="s">
        <v>38</v>
      </c>
      <c r="C22" s="29" t="s">
        <v>39</v>
      </c>
      <c r="D22" s="12">
        <v>1.0900000000000001</v>
      </c>
      <c r="E22" s="13">
        <v>686</v>
      </c>
      <c r="F22" s="14">
        <v>747.74</v>
      </c>
      <c r="G22" s="14">
        <v>4.6505820588906639</v>
      </c>
      <c r="H22" s="30">
        <v>3245.1851851851852</v>
      </c>
      <c r="I22" s="15">
        <v>-789.08417508417529</v>
      </c>
      <c r="J22" s="16">
        <v>2688</v>
      </c>
      <c r="K22" s="13">
        <v>2929.92</v>
      </c>
      <c r="L22" s="14">
        <v>23.809603340292274</v>
      </c>
      <c r="M22" s="30">
        <v>2483.7037037037039</v>
      </c>
      <c r="N22" s="15">
        <v>1559.0437710437709</v>
      </c>
      <c r="O22" s="16">
        <v>662</v>
      </c>
      <c r="P22" s="17">
        <v>721.58</v>
      </c>
      <c r="Q22" s="14">
        <v>112.35085714285714</v>
      </c>
      <c r="R22" s="16">
        <v>129.62962962962965</v>
      </c>
      <c r="S22" s="15">
        <v>544.1548821548821</v>
      </c>
      <c r="T22" s="18">
        <v>798</v>
      </c>
      <c r="U22" s="17">
        <v>869.82</v>
      </c>
      <c r="V22" s="14">
        <v>38.663295269168032</v>
      </c>
      <c r="W22" s="16">
        <v>454.07407407407402</v>
      </c>
      <c r="X22" s="15">
        <v>467.76430976430981</v>
      </c>
      <c r="Y22" s="18">
        <v>96</v>
      </c>
      <c r="Z22" s="17">
        <v>104.64000000000001</v>
      </c>
      <c r="AA22" s="14">
        <v>15.665934065934065</v>
      </c>
      <c r="AB22" s="16">
        <v>134.81481481481481</v>
      </c>
      <c r="AC22" s="15">
        <v>-38.81481481481481</v>
      </c>
      <c r="AD22" s="19">
        <v>4930</v>
      </c>
      <c r="AE22" s="20">
        <v>5373.7000000000007</v>
      </c>
      <c r="AF22" s="21">
        <v>3628.0952380952381</v>
      </c>
      <c r="AG22" s="22">
        <v>7.4557028481428009</v>
      </c>
      <c r="AH22" s="23">
        <v>0.74557028481428012</v>
      </c>
      <c r="AI22" s="26">
        <v>-923.09523809523807</v>
      </c>
      <c r="AJ22" s="27">
        <v>1814.047619047619</v>
      </c>
      <c r="AK22" s="25">
        <v>2737.1428571428569</v>
      </c>
      <c r="AL22" s="28">
        <v>50.092592592592595</v>
      </c>
    </row>
    <row r="23" spans="2:38" ht="15" customHeight="1" x14ac:dyDescent="0.25">
      <c r="B23" s="10" t="s">
        <v>40</v>
      </c>
      <c r="C23" s="29" t="s">
        <v>41</v>
      </c>
      <c r="D23" s="12">
        <v>1.1599999999999999</v>
      </c>
      <c r="E23" s="13">
        <v>11827</v>
      </c>
      <c r="F23" s="14">
        <v>13719.32</v>
      </c>
      <c r="G23" s="14">
        <v>9.6798363095238091</v>
      </c>
      <c r="H23" s="30">
        <v>26880</v>
      </c>
      <c r="I23" s="15">
        <v>-6500.2727272727279</v>
      </c>
      <c r="J23" s="16">
        <v>34457</v>
      </c>
      <c r="K23" s="13">
        <v>39970.119999999995</v>
      </c>
      <c r="L23" s="14">
        <v>48.206363936125115</v>
      </c>
      <c r="M23" s="30">
        <v>15725.185185185184</v>
      </c>
      <c r="N23" s="15">
        <v>27309.188552188552</v>
      </c>
      <c r="O23" s="16">
        <v>694</v>
      </c>
      <c r="P23" s="17">
        <v>805.04</v>
      </c>
      <c r="Q23" s="14">
        <v>6.0658622719246615</v>
      </c>
      <c r="R23" s="16">
        <v>2517.037037037037</v>
      </c>
      <c r="S23" s="15">
        <v>-1594.2154882154882</v>
      </c>
      <c r="T23" s="18">
        <v>1187</v>
      </c>
      <c r="U23" s="17">
        <v>1376.9199999999998</v>
      </c>
      <c r="V23" s="14">
        <v>2.6892898009001449</v>
      </c>
      <c r="W23" s="16">
        <v>9710.3703703703704</v>
      </c>
      <c r="X23" s="15">
        <v>-5875.0875420875418</v>
      </c>
      <c r="Y23" s="18">
        <v>428</v>
      </c>
      <c r="Z23" s="17">
        <v>496.47999999999996</v>
      </c>
      <c r="AA23" s="14">
        <v>10.048695652173912</v>
      </c>
      <c r="AB23" s="16">
        <v>937.03703703703707</v>
      </c>
      <c r="AC23" s="15">
        <v>-509.03703703703707</v>
      </c>
      <c r="AD23" s="19">
        <v>48593</v>
      </c>
      <c r="AE23" s="20">
        <v>56367.88</v>
      </c>
      <c r="AF23" s="21">
        <v>35215.238095238099</v>
      </c>
      <c r="AG23" s="22">
        <v>10.458824643011681</v>
      </c>
      <c r="AH23" s="23">
        <v>1.0458824643011682</v>
      </c>
      <c r="AI23" s="26">
        <v>1615.761904761901</v>
      </c>
      <c r="AJ23" s="27">
        <v>17607.61904761905</v>
      </c>
      <c r="AK23" s="25">
        <v>15991.857142857149</v>
      </c>
      <c r="AL23" s="28">
        <v>682.05555555555554</v>
      </c>
    </row>
    <row r="24" spans="2:38" ht="15" customHeight="1" x14ac:dyDescent="0.25">
      <c r="B24" s="10" t="s">
        <v>42</v>
      </c>
      <c r="C24" s="29" t="s">
        <v>43</v>
      </c>
      <c r="D24" s="12">
        <v>1.1599999999999999</v>
      </c>
      <c r="E24" s="13">
        <v>8673</v>
      </c>
      <c r="F24" s="14">
        <v>10060.679999999998</v>
      </c>
      <c r="G24" s="14">
        <v>10.492386965376781</v>
      </c>
      <c r="H24" s="30">
        <v>18185.185185185186</v>
      </c>
      <c r="I24" s="15">
        <v>407.00673400673259</v>
      </c>
      <c r="J24" s="16">
        <v>21882</v>
      </c>
      <c r="K24" s="13">
        <v>25383.119999999999</v>
      </c>
      <c r="L24" s="14">
        <v>50.235402334389732</v>
      </c>
      <c r="M24" s="30">
        <v>9582.9629629629635</v>
      </c>
      <c r="N24" s="15">
        <v>17526.107744107743</v>
      </c>
      <c r="O24" s="16">
        <v>925</v>
      </c>
      <c r="P24" s="17">
        <v>1073</v>
      </c>
      <c r="Q24" s="14">
        <v>13.973804679552392</v>
      </c>
      <c r="R24" s="16">
        <v>1456.2962962962961</v>
      </c>
      <c r="S24" s="15">
        <v>-398.90572390572379</v>
      </c>
      <c r="T24" s="18">
        <v>2386</v>
      </c>
      <c r="U24" s="17">
        <v>2767.7599999999998</v>
      </c>
      <c r="V24" s="14">
        <v>10.265710560625816</v>
      </c>
      <c r="W24" s="16">
        <v>5113.333333333333</v>
      </c>
      <c r="X24" s="15">
        <v>-1332.7878787878785</v>
      </c>
      <c r="Y24" s="18">
        <v>695</v>
      </c>
      <c r="Z24" s="17">
        <v>806.19999999999993</v>
      </c>
      <c r="AA24" s="14">
        <v>21.959042553191487</v>
      </c>
      <c r="AB24" s="16">
        <v>696.2962962962963</v>
      </c>
      <c r="AC24" s="15">
        <v>-1.2962962962963047</v>
      </c>
      <c r="AD24" s="19">
        <v>34561</v>
      </c>
      <c r="AE24" s="20">
        <v>40090.759999999995</v>
      </c>
      <c r="AF24" s="21">
        <v>23050</v>
      </c>
      <c r="AG24" s="22">
        <v>9.9132321041214748</v>
      </c>
      <c r="AH24" s="23">
        <v>0.99132321041214755</v>
      </c>
      <c r="AI24" s="26">
        <v>-200</v>
      </c>
      <c r="AJ24" s="27">
        <v>11525</v>
      </c>
      <c r="AK24" s="25">
        <v>11725</v>
      </c>
      <c r="AL24" s="28">
        <v>423.14814814814815</v>
      </c>
    </row>
    <row r="25" spans="2:38" ht="15" customHeight="1" x14ac:dyDescent="0.25">
      <c r="B25" s="10" t="s">
        <v>44</v>
      </c>
      <c r="C25" s="29" t="s">
        <v>45</v>
      </c>
      <c r="D25" s="12">
        <v>1.1599999999999999</v>
      </c>
      <c r="E25" s="13">
        <v>2530</v>
      </c>
      <c r="F25" s="14">
        <v>2934.7999999999997</v>
      </c>
      <c r="G25" s="14">
        <v>3.1655643088848633</v>
      </c>
      <c r="H25" s="30">
        <v>17582.962962962964</v>
      </c>
      <c r="I25" s="15">
        <v>-5462.2558922558928</v>
      </c>
      <c r="J25" s="16">
        <v>26703</v>
      </c>
      <c r="K25" s="13">
        <v>30975.48</v>
      </c>
      <c r="L25" s="14">
        <v>58.430641715169827</v>
      </c>
      <c r="M25" s="30">
        <v>10054.074074074073</v>
      </c>
      <c r="N25" s="15">
        <v>22132.96632996633</v>
      </c>
      <c r="O25" s="16">
        <v>725</v>
      </c>
      <c r="P25" s="17">
        <v>840.99999999999989</v>
      </c>
      <c r="Q25" s="14">
        <v>9.0131854332356642</v>
      </c>
      <c r="R25" s="16">
        <v>1769.6296296296296</v>
      </c>
      <c r="S25" s="15">
        <v>-883.75420875420878</v>
      </c>
      <c r="T25" s="18">
        <v>2147</v>
      </c>
      <c r="U25" s="17">
        <v>2490.52</v>
      </c>
      <c r="V25" s="14">
        <v>8.9634382906944055</v>
      </c>
      <c r="W25" s="16">
        <v>5269.6296296296296</v>
      </c>
      <c r="X25" s="15">
        <v>-1685.4579124579122</v>
      </c>
      <c r="Y25" s="18">
        <v>760</v>
      </c>
      <c r="Z25" s="17">
        <v>881.59999999999991</v>
      </c>
      <c r="AA25" s="14">
        <v>33.096774193548384</v>
      </c>
      <c r="AB25" s="16">
        <v>505.18518518518522</v>
      </c>
      <c r="AC25" s="15">
        <v>254.81481481481478</v>
      </c>
      <c r="AD25" s="19">
        <v>32865</v>
      </c>
      <c r="AE25" s="20">
        <v>38123.399999999994</v>
      </c>
      <c r="AF25" s="21">
        <v>22664.761904761905</v>
      </c>
      <c r="AG25" s="22">
        <v>8.0949449533574249</v>
      </c>
      <c r="AH25" s="23">
        <v>0.80949449533574247</v>
      </c>
      <c r="AI25" s="26">
        <v>-4317.7619047619046</v>
      </c>
      <c r="AJ25" s="27">
        <v>11332.380952380952</v>
      </c>
      <c r="AK25" s="25">
        <v>15650.142857142857</v>
      </c>
      <c r="AL25" s="28">
        <v>339.75925925925924</v>
      </c>
    </row>
    <row r="26" spans="2:38" ht="15" customHeight="1" x14ac:dyDescent="0.25">
      <c r="B26" s="10" t="s">
        <v>46</v>
      </c>
      <c r="C26" s="29" t="s">
        <v>47</v>
      </c>
      <c r="D26" s="12">
        <v>1.1599999999999999</v>
      </c>
      <c r="E26" s="13">
        <v>11614</v>
      </c>
      <c r="F26" s="14">
        <v>13472.24</v>
      </c>
      <c r="G26" s="14">
        <v>11.299737928323397</v>
      </c>
      <c r="H26" s="30">
        <v>22611.851851851854</v>
      </c>
      <c r="I26" s="15">
        <v>-3803.1717171717173</v>
      </c>
      <c r="J26" s="16">
        <v>30283</v>
      </c>
      <c r="K26" s="13">
        <v>35128.28</v>
      </c>
      <c r="L26" s="14">
        <v>56.093619807908198</v>
      </c>
      <c r="M26" s="30">
        <v>11877.037037037036</v>
      </c>
      <c r="N26" s="15">
        <v>24884.346801346801</v>
      </c>
      <c r="O26" s="16">
        <v>825</v>
      </c>
      <c r="P26" s="17">
        <v>956.99999999999989</v>
      </c>
      <c r="Q26" s="14">
        <v>12.72857142857143</v>
      </c>
      <c r="R26" s="16">
        <v>1425.9259259259259</v>
      </c>
      <c r="S26" s="15">
        <v>-471.29629629629608</v>
      </c>
      <c r="T26" s="18">
        <v>2707</v>
      </c>
      <c r="U26" s="17">
        <v>3140.12</v>
      </c>
      <c r="V26" s="14">
        <v>9.1081794494165642</v>
      </c>
      <c r="W26" s="16">
        <v>6538.5185185185182</v>
      </c>
      <c r="X26" s="15">
        <v>-2048.2861952861949</v>
      </c>
      <c r="Y26" s="18">
        <v>629</v>
      </c>
      <c r="Z26" s="17">
        <v>729.64</v>
      </c>
      <c r="AA26" s="14">
        <v>17.640509915014167</v>
      </c>
      <c r="AB26" s="16">
        <v>784.44444444444446</v>
      </c>
      <c r="AC26" s="15">
        <v>-155.44444444444434</v>
      </c>
      <c r="AD26" s="19">
        <v>46058</v>
      </c>
      <c r="AE26" s="20">
        <v>53427.28</v>
      </c>
      <c r="AF26" s="21">
        <v>26740</v>
      </c>
      <c r="AG26" s="22">
        <v>8.8522812266267756</v>
      </c>
      <c r="AH26" s="23">
        <v>0.88522812266267759</v>
      </c>
      <c r="AI26" s="26">
        <v>-3069</v>
      </c>
      <c r="AJ26" s="27">
        <v>13370</v>
      </c>
      <c r="AK26" s="25">
        <v>16439</v>
      </c>
      <c r="AL26" s="28">
        <v>438.35185185185185</v>
      </c>
    </row>
    <row r="27" spans="2:38" ht="15" customHeight="1" x14ac:dyDescent="0.25">
      <c r="B27" s="10">
        <v>130157</v>
      </c>
      <c r="C27" s="29" t="s">
        <v>48</v>
      </c>
      <c r="D27" s="12">
        <v>1.1599999999999999</v>
      </c>
      <c r="E27" s="13">
        <v>1900</v>
      </c>
      <c r="F27" s="14">
        <v>2204</v>
      </c>
      <c r="G27" s="14">
        <v>7.0696567276371844</v>
      </c>
      <c r="H27" s="30">
        <v>5912.5925925925922</v>
      </c>
      <c r="I27" s="15">
        <v>-787.5420875420873</v>
      </c>
      <c r="J27" s="16">
        <v>5314</v>
      </c>
      <c r="K27" s="13">
        <v>6164.24</v>
      </c>
      <c r="L27" s="14">
        <v>37.293431001890362</v>
      </c>
      <c r="M27" s="30">
        <v>3134.8148148148148</v>
      </c>
      <c r="N27" s="15">
        <v>3889.0841750841755</v>
      </c>
      <c r="O27" s="16">
        <v>997</v>
      </c>
      <c r="P27" s="17">
        <v>1156.52</v>
      </c>
      <c r="Q27" s="14">
        <v>46.194851794071766</v>
      </c>
      <c r="R27" s="16">
        <v>474.81481481481478</v>
      </c>
      <c r="S27" s="15">
        <v>565.35016835016836</v>
      </c>
      <c r="T27" s="18">
        <v>2219</v>
      </c>
      <c r="U27" s="17">
        <v>2574.04</v>
      </c>
      <c r="V27" s="14">
        <v>22.859625390218522</v>
      </c>
      <c r="W27" s="16">
        <v>2135.5555555555557</v>
      </c>
      <c r="X27" s="15">
        <v>665.86868686868684</v>
      </c>
      <c r="Y27" s="18">
        <v>556</v>
      </c>
      <c r="Z27" s="17">
        <v>644.95999999999992</v>
      </c>
      <c r="AA27" s="14">
        <v>55.787837837837834</v>
      </c>
      <c r="AB27" s="16">
        <v>219.25925925925927</v>
      </c>
      <c r="AC27" s="15">
        <v>336.74074074074076</v>
      </c>
      <c r="AD27" s="19">
        <v>10986</v>
      </c>
      <c r="AE27" s="20">
        <v>12743.759999999998</v>
      </c>
      <c r="AF27" s="21">
        <v>3891.9047619047619</v>
      </c>
      <c r="AG27" s="22">
        <v>21.190138260124801</v>
      </c>
      <c r="AH27" s="23">
        <v>2.11901382601248</v>
      </c>
      <c r="AI27" s="26">
        <v>4355.0952380952385</v>
      </c>
      <c r="AJ27" s="27">
        <v>1945.952380952381</v>
      </c>
      <c r="AK27" s="25">
        <v>-2409.1428571428578</v>
      </c>
      <c r="AL27" s="28">
        <v>152.72222222222223</v>
      </c>
    </row>
    <row r="28" spans="2:38" ht="15" customHeight="1" x14ac:dyDescent="0.25">
      <c r="B28" s="10">
        <v>130158</v>
      </c>
      <c r="C28" s="29" t="s">
        <v>49</v>
      </c>
      <c r="D28" s="12">
        <v>1.1599999999999999</v>
      </c>
      <c r="E28" s="13">
        <v>946</v>
      </c>
      <c r="F28" s="14">
        <v>1097.3599999999999</v>
      </c>
      <c r="G28" s="14">
        <v>3.3859002169197399</v>
      </c>
      <c r="H28" s="30">
        <v>6146.6666666666661</v>
      </c>
      <c r="I28" s="15">
        <v>-1847.939393939394</v>
      </c>
      <c r="J28" s="16">
        <v>11738</v>
      </c>
      <c r="K28" s="13">
        <v>13616.08</v>
      </c>
      <c r="L28" s="14">
        <v>56.806029004399541</v>
      </c>
      <c r="M28" s="30">
        <v>4545.9259259259261</v>
      </c>
      <c r="N28" s="15">
        <v>9671.6700336700342</v>
      </c>
      <c r="O28" s="16">
        <v>613</v>
      </c>
      <c r="P28" s="17">
        <v>711.07999999999993</v>
      </c>
      <c r="Q28" s="14">
        <v>19.875655021834064</v>
      </c>
      <c r="R28" s="16">
        <v>678.51851851851848</v>
      </c>
      <c r="S28" s="15">
        <v>-3.8350168350168587</v>
      </c>
      <c r="T28" s="18">
        <v>1156</v>
      </c>
      <c r="U28" s="17">
        <v>1340.9599999999998</v>
      </c>
      <c r="V28" s="14">
        <v>10.012598425196851</v>
      </c>
      <c r="W28" s="16">
        <v>2540</v>
      </c>
      <c r="X28" s="15">
        <v>-691.27272727272725</v>
      </c>
      <c r="Y28" s="18">
        <v>584</v>
      </c>
      <c r="Z28" s="17">
        <v>677.43999999999994</v>
      </c>
      <c r="AA28" s="14">
        <v>40.620140515222481</v>
      </c>
      <c r="AB28" s="16">
        <v>316.2962962962963</v>
      </c>
      <c r="AC28" s="15">
        <v>267.7037037037037</v>
      </c>
      <c r="AD28" s="19">
        <v>15037</v>
      </c>
      <c r="AE28" s="20">
        <v>17442.919999999998</v>
      </c>
      <c r="AF28" s="21">
        <v>4283.8095238095239</v>
      </c>
      <c r="AG28" s="22">
        <v>8.4714317474433081</v>
      </c>
      <c r="AH28" s="23">
        <v>0.84714317474433076</v>
      </c>
      <c r="AI28" s="26">
        <v>-654.80952380952385</v>
      </c>
      <c r="AJ28" s="27">
        <v>2141.9047619047619</v>
      </c>
      <c r="AK28" s="25">
        <v>2796.7142857142858</v>
      </c>
      <c r="AL28" s="28">
        <v>67.203703703703709</v>
      </c>
    </row>
    <row r="29" spans="2:38" ht="15" customHeight="1" x14ac:dyDescent="0.25">
      <c r="B29" s="10">
        <v>130159</v>
      </c>
      <c r="C29" s="29" t="s">
        <v>50</v>
      </c>
      <c r="D29" s="12">
        <v>1.1599999999999999</v>
      </c>
      <c r="E29" s="13">
        <v>1306</v>
      </c>
      <c r="F29" s="14">
        <v>1514.9599999999998</v>
      </c>
      <c r="G29" s="14">
        <v>4.41930044434317</v>
      </c>
      <c r="H29" s="30">
        <v>6501.4814814814818</v>
      </c>
      <c r="I29" s="15">
        <v>-1649.218855218855</v>
      </c>
      <c r="J29" s="16">
        <v>13003</v>
      </c>
      <c r="K29" s="13">
        <v>15083.48</v>
      </c>
      <c r="L29" s="14">
        <v>68.876243980738366</v>
      </c>
      <c r="M29" s="30">
        <v>4153.333333333333</v>
      </c>
      <c r="N29" s="15">
        <v>11115.121212121212</v>
      </c>
      <c r="O29" s="16">
        <v>694</v>
      </c>
      <c r="P29" s="17">
        <v>805.04</v>
      </c>
      <c r="Q29" s="14">
        <v>22.187082884822395</v>
      </c>
      <c r="R29" s="16">
        <v>688.14814814814804</v>
      </c>
      <c r="S29" s="15">
        <v>68.410774410774593</v>
      </c>
      <c r="T29" s="18">
        <v>2051</v>
      </c>
      <c r="U29" s="17">
        <v>2379.16</v>
      </c>
      <c r="V29" s="14">
        <v>17.847846469381775</v>
      </c>
      <c r="W29" s="16">
        <v>2528.1481481481483</v>
      </c>
      <c r="X29" s="15">
        <v>212.34680134680116</v>
      </c>
      <c r="Y29" s="18">
        <v>449</v>
      </c>
      <c r="Z29" s="17">
        <v>520.83999999999992</v>
      </c>
      <c r="AA29" s="14">
        <v>34.018622448979592</v>
      </c>
      <c r="AB29" s="16">
        <v>290.37037037037038</v>
      </c>
      <c r="AC29" s="15">
        <v>158.62962962962962</v>
      </c>
      <c r="AD29" s="19">
        <v>17503</v>
      </c>
      <c r="AE29" s="20">
        <v>20303.48</v>
      </c>
      <c r="AF29" s="21">
        <v>3907.6190476190477</v>
      </c>
      <c r="AG29" s="22">
        <v>20.513770411893738</v>
      </c>
      <c r="AH29" s="23">
        <v>2.0513770411893737</v>
      </c>
      <c r="AI29" s="26">
        <v>4108.3809523809523</v>
      </c>
      <c r="AJ29" s="27">
        <v>1953.8095238095239</v>
      </c>
      <c r="AK29" s="25">
        <v>-2154.5714285714284</v>
      </c>
      <c r="AL29" s="28">
        <v>148.44444444444446</v>
      </c>
    </row>
    <row r="30" spans="2:38" ht="15" customHeight="1" x14ac:dyDescent="0.25">
      <c r="B30" s="10">
        <v>130700</v>
      </c>
      <c r="C30" s="29" t="s">
        <v>51</v>
      </c>
      <c r="D30" s="12">
        <v>3.68</v>
      </c>
      <c r="E30" s="13">
        <v>405</v>
      </c>
      <c r="F30" s="14">
        <v>1490.4</v>
      </c>
      <c r="G30" s="14">
        <v>4.9276935682097509</v>
      </c>
      <c r="H30" s="30">
        <v>1808.148148148148</v>
      </c>
      <c r="I30" s="15">
        <v>-416.88552188552183</v>
      </c>
      <c r="J30" s="16">
        <v>1958</v>
      </c>
      <c r="K30" s="13">
        <v>7205.4400000000005</v>
      </c>
      <c r="L30" s="14">
        <v>21.569955489614244</v>
      </c>
      <c r="M30" s="30">
        <v>1997.037037037037</v>
      </c>
      <c r="N30" s="15">
        <v>1050.2558922558924</v>
      </c>
      <c r="O30" s="16">
        <v>236</v>
      </c>
      <c r="P30" s="17">
        <v>868.48</v>
      </c>
      <c r="Q30" s="14">
        <v>51.919999999999995</v>
      </c>
      <c r="R30" s="16">
        <v>100</v>
      </c>
      <c r="S30" s="15">
        <v>145.09090909090907</v>
      </c>
      <c r="T30" s="18">
        <v>468</v>
      </c>
      <c r="U30" s="17">
        <v>1722.24</v>
      </c>
      <c r="V30" s="14">
        <v>19.304999999999996</v>
      </c>
      <c r="W30" s="16">
        <v>533.33333333333337</v>
      </c>
      <c r="X30" s="15">
        <v>80.121212121212068</v>
      </c>
      <c r="Y30" s="18">
        <v>93</v>
      </c>
      <c r="Z30" s="17">
        <v>342.24</v>
      </c>
      <c r="AA30" s="14">
        <v>19.048965517241378</v>
      </c>
      <c r="AB30" s="16">
        <v>107.4074074074074</v>
      </c>
      <c r="AC30" s="15">
        <v>-14.407407407407419</v>
      </c>
      <c r="AD30" s="19">
        <v>3160</v>
      </c>
      <c r="AE30" s="20">
        <v>11628.800000000001</v>
      </c>
      <c r="AF30" s="21">
        <v>2420</v>
      </c>
      <c r="AG30" s="22">
        <v>11.590909090909092</v>
      </c>
      <c r="AH30" s="23">
        <v>1.1590909090909092</v>
      </c>
      <c r="AI30" s="26">
        <v>385</v>
      </c>
      <c r="AJ30" s="27">
        <v>1210</v>
      </c>
      <c r="AK30" s="25">
        <v>825</v>
      </c>
      <c r="AL30" s="28">
        <v>175.3125</v>
      </c>
    </row>
    <row r="31" spans="2:38" ht="15" customHeight="1" x14ac:dyDescent="0.25">
      <c r="B31" s="10">
        <v>130701</v>
      </c>
      <c r="C31" s="29" t="s">
        <v>52</v>
      </c>
      <c r="D31" s="12">
        <v>3.68</v>
      </c>
      <c r="E31" s="13">
        <v>308</v>
      </c>
      <c r="F31" s="14">
        <v>1133.44</v>
      </c>
      <c r="G31" s="14">
        <v>7.4918918918918918</v>
      </c>
      <c r="H31" s="30">
        <v>904.44444444444446</v>
      </c>
      <c r="I31" s="15">
        <v>-103.11111111111114</v>
      </c>
      <c r="J31" s="16">
        <v>68</v>
      </c>
      <c r="K31" s="13">
        <v>250.24</v>
      </c>
      <c r="L31" s="14">
        <v>1.2871892925430211</v>
      </c>
      <c r="M31" s="30">
        <v>1162.2222222222222</v>
      </c>
      <c r="N31" s="15">
        <v>-460.28282828282818</v>
      </c>
      <c r="O31" s="16">
        <v>298</v>
      </c>
      <c r="P31" s="17">
        <v>1096.6400000000001</v>
      </c>
      <c r="Q31" s="14">
        <v>276.58125000000001</v>
      </c>
      <c r="R31" s="16">
        <v>23.703703703703702</v>
      </c>
      <c r="S31" s="15">
        <v>276.45117845117846</v>
      </c>
      <c r="T31" s="18">
        <v>473</v>
      </c>
      <c r="U31" s="17">
        <v>1740.64</v>
      </c>
      <c r="V31" s="14">
        <v>53.41482889733841</v>
      </c>
      <c r="W31" s="16">
        <v>194.81481481481481</v>
      </c>
      <c r="X31" s="15">
        <v>331.31649831649833</v>
      </c>
      <c r="Y31" s="18">
        <v>189</v>
      </c>
      <c r="Z31" s="17">
        <v>695.52</v>
      </c>
      <c r="AA31" s="14">
        <v>155.92500000000001</v>
      </c>
      <c r="AB31" s="16">
        <v>26.666666666666664</v>
      </c>
      <c r="AC31" s="15">
        <v>162.33333333333334</v>
      </c>
      <c r="AD31" s="19">
        <v>1336</v>
      </c>
      <c r="AE31" s="20">
        <v>4916.4800000000005</v>
      </c>
      <c r="AF31" s="21">
        <v>1421.9047619047619</v>
      </c>
      <c r="AG31" s="22">
        <v>10.619557937039517</v>
      </c>
      <c r="AH31" s="23">
        <v>1.0619557937039517</v>
      </c>
      <c r="AI31" s="26">
        <v>88.095238095238074</v>
      </c>
      <c r="AJ31" s="27">
        <v>710.95238095238096</v>
      </c>
      <c r="AK31" s="25">
        <v>622.85714285714289</v>
      </c>
      <c r="AL31" s="28">
        <v>94.375</v>
      </c>
    </row>
    <row r="32" spans="2:38" ht="15" customHeight="1" x14ac:dyDescent="0.25">
      <c r="B32" s="10">
        <v>130702</v>
      </c>
      <c r="C32" s="29" t="s">
        <v>53</v>
      </c>
      <c r="D32" s="12">
        <v>4.1500000000000004</v>
      </c>
      <c r="E32" s="13">
        <v>1023</v>
      </c>
      <c r="F32" s="14">
        <v>4245.4500000000007</v>
      </c>
      <c r="G32" s="14">
        <v>5.9598077677520598</v>
      </c>
      <c r="H32" s="30">
        <v>3776.2962962962961</v>
      </c>
      <c r="I32" s="15">
        <v>-693.4983164983164</v>
      </c>
      <c r="J32" s="16">
        <v>4132</v>
      </c>
      <c r="K32" s="13">
        <v>17147.800000000003</v>
      </c>
      <c r="L32" s="14">
        <v>30.733884297520657</v>
      </c>
      <c r="M32" s="30">
        <v>2957.7777777777778</v>
      </c>
      <c r="N32" s="15">
        <v>2787.5555555555557</v>
      </c>
      <c r="O32" s="16">
        <v>201</v>
      </c>
      <c r="P32" s="17">
        <v>834.15000000000009</v>
      </c>
      <c r="Q32" s="14">
        <v>18.713793103448275</v>
      </c>
      <c r="R32" s="16">
        <v>236.2962962962963</v>
      </c>
      <c r="S32" s="15">
        <v>-13.81481481481481</v>
      </c>
      <c r="T32" s="18">
        <v>397</v>
      </c>
      <c r="U32" s="17">
        <v>1647.5500000000002</v>
      </c>
      <c r="V32" s="14">
        <v>5.9580090955027787</v>
      </c>
      <c r="W32" s="16">
        <v>1465.9259259259259</v>
      </c>
      <c r="X32" s="15">
        <v>-669.12794612794619</v>
      </c>
      <c r="Y32" s="18">
        <v>275</v>
      </c>
      <c r="Z32" s="17">
        <v>1141.25</v>
      </c>
      <c r="AA32" s="14">
        <v>82.500000000000014</v>
      </c>
      <c r="AB32" s="16">
        <v>73.333333333333329</v>
      </c>
      <c r="AC32" s="15">
        <v>201.66666666666669</v>
      </c>
      <c r="AD32" s="19">
        <v>6028</v>
      </c>
      <c r="AE32" s="20">
        <v>25016.2</v>
      </c>
      <c r="AF32" s="21">
        <v>5130.9523809523807</v>
      </c>
      <c r="AG32" s="22">
        <v>9.6141995359628769</v>
      </c>
      <c r="AH32" s="23">
        <v>0.96141995359628774</v>
      </c>
      <c r="AI32" s="26">
        <v>-197.95238095238074</v>
      </c>
      <c r="AJ32" s="27">
        <v>2565.4761904761904</v>
      </c>
      <c r="AK32" s="25">
        <v>2763.4285714285711</v>
      </c>
      <c r="AL32" s="28">
        <v>308.3125</v>
      </c>
    </row>
    <row r="33" spans="2:38" ht="15" customHeight="1" x14ac:dyDescent="0.25">
      <c r="B33" s="10">
        <v>130703</v>
      </c>
      <c r="C33" s="29" t="s">
        <v>54</v>
      </c>
      <c r="D33" s="12">
        <v>4.1500000000000004</v>
      </c>
      <c r="E33" s="13">
        <v>952</v>
      </c>
      <c r="F33" s="14">
        <v>3950.8</v>
      </c>
      <c r="G33" s="14">
        <v>2.7980603661553691</v>
      </c>
      <c r="H33" s="30">
        <v>7485.1851851851843</v>
      </c>
      <c r="I33" s="15">
        <v>-2450.3569023569016</v>
      </c>
      <c r="J33" s="16">
        <v>8097</v>
      </c>
      <c r="K33" s="13">
        <v>33602.550000000003</v>
      </c>
      <c r="L33" s="14">
        <v>39.585333333333338</v>
      </c>
      <c r="M33" s="30">
        <v>4500</v>
      </c>
      <c r="N33" s="15">
        <v>6051.545454545455</v>
      </c>
      <c r="O33" s="16">
        <v>165</v>
      </c>
      <c r="P33" s="17">
        <v>684.75000000000011</v>
      </c>
      <c r="Q33" s="14">
        <v>11.370069605568444</v>
      </c>
      <c r="R33" s="16">
        <v>319.2592592592593</v>
      </c>
      <c r="S33" s="15">
        <v>-125.2356902356903</v>
      </c>
      <c r="T33" s="18">
        <v>428</v>
      </c>
      <c r="U33" s="17">
        <v>1776.2</v>
      </c>
      <c r="V33" s="14">
        <v>5.0045669291338584</v>
      </c>
      <c r="W33" s="16">
        <v>1881.4814814814815</v>
      </c>
      <c r="X33" s="15">
        <v>-940.35016835016836</v>
      </c>
      <c r="Y33" s="18">
        <v>168</v>
      </c>
      <c r="Z33" s="17">
        <v>697.2</v>
      </c>
      <c r="AA33" s="14">
        <v>13.898607242339832</v>
      </c>
      <c r="AB33" s="16">
        <v>265.92592592592592</v>
      </c>
      <c r="AC33" s="15">
        <v>-97.925925925925924</v>
      </c>
      <c r="AD33" s="19">
        <v>9810</v>
      </c>
      <c r="AE33" s="20">
        <v>40711.5</v>
      </c>
      <c r="AF33" s="21">
        <v>8113.8095238095239</v>
      </c>
      <c r="AG33" s="22">
        <v>8.9131991314044257</v>
      </c>
      <c r="AH33" s="23">
        <v>0.89131991314044245</v>
      </c>
      <c r="AI33" s="26">
        <v>-881.80952380952385</v>
      </c>
      <c r="AJ33" s="27">
        <v>4056.9047619047619</v>
      </c>
      <c r="AK33" s="25">
        <v>4938.7142857142862</v>
      </c>
      <c r="AL33" s="28">
        <v>452</v>
      </c>
    </row>
    <row r="34" spans="2:38" ht="15" customHeight="1" x14ac:dyDescent="0.25">
      <c r="B34" s="10">
        <v>130707</v>
      </c>
      <c r="C34" s="29" t="s">
        <v>55</v>
      </c>
      <c r="D34" s="12">
        <v>4.1500000000000004</v>
      </c>
      <c r="E34" s="13">
        <v>952</v>
      </c>
      <c r="F34" s="14">
        <v>3950.8</v>
      </c>
      <c r="G34" s="14">
        <v>23.367272727272727</v>
      </c>
      <c r="H34" s="30">
        <v>896.2962962962963</v>
      </c>
      <c r="I34" s="15">
        <v>544.59259259259261</v>
      </c>
      <c r="J34" s="16">
        <v>573</v>
      </c>
      <c r="K34" s="13">
        <v>2377.9500000000003</v>
      </c>
      <c r="L34" s="14">
        <v>0</v>
      </c>
      <c r="M34" s="30">
        <v>0</v>
      </c>
      <c r="N34" s="15">
        <v>573</v>
      </c>
      <c r="O34" s="16"/>
      <c r="P34" s="17"/>
      <c r="Q34" s="14">
        <v>0</v>
      </c>
      <c r="R34" s="16">
        <v>59.259259259259252</v>
      </c>
      <c r="S34" s="15">
        <v>-53.872053872053868</v>
      </c>
      <c r="T34" s="18">
        <v>114</v>
      </c>
      <c r="U34" s="17">
        <v>473.1</v>
      </c>
      <c r="V34" s="14">
        <v>22.571999999999999</v>
      </c>
      <c r="W34" s="16">
        <v>111.11111111111111</v>
      </c>
      <c r="X34" s="15">
        <v>33.191919191919183</v>
      </c>
      <c r="Y34" s="18">
        <v>109</v>
      </c>
      <c r="Z34" s="17">
        <v>452.35</v>
      </c>
      <c r="AA34" s="14">
        <v>0</v>
      </c>
      <c r="AB34" s="16">
        <v>0</v>
      </c>
      <c r="AC34" s="15">
        <v>109</v>
      </c>
      <c r="AD34" s="19">
        <v>1748</v>
      </c>
      <c r="AE34" s="20">
        <v>7254.2000000000007</v>
      </c>
      <c r="AF34" s="31">
        <v>749.52380952380952</v>
      </c>
      <c r="AG34" s="22">
        <v>12.527954256670903</v>
      </c>
      <c r="AH34" s="23">
        <v>1.2527954256670901</v>
      </c>
      <c r="AI34" s="26">
        <v>189.47619047619048</v>
      </c>
      <c r="AJ34" s="27">
        <v>374.76190476190476</v>
      </c>
      <c r="AK34" s="25">
        <v>185.28571428571428</v>
      </c>
      <c r="AL34" s="28">
        <v>58.6875</v>
      </c>
    </row>
    <row r="35" spans="2:38" ht="15" customHeight="1" x14ac:dyDescent="0.25">
      <c r="B35" s="10">
        <v>131150</v>
      </c>
      <c r="C35" s="29" t="s">
        <v>56</v>
      </c>
      <c r="D35" s="12">
        <v>1.63</v>
      </c>
      <c r="E35" s="13">
        <v>1331</v>
      </c>
      <c r="F35" s="14">
        <v>2169.5299999999997</v>
      </c>
      <c r="G35" s="14">
        <v>4.0968701419836249</v>
      </c>
      <c r="H35" s="30">
        <v>7147.4074074074078</v>
      </c>
      <c r="I35" s="15">
        <v>-1917.8215488215492</v>
      </c>
      <c r="J35" s="16">
        <v>3797</v>
      </c>
      <c r="K35" s="13">
        <v>6189.11</v>
      </c>
      <c r="L35" s="14">
        <v>30.828567523236735</v>
      </c>
      <c r="M35" s="30">
        <v>2709.62962962963</v>
      </c>
      <c r="N35" s="15">
        <v>2565.3501683501681</v>
      </c>
      <c r="O35" s="16"/>
      <c r="P35" s="17">
        <v>0</v>
      </c>
      <c r="Q35" s="14">
        <v>0</v>
      </c>
      <c r="R35" s="16">
        <v>633.33333333333337</v>
      </c>
      <c r="S35" s="15">
        <v>-575.75757575757575</v>
      </c>
      <c r="T35" s="18">
        <v>1574</v>
      </c>
      <c r="U35" s="17">
        <v>2565.62</v>
      </c>
      <c r="V35" s="14">
        <v>43.445910780669145</v>
      </c>
      <c r="W35" s="16">
        <v>797.03703703703707</v>
      </c>
      <c r="X35" s="15">
        <v>994.33670033670035</v>
      </c>
      <c r="Y35" s="18">
        <v>460</v>
      </c>
      <c r="Z35" s="17">
        <v>749.8</v>
      </c>
      <c r="AA35" s="14">
        <v>40.064516129032256</v>
      </c>
      <c r="AB35" s="16">
        <v>252.59259259259261</v>
      </c>
      <c r="AC35" s="15">
        <v>207.40740740740739</v>
      </c>
      <c r="AD35" s="19">
        <v>7162</v>
      </c>
      <c r="AE35" s="20">
        <v>11674.06</v>
      </c>
      <c r="AF35" s="21">
        <v>7879.5238095238092</v>
      </c>
      <c r="AG35" s="22">
        <v>6.7745210612195566</v>
      </c>
      <c r="AH35" s="23">
        <v>0.67745210612195572</v>
      </c>
      <c r="AI35" s="26">
        <v>-2541.5238095238092</v>
      </c>
      <c r="AJ35" s="27">
        <v>3939.7619047619046</v>
      </c>
      <c r="AK35" s="25">
        <v>6481.2857142857138</v>
      </c>
      <c r="AL35" s="28">
        <v>98.851851851851848</v>
      </c>
    </row>
    <row r="36" spans="2:38" ht="15" customHeight="1" x14ac:dyDescent="0.25">
      <c r="B36" s="10">
        <v>131151</v>
      </c>
      <c r="C36" s="29" t="s">
        <v>57</v>
      </c>
      <c r="D36" s="12">
        <v>1.63</v>
      </c>
      <c r="E36" s="13">
        <v>1190</v>
      </c>
      <c r="F36" s="14">
        <v>1939.6999999999998</v>
      </c>
      <c r="G36" s="14">
        <v>2.5178456935242575</v>
      </c>
      <c r="H36" s="30">
        <v>10397.777777777777</v>
      </c>
      <c r="I36" s="15">
        <v>-3536.2626262626254</v>
      </c>
      <c r="J36" s="16">
        <v>2370</v>
      </c>
      <c r="K36" s="13">
        <v>3863.1</v>
      </c>
      <c r="L36" s="14">
        <v>13.815309126594702</v>
      </c>
      <c r="M36" s="30">
        <v>3774.0740740740739</v>
      </c>
      <c r="N36" s="15">
        <v>654.51178451178475</v>
      </c>
      <c r="O36" s="16">
        <v>154</v>
      </c>
      <c r="P36" s="17">
        <v>251.01999999999998</v>
      </c>
      <c r="Q36" s="14">
        <v>2.2376712328767119</v>
      </c>
      <c r="R36" s="16">
        <v>1514.0740740740741</v>
      </c>
      <c r="S36" s="15">
        <v>-1222.4309764309767</v>
      </c>
      <c r="T36" s="18">
        <v>1778</v>
      </c>
      <c r="U36" s="17">
        <v>2898.14</v>
      </c>
      <c r="V36" s="14">
        <v>22.094811715481171</v>
      </c>
      <c r="W36" s="16">
        <v>1770.3703703703704</v>
      </c>
      <c r="X36" s="15">
        <v>490.45791245791247</v>
      </c>
      <c r="Y36" s="18">
        <v>468</v>
      </c>
      <c r="Z36" s="17">
        <v>762.83999999999992</v>
      </c>
      <c r="AA36" s="14">
        <v>21.549767441860467</v>
      </c>
      <c r="AB36" s="16">
        <v>477.77777777777777</v>
      </c>
      <c r="AC36" s="15">
        <v>-9.7777777777777715</v>
      </c>
      <c r="AD36" s="19">
        <v>5960</v>
      </c>
      <c r="AE36" s="20">
        <v>9714.7999999999993</v>
      </c>
      <c r="AF36" s="21">
        <v>12737.142857142859</v>
      </c>
      <c r="AG36" s="22">
        <v>7.1366083445491251</v>
      </c>
      <c r="AH36" s="23">
        <v>0.71366083445491246</v>
      </c>
      <c r="AI36" s="26">
        <v>-3647.1428571428587</v>
      </c>
      <c r="AJ36" s="27">
        <v>6368.5714285714294</v>
      </c>
      <c r="AK36" s="25">
        <v>10015.714285714288</v>
      </c>
      <c r="AL36" s="28">
        <v>168.33333333333334</v>
      </c>
    </row>
    <row r="37" spans="2:38" ht="15" customHeight="1" x14ac:dyDescent="0.25">
      <c r="B37" s="10">
        <v>131152</v>
      </c>
      <c r="C37" s="29" t="s">
        <v>58</v>
      </c>
      <c r="D37" s="12">
        <v>1.63</v>
      </c>
      <c r="E37" s="13">
        <v>1320</v>
      </c>
      <c r="F37" s="14">
        <v>2151.6</v>
      </c>
      <c r="G37" s="14">
        <v>6.0286021836075667</v>
      </c>
      <c r="H37" s="30">
        <v>4817.0370370370365</v>
      </c>
      <c r="I37" s="15">
        <v>-869.56228956228915</v>
      </c>
      <c r="J37" s="16">
        <v>2550</v>
      </c>
      <c r="K37" s="13">
        <v>4156.5</v>
      </c>
      <c r="L37" s="14">
        <v>24.250720461095099</v>
      </c>
      <c r="M37" s="30">
        <v>2313.3333333333335</v>
      </c>
      <c r="N37" s="15">
        <v>1498.4848484848485</v>
      </c>
      <c r="O37" s="16">
        <v>454</v>
      </c>
      <c r="P37" s="17">
        <v>740.02</v>
      </c>
      <c r="Q37" s="14">
        <v>10.153463855421688</v>
      </c>
      <c r="R37" s="16">
        <v>983.7037037037037</v>
      </c>
      <c r="S37" s="15">
        <v>-440.27609427609423</v>
      </c>
      <c r="T37" s="18">
        <v>1432</v>
      </c>
      <c r="U37" s="17">
        <v>2334.16</v>
      </c>
      <c r="V37" s="14">
        <v>32.740877598152423</v>
      </c>
      <c r="W37" s="16">
        <v>962.22222222222229</v>
      </c>
      <c r="X37" s="15">
        <v>732.20202020202021</v>
      </c>
      <c r="Y37" s="18">
        <v>487</v>
      </c>
      <c r="Z37" s="17">
        <v>793.81</v>
      </c>
      <c r="AA37" s="14">
        <v>33.250344827586204</v>
      </c>
      <c r="AB37" s="16">
        <v>322.22222222222223</v>
      </c>
      <c r="AC37" s="15">
        <v>164.77777777777777</v>
      </c>
      <c r="AD37" s="19">
        <v>6243</v>
      </c>
      <c r="AE37" s="20">
        <v>10176.09</v>
      </c>
      <c r="AF37" s="21">
        <v>5291.9047619047615</v>
      </c>
      <c r="AG37" s="22">
        <v>6.1187798074327366</v>
      </c>
      <c r="AH37" s="23">
        <v>0.61187798074327371</v>
      </c>
      <c r="AI37" s="26">
        <v>-2053.9047619047615</v>
      </c>
      <c r="AJ37" s="27">
        <v>2645.9523809523807</v>
      </c>
      <c r="AK37" s="25">
        <v>4699.8571428571422</v>
      </c>
      <c r="AL37" s="28">
        <v>59.962962962962962</v>
      </c>
    </row>
    <row r="38" spans="2:38" ht="15" customHeight="1" x14ac:dyDescent="0.25">
      <c r="B38" s="10">
        <v>131153</v>
      </c>
      <c r="C38" s="29" t="s">
        <v>59</v>
      </c>
      <c r="D38" s="12">
        <v>1.63</v>
      </c>
      <c r="E38" s="13">
        <v>1524</v>
      </c>
      <c r="F38" s="14">
        <v>2484.12</v>
      </c>
      <c r="G38" s="14">
        <v>9.0998793727382399</v>
      </c>
      <c r="H38" s="30">
        <v>3684.4444444444443</v>
      </c>
      <c r="I38" s="15">
        <v>-150.7474747474746</v>
      </c>
      <c r="J38" s="16">
        <v>3283</v>
      </c>
      <c r="K38" s="13">
        <v>5351.29</v>
      </c>
      <c r="L38" s="14">
        <v>37.429980806142041</v>
      </c>
      <c r="M38" s="30">
        <v>1929.6296296296296</v>
      </c>
      <c r="N38" s="15">
        <v>2405.8956228956231</v>
      </c>
      <c r="O38" s="16">
        <v>104</v>
      </c>
      <c r="P38" s="17">
        <v>169.51999999999998</v>
      </c>
      <c r="Q38" s="14">
        <v>3.4055126791620722</v>
      </c>
      <c r="R38" s="16">
        <v>671.85185185185196</v>
      </c>
      <c r="S38" s="15">
        <v>-506.77441077441085</v>
      </c>
      <c r="T38" s="18">
        <v>2147</v>
      </c>
      <c r="U38" s="17">
        <v>3499.6099999999997</v>
      </c>
      <c r="V38" s="14">
        <v>74.754865181711608</v>
      </c>
      <c r="W38" s="16">
        <v>631.85185185185185</v>
      </c>
      <c r="X38" s="15">
        <v>1687.4713804713806</v>
      </c>
      <c r="Y38" s="18">
        <v>300</v>
      </c>
      <c r="Z38" s="17">
        <v>488.99999999999994</v>
      </c>
      <c r="AA38" s="14">
        <v>12.239010989010989</v>
      </c>
      <c r="AB38" s="16">
        <v>539.25925925925924</v>
      </c>
      <c r="AC38" s="15">
        <v>-239.25925925925924</v>
      </c>
      <c r="AD38" s="19">
        <v>7358</v>
      </c>
      <c r="AE38" s="20">
        <v>11993.539999999999</v>
      </c>
      <c r="AF38" s="21">
        <v>4018.5714285714284</v>
      </c>
      <c r="AG38" s="22">
        <v>8.9384998222538226</v>
      </c>
      <c r="AH38" s="23">
        <v>0.89384998222538214</v>
      </c>
      <c r="AI38" s="26">
        <v>-426.57142857142844</v>
      </c>
      <c r="AJ38" s="27">
        <v>2009.2857142857142</v>
      </c>
      <c r="AK38" s="25">
        <v>2435.8571428571427</v>
      </c>
      <c r="AL38" s="28">
        <v>66.518518518518519</v>
      </c>
    </row>
    <row r="39" spans="2:38" ht="15" customHeight="1" x14ac:dyDescent="0.25">
      <c r="B39" s="10">
        <v>131154</v>
      </c>
      <c r="C39" s="29" t="s">
        <v>60</v>
      </c>
      <c r="D39" s="12">
        <v>1.63</v>
      </c>
      <c r="E39" s="13">
        <v>493</v>
      </c>
      <c r="F39" s="14">
        <v>803.58999999999992</v>
      </c>
      <c r="G39" s="14">
        <v>6.6889447236180901</v>
      </c>
      <c r="H39" s="30">
        <v>1621.4814814814815</v>
      </c>
      <c r="I39" s="15">
        <v>-244.03703703703707</v>
      </c>
      <c r="J39" s="16">
        <v>126</v>
      </c>
      <c r="K39" s="13">
        <v>205.38</v>
      </c>
      <c r="L39" s="14">
        <v>3.0057831325301203</v>
      </c>
      <c r="M39" s="30">
        <v>922.22222222222229</v>
      </c>
      <c r="N39" s="15">
        <v>-293.19191919191923</v>
      </c>
      <c r="O39" s="16">
        <v>11</v>
      </c>
      <c r="P39" s="17">
        <v>17.93</v>
      </c>
      <c r="Q39" s="14">
        <v>0.50184331797235016</v>
      </c>
      <c r="R39" s="16">
        <v>482.22222222222223</v>
      </c>
      <c r="S39" s="15">
        <v>-427.38383838383839</v>
      </c>
      <c r="T39" s="18">
        <v>541</v>
      </c>
      <c r="U39" s="17">
        <v>881.82999999999993</v>
      </c>
      <c r="V39" s="14">
        <v>12.681689029202841</v>
      </c>
      <c r="W39" s="16">
        <v>938.51851851851848</v>
      </c>
      <c r="X39" s="15">
        <v>-141.55892255892252</v>
      </c>
      <c r="Y39" s="18">
        <v>891</v>
      </c>
      <c r="Z39" s="17">
        <v>1452.33</v>
      </c>
      <c r="AA39" s="14">
        <v>190.3791366906475</v>
      </c>
      <c r="AB39" s="16">
        <v>102.96296296296296</v>
      </c>
      <c r="AC39" s="15">
        <v>788.03703703703707</v>
      </c>
      <c r="AD39" s="19">
        <v>2062</v>
      </c>
      <c r="AE39" s="20">
        <v>3361.06</v>
      </c>
      <c r="AF39" s="21">
        <v>760.95238095238096</v>
      </c>
      <c r="AG39" s="22">
        <v>118.11514392991238</v>
      </c>
      <c r="AH39" s="23">
        <v>11.811514392991239</v>
      </c>
      <c r="AI39" s="26">
        <v>8227.0476190476184</v>
      </c>
      <c r="AJ39" s="27">
        <v>380.47619047619048</v>
      </c>
      <c r="AK39" s="25">
        <v>-7846.5714285714275</v>
      </c>
      <c r="AL39" s="28">
        <v>166.44444444444446</v>
      </c>
    </row>
    <row r="40" spans="2:38" ht="15" customHeight="1" x14ac:dyDescent="0.25">
      <c r="B40" s="10">
        <v>131155</v>
      </c>
      <c r="C40" s="29" t="s">
        <v>61</v>
      </c>
      <c r="D40" s="12">
        <v>1.63</v>
      </c>
      <c r="E40" s="13">
        <v>1023</v>
      </c>
      <c r="F40" s="14">
        <v>1667.4899999999998</v>
      </c>
      <c r="G40" s="14">
        <v>10.524108070661587</v>
      </c>
      <c r="H40" s="30">
        <v>2138.5185185185182</v>
      </c>
      <c r="I40" s="15">
        <v>50.946127946128058</v>
      </c>
      <c r="J40" s="16">
        <v>31</v>
      </c>
      <c r="K40" s="13">
        <v>50.529999999999994</v>
      </c>
      <c r="L40" s="14">
        <v>0.62335815842924847</v>
      </c>
      <c r="M40" s="30">
        <v>1094.0740740740741</v>
      </c>
      <c r="N40" s="15">
        <v>-466.30639730639729</v>
      </c>
      <c r="O40" s="16">
        <v>20</v>
      </c>
      <c r="P40" s="17">
        <v>32.599999999999994</v>
      </c>
      <c r="Q40" s="14">
        <v>0.73333333333333328</v>
      </c>
      <c r="R40" s="16">
        <v>600</v>
      </c>
      <c r="S40" s="15">
        <v>-525.4545454545455</v>
      </c>
      <c r="T40" s="18">
        <v>790</v>
      </c>
      <c r="U40" s="17">
        <v>1287.6999999999998</v>
      </c>
      <c r="V40" s="14">
        <v>16.214927436074635</v>
      </c>
      <c r="W40" s="16">
        <v>1071.851851851852</v>
      </c>
      <c r="X40" s="15">
        <v>10.471380471380371</v>
      </c>
      <c r="Y40" s="18">
        <v>165</v>
      </c>
      <c r="Z40" s="17">
        <v>268.95</v>
      </c>
      <c r="AA40" s="14">
        <v>33.796551724137927</v>
      </c>
      <c r="AB40" s="16">
        <v>107.4074074074074</v>
      </c>
      <c r="AC40" s="15">
        <v>57.592592592592581</v>
      </c>
      <c r="AD40" s="19">
        <v>2029</v>
      </c>
      <c r="AE40" s="20">
        <v>3307.27</v>
      </c>
      <c r="AF40" s="21">
        <v>720.95238095238096</v>
      </c>
      <c r="AG40" s="22">
        <v>122.01915455746366</v>
      </c>
      <c r="AH40" s="23">
        <v>12.201915455746366</v>
      </c>
      <c r="AI40" s="26">
        <v>8076.0476190476193</v>
      </c>
      <c r="AJ40" s="27">
        <v>360.47619047619048</v>
      </c>
      <c r="AK40" s="25">
        <v>-7715.5714285714284</v>
      </c>
      <c r="AL40" s="28">
        <v>162.90740740740742</v>
      </c>
    </row>
    <row r="41" spans="2:38" ht="15" customHeight="1" x14ac:dyDescent="0.25">
      <c r="B41" s="10">
        <v>131700</v>
      </c>
      <c r="C41" s="29" t="s">
        <v>62</v>
      </c>
      <c r="D41" s="12">
        <v>6.15</v>
      </c>
      <c r="E41" s="13">
        <v>513</v>
      </c>
      <c r="F41" s="14">
        <v>3154.9500000000003</v>
      </c>
      <c r="G41" s="14">
        <v>9.5225624999999994</v>
      </c>
      <c r="H41" s="30">
        <v>1185.1851851851852</v>
      </c>
      <c r="I41" s="15">
        <v>-25.720538720538798</v>
      </c>
      <c r="J41" s="16">
        <v>137</v>
      </c>
      <c r="K41" s="13">
        <v>842.55000000000007</v>
      </c>
      <c r="L41" s="14">
        <v>4.9439854191980563</v>
      </c>
      <c r="M41" s="30">
        <v>609.62962962962956</v>
      </c>
      <c r="N41" s="15">
        <v>-140.10437710437708</v>
      </c>
      <c r="O41" s="16">
        <v>79</v>
      </c>
      <c r="P41" s="17">
        <v>485.85</v>
      </c>
      <c r="Q41" s="14">
        <v>18.188372093023254</v>
      </c>
      <c r="R41" s="16">
        <v>95.555555555555557</v>
      </c>
      <c r="S41" s="15">
        <v>-7.868686868686865</v>
      </c>
      <c r="T41" s="18">
        <v>318</v>
      </c>
      <c r="U41" s="17">
        <v>1955.7</v>
      </c>
      <c r="V41" s="14">
        <v>31.170297029702976</v>
      </c>
      <c r="W41" s="16">
        <v>224.44444444444443</v>
      </c>
      <c r="X41" s="15">
        <v>154.76767676767679</v>
      </c>
      <c r="Y41" s="18">
        <v>134</v>
      </c>
      <c r="Z41" s="17">
        <v>824.1</v>
      </c>
      <c r="AA41" s="14">
        <v>29.923308270676696</v>
      </c>
      <c r="AB41" s="16">
        <v>98.518518518518505</v>
      </c>
      <c r="AC41" s="15">
        <v>35.481481481481495</v>
      </c>
      <c r="AD41" s="19">
        <v>1181</v>
      </c>
      <c r="AE41" s="20">
        <v>7263.1500000000005</v>
      </c>
      <c r="AF41" s="21">
        <v>1278.5714285714287</v>
      </c>
      <c r="AG41" s="22">
        <v>10.50391061452514</v>
      </c>
      <c r="AH41" s="23">
        <v>1.0503910614525138</v>
      </c>
      <c r="AI41" s="26">
        <v>64.428571428571331</v>
      </c>
      <c r="AJ41" s="27">
        <v>639.28571428571433</v>
      </c>
      <c r="AK41" s="25">
        <v>574.857142857143</v>
      </c>
      <c r="AL41" s="28">
        <v>24.87037037037037</v>
      </c>
    </row>
    <row r="42" spans="2:38" ht="15" customHeight="1" x14ac:dyDescent="0.25">
      <c r="B42" s="10">
        <v>131701</v>
      </c>
      <c r="C42" s="29" t="s">
        <v>63</v>
      </c>
      <c r="D42" s="12">
        <v>6.15</v>
      </c>
      <c r="E42" s="13">
        <v>476</v>
      </c>
      <c r="F42" s="14">
        <v>2927.4</v>
      </c>
      <c r="G42" s="14">
        <v>7.9826086956521731</v>
      </c>
      <c r="H42" s="30">
        <v>1311.851851851852</v>
      </c>
      <c r="I42" s="15">
        <v>-120.2962962962963</v>
      </c>
      <c r="J42" s="16">
        <v>118</v>
      </c>
      <c r="K42" s="13">
        <v>725.7</v>
      </c>
      <c r="L42" s="14">
        <v>3.9026726057906456</v>
      </c>
      <c r="M42" s="30">
        <v>665.18518518518522</v>
      </c>
      <c r="N42" s="15">
        <v>-184.35690235690237</v>
      </c>
      <c r="O42" s="16">
        <v>24</v>
      </c>
      <c r="P42" s="17">
        <v>147.60000000000002</v>
      </c>
      <c r="Q42" s="14">
        <v>4.4830188679245282</v>
      </c>
      <c r="R42" s="16">
        <v>117.77777777777779</v>
      </c>
      <c r="S42" s="15">
        <v>-83.070707070707073</v>
      </c>
      <c r="T42" s="18">
        <v>308</v>
      </c>
      <c r="U42" s="17">
        <v>1894.2</v>
      </c>
      <c r="V42" s="14">
        <v>22.698759305210917</v>
      </c>
      <c r="W42" s="16">
        <v>298.51851851851853</v>
      </c>
      <c r="X42" s="15">
        <v>90.895622895622893</v>
      </c>
      <c r="Y42" s="18">
        <v>181</v>
      </c>
      <c r="Z42" s="17">
        <v>1113.1500000000001</v>
      </c>
      <c r="AA42" s="14">
        <v>67.196250000000006</v>
      </c>
      <c r="AB42" s="16">
        <v>59.259259259259252</v>
      </c>
      <c r="AC42" s="15">
        <v>121.74074074074075</v>
      </c>
      <c r="AD42" s="19">
        <v>1107</v>
      </c>
      <c r="AE42" s="20">
        <v>6808.05</v>
      </c>
      <c r="AF42" s="21">
        <v>1433.3333333333335</v>
      </c>
      <c r="AG42" s="22">
        <v>4.2488372093023257</v>
      </c>
      <c r="AH42" s="23">
        <v>0.42488372093023252</v>
      </c>
      <c r="AI42" s="26">
        <v>-824.33333333333348</v>
      </c>
      <c r="AJ42" s="27">
        <v>716.66666666666674</v>
      </c>
      <c r="AK42" s="25">
        <v>1541.0000000000002</v>
      </c>
      <c r="AL42" s="28">
        <v>11.277777777777779</v>
      </c>
    </row>
    <row r="43" spans="2:38" ht="15" customHeight="1" x14ac:dyDescent="0.25">
      <c r="B43" s="10">
        <v>132150</v>
      </c>
      <c r="C43" s="29" t="s">
        <v>64</v>
      </c>
      <c r="D43" s="12">
        <v>1.1599999999999999</v>
      </c>
      <c r="E43" s="13">
        <v>2719</v>
      </c>
      <c r="F43" s="14">
        <v>3154.04</v>
      </c>
      <c r="G43" s="14">
        <v>10.426636539703036</v>
      </c>
      <c r="H43" s="30">
        <v>5737.0370370370365</v>
      </c>
      <c r="I43" s="15">
        <v>111.25589225589283</v>
      </c>
      <c r="J43" s="16">
        <v>6369</v>
      </c>
      <c r="K43" s="13">
        <v>7388.0399999999991</v>
      </c>
      <c r="L43" s="14">
        <v>34.530722891566263</v>
      </c>
      <c r="M43" s="30">
        <v>4057.7777777777778</v>
      </c>
      <c r="N43" s="15">
        <v>4524.5555555555557</v>
      </c>
      <c r="O43" s="16">
        <v>400</v>
      </c>
      <c r="P43" s="17">
        <v>463.99999999999994</v>
      </c>
      <c r="Q43" s="14">
        <v>10.40280210157618</v>
      </c>
      <c r="R43" s="16">
        <v>845.92592592592598</v>
      </c>
      <c r="S43" s="15">
        <v>-369.02356902356917</v>
      </c>
      <c r="T43" s="18">
        <v>1599</v>
      </c>
      <c r="U43" s="17">
        <v>1854.84</v>
      </c>
      <c r="V43" s="14">
        <v>17.046051687006461</v>
      </c>
      <c r="W43" s="16">
        <v>2063.7037037037039</v>
      </c>
      <c r="X43" s="15">
        <v>98.124579124578986</v>
      </c>
      <c r="Y43" s="18">
        <v>553</v>
      </c>
      <c r="Z43" s="17">
        <v>641.4799999999999</v>
      </c>
      <c r="AA43" s="14">
        <v>22.938687150837985</v>
      </c>
      <c r="AB43" s="16">
        <v>530.37037037037044</v>
      </c>
      <c r="AC43" s="15">
        <v>22.629629629629562</v>
      </c>
      <c r="AD43" s="19">
        <v>11640</v>
      </c>
      <c r="AE43" s="20">
        <v>13502.4</v>
      </c>
      <c r="AF43" s="21">
        <v>6521.9047619047615</v>
      </c>
      <c r="AG43" s="22">
        <v>13.462324766355142</v>
      </c>
      <c r="AH43" s="23">
        <v>1.346232476635514</v>
      </c>
      <c r="AI43" s="26">
        <v>2258.0952380952385</v>
      </c>
      <c r="AJ43" s="27">
        <v>3260.9523809523807</v>
      </c>
      <c r="AK43" s="25">
        <v>1002.8571428571422</v>
      </c>
      <c r="AL43" s="28">
        <v>162.59259259259258</v>
      </c>
    </row>
    <row r="44" spans="2:38" ht="15" customHeight="1" x14ac:dyDescent="0.25">
      <c r="B44" s="10">
        <v>132151</v>
      </c>
      <c r="C44" s="29" t="s">
        <v>65</v>
      </c>
      <c r="D44" s="12">
        <v>1.1599999999999999</v>
      </c>
      <c r="E44" s="13">
        <v>2414</v>
      </c>
      <c r="F44" s="14">
        <v>2800.24</v>
      </c>
      <c r="G44" s="14">
        <v>10.997975149562818</v>
      </c>
      <c r="H44" s="30">
        <v>4828.8888888888887</v>
      </c>
      <c r="I44" s="15">
        <v>219.05050505050531</v>
      </c>
      <c r="J44" s="16">
        <v>2956</v>
      </c>
      <c r="K44" s="13">
        <v>3428.9599999999996</v>
      </c>
      <c r="L44" s="14">
        <v>20.555654413486298</v>
      </c>
      <c r="M44" s="30">
        <v>3163.7037037037039</v>
      </c>
      <c r="N44" s="15">
        <v>1517.9528619528617</v>
      </c>
      <c r="O44" s="16">
        <v>665</v>
      </c>
      <c r="P44" s="17">
        <v>771.4</v>
      </c>
      <c r="Q44" s="14">
        <v>30.479166666666668</v>
      </c>
      <c r="R44" s="16">
        <v>480</v>
      </c>
      <c r="S44" s="15">
        <v>228.63636363636368</v>
      </c>
      <c r="T44" s="18">
        <v>1250</v>
      </c>
      <c r="U44" s="17">
        <v>1450</v>
      </c>
      <c r="V44" s="14">
        <v>24.98317631224764</v>
      </c>
      <c r="W44" s="16">
        <v>1100.7407407407409</v>
      </c>
      <c r="X44" s="15">
        <v>449.46127946127933</v>
      </c>
      <c r="Y44" s="18">
        <v>599</v>
      </c>
      <c r="Z44" s="17">
        <v>694.83999999999992</v>
      </c>
      <c r="AA44" s="14">
        <v>24.106097560975609</v>
      </c>
      <c r="AB44" s="16">
        <v>546.66666666666663</v>
      </c>
      <c r="AC44" s="15">
        <v>52.333333333333371</v>
      </c>
      <c r="AD44" s="19">
        <v>7884</v>
      </c>
      <c r="AE44" s="20">
        <v>9145.4399999999987</v>
      </c>
      <c r="AF44" s="21">
        <v>6290.4761904761908</v>
      </c>
      <c r="AG44" s="22">
        <v>10.854504163512491</v>
      </c>
      <c r="AH44" s="23">
        <v>1.0854504163512491</v>
      </c>
      <c r="AI44" s="26">
        <v>537.52380952380918</v>
      </c>
      <c r="AJ44" s="27">
        <v>3145.2380952380954</v>
      </c>
      <c r="AK44" s="25">
        <v>2607.7142857142862</v>
      </c>
      <c r="AL44" s="28">
        <v>126.44444444444444</v>
      </c>
    </row>
    <row r="45" spans="2:38" ht="15" customHeight="1" x14ac:dyDescent="0.25">
      <c r="B45" s="10">
        <v>132152</v>
      </c>
      <c r="C45" s="29" t="s">
        <v>66</v>
      </c>
      <c r="D45" s="12">
        <v>1.1599999999999999</v>
      </c>
      <c r="E45" s="13">
        <v>1796</v>
      </c>
      <c r="F45" s="14">
        <v>2083.3599999999997</v>
      </c>
      <c r="G45" s="14">
        <v>6.20030222015576</v>
      </c>
      <c r="H45" s="30">
        <v>6372.5925925925922</v>
      </c>
      <c r="I45" s="15">
        <v>-1100.6329966329968</v>
      </c>
      <c r="J45" s="16">
        <v>8268</v>
      </c>
      <c r="K45" s="13">
        <v>9590.8799999999992</v>
      </c>
      <c r="L45" s="14">
        <v>44.324837545126357</v>
      </c>
      <c r="M45" s="30">
        <v>4103.7037037037035</v>
      </c>
      <c r="N45" s="15">
        <v>6402.6801346801349</v>
      </c>
      <c r="O45" s="16">
        <v>332</v>
      </c>
      <c r="P45" s="17">
        <v>385.11999999999995</v>
      </c>
      <c r="Q45" s="14">
        <v>9.3819219790675561</v>
      </c>
      <c r="R45" s="16">
        <v>778.51851851851848</v>
      </c>
      <c r="S45" s="15">
        <v>-375.74410774410762</v>
      </c>
      <c r="T45" s="18">
        <v>1762</v>
      </c>
      <c r="U45" s="17">
        <v>2043.9199999999998</v>
      </c>
      <c r="V45" s="14">
        <v>23.509164420485174</v>
      </c>
      <c r="W45" s="16">
        <v>1648.8888888888889</v>
      </c>
      <c r="X45" s="15">
        <v>562.80808080808083</v>
      </c>
      <c r="Y45" s="18">
        <v>639</v>
      </c>
      <c r="Z45" s="17">
        <v>741.2399999999999</v>
      </c>
      <c r="AA45" s="14">
        <v>26.580252100840333</v>
      </c>
      <c r="AB45" s="16">
        <v>528.88888888888891</v>
      </c>
      <c r="AC45" s="15">
        <v>110.11111111111109</v>
      </c>
      <c r="AD45" s="19">
        <v>12797</v>
      </c>
      <c r="AE45" s="20">
        <v>14844.519999999999</v>
      </c>
      <c r="AF45" s="21">
        <v>8521.9047619047615</v>
      </c>
      <c r="AG45" s="22">
        <v>9.785371032632991</v>
      </c>
      <c r="AH45" s="23">
        <v>0.97853710326329912</v>
      </c>
      <c r="AI45" s="26">
        <v>-182.90476190476147</v>
      </c>
      <c r="AJ45" s="27">
        <v>4260.9523809523807</v>
      </c>
      <c r="AK45" s="25">
        <v>4443.8571428571422</v>
      </c>
      <c r="AL45" s="28">
        <v>154.42592592592592</v>
      </c>
    </row>
    <row r="46" spans="2:38" ht="15" customHeight="1" x14ac:dyDescent="0.25">
      <c r="B46" s="10">
        <v>132153</v>
      </c>
      <c r="C46" s="29" t="s">
        <v>67</v>
      </c>
      <c r="D46" s="12">
        <v>1.1599999999999999</v>
      </c>
      <c r="E46" s="13">
        <v>2167</v>
      </c>
      <c r="F46" s="14">
        <v>2513.7199999999998</v>
      </c>
      <c r="G46" s="14">
        <v>10.046815485482361</v>
      </c>
      <c r="H46" s="30">
        <v>4745.1851851851852</v>
      </c>
      <c r="I46" s="15">
        <v>10.097643097643413</v>
      </c>
      <c r="J46" s="16">
        <v>2837</v>
      </c>
      <c r="K46" s="13">
        <v>3290.9199999999996</v>
      </c>
      <c r="L46" s="14">
        <v>23.674880584433829</v>
      </c>
      <c r="M46" s="30">
        <v>2636.2962962962961</v>
      </c>
      <c r="N46" s="15">
        <v>1638.6835016835016</v>
      </c>
      <c r="O46" s="16">
        <v>396</v>
      </c>
      <c r="P46" s="17">
        <v>459.35999999999996</v>
      </c>
      <c r="Q46" s="14">
        <v>18.122033898305084</v>
      </c>
      <c r="R46" s="16">
        <v>480.74074074074076</v>
      </c>
      <c r="S46" s="15">
        <v>-41.03703703703701</v>
      </c>
      <c r="T46" s="18">
        <v>1229</v>
      </c>
      <c r="U46" s="17">
        <v>1425.6399999999999</v>
      </c>
      <c r="V46" s="14">
        <v>41.573234624145783</v>
      </c>
      <c r="W46" s="16">
        <v>650.37037037037044</v>
      </c>
      <c r="X46" s="15">
        <v>756.00336700336698</v>
      </c>
      <c r="Y46" s="18">
        <v>366</v>
      </c>
      <c r="Z46" s="17">
        <v>424.55999999999995</v>
      </c>
      <c r="AA46" s="14">
        <v>18.774093264248705</v>
      </c>
      <c r="AB46" s="16">
        <v>428.88888888888886</v>
      </c>
      <c r="AC46" s="15">
        <v>-62.888888888888914</v>
      </c>
      <c r="AD46" s="19">
        <v>6995</v>
      </c>
      <c r="AE46" s="20">
        <v>8114.2</v>
      </c>
      <c r="AF46" s="21">
        <v>5790</v>
      </c>
      <c r="AG46" s="22">
        <v>10.768566493955095</v>
      </c>
      <c r="AH46" s="23">
        <v>1.0768566493955094</v>
      </c>
      <c r="AI46" s="26">
        <v>445</v>
      </c>
      <c r="AJ46" s="27">
        <v>2895</v>
      </c>
      <c r="AK46" s="25">
        <v>2450</v>
      </c>
      <c r="AL46" s="28">
        <v>115.46296296296296</v>
      </c>
    </row>
    <row r="47" spans="2:38" ht="15" customHeight="1" x14ac:dyDescent="0.25">
      <c r="B47" s="10">
        <v>134000</v>
      </c>
      <c r="C47" s="29" t="s">
        <v>68</v>
      </c>
      <c r="D47" s="12">
        <v>18</v>
      </c>
      <c r="E47" s="13">
        <v>1</v>
      </c>
      <c r="F47" s="14">
        <v>18</v>
      </c>
      <c r="G47" s="14">
        <v>0</v>
      </c>
      <c r="H47" s="30">
        <v>0</v>
      </c>
      <c r="I47" s="15">
        <v>1</v>
      </c>
      <c r="J47" s="16">
        <v>8</v>
      </c>
      <c r="K47" s="13">
        <v>144</v>
      </c>
      <c r="L47" s="14">
        <v>3.96</v>
      </c>
      <c r="M47" s="30">
        <v>44.444444444444443</v>
      </c>
      <c r="N47" s="15">
        <v>-12.202020202020204</v>
      </c>
      <c r="O47" s="16"/>
      <c r="P47" s="17">
        <v>0</v>
      </c>
      <c r="Q47" s="14">
        <v>0</v>
      </c>
      <c r="R47" s="16">
        <v>0</v>
      </c>
      <c r="S47" s="15">
        <v>0</v>
      </c>
      <c r="T47" s="18">
        <v>2</v>
      </c>
      <c r="U47" s="17">
        <v>36</v>
      </c>
      <c r="V47" s="14">
        <v>2.7000000000000006</v>
      </c>
      <c r="W47" s="16">
        <v>16.296296296296294</v>
      </c>
      <c r="X47" s="15">
        <v>-9.8518518518518494</v>
      </c>
      <c r="Y47" s="18"/>
      <c r="Z47" s="17">
        <v>0</v>
      </c>
      <c r="AA47" s="14">
        <v>0</v>
      </c>
      <c r="AB47" s="16">
        <v>0</v>
      </c>
      <c r="AC47" s="15">
        <v>0</v>
      </c>
      <c r="AD47" s="19">
        <v>11</v>
      </c>
      <c r="AE47" s="20">
        <v>198</v>
      </c>
      <c r="AF47" s="31">
        <v>24.761904761904763</v>
      </c>
      <c r="AG47" s="22">
        <v>6.865384615384615</v>
      </c>
      <c r="AH47" s="23">
        <v>0.68653846153846154</v>
      </c>
      <c r="AI47" s="26">
        <v>-7.7619047619047628</v>
      </c>
      <c r="AJ47" s="27">
        <v>12.380952380952381</v>
      </c>
      <c r="AK47" s="25">
        <v>20.142857142857146</v>
      </c>
      <c r="AL47" s="28">
        <v>8.5</v>
      </c>
    </row>
    <row r="48" spans="2:38" ht="15" customHeight="1" x14ac:dyDescent="0.25">
      <c r="B48" s="10">
        <v>134001</v>
      </c>
      <c r="C48" s="29" t="s">
        <v>69</v>
      </c>
      <c r="D48" s="12">
        <v>18</v>
      </c>
      <c r="E48" s="13">
        <v>1</v>
      </c>
      <c r="F48" s="14">
        <v>18</v>
      </c>
      <c r="G48" s="14">
        <v>0</v>
      </c>
      <c r="H48" s="30">
        <v>0</v>
      </c>
      <c r="I48" s="15">
        <v>1</v>
      </c>
      <c r="J48" s="16">
        <v>15</v>
      </c>
      <c r="K48" s="13">
        <v>270</v>
      </c>
      <c r="L48" s="14">
        <v>40.500000000000007</v>
      </c>
      <c r="M48" s="30">
        <v>8.148148148148147</v>
      </c>
      <c r="N48" s="15">
        <v>11.296296296296298</v>
      </c>
      <c r="O48" s="16"/>
      <c r="P48" s="17">
        <v>0</v>
      </c>
      <c r="Q48" s="14">
        <v>0</v>
      </c>
      <c r="R48" s="16">
        <v>0</v>
      </c>
      <c r="S48" s="15">
        <v>0</v>
      </c>
      <c r="T48" s="18"/>
      <c r="U48" s="17">
        <v>0</v>
      </c>
      <c r="V48" s="14">
        <v>0</v>
      </c>
      <c r="W48" s="16">
        <v>0</v>
      </c>
      <c r="X48" s="15">
        <v>0</v>
      </c>
      <c r="Y48" s="18"/>
      <c r="Z48" s="17">
        <v>0</v>
      </c>
      <c r="AA48" s="14">
        <v>0</v>
      </c>
      <c r="AB48" s="16">
        <v>0</v>
      </c>
      <c r="AC48" s="15">
        <v>0</v>
      </c>
      <c r="AD48" s="19">
        <v>16</v>
      </c>
      <c r="AE48" s="20">
        <v>288</v>
      </c>
      <c r="AF48" s="31">
        <v>4.2857142857142856</v>
      </c>
      <c r="AG48" s="22">
        <v>0</v>
      </c>
      <c r="AH48" s="23">
        <v>0</v>
      </c>
      <c r="AI48" s="26">
        <v>-3.2857142857142856</v>
      </c>
      <c r="AJ48" s="27">
        <v>2.1428571428571428</v>
      </c>
      <c r="AK48" s="25">
        <v>5.4285714285714288</v>
      </c>
      <c r="AL48" s="28">
        <v>0.5</v>
      </c>
    </row>
    <row r="49" spans="2:39" ht="15" customHeight="1" x14ac:dyDescent="0.25">
      <c r="B49" s="10">
        <v>140230</v>
      </c>
      <c r="C49" s="29" t="s">
        <v>70</v>
      </c>
      <c r="D49" s="12">
        <v>1.1599999999999999</v>
      </c>
      <c r="E49" s="13">
        <v>22</v>
      </c>
      <c r="F49" s="14">
        <v>25.52</v>
      </c>
      <c r="G49" s="14">
        <v>0.61583411875589067</v>
      </c>
      <c r="H49" s="30">
        <v>785.92592592592598</v>
      </c>
      <c r="I49" s="15">
        <v>-335.23905723905722</v>
      </c>
      <c r="J49" s="16">
        <v>1651</v>
      </c>
      <c r="K49" s="13">
        <v>1915.1599999999999</v>
      </c>
      <c r="L49" s="14">
        <v>43.164348591549299</v>
      </c>
      <c r="M49" s="30">
        <v>841.48148148148152</v>
      </c>
      <c r="N49" s="15">
        <v>1268.5084175084176</v>
      </c>
      <c r="O49" s="16"/>
      <c r="P49" s="17">
        <v>0</v>
      </c>
      <c r="Q49" s="14">
        <v>0</v>
      </c>
      <c r="R49" s="16">
        <v>125.18518518518519</v>
      </c>
      <c r="S49" s="15">
        <v>-113.8047138047138</v>
      </c>
      <c r="T49" s="18">
        <v>1112</v>
      </c>
      <c r="U49" s="17">
        <v>1289.9199999999998</v>
      </c>
      <c r="V49" s="14">
        <v>141.13846153846154</v>
      </c>
      <c r="W49" s="16">
        <v>173.33333333333331</v>
      </c>
      <c r="X49" s="15">
        <v>985.93939393939399</v>
      </c>
      <c r="Y49" s="18">
        <v>599</v>
      </c>
      <c r="Z49" s="17">
        <v>694.83999999999992</v>
      </c>
      <c r="AA49" s="14">
        <v>167.83301886792452</v>
      </c>
      <c r="AB49" s="16">
        <v>78.518518518518519</v>
      </c>
      <c r="AC49" s="15">
        <v>520.48148148148152</v>
      </c>
      <c r="AD49" s="19">
        <v>3384</v>
      </c>
      <c r="AE49" s="20">
        <v>3925.4399999999996</v>
      </c>
      <c r="AF49" s="21">
        <v>1371.4285714285713</v>
      </c>
      <c r="AG49" s="22">
        <v>15.655208333333334</v>
      </c>
      <c r="AH49" s="23">
        <v>1.5655208333333335</v>
      </c>
      <c r="AI49" s="26">
        <v>775.57142857142867</v>
      </c>
      <c r="AJ49" s="27">
        <v>685.71428571428567</v>
      </c>
      <c r="AK49" s="25">
        <v>-89.857142857143003</v>
      </c>
      <c r="AL49" s="28">
        <v>53.674999999999997</v>
      </c>
    </row>
    <row r="50" spans="2:39" ht="15" customHeight="1" x14ac:dyDescent="0.25">
      <c r="B50" s="10">
        <v>140231</v>
      </c>
      <c r="C50" s="29" t="s">
        <v>71</v>
      </c>
      <c r="D50" s="12">
        <v>1.1599999999999999</v>
      </c>
      <c r="E50" s="13">
        <v>10</v>
      </c>
      <c r="F50" s="14">
        <v>11.6</v>
      </c>
      <c r="G50" s="14">
        <v>4.5664206642066427E-2</v>
      </c>
      <c r="H50" s="30">
        <v>4817.7777777777774</v>
      </c>
      <c r="I50" s="15">
        <v>-2179.8989898989894</v>
      </c>
      <c r="J50" s="16">
        <v>3417</v>
      </c>
      <c r="K50" s="13">
        <v>3963.72</v>
      </c>
      <c r="L50" s="14">
        <v>22.898217509025269</v>
      </c>
      <c r="M50" s="30">
        <v>3282.962962962963</v>
      </c>
      <c r="N50" s="15">
        <v>1924.7441077441076</v>
      </c>
      <c r="O50" s="16"/>
      <c r="P50" s="17">
        <v>0</v>
      </c>
      <c r="Q50" s="14">
        <v>0</v>
      </c>
      <c r="R50" s="16">
        <v>694.81481481481478</v>
      </c>
      <c r="S50" s="15">
        <v>-631.64983164983164</v>
      </c>
      <c r="T50" s="18">
        <v>17</v>
      </c>
      <c r="U50" s="17">
        <v>19.72</v>
      </c>
      <c r="V50" s="14">
        <v>0.46880222841225627</v>
      </c>
      <c r="W50" s="16">
        <v>797.77777777777771</v>
      </c>
      <c r="X50" s="15">
        <v>-563.20202020202021</v>
      </c>
      <c r="Y50" s="18"/>
      <c r="Z50" s="17">
        <v>0</v>
      </c>
      <c r="AA50" s="14">
        <v>0</v>
      </c>
      <c r="AB50" s="16">
        <v>177.77777777777777</v>
      </c>
      <c r="AC50" s="15">
        <v>-177.7777777777778</v>
      </c>
      <c r="AD50" s="19">
        <v>3444</v>
      </c>
      <c r="AE50" s="20">
        <v>3995.0399999999995</v>
      </c>
      <c r="AF50" s="21">
        <v>5544.2857142857147</v>
      </c>
      <c r="AG50" s="22">
        <v>6.8863694923988659</v>
      </c>
      <c r="AH50" s="23">
        <v>0.68863694923988661</v>
      </c>
      <c r="AI50" s="26">
        <v>-1726.2857142857147</v>
      </c>
      <c r="AJ50" s="27">
        <v>2772.1428571428573</v>
      </c>
      <c r="AK50" s="25">
        <v>4498.4285714285725</v>
      </c>
      <c r="AL50" s="28">
        <v>95.45</v>
      </c>
      <c r="AM50" s="62" t="s">
        <v>15</v>
      </c>
    </row>
    <row r="51" spans="2:39" x14ac:dyDescent="0.25">
      <c r="B51" s="10">
        <v>140232</v>
      </c>
      <c r="C51" s="29" t="s">
        <v>72</v>
      </c>
      <c r="D51" s="12">
        <v>1.1599999999999999</v>
      </c>
      <c r="E51" s="13">
        <v>13</v>
      </c>
      <c r="F51" s="14">
        <v>15.079999999999998</v>
      </c>
      <c r="G51" s="14">
        <v>8.5590778097982698E-2</v>
      </c>
      <c r="H51" s="30">
        <v>3341.4814814814818</v>
      </c>
      <c r="I51" s="15">
        <v>-1505.8552188552192</v>
      </c>
      <c r="J51" s="16">
        <v>646</v>
      </c>
      <c r="K51" s="13">
        <v>749.3599999999999</v>
      </c>
      <c r="L51" s="14">
        <v>5.2364082969432317</v>
      </c>
      <c r="M51" s="30">
        <v>2714.0740740740739</v>
      </c>
      <c r="N51" s="15">
        <v>-587.67003367003372</v>
      </c>
      <c r="O51" s="16">
        <v>2</v>
      </c>
      <c r="P51" s="17">
        <v>2.3199999999999998</v>
      </c>
      <c r="Q51" s="14">
        <v>0.20625000000000004</v>
      </c>
      <c r="R51" s="16">
        <v>213.33333333333331</v>
      </c>
      <c r="S51" s="15">
        <v>-191.93939393939391</v>
      </c>
      <c r="T51" s="18">
        <v>3</v>
      </c>
      <c r="U51" s="17">
        <v>3.4799999999999995</v>
      </c>
      <c r="V51" s="14">
        <v>0.10632458233890214</v>
      </c>
      <c r="W51" s="16">
        <v>620.74074074074076</v>
      </c>
      <c r="X51" s="15">
        <v>-448.44781144781149</v>
      </c>
      <c r="Y51" s="18"/>
      <c r="Z51" s="17">
        <v>0</v>
      </c>
      <c r="AA51" s="14">
        <v>0</v>
      </c>
      <c r="AB51" s="16">
        <v>96.296296296296305</v>
      </c>
      <c r="AC51" s="15">
        <v>-96.296296296296305</v>
      </c>
      <c r="AD51" s="19">
        <v>664</v>
      </c>
      <c r="AE51" s="20">
        <v>770.2399999999999</v>
      </c>
      <c r="AF51" s="21">
        <v>1328.0952380952381</v>
      </c>
      <c r="AG51" s="22">
        <v>26.812836141986377</v>
      </c>
      <c r="AH51" s="23">
        <v>2.6812836141986374</v>
      </c>
      <c r="AI51" s="26">
        <v>2232.9047619047619</v>
      </c>
      <c r="AJ51" s="27">
        <v>664.04761904761904</v>
      </c>
      <c r="AK51" s="25">
        <v>-1568.8571428571429</v>
      </c>
      <c r="AL51" s="28">
        <v>89.025000000000006</v>
      </c>
      <c r="AM51" s="63">
        <f>SUM(AL13:AL51)</f>
        <v>5580.5526455026438</v>
      </c>
    </row>
    <row r="52" spans="2:39" ht="15" customHeight="1" x14ac:dyDescent="0.25">
      <c r="B52" s="10">
        <v>150360</v>
      </c>
      <c r="C52" s="29" t="s">
        <v>73</v>
      </c>
      <c r="D52" s="12">
        <v>0.81</v>
      </c>
      <c r="E52" s="13">
        <v>3788</v>
      </c>
      <c r="F52" s="14">
        <v>3068.28</v>
      </c>
      <c r="G52" s="14">
        <v>28.714548238897397</v>
      </c>
      <c r="H52" s="30">
        <v>2902.2222222222222</v>
      </c>
      <c r="I52" s="15">
        <v>2468.8080808080808</v>
      </c>
      <c r="J52" s="16">
        <v>7348</v>
      </c>
      <c r="K52" s="13">
        <v>5951.88</v>
      </c>
      <c r="L52" s="14">
        <v>183.54550042052145</v>
      </c>
      <c r="M52" s="30">
        <v>880.74074074074076</v>
      </c>
      <c r="N52" s="15">
        <v>6947.6632996632998</v>
      </c>
      <c r="O52" s="16">
        <v>208</v>
      </c>
      <c r="P52" s="17">
        <v>168.48000000000002</v>
      </c>
      <c r="Q52" s="14">
        <v>23.137078651685393</v>
      </c>
      <c r="R52" s="16">
        <v>197.77777777777777</v>
      </c>
      <c r="S52" s="15">
        <v>28.202020202020208</v>
      </c>
      <c r="T52" s="18">
        <v>920</v>
      </c>
      <c r="U52" s="17">
        <v>745.2</v>
      </c>
      <c r="V52" s="14">
        <v>49.5</v>
      </c>
      <c r="W52" s="16">
        <v>408.88888888888886</v>
      </c>
      <c r="X52" s="15">
        <v>622.62626262626259</v>
      </c>
      <c r="Y52" s="18">
        <v>589</v>
      </c>
      <c r="Z52" s="17">
        <v>477.09000000000003</v>
      </c>
      <c r="AA52" s="14">
        <v>239.63424657534244</v>
      </c>
      <c r="AB52" s="16">
        <v>54.074074074074076</v>
      </c>
      <c r="AC52" s="15">
        <v>534.92592592592587</v>
      </c>
      <c r="AD52" s="19">
        <v>12853</v>
      </c>
      <c r="AE52" s="20">
        <v>10410.93</v>
      </c>
      <c r="AF52" s="21">
        <v>2961.4285714285716</v>
      </c>
      <c r="AG52" s="22">
        <v>13.652194886637721</v>
      </c>
      <c r="AH52" s="23">
        <v>1.3652194886637723</v>
      </c>
      <c r="AI52" s="26">
        <v>1081.5714285714284</v>
      </c>
      <c r="AJ52" s="27">
        <v>1480.7142857142858</v>
      </c>
      <c r="AK52" s="25">
        <v>399.14285714285734</v>
      </c>
      <c r="AL52" s="28">
        <v>336.91666666666669</v>
      </c>
    </row>
    <row r="53" spans="2:39" ht="15" customHeight="1" x14ac:dyDescent="0.25">
      <c r="B53" s="10">
        <v>150361</v>
      </c>
      <c r="C53" s="29" t="s">
        <v>74</v>
      </c>
      <c r="D53" s="12">
        <v>0.81</v>
      </c>
      <c r="E53" s="13">
        <v>1918</v>
      </c>
      <c r="F53" s="14">
        <v>1553.5800000000002</v>
      </c>
      <c r="G53" s="14">
        <v>9.0780239043824693</v>
      </c>
      <c r="H53" s="30">
        <v>4648.1481481481487</v>
      </c>
      <c r="I53" s="15">
        <v>-194.79461279461339</v>
      </c>
      <c r="J53" s="16">
        <v>5801</v>
      </c>
      <c r="K53" s="13">
        <v>4698.8100000000004</v>
      </c>
      <c r="L53" s="14">
        <v>64.479678143712576</v>
      </c>
      <c r="M53" s="30">
        <v>1979.2592592592591</v>
      </c>
      <c r="N53" s="15">
        <v>4901.3367003367002</v>
      </c>
      <c r="O53" s="16">
        <v>3</v>
      </c>
      <c r="P53" s="17">
        <v>2.4300000000000002</v>
      </c>
      <c r="Q53" s="14">
        <v>0.11959731543624162</v>
      </c>
      <c r="R53" s="16">
        <v>551.85185185185185</v>
      </c>
      <c r="S53" s="15">
        <v>-498.68350168350167</v>
      </c>
      <c r="T53" s="18">
        <v>350</v>
      </c>
      <c r="U53" s="17">
        <v>283.5</v>
      </c>
      <c r="V53" s="14">
        <v>8.2434575733544815</v>
      </c>
      <c r="W53" s="16">
        <v>934.07407407407402</v>
      </c>
      <c r="X53" s="15">
        <v>-329.32659932659931</v>
      </c>
      <c r="Y53" s="18">
        <v>560</v>
      </c>
      <c r="Z53" s="17">
        <v>453.6</v>
      </c>
      <c r="AA53" s="14">
        <v>95.58620689655173</v>
      </c>
      <c r="AB53" s="16">
        <v>128.88888888888889</v>
      </c>
      <c r="AC53" s="15">
        <v>431.11111111111109</v>
      </c>
      <c r="AD53" s="19">
        <v>8632</v>
      </c>
      <c r="AE53" s="20">
        <v>6991.92</v>
      </c>
      <c r="AF53" s="21">
        <v>5287.1428571428569</v>
      </c>
      <c r="AG53" s="22">
        <v>16.776546879221833</v>
      </c>
      <c r="AH53" s="23">
        <v>1.6776546879221832</v>
      </c>
      <c r="AI53" s="26">
        <v>3582.8571428571431</v>
      </c>
      <c r="AJ53" s="27">
        <v>2643.5714285714284</v>
      </c>
      <c r="AK53" s="25">
        <v>-939.28571428571468</v>
      </c>
      <c r="AL53" s="28">
        <v>739.16666666666663</v>
      </c>
    </row>
    <row r="54" spans="2:39" ht="15" customHeight="1" x14ac:dyDescent="0.25">
      <c r="B54" s="10">
        <v>150362</v>
      </c>
      <c r="C54" s="29" t="s">
        <v>75</v>
      </c>
      <c r="D54" s="12">
        <v>0.81</v>
      </c>
      <c r="E54" s="13">
        <v>1756</v>
      </c>
      <c r="F54" s="14">
        <v>1422.3600000000001</v>
      </c>
      <c r="G54" s="14">
        <v>11.129577464788733</v>
      </c>
      <c r="H54" s="30">
        <v>3471.1111111111109</v>
      </c>
      <c r="I54" s="15">
        <v>178.22222222222217</v>
      </c>
      <c r="J54" s="16">
        <v>8390</v>
      </c>
      <c r="K54" s="13">
        <v>6795.9000000000005</v>
      </c>
      <c r="L54" s="14">
        <v>193.16511627906976</v>
      </c>
      <c r="M54" s="30">
        <v>955.55555555555554</v>
      </c>
      <c r="N54" s="15">
        <v>7955.6565656565654</v>
      </c>
      <c r="O54" s="16"/>
      <c r="P54" s="17">
        <v>0</v>
      </c>
      <c r="Q54" s="14">
        <v>0</v>
      </c>
      <c r="R54" s="16">
        <v>245.92592592592592</v>
      </c>
      <c r="S54" s="15">
        <v>-223.56902356902356</v>
      </c>
      <c r="T54" s="18">
        <v>936</v>
      </c>
      <c r="U54" s="17">
        <v>758.16000000000008</v>
      </c>
      <c r="V54" s="14">
        <v>57.43636363636363</v>
      </c>
      <c r="W54" s="16">
        <v>358.51851851851853</v>
      </c>
      <c r="X54" s="15">
        <v>675.25925925925924</v>
      </c>
      <c r="Y54" s="18">
        <v>8</v>
      </c>
      <c r="Z54" s="17">
        <v>6.48</v>
      </c>
      <c r="AA54" s="14">
        <v>1.2184615384615383</v>
      </c>
      <c r="AB54" s="16">
        <v>144.44444444444446</v>
      </c>
      <c r="AC54" s="15">
        <v>-136.44444444444446</v>
      </c>
      <c r="AD54" s="19">
        <v>11090</v>
      </c>
      <c r="AE54" s="20">
        <v>8982.9000000000015</v>
      </c>
      <c r="AF54" s="21">
        <v>3055.7142857142853</v>
      </c>
      <c r="AG54" s="22">
        <v>39.876110331930811</v>
      </c>
      <c r="AH54" s="23">
        <v>3.9876110331930814</v>
      </c>
      <c r="AI54" s="26">
        <v>9129.2857142857138</v>
      </c>
      <c r="AJ54" s="27">
        <v>1527.8571428571427</v>
      </c>
      <c r="AK54" s="25">
        <v>-7601.4285714285706</v>
      </c>
      <c r="AL54" s="28">
        <v>1015.4166666666666</v>
      </c>
    </row>
    <row r="55" spans="2:39" x14ac:dyDescent="0.25">
      <c r="B55" s="10">
        <v>150363</v>
      </c>
      <c r="C55" s="29" t="s">
        <v>76</v>
      </c>
      <c r="D55" s="12">
        <v>0.81</v>
      </c>
      <c r="E55" s="13">
        <v>2272</v>
      </c>
      <c r="F55" s="14">
        <v>1840.3200000000002</v>
      </c>
      <c r="G55" s="14">
        <v>17.078815489749431</v>
      </c>
      <c r="H55" s="30">
        <v>2926.666666666667</v>
      </c>
      <c r="I55" s="15">
        <v>941.69696969696975</v>
      </c>
      <c r="J55" s="16">
        <v>9364</v>
      </c>
      <c r="K55" s="13">
        <v>7584.84</v>
      </c>
      <c r="L55" s="14">
        <v>178.16194746957078</v>
      </c>
      <c r="M55" s="30">
        <v>1156.2962962962963</v>
      </c>
      <c r="N55" s="15">
        <v>8838.410774410775</v>
      </c>
      <c r="O55" s="16">
        <v>247</v>
      </c>
      <c r="P55" s="17">
        <v>200.07000000000002</v>
      </c>
      <c r="Q55" s="14">
        <v>16.82545871559633</v>
      </c>
      <c r="R55" s="16">
        <v>322.96296296296299</v>
      </c>
      <c r="S55" s="15">
        <v>-46.602693602693648</v>
      </c>
      <c r="T55" s="18">
        <v>346</v>
      </c>
      <c r="U55" s="17">
        <v>280.26</v>
      </c>
      <c r="V55" s="14">
        <v>18.383184257602863</v>
      </c>
      <c r="W55" s="16">
        <v>414.07407407407402</v>
      </c>
      <c r="X55" s="15">
        <v>44.85521885521888</v>
      </c>
      <c r="Y55" s="18">
        <v>399</v>
      </c>
      <c r="Z55" s="17">
        <v>323.19</v>
      </c>
      <c r="AA55" s="14">
        <v>60.460714285714282</v>
      </c>
      <c r="AB55" s="16">
        <v>145.18518518518519</v>
      </c>
      <c r="AC55" s="15">
        <v>253.81481481481481</v>
      </c>
      <c r="AD55" s="19">
        <v>12628</v>
      </c>
      <c r="AE55" s="20">
        <v>10228.68</v>
      </c>
      <c r="AF55" s="21">
        <v>2899.0476190476193</v>
      </c>
      <c r="AG55" s="22">
        <v>47.270696452036788</v>
      </c>
      <c r="AH55" s="23">
        <v>4.7270696452036791</v>
      </c>
      <c r="AI55" s="26">
        <v>10804.952380952382</v>
      </c>
      <c r="AJ55" s="27">
        <v>1449.5238095238096</v>
      </c>
      <c r="AK55" s="25">
        <v>-9355.4285714285725</v>
      </c>
      <c r="AL55" s="28">
        <v>1142</v>
      </c>
    </row>
    <row r="56" spans="2:39" x14ac:dyDescent="0.25">
      <c r="B56" s="10">
        <v>151500</v>
      </c>
      <c r="C56" s="29" t="s">
        <v>77</v>
      </c>
      <c r="D56" s="12">
        <v>2.62</v>
      </c>
      <c r="E56" s="13">
        <v>260</v>
      </c>
      <c r="F56" s="14">
        <v>681.2</v>
      </c>
      <c r="G56" s="14">
        <v>9.7254408060453397</v>
      </c>
      <c r="H56" s="30">
        <v>588.14814814814815</v>
      </c>
      <c r="I56" s="15">
        <v>-7.3400673400673213</v>
      </c>
      <c r="J56" s="32">
        <v>416</v>
      </c>
      <c r="K56" s="13">
        <v>1089.92</v>
      </c>
      <c r="L56" s="14">
        <v>41.740540540540536</v>
      </c>
      <c r="M56" s="30">
        <v>219.25925925925927</v>
      </c>
      <c r="N56" s="15">
        <v>316.33670033670035</v>
      </c>
      <c r="O56" s="32">
        <v>109</v>
      </c>
      <c r="P56" s="17">
        <v>285.58</v>
      </c>
      <c r="Q56" s="14">
        <v>53.954999999999998</v>
      </c>
      <c r="R56" s="16">
        <v>44.444444444444443</v>
      </c>
      <c r="S56" s="15">
        <v>68.595959595959584</v>
      </c>
      <c r="T56" s="18">
        <v>7</v>
      </c>
      <c r="U56" s="17">
        <v>18.34</v>
      </c>
      <c r="V56" s="14">
        <v>1.3326923076923076</v>
      </c>
      <c r="W56" s="16">
        <v>115.55555555555556</v>
      </c>
      <c r="X56" s="15">
        <v>-77.040404040404042</v>
      </c>
      <c r="Y56" s="18">
        <v>36</v>
      </c>
      <c r="Z56" s="17">
        <v>94.320000000000007</v>
      </c>
      <c r="AA56" s="14">
        <v>24.865116279069767</v>
      </c>
      <c r="AB56" s="16">
        <v>31.851851851851851</v>
      </c>
      <c r="AC56" s="15">
        <v>4.1481481481481453</v>
      </c>
      <c r="AD56" s="19">
        <v>828</v>
      </c>
      <c r="AE56" s="20">
        <v>2169.36</v>
      </c>
      <c r="AF56" s="21">
        <v>577.14285714285711</v>
      </c>
      <c r="AG56" s="22">
        <v>14.831683168316832</v>
      </c>
      <c r="AH56" s="23">
        <v>1.4831683168316832</v>
      </c>
      <c r="AI56" s="26">
        <v>278.85714285714289</v>
      </c>
      <c r="AJ56" s="27">
        <v>288.57142857142856</v>
      </c>
      <c r="AK56" s="25">
        <v>9.7142857142856656</v>
      </c>
      <c r="AL56" s="28">
        <v>142.66666666666666</v>
      </c>
    </row>
    <row r="57" spans="2:39" x14ac:dyDescent="0.25">
      <c r="B57" s="10">
        <v>151501</v>
      </c>
      <c r="C57" s="29" t="s">
        <v>78</v>
      </c>
      <c r="D57" s="12">
        <v>2.62</v>
      </c>
      <c r="E57" s="13">
        <v>171</v>
      </c>
      <c r="F57" s="14">
        <v>448.02000000000004</v>
      </c>
      <c r="G57" s="14">
        <v>3.7759851301115241</v>
      </c>
      <c r="H57" s="30">
        <v>996.2962962962963</v>
      </c>
      <c r="I57" s="15">
        <v>-281.86195286195289</v>
      </c>
      <c r="J57" s="32">
        <v>1624</v>
      </c>
      <c r="K57" s="13">
        <v>4254.88</v>
      </c>
      <c r="L57" s="14">
        <v>85.671047957371229</v>
      </c>
      <c r="M57" s="30">
        <v>417.03703703703701</v>
      </c>
      <c r="N57" s="15">
        <v>1434.4377104377104</v>
      </c>
      <c r="O57" s="32"/>
      <c r="P57" s="17">
        <v>0</v>
      </c>
      <c r="Q57" s="14">
        <v>0</v>
      </c>
      <c r="R57" s="16">
        <v>108.14814814814815</v>
      </c>
      <c r="S57" s="15">
        <v>-98.316498316498325</v>
      </c>
      <c r="T57" s="18">
        <v>61</v>
      </c>
      <c r="U57" s="17">
        <v>159.82</v>
      </c>
      <c r="V57" s="14">
        <v>4.0439732142857139</v>
      </c>
      <c r="W57" s="16">
        <v>331.85185185185185</v>
      </c>
      <c r="X57" s="15">
        <v>-180.34680134680136</v>
      </c>
      <c r="Y57" s="18">
        <v>38</v>
      </c>
      <c r="Z57" s="17">
        <v>99.56</v>
      </c>
      <c r="AA57" s="14">
        <v>25.650000000000006</v>
      </c>
      <c r="AB57" s="16">
        <v>32.592592592592588</v>
      </c>
      <c r="AC57" s="15">
        <v>5.4074074074074119</v>
      </c>
      <c r="AD57" s="19">
        <v>1894</v>
      </c>
      <c r="AE57" s="20">
        <v>4962.2800000000007</v>
      </c>
      <c r="AF57" s="21">
        <v>1047.1428571428571</v>
      </c>
      <c r="AG57" s="22">
        <v>9.5402455661664405</v>
      </c>
      <c r="AH57" s="23">
        <v>0.95402455661664398</v>
      </c>
      <c r="AI57" s="26">
        <v>-48.14285714285711</v>
      </c>
      <c r="AJ57" s="27">
        <v>523.57142857142856</v>
      </c>
      <c r="AK57" s="25">
        <v>571.71428571428567</v>
      </c>
      <c r="AL57" s="28">
        <v>166.5</v>
      </c>
    </row>
    <row r="58" spans="2:39" x14ac:dyDescent="0.25">
      <c r="B58" s="10">
        <v>151502</v>
      </c>
      <c r="C58" s="29" t="s">
        <v>79</v>
      </c>
      <c r="D58" s="12">
        <v>2.62</v>
      </c>
      <c r="E58" s="13">
        <v>340</v>
      </c>
      <c r="F58" s="14">
        <v>890.80000000000007</v>
      </c>
      <c r="G58" s="14">
        <v>19.645914396887157</v>
      </c>
      <c r="H58" s="30">
        <v>380.74074074074076</v>
      </c>
      <c r="I58" s="15">
        <v>166.93602693602691</v>
      </c>
      <c r="J58" s="32">
        <v>77</v>
      </c>
      <c r="K58" s="13">
        <v>201.74</v>
      </c>
      <c r="L58" s="14">
        <v>11.210294117647059</v>
      </c>
      <c r="M58" s="30">
        <v>151.11111111111111</v>
      </c>
      <c r="N58" s="15">
        <v>8.313131313131322</v>
      </c>
      <c r="O58" s="32">
        <v>5</v>
      </c>
      <c r="P58" s="17">
        <v>13.100000000000001</v>
      </c>
      <c r="Q58" s="14">
        <v>3.3750000000000009</v>
      </c>
      <c r="R58" s="16">
        <v>32.592592592592588</v>
      </c>
      <c r="S58" s="15">
        <v>-24.629629629629623</v>
      </c>
      <c r="T58" s="18">
        <v>30</v>
      </c>
      <c r="U58" s="17">
        <v>78.600000000000009</v>
      </c>
      <c r="V58" s="14">
        <v>8.0270270270270281</v>
      </c>
      <c r="W58" s="16">
        <v>82.222222222222214</v>
      </c>
      <c r="X58" s="15">
        <v>-29.797979797979792</v>
      </c>
      <c r="Y58" s="18">
        <v>47</v>
      </c>
      <c r="Z58" s="17">
        <v>123.14</v>
      </c>
      <c r="AA58" s="14">
        <v>42.3</v>
      </c>
      <c r="AB58" s="16">
        <v>24.444444444444446</v>
      </c>
      <c r="AC58" s="15">
        <v>22.555555555555554</v>
      </c>
      <c r="AD58" s="19">
        <v>499</v>
      </c>
      <c r="AE58" s="20">
        <v>1307.3800000000001</v>
      </c>
      <c r="AF58" s="21">
        <v>493.33333333333337</v>
      </c>
      <c r="AG58" s="22">
        <v>11.797297297297296</v>
      </c>
      <c r="AH58" s="23">
        <v>1.1797297297297296</v>
      </c>
      <c r="AI58" s="26">
        <v>88.666666666666629</v>
      </c>
      <c r="AJ58" s="27">
        <v>246.66666666666669</v>
      </c>
      <c r="AK58" s="25">
        <v>158.00000000000006</v>
      </c>
      <c r="AL58" s="28">
        <v>97</v>
      </c>
      <c r="AM58" s="62" t="s">
        <v>16</v>
      </c>
    </row>
    <row r="59" spans="2:39" x14ac:dyDescent="0.25">
      <c r="B59" s="33">
        <v>151503</v>
      </c>
      <c r="C59" s="11" t="s">
        <v>80</v>
      </c>
      <c r="D59" s="12">
        <v>2.62</v>
      </c>
      <c r="E59" s="13">
        <v>42</v>
      </c>
      <c r="F59" s="14">
        <v>110.04</v>
      </c>
      <c r="G59" s="14">
        <v>1.9706161137440761</v>
      </c>
      <c r="H59" s="30">
        <v>468.88888888888886</v>
      </c>
      <c r="I59" s="15">
        <v>-171.13131313131311</v>
      </c>
      <c r="J59" s="32">
        <v>377</v>
      </c>
      <c r="K59" s="13">
        <v>987.74</v>
      </c>
      <c r="L59" s="14">
        <v>46.653749999999995</v>
      </c>
      <c r="M59" s="30">
        <v>177.77777777777777</v>
      </c>
      <c r="N59" s="15">
        <v>296.19191919191917</v>
      </c>
      <c r="O59" s="32"/>
      <c r="P59" s="17">
        <v>0</v>
      </c>
      <c r="Q59" s="14">
        <v>0</v>
      </c>
      <c r="R59" s="16">
        <v>51.111111111111107</v>
      </c>
      <c r="S59" s="15">
        <v>-46.464646464646464</v>
      </c>
      <c r="T59" s="18">
        <v>4</v>
      </c>
      <c r="U59" s="17">
        <v>10.48</v>
      </c>
      <c r="V59" s="14">
        <v>0.87999999999999989</v>
      </c>
      <c r="W59" s="16">
        <v>100</v>
      </c>
      <c r="X59" s="15">
        <v>-68.727272727272734</v>
      </c>
      <c r="Y59" s="18">
        <v>40</v>
      </c>
      <c r="Z59" s="17">
        <v>104.80000000000001</v>
      </c>
      <c r="AA59" s="14">
        <v>56.571428571428569</v>
      </c>
      <c r="AB59" s="16">
        <v>15.555555555555555</v>
      </c>
      <c r="AC59" s="15">
        <v>24.444444444444443</v>
      </c>
      <c r="AD59" s="19">
        <v>463</v>
      </c>
      <c r="AE59" s="20">
        <v>1213.06</v>
      </c>
      <c r="AF59" s="21">
        <v>553.33333333333337</v>
      </c>
      <c r="AG59" s="22">
        <v>12.289156626506024</v>
      </c>
      <c r="AH59" s="23">
        <v>1.2289156626506024</v>
      </c>
      <c r="AI59" s="26">
        <v>126.66666666666663</v>
      </c>
      <c r="AJ59" s="27">
        <v>276.66666666666669</v>
      </c>
      <c r="AK59" s="25">
        <v>150.00000000000006</v>
      </c>
      <c r="AL59" s="28">
        <v>113.33333333333333</v>
      </c>
      <c r="AM59" s="63">
        <f>SUM(AL52:AL59)</f>
        <v>3753</v>
      </c>
    </row>
    <row r="60" spans="2:39" x14ac:dyDescent="0.2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6"/>
      <c r="AG60" s="36"/>
      <c r="AJ60" s="37" t="s">
        <v>17</v>
      </c>
      <c r="AK60" s="38">
        <f>SUMIF(AK13:AK59,"&gt;0")</f>
        <v>147790.42857142861</v>
      </c>
    </row>
    <row r="61" spans="2:39" x14ac:dyDescent="0.25">
      <c r="B61" s="39" t="s">
        <v>2</v>
      </c>
      <c r="C61" s="40"/>
      <c r="D61" s="40"/>
      <c r="E61" s="67" t="s">
        <v>3</v>
      </c>
      <c r="F61" s="67"/>
      <c r="G61" s="2"/>
      <c r="H61" s="2"/>
      <c r="I61" s="2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6"/>
      <c r="AG61" s="36"/>
    </row>
    <row r="62" spans="2:39" x14ac:dyDescent="0.25">
      <c r="B62" s="68" t="s">
        <v>4</v>
      </c>
      <c r="C62" s="68"/>
      <c r="D62" s="42">
        <f>SUM(F13:F59)</f>
        <v>109595.60000000002</v>
      </c>
      <c r="E62" s="64">
        <f>D62*100/D67</f>
        <v>20.507703169093155</v>
      </c>
      <c r="F62" s="64"/>
      <c r="G62" s="43"/>
      <c r="H62" s="43"/>
      <c r="I62" s="4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6"/>
      <c r="AG62" s="36"/>
    </row>
    <row r="63" spans="2:39" x14ac:dyDescent="0.25">
      <c r="B63" s="41" t="s">
        <v>5</v>
      </c>
      <c r="C63" s="41"/>
      <c r="D63" s="44">
        <f>SUM(K13:K59)</f>
        <v>326840.24999999994</v>
      </c>
      <c r="E63" s="64">
        <f>D63*100/D67</f>
        <v>61.158867972000671</v>
      </c>
      <c r="F63" s="64"/>
      <c r="G63" s="43"/>
      <c r="H63" s="43"/>
      <c r="I63" s="4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6"/>
      <c r="AG63" s="36"/>
    </row>
    <row r="64" spans="2:39" x14ac:dyDescent="0.25">
      <c r="B64" s="41" t="s">
        <v>6</v>
      </c>
      <c r="C64" s="41"/>
      <c r="D64" s="44">
        <f>SUM(P13:P59)</f>
        <v>17463.190000000002</v>
      </c>
      <c r="E64" s="64">
        <f>D64*100/D67</f>
        <v>3.2677399175284036</v>
      </c>
      <c r="F64" s="64"/>
      <c r="G64" s="43"/>
      <c r="H64" s="43"/>
      <c r="I64" s="4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6"/>
      <c r="AG64" s="36"/>
    </row>
    <row r="65" spans="2:33" x14ac:dyDescent="0.25">
      <c r="B65" s="41" t="s">
        <v>7</v>
      </c>
      <c r="C65" s="41"/>
      <c r="D65" s="44">
        <f>SUM(U13:U59)</f>
        <v>58324.869999999988</v>
      </c>
      <c r="E65" s="64">
        <f>D65*100/D67</f>
        <v>10.913842538714565</v>
      </c>
      <c r="F65" s="64"/>
      <c r="G65" s="43"/>
      <c r="H65" s="43"/>
      <c r="I65" s="4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6"/>
      <c r="AG65" s="36"/>
    </row>
    <row r="66" spans="2:33" x14ac:dyDescent="0.25">
      <c r="B66" s="41" t="s">
        <v>18</v>
      </c>
      <c r="C66" s="41"/>
      <c r="D66" s="44">
        <f>SUM(Z13:Z59)</f>
        <v>22187.96</v>
      </c>
      <c r="E66" s="64">
        <f>D66*100/D67</f>
        <v>4.1518464026631738</v>
      </c>
      <c r="F66" s="64"/>
      <c r="G66" s="43"/>
      <c r="H66" s="43"/>
      <c r="I66" s="4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6"/>
      <c r="AG66" s="36"/>
    </row>
    <row r="67" spans="2:33" x14ac:dyDescent="0.25">
      <c r="B67" s="68" t="s">
        <v>8</v>
      </c>
      <c r="C67" s="68"/>
      <c r="D67" s="44">
        <f>SUM(AE13:AE59)</f>
        <v>534411.87000000011</v>
      </c>
      <c r="E67" s="69">
        <f>D67*100/D67</f>
        <v>100</v>
      </c>
      <c r="F67" s="69"/>
      <c r="G67" s="45"/>
      <c r="H67" s="45"/>
      <c r="I67" s="4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6"/>
      <c r="AG67" s="36"/>
    </row>
    <row r="68" spans="2:33" x14ac:dyDescent="0.25">
      <c r="B68" s="46"/>
      <c r="C68" s="35"/>
      <c r="D68" s="35"/>
      <c r="E68" s="47"/>
      <c r="F68" s="47"/>
      <c r="G68" s="47"/>
      <c r="H68" s="47"/>
      <c r="I68" s="47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6"/>
      <c r="AG68" s="36"/>
    </row>
    <row r="69" spans="2:33" x14ac:dyDescent="0.25">
      <c r="B69" s="39" t="s">
        <v>9</v>
      </c>
      <c r="C69" s="35"/>
      <c r="D69" s="35"/>
      <c r="E69" s="47"/>
      <c r="F69" s="47"/>
      <c r="G69" s="47"/>
      <c r="H69" s="47"/>
      <c r="I69" s="47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6"/>
      <c r="AG69" s="36"/>
    </row>
    <row r="70" spans="2:33" x14ac:dyDescent="0.25">
      <c r="B70" s="68" t="s">
        <v>10</v>
      </c>
      <c r="C70" s="68"/>
      <c r="D70" s="3">
        <f>SUM(E13:E59)</f>
        <v>80251</v>
      </c>
      <c r="E70" s="64">
        <f>D70*100/D75</f>
        <v>20.336015204307888</v>
      </c>
      <c r="F70" s="64"/>
      <c r="G70" s="43"/>
      <c r="H70" s="43"/>
      <c r="I70" s="4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E70" s="35"/>
      <c r="AF70" s="36"/>
      <c r="AG70" s="36"/>
    </row>
    <row r="71" spans="2:33" x14ac:dyDescent="0.25">
      <c r="B71" s="41" t="s">
        <v>11</v>
      </c>
      <c r="C71" s="41"/>
      <c r="D71" s="49">
        <f>SUM(J13:J59)</f>
        <v>247431</v>
      </c>
      <c r="E71" s="64">
        <f>D71*100/D75</f>
        <v>62.700285080772886</v>
      </c>
      <c r="F71" s="64"/>
      <c r="G71" s="43"/>
      <c r="H71" s="43"/>
      <c r="I71" s="4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6"/>
      <c r="AG71" s="36"/>
    </row>
    <row r="72" spans="2:33" x14ac:dyDescent="0.25">
      <c r="B72" s="41" t="s">
        <v>12</v>
      </c>
      <c r="C72" s="41"/>
      <c r="D72" s="49">
        <f>SUM(O13:O59)</f>
        <v>12171</v>
      </c>
      <c r="E72" s="64">
        <f>D72*100/D75</f>
        <v>3.0841938549255623</v>
      </c>
      <c r="F72" s="64"/>
      <c r="G72" s="43"/>
      <c r="H72" s="43"/>
      <c r="I72" s="4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6"/>
      <c r="AG72" s="36"/>
    </row>
    <row r="73" spans="2:33" x14ac:dyDescent="0.25">
      <c r="B73" s="41" t="s">
        <v>13</v>
      </c>
      <c r="C73" s="41"/>
      <c r="D73" s="49">
        <f>SUM(T13:T59)</f>
        <v>40100</v>
      </c>
      <c r="E73" s="64">
        <f>D73*100/D75</f>
        <v>10.161545771301869</v>
      </c>
      <c r="F73" s="64"/>
      <c r="G73" s="50"/>
      <c r="H73" s="50"/>
      <c r="I73" s="50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6"/>
      <c r="AG73" s="36"/>
    </row>
    <row r="74" spans="2:33" x14ac:dyDescent="0.25">
      <c r="B74" s="41" t="s">
        <v>19</v>
      </c>
      <c r="C74" s="41"/>
      <c r="D74" s="49">
        <f>SUM(Y13:Y59)</f>
        <v>14672</v>
      </c>
      <c r="E74" s="64">
        <f>D74*100/D75</f>
        <v>3.7179600886917958</v>
      </c>
      <c r="F74" s="64"/>
      <c r="G74" s="50"/>
      <c r="H74" s="50"/>
      <c r="I74" s="50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6"/>
      <c r="AG74" s="36"/>
    </row>
    <row r="75" spans="2:33" x14ac:dyDescent="0.25">
      <c r="B75" s="68" t="s">
        <v>14</v>
      </c>
      <c r="C75" s="68"/>
      <c r="D75" s="49">
        <f>SUM(AD13:AD59)</f>
        <v>394625</v>
      </c>
      <c r="E75" s="69">
        <f>D75*100/D75</f>
        <v>100</v>
      </c>
      <c r="F75" s="69"/>
      <c r="G75" s="50"/>
      <c r="H75" s="50"/>
      <c r="I75" s="50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36"/>
      <c r="AG75" s="36"/>
    </row>
    <row r="76" spans="2:33" x14ac:dyDescent="0.25">
      <c r="B76" s="46"/>
      <c r="C76" s="35"/>
      <c r="D76" s="52"/>
      <c r="E76" s="47"/>
      <c r="F76" s="47"/>
      <c r="G76" s="47"/>
      <c r="H76" s="47"/>
      <c r="I76" s="47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6"/>
      <c r="AG76" s="36"/>
    </row>
    <row r="77" spans="2:33" x14ac:dyDescent="0.25">
      <c r="B77" s="46"/>
      <c r="C77" s="35"/>
      <c r="D77" s="35"/>
      <c r="E77" s="47"/>
      <c r="F77" s="47"/>
      <c r="G77" s="47"/>
      <c r="H77" s="47"/>
      <c r="I77" s="47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6"/>
      <c r="AG77" s="36"/>
    </row>
    <row r="78" spans="2:33" x14ac:dyDescent="0.25">
      <c r="B78" s="46"/>
      <c r="C78" s="35"/>
      <c r="D78" s="35"/>
      <c r="E78" s="47"/>
      <c r="F78" s="47"/>
      <c r="G78" s="47"/>
      <c r="H78" s="47"/>
      <c r="I78" s="47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6"/>
      <c r="AG78" s="36"/>
    </row>
    <row r="79" spans="2:33" x14ac:dyDescent="0.25">
      <c r="B79" s="46"/>
      <c r="C79" s="35"/>
      <c r="D79" s="35"/>
      <c r="E79" s="47"/>
      <c r="F79" s="47"/>
      <c r="G79" s="47"/>
      <c r="H79" s="47"/>
      <c r="I79" s="47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6"/>
      <c r="AG79" s="36"/>
    </row>
    <row r="80" spans="2:33" x14ac:dyDescent="0.25">
      <c r="B80" s="46"/>
      <c r="C80" s="35"/>
      <c r="D80" s="35"/>
      <c r="E80" s="47"/>
      <c r="F80" s="47"/>
      <c r="G80" s="47"/>
      <c r="H80" s="47"/>
      <c r="I80" s="47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6"/>
      <c r="AG80" s="36"/>
    </row>
    <row r="81" spans="2:33" x14ac:dyDescent="0.25">
      <c r="B81" s="46"/>
      <c r="C81" s="35"/>
      <c r="D81" s="35"/>
      <c r="E81" s="47"/>
      <c r="F81" s="47"/>
      <c r="G81" s="47"/>
      <c r="H81" s="47"/>
      <c r="I81" s="47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6"/>
      <c r="AG81" s="36"/>
    </row>
    <row r="82" spans="2:33" x14ac:dyDescent="0.25">
      <c r="B82" s="46"/>
      <c r="C82" s="35"/>
      <c r="D82" s="35"/>
      <c r="E82" s="47"/>
      <c r="F82" s="47"/>
      <c r="G82" s="47"/>
      <c r="H82" s="47"/>
      <c r="I82" s="47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6"/>
      <c r="AG82" s="36"/>
    </row>
    <row r="83" spans="2:33" x14ac:dyDescent="0.25">
      <c r="B83" s="46"/>
      <c r="C83" s="35"/>
      <c r="D83" s="35"/>
      <c r="E83" s="47"/>
      <c r="F83" s="47"/>
      <c r="G83" s="47"/>
      <c r="H83" s="47"/>
      <c r="I83" s="47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6"/>
      <c r="AG83" s="36"/>
    </row>
    <row r="84" spans="2:33" x14ac:dyDescent="0.25">
      <c r="B84" s="46"/>
      <c r="C84" s="35"/>
      <c r="D84" s="35"/>
      <c r="E84" s="47"/>
      <c r="F84" s="47"/>
      <c r="G84" s="47"/>
      <c r="H84" s="47"/>
      <c r="I84" s="47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6"/>
      <c r="AG84" s="36"/>
    </row>
    <row r="85" spans="2:33" x14ac:dyDescent="0.25">
      <c r="B85" s="46"/>
      <c r="C85" s="35"/>
      <c r="D85" s="35"/>
      <c r="E85" s="47"/>
      <c r="F85" s="47"/>
      <c r="G85" s="47"/>
      <c r="H85" s="47"/>
      <c r="I85" s="47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36"/>
    </row>
    <row r="86" spans="2:33" x14ac:dyDescent="0.25">
      <c r="B86" s="46"/>
      <c r="C86" s="35"/>
      <c r="D86" s="35"/>
      <c r="E86" s="47"/>
      <c r="F86" s="47"/>
      <c r="G86" s="47"/>
      <c r="H86" s="47"/>
      <c r="I86" s="47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6"/>
      <c r="AG86" s="36"/>
    </row>
    <row r="87" spans="2:33" x14ac:dyDescent="0.25">
      <c r="B87" s="46"/>
      <c r="C87" s="35"/>
      <c r="D87" s="35"/>
      <c r="E87" s="47"/>
      <c r="F87" s="47"/>
      <c r="G87" s="47"/>
      <c r="H87" s="47"/>
      <c r="I87" s="47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6"/>
      <c r="AG87" s="36"/>
    </row>
    <row r="88" spans="2:33" x14ac:dyDescent="0.25">
      <c r="B88" s="46"/>
      <c r="C88" s="35"/>
      <c r="D88" s="35"/>
      <c r="E88" s="47"/>
      <c r="F88" s="47"/>
      <c r="G88" s="47"/>
      <c r="H88" s="47"/>
      <c r="I88" s="47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6"/>
      <c r="AG88" s="36"/>
    </row>
    <row r="89" spans="2:33" x14ac:dyDescent="0.25">
      <c r="B89" s="46"/>
      <c r="C89" s="35"/>
      <c r="D89" s="35"/>
      <c r="E89" s="47"/>
      <c r="F89" s="47"/>
      <c r="G89" s="47"/>
      <c r="H89" s="47"/>
      <c r="I89" s="47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36"/>
    </row>
    <row r="90" spans="2:33" x14ac:dyDescent="0.25">
      <c r="B90" s="46"/>
      <c r="C90" s="35"/>
      <c r="D90" s="35"/>
      <c r="E90" s="47"/>
      <c r="AD90" s="35"/>
      <c r="AE90" s="35"/>
      <c r="AF90" s="36"/>
      <c r="AG90" s="36"/>
    </row>
    <row r="91" spans="2:33" x14ac:dyDescent="0.25">
      <c r="B91" s="46"/>
      <c r="C91" s="35"/>
      <c r="D91" s="35"/>
      <c r="E91" s="47"/>
      <c r="AD91" s="35"/>
      <c r="AE91" s="35"/>
      <c r="AF91" s="36"/>
      <c r="AG91" s="36"/>
    </row>
    <row r="92" spans="2:33" x14ac:dyDescent="0.25">
      <c r="B92" s="46"/>
      <c r="C92" s="35"/>
      <c r="D92" s="35"/>
      <c r="E92" s="47"/>
      <c r="AD92" s="35"/>
      <c r="AE92" s="35"/>
      <c r="AF92" s="36"/>
      <c r="AG92" s="36"/>
    </row>
    <row r="93" spans="2:33" x14ac:dyDescent="0.25">
      <c r="B93" s="46"/>
      <c r="C93" s="35"/>
      <c r="D93" s="35"/>
      <c r="E93" s="47"/>
      <c r="AD93" s="35"/>
      <c r="AE93" s="35"/>
      <c r="AF93" s="36"/>
      <c r="AG93" s="36"/>
    </row>
  </sheetData>
  <mergeCells count="19">
    <mergeCell ref="E72:F72"/>
    <mergeCell ref="E73:F73"/>
    <mergeCell ref="E74:F74"/>
    <mergeCell ref="B75:C75"/>
    <mergeCell ref="E75:F75"/>
    <mergeCell ref="E66:F66"/>
    <mergeCell ref="E67:F67"/>
    <mergeCell ref="E71:F71"/>
    <mergeCell ref="B67:C67"/>
    <mergeCell ref="B70:C70"/>
    <mergeCell ref="E70:F70"/>
    <mergeCell ref="E65:F65"/>
    <mergeCell ref="E63:F63"/>
    <mergeCell ref="E64:F64"/>
    <mergeCell ref="B1:AE6"/>
    <mergeCell ref="AF1:AL6"/>
    <mergeCell ref="E61:F61"/>
    <mergeCell ref="B62:C62"/>
    <mergeCell ref="E62:F62"/>
  </mergeCells>
  <conditionalFormatting sqref="G13:G59">
    <cfRule type="colorScale" priority="14">
      <colorScale>
        <cfvo type="min"/>
        <cfvo type="num" val="12"/>
        <cfvo type="max"/>
        <color rgb="FFF8696B"/>
        <color rgb="FFFCFCFF"/>
        <color rgb="FF5A8AC6"/>
      </colorScale>
    </cfRule>
  </conditionalFormatting>
  <conditionalFormatting sqref="L13:L59">
    <cfRule type="colorScale" priority="15">
      <colorScale>
        <cfvo type="min"/>
        <cfvo type="num" val="12"/>
        <cfvo type="max"/>
        <color rgb="FFF8696B"/>
        <color rgb="FFFCFCFF"/>
        <color rgb="FF5A8AC6"/>
      </colorScale>
    </cfRule>
  </conditionalFormatting>
  <conditionalFormatting sqref="Q13:Q59">
    <cfRule type="colorScale" priority="16">
      <colorScale>
        <cfvo type="min"/>
        <cfvo type="num" val="12"/>
        <cfvo type="max"/>
        <color rgb="FFF8696B"/>
        <color rgb="FFFCFCFF"/>
        <color rgb="FF5A8AC6"/>
      </colorScale>
    </cfRule>
  </conditionalFormatting>
  <conditionalFormatting sqref="V13:V59">
    <cfRule type="colorScale" priority="17">
      <colorScale>
        <cfvo type="min"/>
        <cfvo type="num" val="12"/>
        <cfvo type="max"/>
        <color rgb="FFF8696B"/>
        <color rgb="FFFCFCFF"/>
        <color rgb="FF5A8AC6"/>
      </colorScale>
    </cfRule>
  </conditionalFormatting>
  <conditionalFormatting sqref="AA13:AA59">
    <cfRule type="colorScale" priority="18">
      <colorScale>
        <cfvo type="min"/>
        <cfvo type="num" val="12"/>
        <cfvo type="max"/>
        <color rgb="FFF8696B"/>
        <color rgb="FFFCFCFF"/>
        <color rgb="FF5A8AC6"/>
      </colorScale>
    </cfRule>
  </conditionalFormatting>
  <conditionalFormatting sqref="AG13:AG59">
    <cfRule type="colorScale" priority="1">
      <colorScale>
        <cfvo type="num" val="9"/>
        <cfvo type="num" val="10"/>
        <cfvo type="num" val="15"/>
        <color rgb="FFFF7128"/>
        <color rgb="FFFFEB84"/>
        <color rgb="FF92D050"/>
      </colorScale>
    </cfRule>
  </conditionalFormatting>
  <conditionalFormatting sqref="AH13:AH59">
    <cfRule type="colorScale" priority="19">
      <colorScale>
        <cfvo type="min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cp:lastPrinted>2026-09-15T12:02:34Z</cp:lastPrinted>
  <dcterms:created xsi:type="dcterms:W3CDTF">2026-08-13T20:33:16Z</dcterms:created>
  <dcterms:modified xsi:type="dcterms:W3CDTF">2026-10-30T12:57:07Z</dcterms:modified>
</cp:coreProperties>
</file>