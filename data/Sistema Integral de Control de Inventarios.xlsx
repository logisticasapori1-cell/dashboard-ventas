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4BE21835-B095-4FE2-93B1-C9BC69F65256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AM51" i="1"/>
  <c r="E62" i="1"/>
  <c r="E64" i="1"/>
  <c r="E65" i="1"/>
  <c r="E74" i="1"/>
  <c r="E63" i="1"/>
  <c r="E66" i="1"/>
  <c r="E73" i="1" l="1"/>
  <c r="E75" i="1"/>
  <c r="E72" i="1"/>
  <c r="E71" i="1"/>
  <c r="E70" i="1"/>
</calcChain>
</file>

<file path=xl/sharedStrings.xml><?xml version="1.0" encoding="utf-8"?>
<sst xmlns="http://schemas.openxmlformats.org/spreadsheetml/2006/main" count="81" uniqueCount="81">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</sst>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E13" sqref="E13:AE59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7" t="s">
        <v>0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8" t="s">
        <v>1</v>
      </c>
      <c r="AG1" s="68"/>
      <c r="AH1" s="68"/>
      <c r="AI1" s="68"/>
      <c r="AJ1" s="68"/>
      <c r="AK1" s="68"/>
      <c r="AL1" s="68"/>
    </row>
    <row r="2" spans="1:38" ht="15" customHeight="1" x14ac:dyDescent="0.25"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8"/>
      <c r="AG2" s="68"/>
      <c r="AH2" s="68"/>
      <c r="AI2" s="68"/>
      <c r="AJ2" s="68"/>
      <c r="AK2" s="68"/>
      <c r="AL2" s="68"/>
    </row>
    <row r="3" spans="1:38" ht="15" customHeight="1" x14ac:dyDescent="0.25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8"/>
      <c r="AG3" s="68"/>
      <c r="AH3" s="68"/>
      <c r="AI3" s="68"/>
      <c r="AJ3" s="68"/>
      <c r="AK3" s="68"/>
      <c r="AL3" s="68"/>
    </row>
    <row r="4" spans="1:38" ht="15" customHeight="1" x14ac:dyDescent="0.25"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8"/>
      <c r="AG4" s="68"/>
      <c r="AH4" s="68"/>
      <c r="AI4" s="68"/>
      <c r="AJ4" s="68"/>
      <c r="AK4" s="68"/>
      <c r="AL4" s="68"/>
    </row>
    <row r="5" spans="1:38" ht="15" customHeight="1" x14ac:dyDescent="0.25"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8"/>
      <c r="AG5" s="68"/>
      <c r="AH5" s="68"/>
      <c r="AI5" s="68"/>
      <c r="AJ5" s="68"/>
      <c r="AK5" s="68"/>
      <c r="AL5" s="68"/>
    </row>
    <row r="6" spans="1:38" ht="17.25" customHeight="1" x14ac:dyDescent="0.25"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8"/>
      <c r="AG6" s="68"/>
      <c r="AH6" s="68"/>
      <c r="AI6" s="68"/>
      <c r="AJ6" s="68"/>
      <c r="AK6" s="68"/>
      <c r="AL6" s="68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1783</v>
      </c>
      <c r="F13" s="14">
        <v>2424.88</v>
      </c>
      <c r="G13" s="14">
        <v>2.2447604236095682</v>
      </c>
      <c r="H13" s="30">
        <v>17474.470588235294</v>
      </c>
      <c r="I13" s="15">
        <v>-6159.9411764705874</v>
      </c>
      <c r="J13" s="16">
        <v>1319</v>
      </c>
      <c r="K13" s="13">
        <v>1793.8400000000001</v>
      </c>
      <c r="L13" s="14">
        <v>5.261145002346316</v>
      </c>
      <c r="M13" s="30">
        <v>5515.5294117647063</v>
      </c>
      <c r="N13" s="15">
        <v>-1188.0588235294117</v>
      </c>
      <c r="O13" s="16">
        <v>992</v>
      </c>
      <c r="P13" s="17">
        <v>1349.1200000000001</v>
      </c>
      <c r="Q13" s="14">
        <v>20.845488257107537</v>
      </c>
      <c r="R13" s="16">
        <v>1046.9411764705883</v>
      </c>
      <c r="S13" s="15">
        <v>40.235294117646959</v>
      </c>
      <c r="T13" s="18">
        <v>791</v>
      </c>
      <c r="U13" s="17">
        <v>1075.76</v>
      </c>
      <c r="V13" s="14">
        <v>16.458996328029372</v>
      </c>
      <c r="W13" s="16">
        <v>1057.294117647059</v>
      </c>
      <c r="X13" s="15">
        <v>22.058823529411598</v>
      </c>
      <c r="Y13" s="18">
        <v>75</v>
      </c>
      <c r="Z13" s="17">
        <v>102.00000000000001</v>
      </c>
      <c r="AA13" s="14">
        <v>2.5653923541247488</v>
      </c>
      <c r="AB13" s="16">
        <v>643.17647058823525</v>
      </c>
      <c r="AC13" s="15">
        <v>-568.17647058823525</v>
      </c>
      <c r="AD13" s="19">
        <v>4960</v>
      </c>
      <c r="AE13" s="20">
        <v>6745.6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0</v>
      </c>
      <c r="F14" s="14">
        <v>0</v>
      </c>
      <c r="G14" s="14">
        <v>0</v>
      </c>
      <c r="H14" s="30">
        <v>603.05882352941171</v>
      </c>
      <c r="I14" s="15">
        <v>-274.11764705882354</v>
      </c>
      <c r="J14" s="16">
        <v>0</v>
      </c>
      <c r="K14" s="13">
        <v>0</v>
      </c>
      <c r="L14" s="14">
        <v>0</v>
      </c>
      <c r="M14" s="30">
        <v>322.23529411764707</v>
      </c>
      <c r="N14" s="15">
        <v>-146.47058823529414</v>
      </c>
      <c r="O14" s="16">
        <v>88</v>
      </c>
      <c r="P14" s="17">
        <v>139.92000000000002</v>
      </c>
      <c r="Q14" s="14">
        <v>14.384615384615387</v>
      </c>
      <c r="R14" s="16">
        <v>134.58823529411762</v>
      </c>
      <c r="S14" s="15">
        <v>-34.352941176470566</v>
      </c>
      <c r="T14" s="18">
        <v>7</v>
      </c>
      <c r="U14" s="17">
        <v>11.13</v>
      </c>
      <c r="V14" s="14">
        <v>4.4074074074074074</v>
      </c>
      <c r="W14" s="16">
        <v>34.941176470588232</v>
      </c>
      <c r="X14" s="15">
        <v>-18.411764705882351</v>
      </c>
      <c r="Y14" s="18">
        <v>31</v>
      </c>
      <c r="Z14" s="17">
        <v>49.29</v>
      </c>
      <c r="AA14" s="14">
        <v>7.9848484848484853</v>
      </c>
      <c r="AB14" s="16">
        <v>85.411764705882348</v>
      </c>
      <c r="AC14" s="15">
        <v>-54.411764705882348</v>
      </c>
      <c r="AD14" s="19">
        <v>126</v>
      </c>
      <c r="AE14" s="20">
        <v>200.34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1686</v>
      </c>
      <c r="F15" s="14">
        <v>3422.5799999999995</v>
      </c>
      <c r="G15" s="14">
        <v>4.982096297583869</v>
      </c>
      <c r="H15" s="30">
        <v>7445.0588235294126</v>
      </c>
      <c r="I15" s="15">
        <v>-1698.1176470588239</v>
      </c>
      <c r="J15" s="16">
        <v>959</v>
      </c>
      <c r="K15" s="13">
        <v>1946.7699999999998</v>
      </c>
      <c r="L15" s="14">
        <v>8.5088726513569934</v>
      </c>
      <c r="M15" s="30">
        <v>2479.5294117647059</v>
      </c>
      <c r="N15" s="15">
        <v>-168.05882352941171</v>
      </c>
      <c r="O15" s="16">
        <v>230</v>
      </c>
      <c r="P15" s="17">
        <v>466.9</v>
      </c>
      <c r="Q15" s="14">
        <v>19.747474747474744</v>
      </c>
      <c r="R15" s="16">
        <v>256.23529411764707</v>
      </c>
      <c r="S15" s="15">
        <v>-2.9411764705882604</v>
      </c>
      <c r="T15" s="18">
        <v>237</v>
      </c>
      <c r="U15" s="17">
        <v>481.10999999999996</v>
      </c>
      <c r="V15" s="14">
        <v>15.616279069767442</v>
      </c>
      <c r="W15" s="16">
        <v>333.88235294117646</v>
      </c>
      <c r="X15" s="15">
        <v>-5.8235294117646959</v>
      </c>
      <c r="Y15" s="18">
        <v>116</v>
      </c>
      <c r="Z15" s="17">
        <v>235.48</v>
      </c>
      <c r="AA15" s="14">
        <v>12.805194805194805</v>
      </c>
      <c r="AB15" s="16">
        <v>199.29411764705881</v>
      </c>
      <c r="AC15" s="15">
        <v>-83.294117647058812</v>
      </c>
      <c r="AD15" s="19">
        <v>3228</v>
      </c>
      <c r="AE15" s="20">
        <v>6552.8399999999992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188</v>
      </c>
      <c r="F16" s="14">
        <v>678.68</v>
      </c>
      <c r="G16" s="14">
        <v>2.5547561950439648</v>
      </c>
      <c r="H16" s="30">
        <v>1618.9411764705883</v>
      </c>
      <c r="I16" s="15">
        <v>-547.88235294117658</v>
      </c>
      <c r="J16" s="16">
        <v>41</v>
      </c>
      <c r="K16" s="13">
        <v>148.01</v>
      </c>
      <c r="L16" s="14">
        <v>1.4861407249466949</v>
      </c>
      <c r="M16" s="30">
        <v>606.94117647058829</v>
      </c>
      <c r="N16" s="15">
        <v>-234.88235294117646</v>
      </c>
      <c r="O16" s="16">
        <v>44</v>
      </c>
      <c r="P16" s="17">
        <v>158.84</v>
      </c>
      <c r="Q16" s="14">
        <v>17</v>
      </c>
      <c r="R16" s="16">
        <v>56.941176470588239</v>
      </c>
      <c r="S16" s="15">
        <v>-7.764705882352942</v>
      </c>
      <c r="T16" s="18">
        <v>46</v>
      </c>
      <c r="U16" s="17">
        <v>166.06</v>
      </c>
      <c r="V16" s="14">
        <v>55.857142857142861</v>
      </c>
      <c r="W16" s="16">
        <v>18.117647058823529</v>
      </c>
      <c r="X16" s="15">
        <v>32.82352941176471</v>
      </c>
      <c r="Y16" s="18">
        <v>25</v>
      </c>
      <c r="Z16" s="17">
        <v>90.25</v>
      </c>
      <c r="AA16" s="14">
        <v>7.4561403508771926</v>
      </c>
      <c r="AB16" s="16">
        <v>73.764705882352942</v>
      </c>
      <c r="AC16" s="15">
        <v>-48.764705882352942</v>
      </c>
      <c r="AD16" s="19">
        <v>344</v>
      </c>
      <c r="AE16" s="20">
        <v>1241.8399999999999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15</v>
      </c>
      <c r="F17" s="14">
        <v>131.69999999999999</v>
      </c>
      <c r="G17" s="14">
        <v>1.4406779661016949</v>
      </c>
      <c r="H17" s="30">
        <v>229.05882352941177</v>
      </c>
      <c r="I17" s="15">
        <v>-89.117647058823536</v>
      </c>
      <c r="J17" s="16">
        <v>19</v>
      </c>
      <c r="K17" s="13">
        <v>166.82</v>
      </c>
      <c r="L17" s="14">
        <v>8.5</v>
      </c>
      <c r="M17" s="30">
        <v>49.176470588235297</v>
      </c>
      <c r="N17" s="15">
        <v>-3.352941176470587</v>
      </c>
      <c r="O17" s="16">
        <v>19</v>
      </c>
      <c r="P17" s="17">
        <v>166.82</v>
      </c>
      <c r="Q17" s="14">
        <v>29.363636363636363</v>
      </c>
      <c r="R17" s="16">
        <v>14.23529411764706</v>
      </c>
      <c r="S17" s="15">
        <v>6.0588235294117645</v>
      </c>
      <c r="T17" s="18">
        <v>17</v>
      </c>
      <c r="U17" s="17">
        <v>149.26</v>
      </c>
      <c r="V17" s="14">
        <v>187</v>
      </c>
      <c r="W17" s="16">
        <v>2</v>
      </c>
      <c r="X17" s="15">
        <v>15.545454545454545</v>
      </c>
      <c r="Y17" s="18">
        <v>8</v>
      </c>
      <c r="Z17" s="17">
        <v>70.239999999999995</v>
      </c>
      <c r="AA17" s="14">
        <v>15.111111111111111</v>
      </c>
      <c r="AB17" s="16">
        <v>11.647058823529411</v>
      </c>
      <c r="AC17" s="15">
        <v>-3.6470588235294112</v>
      </c>
      <c r="AD17" s="19">
        <v>78</v>
      </c>
      <c r="AE17" s="20">
        <v>684.83999999999992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7727</v>
      </c>
      <c r="F18" s="14">
        <v>4868.01</v>
      </c>
      <c r="G18" s="14">
        <v>9.2833215547703176</v>
      </c>
      <c r="H18" s="30">
        <v>18311.764705882353</v>
      </c>
      <c r="I18" s="15">
        <v>-596.52941176470631</v>
      </c>
      <c r="J18" s="16">
        <v>4517</v>
      </c>
      <c r="K18" s="13">
        <v>2845.71</v>
      </c>
      <c r="L18" s="14">
        <v>13.250905953408111</v>
      </c>
      <c r="M18" s="30">
        <v>7499.411764705882</v>
      </c>
      <c r="N18" s="15">
        <v>1108.1764705882351</v>
      </c>
      <c r="O18" s="16">
        <v>1205</v>
      </c>
      <c r="P18" s="17">
        <v>759.15</v>
      </c>
      <c r="Q18" s="14">
        <v>21.654334038054969</v>
      </c>
      <c r="R18" s="16">
        <v>1224.2352941176471</v>
      </c>
      <c r="S18" s="15">
        <v>92.058823529411711</v>
      </c>
      <c r="T18" s="18">
        <v>2416</v>
      </c>
      <c r="U18" s="17">
        <v>1522.08</v>
      </c>
      <c r="V18" s="14">
        <v>15.077826725403817</v>
      </c>
      <c r="W18" s="16">
        <v>3525.1764705882356</v>
      </c>
      <c r="X18" s="15">
        <v>-147.76470588235316</v>
      </c>
      <c r="Y18" s="18">
        <v>179</v>
      </c>
      <c r="Z18" s="17">
        <v>112.77</v>
      </c>
      <c r="AA18" s="14">
        <v>13.230434782608695</v>
      </c>
      <c r="AB18" s="16">
        <v>297.64705882352939</v>
      </c>
      <c r="AC18" s="15">
        <v>-118.64705882352939</v>
      </c>
      <c r="AD18" s="19">
        <v>16044</v>
      </c>
      <c r="AE18" s="20">
        <v>10107.719999999999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461</v>
      </c>
      <c r="F19" s="14">
        <v>290.43</v>
      </c>
      <c r="G19" s="14">
        <v>7.4496197718631176</v>
      </c>
      <c r="H19" s="30">
        <v>1361.4117647058824</v>
      </c>
      <c r="I19" s="15">
        <v>-157.82352941176475</v>
      </c>
      <c r="J19" s="16">
        <v>199</v>
      </c>
      <c r="K19" s="13">
        <v>125.37</v>
      </c>
      <c r="L19" s="14">
        <v>3.5093360995850622</v>
      </c>
      <c r="M19" s="30">
        <v>1247.5294117647059</v>
      </c>
      <c r="N19" s="15">
        <v>-368.05882352941171</v>
      </c>
      <c r="O19" s="16">
        <v>139</v>
      </c>
      <c r="P19" s="17">
        <v>87.570000000000007</v>
      </c>
      <c r="Q19" s="14">
        <v>29.911392405063289</v>
      </c>
      <c r="R19" s="16">
        <v>102.23529411764707</v>
      </c>
      <c r="S19" s="15">
        <v>46.058823529411754</v>
      </c>
      <c r="T19" s="18">
        <v>227</v>
      </c>
      <c r="U19" s="17">
        <v>143.01</v>
      </c>
      <c r="V19" s="14">
        <v>17.701834862385319</v>
      </c>
      <c r="W19" s="16">
        <v>282.11764705882354</v>
      </c>
      <c r="X19" s="15">
        <v>21.823529411764696</v>
      </c>
      <c r="Y19" s="18">
        <v>133</v>
      </c>
      <c r="Z19" s="17">
        <v>83.79</v>
      </c>
      <c r="AA19" s="14">
        <v>12.994252873563219</v>
      </c>
      <c r="AB19" s="16">
        <v>225.17647058823528</v>
      </c>
      <c r="AC19" s="15">
        <v>-92.176470588235276</v>
      </c>
      <c r="AD19" s="19">
        <v>1159</v>
      </c>
      <c r="AE19" s="20">
        <v>730.17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1117</v>
      </c>
      <c r="F20" s="14">
        <v>703.71</v>
      </c>
      <c r="G20" s="14">
        <v>8.248913987836664</v>
      </c>
      <c r="H20" s="30">
        <v>2979.0588235294117</v>
      </c>
      <c r="I20" s="15">
        <v>-237.11764705882342</v>
      </c>
      <c r="J20" s="16">
        <v>2171</v>
      </c>
      <c r="K20" s="13">
        <v>1367.73</v>
      </c>
      <c r="L20" s="14">
        <v>16.527989252127185</v>
      </c>
      <c r="M20" s="30">
        <v>2889.7647058823527</v>
      </c>
      <c r="N20" s="15">
        <v>857.47058823529414</v>
      </c>
      <c r="O20" s="16">
        <v>241</v>
      </c>
      <c r="P20" s="17">
        <v>151.83000000000001</v>
      </c>
      <c r="Q20" s="14">
        <v>25.767295597484274</v>
      </c>
      <c r="R20" s="16">
        <v>205.76470588235296</v>
      </c>
      <c r="S20" s="15">
        <v>53.941176470588232</v>
      </c>
      <c r="T20" s="18">
        <v>584</v>
      </c>
      <c r="U20" s="17">
        <v>367.92</v>
      </c>
      <c r="V20" s="14">
        <v>21.724288840262584</v>
      </c>
      <c r="W20" s="16">
        <v>591.41176470588232</v>
      </c>
      <c r="X20" s="15">
        <v>153.88235294117652</v>
      </c>
      <c r="Y20" s="18">
        <v>199</v>
      </c>
      <c r="Z20" s="17">
        <v>125.37</v>
      </c>
      <c r="AA20" s="14">
        <v>15.447488584474886</v>
      </c>
      <c r="AB20" s="16">
        <v>283.41176470588238</v>
      </c>
      <c r="AC20" s="15">
        <v>-84.411764705882376</v>
      </c>
      <c r="AD20" s="19">
        <v>4312</v>
      </c>
      <c r="AE20" s="20">
        <v>2716.56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2444</v>
      </c>
      <c r="F21" s="14">
        <v>2663.96</v>
      </c>
      <c r="G21" s="14">
        <v>7.8853672423609797</v>
      </c>
      <c r="H21" s="30">
        <v>6818.7058823529414</v>
      </c>
      <c r="I21" s="15">
        <v>-655.41176470588243</v>
      </c>
      <c r="J21" s="16">
        <v>3085</v>
      </c>
      <c r="K21" s="13">
        <v>3362.65</v>
      </c>
      <c r="L21" s="14">
        <v>8.9710913445090661</v>
      </c>
      <c r="M21" s="30">
        <v>7565.411764705882</v>
      </c>
      <c r="N21" s="15">
        <v>-353.82352941176487</v>
      </c>
      <c r="O21" s="16">
        <v>605</v>
      </c>
      <c r="P21" s="17">
        <v>659.45</v>
      </c>
      <c r="Q21" s="14">
        <v>22.118279569892476</v>
      </c>
      <c r="R21" s="16">
        <v>601.76470588235293</v>
      </c>
      <c r="S21" s="15">
        <v>57.941176470588289</v>
      </c>
      <c r="T21" s="18">
        <v>1234</v>
      </c>
      <c r="U21" s="17">
        <v>1345.0600000000002</v>
      </c>
      <c r="V21" s="14">
        <v>15.643549589858315</v>
      </c>
      <c r="W21" s="16">
        <v>1735.4117647058822</v>
      </c>
      <c r="X21" s="15">
        <v>-28.117647058823422</v>
      </c>
      <c r="Y21" s="18">
        <v>206</v>
      </c>
      <c r="Z21" s="17">
        <v>224.54000000000002</v>
      </c>
      <c r="AA21" s="14">
        <v>11.012578616352201</v>
      </c>
      <c r="AB21" s="16">
        <v>411.52941176470591</v>
      </c>
      <c r="AC21" s="15">
        <v>-205.52941176470591</v>
      </c>
      <c r="AD21" s="19">
        <v>7574</v>
      </c>
      <c r="AE21" s="20">
        <v>8255.66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1395</v>
      </c>
      <c r="F22" s="14">
        <v>1520.5500000000002</v>
      </c>
      <c r="G22" s="14">
        <v>7.6648351648351651</v>
      </c>
      <c r="H22" s="30">
        <v>4004</v>
      </c>
      <c r="I22" s="15">
        <v>-425</v>
      </c>
      <c r="J22" s="16">
        <v>3300</v>
      </c>
      <c r="K22" s="13">
        <v>3597.0000000000005</v>
      </c>
      <c r="L22" s="14">
        <v>21.090225563909776</v>
      </c>
      <c r="M22" s="30">
        <v>3442.3529411764707</v>
      </c>
      <c r="N22" s="15">
        <v>1735.2941176470588</v>
      </c>
      <c r="O22" s="16">
        <v>129</v>
      </c>
      <c r="P22" s="17">
        <v>140.61000000000001</v>
      </c>
      <c r="Q22" s="14">
        <v>15.891304347826088</v>
      </c>
      <c r="R22" s="16">
        <v>178.58823529411762</v>
      </c>
      <c r="S22" s="15">
        <v>-33.35294117647058</v>
      </c>
      <c r="T22" s="18">
        <v>409</v>
      </c>
      <c r="U22" s="17">
        <v>445.81000000000006</v>
      </c>
      <c r="V22" s="14">
        <v>16.673860911270978</v>
      </c>
      <c r="W22" s="16">
        <v>539.64705882352951</v>
      </c>
      <c r="X22" s="15">
        <v>16.529411764705799</v>
      </c>
      <c r="Y22" s="18">
        <v>107</v>
      </c>
      <c r="Z22" s="17">
        <v>116.63000000000001</v>
      </c>
      <c r="AA22" s="14">
        <v>19.771739130434781</v>
      </c>
      <c r="AB22" s="16">
        <v>119.05882352941177</v>
      </c>
      <c r="AC22" s="15">
        <v>-12.058823529411768</v>
      </c>
      <c r="AD22" s="19">
        <v>5340</v>
      </c>
      <c r="AE22" s="20">
        <v>5820.6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21486</v>
      </c>
      <c r="F23" s="14">
        <v>24923.759999999998</v>
      </c>
      <c r="G23" s="14">
        <v>12.97740353869111</v>
      </c>
      <c r="H23" s="30">
        <v>36424.23529411765</v>
      </c>
      <c r="I23" s="15">
        <v>-3348.7058823529442</v>
      </c>
      <c r="J23" s="16">
        <v>14839</v>
      </c>
      <c r="K23" s="13">
        <v>17213.239999999998</v>
      </c>
      <c r="L23" s="14">
        <v>15.209393464367539</v>
      </c>
      <c r="M23" s="30">
        <v>21464.235294117647</v>
      </c>
      <c r="N23" s="15">
        <v>5082.5294117647063</v>
      </c>
      <c r="O23" s="16">
        <v>3044</v>
      </c>
      <c r="P23" s="17">
        <v>3531.04</v>
      </c>
      <c r="Q23" s="14">
        <v>20.649640861931367</v>
      </c>
      <c r="R23" s="16">
        <v>3243.0588235294117</v>
      </c>
      <c r="S23" s="15">
        <v>95.764705882353155</v>
      </c>
      <c r="T23" s="18">
        <v>8360</v>
      </c>
      <c r="U23" s="17">
        <v>9697.5999999999985</v>
      </c>
      <c r="V23" s="14">
        <v>14.861445153194605</v>
      </c>
      <c r="W23" s="16">
        <v>12375.647058823528</v>
      </c>
      <c r="X23" s="15">
        <v>-640.47058823529369</v>
      </c>
      <c r="Y23" s="18">
        <v>1</v>
      </c>
      <c r="Z23" s="17">
        <v>1.1599999999999999</v>
      </c>
      <c r="AA23" s="14">
        <v>1.8660812294182216E-2</v>
      </c>
      <c r="AB23" s="16">
        <v>1178.9411764705883</v>
      </c>
      <c r="AC23" s="15">
        <v>-1177.9411764705883</v>
      </c>
      <c r="AD23" s="19">
        <v>47730</v>
      </c>
      <c r="AE23" s="20">
        <v>55366.799999999996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8777</v>
      </c>
      <c r="F24" s="14">
        <v>10181.32</v>
      </c>
      <c r="G24" s="14">
        <v>8.0371128467546455</v>
      </c>
      <c r="H24" s="30">
        <v>24025.294117647056</v>
      </c>
      <c r="I24" s="15">
        <v>-2143.5882352941171</v>
      </c>
      <c r="J24" s="16">
        <v>13886</v>
      </c>
      <c r="K24" s="13">
        <v>16107.759999999998</v>
      </c>
      <c r="L24" s="14">
        <v>23.458412004372452</v>
      </c>
      <c r="M24" s="30">
        <v>13022.705882352942</v>
      </c>
      <c r="N24" s="15">
        <v>7966.5882352941171</v>
      </c>
      <c r="O24" s="16">
        <v>1743</v>
      </c>
      <c r="P24" s="17">
        <v>2021.8799999999999</v>
      </c>
      <c r="Q24" s="14">
        <v>19.940107671601616</v>
      </c>
      <c r="R24" s="16">
        <v>1923.0588235294117</v>
      </c>
      <c r="S24" s="15">
        <v>-5.2352941176468448</v>
      </c>
      <c r="T24" s="18">
        <v>4623</v>
      </c>
      <c r="U24" s="17">
        <v>5362.6799999999994</v>
      </c>
      <c r="V24" s="14">
        <v>15.699360767079503</v>
      </c>
      <c r="W24" s="16">
        <v>6478.3529411764712</v>
      </c>
      <c r="X24" s="15">
        <v>-88.52941176470631</v>
      </c>
      <c r="Y24" s="18">
        <v>298</v>
      </c>
      <c r="Z24" s="17">
        <v>345.67999999999995</v>
      </c>
      <c r="AA24" s="14">
        <v>7.965408805031446</v>
      </c>
      <c r="AB24" s="16">
        <v>823.05882352941182</v>
      </c>
      <c r="AC24" s="15">
        <v>-525.05882352941182</v>
      </c>
      <c r="AD24" s="19">
        <v>29327</v>
      </c>
      <c r="AE24" s="20">
        <v>34019.32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9487</v>
      </c>
      <c r="F25" s="14">
        <v>11004.92</v>
      </c>
      <c r="G25" s="14">
        <v>8.9212855404358891</v>
      </c>
      <c r="H25" s="30">
        <v>23395.058823529413</v>
      </c>
      <c r="I25" s="15">
        <v>-1147.1176470588252</v>
      </c>
      <c r="J25" s="16">
        <v>10090</v>
      </c>
      <c r="K25" s="13">
        <v>11704.4</v>
      </c>
      <c r="L25" s="14">
        <v>15.907446907168692</v>
      </c>
      <c r="M25" s="30">
        <v>13954.470588235294</v>
      </c>
      <c r="N25" s="15">
        <v>3747.0588235294126</v>
      </c>
      <c r="O25" s="16">
        <v>2157</v>
      </c>
      <c r="P25" s="17">
        <v>2502.12</v>
      </c>
      <c r="Q25" s="14">
        <v>20.417037861915368</v>
      </c>
      <c r="R25" s="16">
        <v>2324.2352941176468</v>
      </c>
      <c r="S25" s="15">
        <v>44.058823529411711</v>
      </c>
      <c r="T25" s="18">
        <v>4700</v>
      </c>
      <c r="U25" s="17">
        <v>5452</v>
      </c>
      <c r="V25" s="14">
        <v>15.648256952604777</v>
      </c>
      <c r="W25" s="16">
        <v>6607.7647058823532</v>
      </c>
      <c r="X25" s="15">
        <v>-105.64705882352973</v>
      </c>
      <c r="Y25" s="18">
        <v>512</v>
      </c>
      <c r="Z25" s="17">
        <v>593.91999999999996</v>
      </c>
      <c r="AA25" s="14">
        <v>19.256637168141591</v>
      </c>
      <c r="AB25" s="16">
        <v>584.94117647058829</v>
      </c>
      <c r="AC25" s="15">
        <v>-72.941176470588289</v>
      </c>
      <c r="AD25" s="19">
        <v>26946</v>
      </c>
      <c r="AE25" s="20">
        <v>31257.359999999997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16443</v>
      </c>
      <c r="F26" s="14">
        <v>19073.879999999997</v>
      </c>
      <c r="G26" s="14">
        <v>11.838514314755209</v>
      </c>
      <c r="H26" s="30">
        <v>30556.705882352944</v>
      </c>
      <c r="I26" s="15">
        <v>-4391.1176470588252</v>
      </c>
      <c r="J26" s="16">
        <v>13264</v>
      </c>
      <c r="K26" s="13">
        <v>15386.24</v>
      </c>
      <c r="L26" s="14">
        <v>17.836418288245532</v>
      </c>
      <c r="M26" s="30">
        <v>16360.235294117647</v>
      </c>
      <c r="N26" s="15">
        <v>5827.5294117647063</v>
      </c>
      <c r="O26" s="16">
        <v>1693</v>
      </c>
      <c r="P26" s="17">
        <v>1963.8799999999999</v>
      </c>
      <c r="Q26" s="14">
        <v>20.239803094233476</v>
      </c>
      <c r="R26" s="16">
        <v>1840.2352941176468</v>
      </c>
      <c r="S26" s="15">
        <v>20.058823529411939</v>
      </c>
      <c r="T26" s="18">
        <v>5575</v>
      </c>
      <c r="U26" s="17">
        <v>6467</v>
      </c>
      <c r="V26" s="14">
        <v>14.799344159900061</v>
      </c>
      <c r="W26" s="16">
        <v>8287.5294117647063</v>
      </c>
      <c r="X26" s="15">
        <v>-452.29411764705947</v>
      </c>
      <c r="Y26" s="18">
        <v>394</v>
      </c>
      <c r="Z26" s="17">
        <v>457.03999999999996</v>
      </c>
      <c r="AA26" s="14">
        <v>9.3417015341701521</v>
      </c>
      <c r="AB26" s="16">
        <v>927.88235294117658</v>
      </c>
      <c r="AC26" s="15">
        <v>-533.88235294117658</v>
      </c>
      <c r="AD26" s="19">
        <v>37369</v>
      </c>
      <c r="AE26" s="20">
        <v>43348.039999999994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2716</v>
      </c>
      <c r="F27" s="14">
        <v>3150.56</v>
      </c>
      <c r="G27" s="14">
        <v>7.6254335260115607</v>
      </c>
      <c r="H27" s="30">
        <v>7835.8823529411766</v>
      </c>
      <c r="I27" s="15">
        <v>-845.76470588235316</v>
      </c>
      <c r="J27" s="16">
        <v>4705</v>
      </c>
      <c r="K27" s="13">
        <v>5457.7999999999993</v>
      </c>
      <c r="L27" s="14">
        <v>23.545775684427436</v>
      </c>
      <c r="M27" s="30">
        <v>4396.1176470588234</v>
      </c>
      <c r="N27" s="15">
        <v>2706.7647058823532</v>
      </c>
      <c r="O27" s="16">
        <v>628</v>
      </c>
      <c r="P27" s="17">
        <v>728.4799999999999</v>
      </c>
      <c r="Q27" s="14">
        <v>21.309381237524953</v>
      </c>
      <c r="R27" s="16">
        <v>648.35294117647049</v>
      </c>
      <c r="S27" s="15">
        <v>38.588235294117794</v>
      </c>
      <c r="T27" s="18">
        <v>1890</v>
      </c>
      <c r="U27" s="17">
        <v>2192.3999999999996</v>
      </c>
      <c r="V27" s="14">
        <v>15.657894736842106</v>
      </c>
      <c r="W27" s="16">
        <v>2655.5294117647059</v>
      </c>
      <c r="X27" s="15">
        <v>-41.294117647058783</v>
      </c>
      <c r="Y27" s="18">
        <v>392</v>
      </c>
      <c r="Z27" s="17">
        <v>454.71999999999997</v>
      </c>
      <c r="AA27" s="14">
        <v>32.349514563106794</v>
      </c>
      <c r="AB27" s="16">
        <v>266.58823529411762</v>
      </c>
      <c r="AC27" s="15">
        <v>125.41176470588238</v>
      </c>
      <c r="AD27" s="19">
        <v>10331</v>
      </c>
      <c r="AE27" s="20">
        <v>11983.96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2342</v>
      </c>
      <c r="F28" s="14">
        <v>2716.72</v>
      </c>
      <c r="G28" s="14">
        <v>6.5429745275267051</v>
      </c>
      <c r="H28" s="30">
        <v>7874.7058823529414</v>
      </c>
      <c r="I28" s="15">
        <v>-1237.4117647058824</v>
      </c>
      <c r="J28" s="16">
        <v>7242</v>
      </c>
      <c r="K28" s="13">
        <v>8400.7199999999993</v>
      </c>
      <c r="L28" s="14">
        <v>25.793840351979888</v>
      </c>
      <c r="M28" s="30">
        <v>6176.823529411764</v>
      </c>
      <c r="N28" s="15">
        <v>4434.3529411764703</v>
      </c>
      <c r="O28" s="16">
        <v>821</v>
      </c>
      <c r="P28" s="17">
        <v>952.3599999999999</v>
      </c>
      <c r="Q28" s="14">
        <v>20.464809384164223</v>
      </c>
      <c r="R28" s="16">
        <v>882.58823529411768</v>
      </c>
      <c r="S28" s="15">
        <v>18.647058823529392</v>
      </c>
      <c r="T28" s="18">
        <v>2205</v>
      </c>
      <c r="U28" s="17">
        <v>2557.7999999999997</v>
      </c>
      <c r="V28" s="14">
        <v>15.3125</v>
      </c>
      <c r="W28" s="16">
        <v>3168</v>
      </c>
      <c r="X28" s="15">
        <v>-99</v>
      </c>
      <c r="Y28" s="18">
        <v>304</v>
      </c>
      <c r="Z28" s="17">
        <v>352.64</v>
      </c>
      <c r="AA28" s="14">
        <v>17.638225255972696</v>
      </c>
      <c r="AB28" s="16">
        <v>379.17647058823525</v>
      </c>
      <c r="AC28" s="15">
        <v>-75.176470588235247</v>
      </c>
      <c r="AD28" s="19">
        <v>12914</v>
      </c>
      <c r="AE28" s="20">
        <v>14980.24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2489</v>
      </c>
      <c r="F29" s="14">
        <v>2887.24</v>
      </c>
      <c r="G29" s="14">
        <v>6.4600000000000009</v>
      </c>
      <c r="H29" s="30">
        <v>8476.4705882352937</v>
      </c>
      <c r="I29" s="15">
        <v>-1363.9411764705878</v>
      </c>
      <c r="J29" s="16">
        <v>696</v>
      </c>
      <c r="K29" s="13">
        <v>807.3599999999999</v>
      </c>
      <c r="L29" s="14">
        <v>2.5571644694186295</v>
      </c>
      <c r="M29" s="30">
        <v>5987.8823529411766</v>
      </c>
      <c r="N29" s="15">
        <v>-2025.7647058823532</v>
      </c>
      <c r="O29" s="16">
        <v>832</v>
      </c>
      <c r="P29" s="17">
        <v>965.11999999999989</v>
      </c>
      <c r="Q29" s="14">
        <v>20.205714285714283</v>
      </c>
      <c r="R29" s="16">
        <v>905.88235294117658</v>
      </c>
      <c r="S29" s="15">
        <v>8.4705882352940307</v>
      </c>
      <c r="T29" s="18">
        <v>1513</v>
      </c>
      <c r="U29" s="17">
        <v>1755.08</v>
      </c>
      <c r="V29" s="14">
        <v>10.288399999999999</v>
      </c>
      <c r="W29" s="16">
        <v>3235.294117647059</v>
      </c>
      <c r="X29" s="15">
        <v>-839.94117647058829</v>
      </c>
      <c r="Y29" s="18">
        <v>320</v>
      </c>
      <c r="Z29" s="17">
        <v>371.2</v>
      </c>
      <c r="AA29" s="14">
        <v>19.359430604982204</v>
      </c>
      <c r="AB29" s="16">
        <v>363.64705882352945</v>
      </c>
      <c r="AC29" s="15">
        <v>-43.647058823529449</v>
      </c>
      <c r="AD29" s="19">
        <v>5850</v>
      </c>
      <c r="AE29" s="20">
        <v>6785.9999999999991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141</v>
      </c>
      <c r="F30" s="14">
        <v>518.88</v>
      </c>
      <c r="G30" s="14">
        <v>1.3069792802617233</v>
      </c>
      <c r="H30" s="30">
        <v>2373.411764705882</v>
      </c>
      <c r="I30" s="15">
        <v>-937.82352941176441</v>
      </c>
      <c r="J30" s="16">
        <v>211</v>
      </c>
      <c r="K30" s="13">
        <v>776.48</v>
      </c>
      <c r="L30" s="14">
        <v>1.6785212915301826</v>
      </c>
      <c r="M30" s="30">
        <v>2765.5294117647059</v>
      </c>
      <c r="N30" s="15">
        <v>-1046.0588235294117</v>
      </c>
      <c r="O30" s="16">
        <v>135</v>
      </c>
      <c r="P30" s="17">
        <v>496.8</v>
      </c>
      <c r="Q30" s="14">
        <v>21.055045871559631</v>
      </c>
      <c r="R30" s="16">
        <v>141.05882352941177</v>
      </c>
      <c r="S30" s="15">
        <v>6.7647058823529278</v>
      </c>
      <c r="T30" s="18">
        <v>486</v>
      </c>
      <c r="U30" s="17">
        <v>1788.48</v>
      </c>
      <c r="V30" s="14">
        <v>16.524000000000001</v>
      </c>
      <c r="W30" s="16">
        <v>647.05882352941171</v>
      </c>
      <c r="X30" s="15">
        <v>15.411764705882376</v>
      </c>
      <c r="Y30" s="18">
        <v>0</v>
      </c>
      <c r="Z30" s="17">
        <v>0</v>
      </c>
      <c r="AA30" s="14">
        <v>0</v>
      </c>
      <c r="AB30" s="16">
        <v>120.35294117647059</v>
      </c>
      <c r="AC30" s="15">
        <v>-120.35294117647059</v>
      </c>
      <c r="AD30" s="19">
        <v>973</v>
      </c>
      <c r="AE30" s="20">
        <v>3580.6400000000003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342</v>
      </c>
      <c r="F31" s="14">
        <v>1258.56</v>
      </c>
      <c r="G31" s="14">
        <v>7.0132689987937287</v>
      </c>
      <c r="H31" s="30">
        <v>1072.8235294117646</v>
      </c>
      <c r="I31" s="15">
        <v>-145.64705882352933</v>
      </c>
      <c r="J31" s="16">
        <v>503</v>
      </c>
      <c r="K31" s="13">
        <v>1851.0400000000002</v>
      </c>
      <c r="L31" s="14">
        <v>7.0903814262023221</v>
      </c>
      <c r="M31" s="30">
        <v>1560.705882352941</v>
      </c>
      <c r="N31" s="15">
        <v>-206.41176470588232</v>
      </c>
      <c r="O31" s="16">
        <v>34</v>
      </c>
      <c r="P31" s="17">
        <v>125.12</v>
      </c>
      <c r="Q31" s="14">
        <v>32.111111111111114</v>
      </c>
      <c r="R31" s="16">
        <v>23.294117647058822</v>
      </c>
      <c r="S31" s="15">
        <v>12.823529411764707</v>
      </c>
      <c r="T31" s="18">
        <v>143</v>
      </c>
      <c r="U31" s="17">
        <v>526.24</v>
      </c>
      <c r="V31" s="14">
        <v>16.425675675675677</v>
      </c>
      <c r="W31" s="16">
        <v>191.52941176470586</v>
      </c>
      <c r="X31" s="15">
        <v>3.7058823529411882</v>
      </c>
      <c r="Y31" s="18">
        <v>44</v>
      </c>
      <c r="Z31" s="17">
        <v>161.92000000000002</v>
      </c>
      <c r="AA31" s="14">
        <v>31.166666666666664</v>
      </c>
      <c r="AB31" s="16">
        <v>31.058823529411768</v>
      </c>
      <c r="AC31" s="15">
        <v>12.941176470588232</v>
      </c>
      <c r="AD31" s="19">
        <v>1066</v>
      </c>
      <c r="AE31" s="20">
        <v>3922.88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1687</v>
      </c>
      <c r="F32" s="14">
        <v>7001.05</v>
      </c>
      <c r="G32" s="14">
        <v>7.5253214379427966</v>
      </c>
      <c r="H32" s="30">
        <v>4931.8823529411766</v>
      </c>
      <c r="I32" s="15">
        <v>-554.76470588235316</v>
      </c>
      <c r="J32" s="16">
        <v>395</v>
      </c>
      <c r="K32" s="13">
        <v>1639.2500000000002</v>
      </c>
      <c r="L32" s="14">
        <v>2.0912488321395206</v>
      </c>
      <c r="M32" s="30">
        <v>4155.411764705882</v>
      </c>
      <c r="N32" s="15">
        <v>-1493.8235294117646</v>
      </c>
      <c r="O32" s="16">
        <v>289</v>
      </c>
      <c r="P32" s="17">
        <v>1199.3500000000001</v>
      </c>
      <c r="Q32" s="14">
        <v>19.971544715447155</v>
      </c>
      <c r="R32" s="16">
        <v>318.35294117647061</v>
      </c>
      <c r="S32" s="15">
        <v>-0.41176470588237635</v>
      </c>
      <c r="T32" s="18">
        <v>1290</v>
      </c>
      <c r="U32" s="17">
        <v>5353.5000000000009</v>
      </c>
      <c r="V32" s="14">
        <v>15.389473684210525</v>
      </c>
      <c r="W32" s="16">
        <v>1844.1176470588236</v>
      </c>
      <c r="X32" s="15">
        <v>-51.176470588235361</v>
      </c>
      <c r="Y32" s="18">
        <v>283</v>
      </c>
      <c r="Z32" s="17">
        <v>1174.45</v>
      </c>
      <c r="AA32" s="14">
        <v>71.805970149253724</v>
      </c>
      <c r="AB32" s="16">
        <v>86.705882352941188</v>
      </c>
      <c r="AC32" s="15">
        <v>196.29411764705881</v>
      </c>
      <c r="AD32" s="19">
        <v>3944</v>
      </c>
      <c r="AE32" s="20">
        <v>16367.600000000002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3021</v>
      </c>
      <c r="F33" s="14">
        <v>12537.150000000001</v>
      </c>
      <c r="G33" s="14">
        <v>6.8284802552852009</v>
      </c>
      <c r="H33" s="30">
        <v>9733.0588235294126</v>
      </c>
      <c r="I33" s="15">
        <v>-1403.1176470588234</v>
      </c>
      <c r="J33" s="16">
        <v>1349</v>
      </c>
      <c r="K33" s="13">
        <v>5598.35</v>
      </c>
      <c r="L33" s="14">
        <v>4.866935483870968</v>
      </c>
      <c r="M33" s="30">
        <v>6097.8823529411766</v>
      </c>
      <c r="N33" s="15">
        <v>-1422.7647058823532</v>
      </c>
      <c r="O33" s="16">
        <v>395</v>
      </c>
      <c r="P33" s="17">
        <v>1639.2500000000002</v>
      </c>
      <c r="Q33" s="14">
        <v>19.520348837209305</v>
      </c>
      <c r="R33" s="16">
        <v>445.17647058823525</v>
      </c>
      <c r="S33" s="15">
        <v>-9.7058823529411598</v>
      </c>
      <c r="T33" s="18">
        <v>1696</v>
      </c>
      <c r="U33" s="17">
        <v>7038.4000000000005</v>
      </c>
      <c r="V33" s="14">
        <v>15.644058600108519</v>
      </c>
      <c r="W33" s="16">
        <v>2385.0588235294117</v>
      </c>
      <c r="X33" s="15">
        <v>-38.588235294117567</v>
      </c>
      <c r="Y33" s="18">
        <v>30</v>
      </c>
      <c r="Z33" s="17">
        <v>124.50000000000001</v>
      </c>
      <c r="AA33" s="14">
        <v>2.2566371681415927</v>
      </c>
      <c r="AB33" s="16">
        <v>292.47058823529414</v>
      </c>
      <c r="AC33" s="15">
        <v>-262.47058823529414</v>
      </c>
      <c r="AD33" s="19">
        <v>6491</v>
      </c>
      <c r="AE33" s="20">
        <v>26937.65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798</v>
      </c>
      <c r="F34" s="14">
        <v>3311.7000000000003</v>
      </c>
      <c r="G34" s="14">
        <v>15.242696629213484</v>
      </c>
      <c r="H34" s="30">
        <v>1151.7647058823529</v>
      </c>
      <c r="I34" s="15">
        <v>274.47058823529414</v>
      </c>
      <c r="J34" s="16">
        <v>256</v>
      </c>
      <c r="K34" s="13">
        <v>1062.4000000000001</v>
      </c>
      <c r="L34" s="14">
        <v>0</v>
      </c>
      <c r="M34" s="30">
        <v>0</v>
      </c>
      <c r="N34" s="15">
        <v>256</v>
      </c>
      <c r="O34" s="16">
        <v>48</v>
      </c>
      <c r="P34" s="17"/>
      <c r="Q34" s="14">
        <v>25.499999999999996</v>
      </c>
      <c r="R34" s="16">
        <v>41.411764705882355</v>
      </c>
      <c r="S34" s="15">
        <v>10.352941176470587</v>
      </c>
      <c r="T34" s="18">
        <v>122</v>
      </c>
      <c r="U34" s="17">
        <v>506.30000000000007</v>
      </c>
      <c r="V34" s="14">
        <v>18.854545454545455</v>
      </c>
      <c r="W34" s="16">
        <v>142.35294117647058</v>
      </c>
      <c r="X34" s="15">
        <v>18.47058823529413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1256</v>
      </c>
      <c r="AE34" s="20">
        <v>5212.4000000000005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56</v>
      </c>
      <c r="D35" s="12">
        <v>1.63</v>
      </c>
      <c r="E35" s="13">
        <v>2304</v>
      </c>
      <c r="F35" s="14">
        <v>3755.5199999999995</v>
      </c>
      <c r="G35" s="14">
        <v>5.4581939799331112</v>
      </c>
      <c r="H35" s="30">
        <v>9286.5882352941171</v>
      </c>
      <c r="I35" s="15">
        <v>-1917.1764705882351</v>
      </c>
      <c r="J35" s="16">
        <v>1559</v>
      </c>
      <c r="K35" s="13">
        <v>2541.1699999999996</v>
      </c>
      <c r="L35" s="14">
        <v>9.0639534883720927</v>
      </c>
      <c r="M35" s="30">
        <v>3784</v>
      </c>
      <c r="N35" s="15">
        <v>-161</v>
      </c>
      <c r="O35" s="16">
        <v>775</v>
      </c>
      <c r="P35" s="17">
        <v>1263.25</v>
      </c>
      <c r="Q35" s="14">
        <v>20.979299363057326</v>
      </c>
      <c r="R35" s="16">
        <v>812.7058823529411</v>
      </c>
      <c r="S35" s="15">
        <v>36.176470588235361</v>
      </c>
      <c r="T35" s="18">
        <v>705</v>
      </c>
      <c r="U35" s="17">
        <v>1149.1499999999999</v>
      </c>
      <c r="V35" s="14">
        <v>16.531034482758621</v>
      </c>
      <c r="W35" s="16">
        <v>938.23529411764707</v>
      </c>
      <c r="X35" s="15">
        <v>22.647058823529392</v>
      </c>
      <c r="Y35" s="18">
        <v>260</v>
      </c>
      <c r="Z35" s="17">
        <v>423.79999999999995</v>
      </c>
      <c r="AA35" s="14">
        <v>19.732142857142858</v>
      </c>
      <c r="AB35" s="16">
        <v>289.88235294117646</v>
      </c>
      <c r="AC35" s="15">
        <v>-29.882352941176464</v>
      </c>
      <c r="AD35" s="19">
        <v>5603</v>
      </c>
      <c r="AE35" s="20">
        <v>9132.89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57</v>
      </c>
      <c r="D36" s="12">
        <v>1.63</v>
      </c>
      <c r="E36" s="13">
        <v>5615</v>
      </c>
      <c r="F36" s="14">
        <v>9152.4499999999989</v>
      </c>
      <c r="G36" s="14">
        <v>9.1695485110470702</v>
      </c>
      <c r="H36" s="30">
        <v>13471.764705882353</v>
      </c>
      <c r="I36" s="15">
        <v>-508.52941176470631</v>
      </c>
      <c r="J36" s="16">
        <v>2693</v>
      </c>
      <c r="K36" s="13">
        <v>4389.59</v>
      </c>
      <c r="L36" s="14">
        <v>11.473934837092731</v>
      </c>
      <c r="M36" s="30">
        <v>5163.5294117647063</v>
      </c>
      <c r="N36" s="15">
        <v>345.94117647058829</v>
      </c>
      <c r="O36" s="16">
        <v>1868</v>
      </c>
      <c r="P36" s="17">
        <v>3044.8399999999997</v>
      </c>
      <c r="Q36" s="14">
        <v>20.421864951768487</v>
      </c>
      <c r="R36" s="16">
        <v>2012.3529411764705</v>
      </c>
      <c r="S36" s="15">
        <v>38.588235294117567</v>
      </c>
      <c r="T36" s="18">
        <v>1649</v>
      </c>
      <c r="U36" s="17">
        <v>2687.87</v>
      </c>
      <c r="V36" s="14">
        <v>16.000570776255707</v>
      </c>
      <c r="W36" s="16">
        <v>2267.294117647059</v>
      </c>
      <c r="X36" s="15">
        <v>5.8823529411711206E-2</v>
      </c>
      <c r="Y36" s="18">
        <v>234</v>
      </c>
      <c r="Z36" s="17">
        <v>381.41999999999996</v>
      </c>
      <c r="AA36" s="14">
        <v>9.3820754716981138</v>
      </c>
      <c r="AB36" s="16">
        <v>548.70588235294122</v>
      </c>
      <c r="AC36" s="15">
        <v>-314.70588235294122</v>
      </c>
      <c r="AD36" s="19">
        <v>12059</v>
      </c>
      <c r="AE36" s="20">
        <v>19656.169999999998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58</v>
      </c>
      <c r="D37" s="12">
        <v>1.63</v>
      </c>
      <c r="E37" s="13">
        <v>1434</v>
      </c>
      <c r="F37" s="14">
        <v>2337.42</v>
      </c>
      <c r="G37" s="14">
        <v>4.942822384428224</v>
      </c>
      <c r="H37" s="30">
        <v>6382.588235294118</v>
      </c>
      <c r="I37" s="15">
        <v>-1467.1764705882351</v>
      </c>
      <c r="J37" s="16">
        <v>278</v>
      </c>
      <c r="K37" s="13">
        <v>453.14</v>
      </c>
      <c r="L37" s="14">
        <v>1.9329243353783232</v>
      </c>
      <c r="M37" s="30">
        <v>3164.1176470588234</v>
      </c>
      <c r="N37" s="15">
        <v>-1160.2352941176468</v>
      </c>
      <c r="O37" s="16">
        <v>1174</v>
      </c>
      <c r="P37" s="17">
        <v>1913.62</v>
      </c>
      <c r="Q37" s="14">
        <v>19.977977977977979</v>
      </c>
      <c r="R37" s="16">
        <v>1292.8235294117646</v>
      </c>
      <c r="S37" s="15">
        <v>-1.2941176470587834</v>
      </c>
      <c r="T37" s="18">
        <v>550</v>
      </c>
      <c r="U37" s="17">
        <v>896.49999999999989</v>
      </c>
      <c r="V37" s="14">
        <v>9.8008385744234801</v>
      </c>
      <c r="W37" s="16">
        <v>1234.5882352941176</v>
      </c>
      <c r="X37" s="15">
        <v>-347.88235294117646</v>
      </c>
      <c r="Y37" s="18">
        <v>0</v>
      </c>
      <c r="Z37" s="17">
        <v>0</v>
      </c>
      <c r="AA37" s="14">
        <v>0</v>
      </c>
      <c r="AB37" s="16">
        <v>318.35294117647061</v>
      </c>
      <c r="AC37" s="15">
        <v>-318.35294117647061</v>
      </c>
      <c r="AD37" s="19">
        <v>3436</v>
      </c>
      <c r="AE37" s="20">
        <v>5600.6799999999994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59</v>
      </c>
      <c r="D38" s="12">
        <v>1.63</v>
      </c>
      <c r="E38" s="13">
        <v>962</v>
      </c>
      <c r="F38" s="14">
        <v>1568.06</v>
      </c>
      <c r="G38" s="14">
        <v>5.0134886572654818</v>
      </c>
      <c r="H38" s="30">
        <v>4221.411764705882</v>
      </c>
      <c r="I38" s="15">
        <v>-956.82352941176464</v>
      </c>
      <c r="J38" s="16">
        <v>423</v>
      </c>
      <c r="K38" s="13">
        <v>689.49</v>
      </c>
      <c r="L38" s="14">
        <v>3.6484018264840183</v>
      </c>
      <c r="M38" s="30">
        <v>2550.705882352941</v>
      </c>
      <c r="N38" s="15">
        <v>-736.41176470588243</v>
      </c>
      <c r="O38" s="16">
        <v>761</v>
      </c>
      <c r="P38" s="17">
        <v>1240.4299999999998</v>
      </c>
      <c r="Q38" s="14">
        <v>19.872503840245773</v>
      </c>
      <c r="R38" s="16">
        <v>842.47058823529414</v>
      </c>
      <c r="S38" s="15">
        <v>-4.8823529411765776</v>
      </c>
      <c r="T38" s="18">
        <v>588</v>
      </c>
      <c r="U38" s="17">
        <v>958.43999999999994</v>
      </c>
      <c r="V38" s="14">
        <v>16.174757281553397</v>
      </c>
      <c r="W38" s="16">
        <v>799.76470588235293</v>
      </c>
      <c r="X38" s="15">
        <v>6.3529411764706083</v>
      </c>
      <c r="Y38" s="18">
        <v>170</v>
      </c>
      <c r="Z38" s="17">
        <v>277.09999999999997</v>
      </c>
      <c r="AA38" s="14">
        <v>6.6436781609195394</v>
      </c>
      <c r="AB38" s="16">
        <v>562.94117647058829</v>
      </c>
      <c r="AC38" s="15">
        <v>-392.94117647058829</v>
      </c>
      <c r="AD38" s="19">
        <v>2904</v>
      </c>
      <c r="AE38" s="20">
        <v>4733.5199999999995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60</v>
      </c>
      <c r="D39" s="12">
        <v>1.63</v>
      </c>
      <c r="E39" s="13">
        <v>1572</v>
      </c>
      <c r="F39" s="14">
        <v>2562.3599999999997</v>
      </c>
      <c r="G39" s="14">
        <v>18.044564483457123</v>
      </c>
      <c r="H39" s="30">
        <v>1916.5882352941178</v>
      </c>
      <c r="I39" s="15">
        <v>700.82352941176464</v>
      </c>
      <c r="J39" s="16">
        <v>2623</v>
      </c>
      <c r="K39" s="13">
        <v>4275.49</v>
      </c>
      <c r="L39" s="14">
        <v>45.041414141414137</v>
      </c>
      <c r="M39" s="30">
        <v>1281.1764705882354</v>
      </c>
      <c r="N39" s="15">
        <v>2040.6470588235293</v>
      </c>
      <c r="O39" s="16">
        <v>662</v>
      </c>
      <c r="P39" s="17">
        <v>1079.06</v>
      </c>
      <c r="Q39" s="14">
        <v>22.598393574297187</v>
      </c>
      <c r="R39" s="16">
        <v>644.47058823529414</v>
      </c>
      <c r="S39" s="15">
        <v>76.117647058823422</v>
      </c>
      <c r="T39" s="18">
        <v>847</v>
      </c>
      <c r="U39" s="17">
        <v>1380.61</v>
      </c>
      <c r="V39" s="14">
        <v>16.178651685393259</v>
      </c>
      <c r="W39" s="16">
        <v>1151.7647058823529</v>
      </c>
      <c r="X39" s="15">
        <v>9.3529411764706083</v>
      </c>
      <c r="Y39" s="18">
        <v>446</v>
      </c>
      <c r="Z39" s="17">
        <v>726.9799999999999</v>
      </c>
      <c r="AA39" s="14">
        <v>106.78873239436619</v>
      </c>
      <c r="AB39" s="16">
        <v>91.882352941176478</v>
      </c>
      <c r="AC39" s="15">
        <v>354.11764705882354</v>
      </c>
      <c r="AD39" s="19">
        <v>6150</v>
      </c>
      <c r="AE39" s="20">
        <v>10024.5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61</v>
      </c>
      <c r="D40" s="12">
        <v>1.63</v>
      </c>
      <c r="E40" s="13">
        <v>1346</v>
      </c>
      <c r="F40" s="14">
        <v>2193.98</v>
      </c>
      <c r="G40" s="14">
        <v>11.728344438749359</v>
      </c>
      <c r="H40" s="30">
        <v>2524.8235294117649</v>
      </c>
      <c r="I40" s="15">
        <v>198.35294117647049</v>
      </c>
      <c r="J40" s="16">
        <v>1728</v>
      </c>
      <c r="K40" s="13">
        <v>2816.64</v>
      </c>
      <c r="L40" s="14">
        <v>25.129170230966636</v>
      </c>
      <c r="M40" s="30">
        <v>1512.8235294117646</v>
      </c>
      <c r="N40" s="15">
        <v>1040.3529411764707</v>
      </c>
      <c r="O40" s="16">
        <v>812</v>
      </c>
      <c r="P40" s="17">
        <v>1323.56</v>
      </c>
      <c r="Q40" s="14">
        <v>22.157303370786515</v>
      </c>
      <c r="R40" s="16">
        <v>806.23529411764707</v>
      </c>
      <c r="S40" s="15">
        <v>79.058823529411711</v>
      </c>
      <c r="T40" s="18">
        <v>981</v>
      </c>
      <c r="U40" s="17">
        <v>1599.03</v>
      </c>
      <c r="V40" s="14">
        <v>15.897998093422308</v>
      </c>
      <c r="W40" s="16">
        <v>1357.5294117647059</v>
      </c>
      <c r="X40" s="15">
        <v>-6.2941176470587834</v>
      </c>
      <c r="Y40" s="18">
        <v>460</v>
      </c>
      <c r="Z40" s="17">
        <v>749.8</v>
      </c>
      <c r="AA40" s="14">
        <v>113.33333333333334</v>
      </c>
      <c r="AB40" s="16">
        <v>89.294117647058812</v>
      </c>
      <c r="AC40" s="15">
        <v>370.70588235294122</v>
      </c>
      <c r="AD40" s="19">
        <v>5327</v>
      </c>
      <c r="AE40" s="20">
        <v>8683.01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62</v>
      </c>
      <c r="D41" s="12">
        <v>6.15</v>
      </c>
      <c r="E41" s="13">
        <v>492</v>
      </c>
      <c r="F41" s="14">
        <v>3025.8</v>
      </c>
      <c r="G41" s="14">
        <v>7.1365187713310583</v>
      </c>
      <c r="H41" s="30">
        <v>1516.705882352941</v>
      </c>
      <c r="I41" s="15">
        <v>-197.41176470588232</v>
      </c>
      <c r="J41" s="16">
        <v>268</v>
      </c>
      <c r="K41" s="13">
        <v>1648.2</v>
      </c>
      <c r="L41" s="14">
        <v>6.5743145743145739</v>
      </c>
      <c r="M41" s="30">
        <v>896.82352941176475</v>
      </c>
      <c r="N41" s="15">
        <v>-139.64705882352939</v>
      </c>
      <c r="O41" s="16">
        <v>112</v>
      </c>
      <c r="P41" s="17">
        <v>688.80000000000007</v>
      </c>
      <c r="Q41" s="14">
        <v>23.219512195121954</v>
      </c>
      <c r="R41" s="16">
        <v>106.11764705882352</v>
      </c>
      <c r="S41" s="15">
        <v>15.529411764705884</v>
      </c>
      <c r="T41" s="18">
        <v>188</v>
      </c>
      <c r="U41" s="17">
        <v>1156.2</v>
      </c>
      <c r="V41" s="14">
        <v>17.755555555555556</v>
      </c>
      <c r="W41" s="16">
        <v>232.94117647058823</v>
      </c>
      <c r="X41" s="15">
        <v>18.588235294117652</v>
      </c>
      <c r="Y41" s="18">
        <v>0</v>
      </c>
      <c r="Z41" s="17">
        <v>0</v>
      </c>
      <c r="AA41" s="14">
        <v>0</v>
      </c>
      <c r="AB41" s="16">
        <v>106.11764705882352</v>
      </c>
      <c r="AC41" s="15">
        <v>-106.11764705882352</v>
      </c>
      <c r="AD41" s="19">
        <v>1060</v>
      </c>
      <c r="AE41" s="20">
        <v>6519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63</v>
      </c>
      <c r="D42" s="12">
        <v>6.15</v>
      </c>
      <c r="E42" s="13">
        <v>253</v>
      </c>
      <c r="F42" s="14">
        <v>1555.95</v>
      </c>
      <c r="G42" s="14">
        <v>3.6697952218430037</v>
      </c>
      <c r="H42" s="30">
        <v>1516.705882352941</v>
      </c>
      <c r="I42" s="15">
        <v>-436.41176470588232</v>
      </c>
      <c r="J42" s="16">
        <v>901</v>
      </c>
      <c r="K42" s="13">
        <v>5541.1500000000005</v>
      </c>
      <c r="L42" s="14">
        <v>21.975609756097562</v>
      </c>
      <c r="M42" s="30">
        <v>902</v>
      </c>
      <c r="N42" s="15">
        <v>491</v>
      </c>
      <c r="O42" s="16">
        <v>138</v>
      </c>
      <c r="P42" s="17">
        <v>848.7</v>
      </c>
      <c r="Q42" s="14">
        <v>20.22413793103448</v>
      </c>
      <c r="R42" s="16">
        <v>150.11764705882354</v>
      </c>
      <c r="S42" s="15">
        <v>1.5294117647058556</v>
      </c>
      <c r="T42" s="18">
        <v>283</v>
      </c>
      <c r="U42" s="17">
        <v>1740.45</v>
      </c>
      <c r="V42" s="14">
        <v>17.558394160583941</v>
      </c>
      <c r="W42" s="16">
        <v>354.58823529411762</v>
      </c>
      <c r="X42" s="15">
        <v>25.117647058823536</v>
      </c>
      <c r="Y42" s="18">
        <v>82</v>
      </c>
      <c r="Z42" s="17">
        <v>504.3</v>
      </c>
      <c r="AA42" s="14">
        <v>23.627118644067796</v>
      </c>
      <c r="AB42" s="16">
        <v>76.352941176470594</v>
      </c>
      <c r="AC42" s="15">
        <v>5.6470588235294059</v>
      </c>
      <c r="AD42" s="19">
        <v>1657</v>
      </c>
      <c r="AE42" s="20">
        <v>10190.550000000001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64</v>
      </c>
      <c r="D43" s="12">
        <v>1.1599999999999999</v>
      </c>
      <c r="E43" s="13">
        <v>2071</v>
      </c>
      <c r="F43" s="14">
        <v>2402.3599999999997</v>
      </c>
      <c r="G43" s="14">
        <v>6.3299172959367134</v>
      </c>
      <c r="H43" s="30">
        <v>7197.8823529411766</v>
      </c>
      <c r="I43" s="15">
        <v>-1200.7647058823532</v>
      </c>
      <c r="J43" s="16">
        <v>3499</v>
      </c>
      <c r="K43" s="13">
        <v>4058.8399999999997</v>
      </c>
      <c r="L43" s="14">
        <v>14.278204512722038</v>
      </c>
      <c r="M43" s="30">
        <v>5391.2941176470586</v>
      </c>
      <c r="N43" s="15">
        <v>1048.4117647058824</v>
      </c>
      <c r="O43" s="16">
        <v>922</v>
      </c>
      <c r="P43" s="17">
        <v>1069.52</v>
      </c>
      <c r="Q43" s="14">
        <v>19.56803995006242</v>
      </c>
      <c r="R43" s="16">
        <v>1036.5882352941176</v>
      </c>
      <c r="S43" s="15">
        <v>-20.352941176470608</v>
      </c>
      <c r="T43" s="18">
        <v>1710</v>
      </c>
      <c r="U43" s="17">
        <v>1983.6</v>
      </c>
      <c r="V43" s="14">
        <v>14.527736131934033</v>
      </c>
      <c r="W43" s="16">
        <v>2589.5294117647059</v>
      </c>
      <c r="X43" s="15">
        <v>-173.29411764705878</v>
      </c>
      <c r="Y43" s="18">
        <v>108</v>
      </c>
      <c r="Z43" s="17">
        <v>125.27999999999999</v>
      </c>
      <c r="AA43" s="14">
        <v>3.9483870967741939</v>
      </c>
      <c r="AB43" s="16">
        <v>601.76470588235293</v>
      </c>
      <c r="AC43" s="15">
        <v>-493.76470588235293</v>
      </c>
      <c r="AD43" s="19">
        <v>8310</v>
      </c>
      <c r="AE43" s="20">
        <v>9639.5999999999985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65</v>
      </c>
      <c r="D44" s="12">
        <v>1.1599999999999999</v>
      </c>
      <c r="E44" s="13">
        <v>2158</v>
      </c>
      <c r="F44" s="14">
        <v>2503.2799999999997</v>
      </c>
      <c r="G44" s="14">
        <v>7.5454545454545459</v>
      </c>
      <c r="H44" s="30">
        <v>6292</v>
      </c>
      <c r="I44" s="15">
        <v>-702</v>
      </c>
      <c r="J44" s="16">
        <v>2035</v>
      </c>
      <c r="K44" s="13">
        <v>2360.6</v>
      </c>
      <c r="L44" s="14">
        <v>10.68736484399135</v>
      </c>
      <c r="M44" s="30">
        <v>4189.0588235294117</v>
      </c>
      <c r="N44" s="15">
        <v>130.88235294117658</v>
      </c>
      <c r="O44" s="16">
        <v>598</v>
      </c>
      <c r="P44" s="17">
        <v>693.68</v>
      </c>
      <c r="Q44" s="14">
        <v>20.874743326488705</v>
      </c>
      <c r="R44" s="16">
        <v>630.23529411764707</v>
      </c>
      <c r="S44" s="15">
        <v>25.058823529411711</v>
      </c>
      <c r="T44" s="18">
        <v>1024</v>
      </c>
      <c r="U44" s="17">
        <v>1187.8399999999999</v>
      </c>
      <c r="V44" s="14">
        <v>16.029465930018414</v>
      </c>
      <c r="W44" s="16">
        <v>1405.4117647058824</v>
      </c>
      <c r="X44" s="15">
        <v>1.8823529411764639</v>
      </c>
      <c r="Y44" s="18">
        <v>194</v>
      </c>
      <c r="Z44" s="17">
        <v>225.04</v>
      </c>
      <c r="AA44" s="14">
        <v>7.3452115812917596</v>
      </c>
      <c r="AB44" s="16">
        <v>581.05882352941171</v>
      </c>
      <c r="AC44" s="15">
        <v>-387.05882352941171</v>
      </c>
      <c r="AD44" s="19">
        <v>6009</v>
      </c>
      <c r="AE44" s="20">
        <v>6970.44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66</v>
      </c>
      <c r="D45" s="12">
        <v>1.1599999999999999</v>
      </c>
      <c r="E45" s="13">
        <v>1739</v>
      </c>
      <c r="F45" s="14">
        <v>2017.2399999999998</v>
      </c>
      <c r="G45" s="14">
        <v>4.6127320954907161</v>
      </c>
      <c r="H45" s="30">
        <v>8294</v>
      </c>
      <c r="I45" s="15">
        <v>-2031</v>
      </c>
      <c r="J45" s="16">
        <v>5610</v>
      </c>
      <c r="K45" s="13">
        <v>6507.5999999999995</v>
      </c>
      <c r="L45" s="14">
        <v>22.005076142131976</v>
      </c>
      <c r="M45" s="30">
        <v>5608.7058823529414</v>
      </c>
      <c r="N45" s="15">
        <v>3060.5882352941176</v>
      </c>
      <c r="O45" s="16">
        <v>881</v>
      </c>
      <c r="P45" s="17">
        <v>1021.9599999999999</v>
      </c>
      <c r="Q45" s="14">
        <v>20.266576454668471</v>
      </c>
      <c r="R45" s="16">
        <v>956.35294117647049</v>
      </c>
      <c r="S45" s="15">
        <v>11.58823529411768</v>
      </c>
      <c r="T45" s="18">
        <v>1500</v>
      </c>
      <c r="U45" s="17">
        <v>1739.9999999999998</v>
      </c>
      <c r="V45" s="14">
        <v>15.828677839851023</v>
      </c>
      <c r="W45" s="16">
        <v>2084.8235294117649</v>
      </c>
      <c r="X45" s="15">
        <v>-16.235294117647072</v>
      </c>
      <c r="Y45" s="18">
        <v>163</v>
      </c>
      <c r="Z45" s="17">
        <v>189.07999999999998</v>
      </c>
      <c r="AA45" s="14">
        <v>6.7094430992736074</v>
      </c>
      <c r="AB45" s="16">
        <v>534.47058823529414</v>
      </c>
      <c r="AC45" s="15">
        <v>-371.47058823529414</v>
      </c>
      <c r="AD45" s="19">
        <v>9893</v>
      </c>
      <c r="AE45" s="20">
        <v>11475.88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67</v>
      </c>
      <c r="D46" s="12">
        <v>1.1599999999999999</v>
      </c>
      <c r="E46" s="13">
        <v>2116</v>
      </c>
      <c r="F46" s="14">
        <v>2454.56</v>
      </c>
      <c r="G46" s="14">
        <v>7.6585054289972314</v>
      </c>
      <c r="H46" s="30">
        <v>6078.4705882352946</v>
      </c>
      <c r="I46" s="15">
        <v>-646.94117647058829</v>
      </c>
      <c r="J46" s="16">
        <v>2669</v>
      </c>
      <c r="K46" s="13">
        <v>3096.04</v>
      </c>
      <c r="L46" s="14">
        <v>16.886118347599552</v>
      </c>
      <c r="M46" s="30">
        <v>3477.294117647059</v>
      </c>
      <c r="N46" s="15">
        <v>1088.4117647058824</v>
      </c>
      <c r="O46" s="16">
        <v>595</v>
      </c>
      <c r="P46" s="17">
        <v>690.19999999999993</v>
      </c>
      <c r="Q46" s="14">
        <v>23.041002277904326</v>
      </c>
      <c r="R46" s="16">
        <v>568.11764705882354</v>
      </c>
      <c r="S46" s="15">
        <v>78.529411764705856</v>
      </c>
      <c r="T46" s="18">
        <v>712</v>
      </c>
      <c r="U46" s="17">
        <v>825.92</v>
      </c>
      <c r="V46" s="14">
        <v>18.256410256410255</v>
      </c>
      <c r="W46" s="16">
        <v>858</v>
      </c>
      <c r="X46" s="15">
        <v>88</v>
      </c>
      <c r="Y46" s="18">
        <v>0</v>
      </c>
      <c r="Z46" s="17">
        <v>0</v>
      </c>
      <c r="AA46" s="14">
        <v>0</v>
      </c>
      <c r="AB46" s="16">
        <v>551.29411764705878</v>
      </c>
      <c r="AC46" s="15">
        <v>-551.29411764705878</v>
      </c>
      <c r="AD46" s="19">
        <v>6092</v>
      </c>
      <c r="AE46" s="20">
        <v>7066.7199999999993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68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9</v>
      </c>
      <c r="K47" s="13">
        <v>162</v>
      </c>
      <c r="L47" s="14">
        <v>3.0599999999999992</v>
      </c>
      <c r="M47" s="30">
        <v>64.705882352941188</v>
      </c>
      <c r="N47" s="15">
        <v>-20.411764705882359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16</v>
      </c>
      <c r="U47" s="17">
        <v>288</v>
      </c>
      <c r="V47" s="14">
        <v>14.315789473684211</v>
      </c>
      <c r="W47" s="16">
        <v>24.588235294117649</v>
      </c>
      <c r="X47" s="15">
        <v>-1.882352941176471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25</v>
      </c>
      <c r="AE47" s="20">
        <v>450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69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6</v>
      </c>
      <c r="K48" s="13">
        <v>108</v>
      </c>
      <c r="L48" s="14">
        <v>9.2727272727272716</v>
      </c>
      <c r="M48" s="30">
        <v>14.23529411764706</v>
      </c>
      <c r="N48" s="15">
        <v>-0.47058823529411775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6</v>
      </c>
      <c r="AE48" s="20">
        <v>108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70</v>
      </c>
      <c r="D49" s="12">
        <v>1.1599999999999999</v>
      </c>
      <c r="E49" s="13">
        <v>134</v>
      </c>
      <c r="F49" s="14">
        <v>155.44</v>
      </c>
      <c r="G49" s="14">
        <v>2.3729166666666668</v>
      </c>
      <c r="H49" s="30">
        <v>1242.3529411764705</v>
      </c>
      <c r="I49" s="15">
        <v>-430.70588235294122</v>
      </c>
      <c r="J49" s="16">
        <v>0</v>
      </c>
      <c r="K49" s="13">
        <v>0</v>
      </c>
      <c r="L49" s="14">
        <v>0</v>
      </c>
      <c r="M49" s="30">
        <v>1450.705882352941</v>
      </c>
      <c r="N49" s="15">
        <v>-659.41176470588232</v>
      </c>
      <c r="O49" s="16">
        <v>75</v>
      </c>
      <c r="P49" s="17">
        <v>87</v>
      </c>
      <c r="Q49" s="14">
        <v>9.9609374999999982</v>
      </c>
      <c r="R49" s="16">
        <v>165.64705882352942</v>
      </c>
      <c r="S49" s="15">
        <v>-75.588235294117652</v>
      </c>
      <c r="T49" s="18">
        <v>32</v>
      </c>
      <c r="U49" s="17">
        <v>37.119999999999997</v>
      </c>
      <c r="V49" s="14">
        <v>2.6407766990291264</v>
      </c>
      <c r="W49" s="16">
        <v>266.58823529411762</v>
      </c>
      <c r="X49" s="15">
        <v>-161.88235294117646</v>
      </c>
      <c r="Y49" s="18">
        <v>29</v>
      </c>
      <c r="Z49" s="17">
        <v>33.64</v>
      </c>
      <c r="AA49" s="14">
        <v>5.8</v>
      </c>
      <c r="AB49" s="16">
        <v>110</v>
      </c>
      <c r="AC49" s="15">
        <v>-81</v>
      </c>
      <c r="AD49" s="19">
        <v>270</v>
      </c>
      <c r="AE49" s="20">
        <v>313.2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71</v>
      </c>
      <c r="D50" s="12">
        <v>1.1599999999999999</v>
      </c>
      <c r="E50" s="13">
        <v>750</v>
      </c>
      <c r="F50" s="14">
        <v>869.99999999999989</v>
      </c>
      <c r="G50" s="14">
        <v>2.5925172834485561</v>
      </c>
      <c r="H50" s="30">
        <v>6364.4705882352946</v>
      </c>
      <c r="I50" s="15">
        <v>-2142.9411764705883</v>
      </c>
      <c r="J50" s="16">
        <v>3830</v>
      </c>
      <c r="K50" s="13">
        <v>4442.7999999999993</v>
      </c>
      <c r="L50" s="14">
        <v>19.978521018717398</v>
      </c>
      <c r="M50" s="30">
        <v>4217.5294117647063</v>
      </c>
      <c r="N50" s="15">
        <v>1912.9411764705881</v>
      </c>
      <c r="O50" s="16">
        <v>268</v>
      </c>
      <c r="P50" s="17">
        <v>310.88</v>
      </c>
      <c r="Q50" s="14">
        <v>6.2841379310344827</v>
      </c>
      <c r="R50" s="16">
        <v>938.23529411764707</v>
      </c>
      <c r="S50" s="15">
        <v>-584.94117647058829</v>
      </c>
      <c r="T50" s="18">
        <v>815</v>
      </c>
      <c r="U50" s="17">
        <v>945.4</v>
      </c>
      <c r="V50" s="14">
        <v>24.179755671902271</v>
      </c>
      <c r="W50" s="16">
        <v>741.52941176470586</v>
      </c>
      <c r="X50" s="15">
        <v>275.70588235294122</v>
      </c>
      <c r="Y50" s="18">
        <v>41</v>
      </c>
      <c r="Z50" s="17">
        <v>47.559999999999995</v>
      </c>
      <c r="AA50" s="14">
        <v>3.5025125628140708</v>
      </c>
      <c r="AB50" s="16">
        <v>257.52941176470586</v>
      </c>
      <c r="AC50" s="15">
        <v>-216.52941176470586</v>
      </c>
      <c r="AD50" s="19">
        <v>5704</v>
      </c>
      <c r="AE50" s="20">
        <v>6616.6399999999994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72</v>
      </c>
      <c r="D51" s="12">
        <v>1.1599999999999999</v>
      </c>
      <c r="E51" s="13">
        <v>771</v>
      </c>
      <c r="F51" s="14">
        <v>894.3599999999999</v>
      </c>
      <c r="G51" s="14">
        <v>4.0641860465116277</v>
      </c>
      <c r="H51" s="30">
        <v>4173.5294117647063</v>
      </c>
      <c r="I51" s="15">
        <v>-1126.0588235294119</v>
      </c>
      <c r="J51" s="16">
        <v>1833</v>
      </c>
      <c r="K51" s="13">
        <v>2126.2799999999997</v>
      </c>
      <c r="L51" s="14">
        <v>10.675231243576567</v>
      </c>
      <c r="M51" s="30">
        <v>3777.5294117647063</v>
      </c>
      <c r="N51" s="15">
        <v>115.94117647058806</v>
      </c>
      <c r="O51" s="16">
        <v>286</v>
      </c>
      <c r="P51" s="17">
        <v>331.76</v>
      </c>
      <c r="Q51" s="14">
        <v>20.777777777777775</v>
      </c>
      <c r="R51" s="16">
        <v>302.82352941176475</v>
      </c>
      <c r="S51" s="15">
        <v>10.705882352941103</v>
      </c>
      <c r="T51" s="18">
        <v>563</v>
      </c>
      <c r="U51" s="17">
        <v>653.07999999999993</v>
      </c>
      <c r="V51" s="14">
        <v>16.616319444444443</v>
      </c>
      <c r="W51" s="16">
        <v>745.41176470588232</v>
      </c>
      <c r="X51" s="15">
        <v>20.882352941176464</v>
      </c>
      <c r="Y51" s="18">
        <v>85</v>
      </c>
      <c r="Z51" s="17">
        <v>98.6</v>
      </c>
      <c r="AA51" s="14">
        <v>20.069444444444443</v>
      </c>
      <c r="AB51" s="16">
        <v>93.17647058823529</v>
      </c>
      <c r="AC51" s="15">
        <v>-8.1764705882352899</v>
      </c>
      <c r="AD51" s="19">
        <v>3538</v>
      </c>
      <c r="AE51" s="20">
        <v>4104.08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73</v>
      </c>
      <c r="D52" s="12">
        <v>0.81</v>
      </c>
      <c r="E52" s="13">
        <v>2235</v>
      </c>
      <c r="F52" s="14">
        <v>1810.3500000000001</v>
      </c>
      <c r="G52" s="14">
        <v>14.310734463276836</v>
      </c>
      <c r="H52" s="30">
        <v>3435.8823529411766</v>
      </c>
      <c r="I52" s="15">
        <v>673.23529411764684</v>
      </c>
      <c r="J52" s="16">
        <v>789</v>
      </c>
      <c r="K52" s="13">
        <v>639.09</v>
      </c>
      <c r="L52" s="14">
        <v>17.556282722513089</v>
      </c>
      <c r="M52" s="30">
        <v>988.7058823529411</v>
      </c>
      <c r="N52" s="15">
        <v>339.58823529411768</v>
      </c>
      <c r="O52" s="16">
        <v>156</v>
      </c>
      <c r="P52" s="17">
        <v>126.36000000000001</v>
      </c>
      <c r="Q52" s="14">
        <v>22.666666666666661</v>
      </c>
      <c r="R52" s="16">
        <v>151.41176470588238</v>
      </c>
      <c r="S52" s="15">
        <v>18.352941176470551</v>
      </c>
      <c r="T52" s="18">
        <v>405</v>
      </c>
      <c r="U52" s="17">
        <v>328.05</v>
      </c>
      <c r="V52" s="14">
        <v>19.125</v>
      </c>
      <c r="W52" s="16">
        <v>465.88235294117646</v>
      </c>
      <c r="X52" s="15">
        <v>66.176470588235304</v>
      </c>
      <c r="Y52" s="18">
        <v>0</v>
      </c>
      <c r="Z52" s="17">
        <v>0</v>
      </c>
      <c r="AA52" s="14">
        <v>0</v>
      </c>
      <c r="AB52" s="16">
        <v>29.764705882352942</v>
      </c>
      <c r="AC52" s="15">
        <v>-29.764705882352942</v>
      </c>
      <c r="AD52" s="19">
        <v>3585</v>
      </c>
      <c r="AE52" s="20">
        <v>2903.8500000000004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74</v>
      </c>
      <c r="D53" s="12">
        <v>0.81</v>
      </c>
      <c r="E53" s="13">
        <v>977</v>
      </c>
      <c r="F53" s="14">
        <v>791.37</v>
      </c>
      <c r="G53" s="14">
        <v>3.4630942452043367</v>
      </c>
      <c r="H53" s="30">
        <v>6206.588235294118</v>
      </c>
      <c r="I53" s="15">
        <v>-1844.1764705882351</v>
      </c>
      <c r="J53" s="16">
        <v>318</v>
      </c>
      <c r="K53" s="13">
        <v>257.58000000000004</v>
      </c>
      <c r="L53" s="14">
        <v>2.533270852858482</v>
      </c>
      <c r="M53" s="30">
        <v>2761.6470588235293</v>
      </c>
      <c r="N53" s="15">
        <v>-937.29411764705878</v>
      </c>
      <c r="O53" s="16">
        <v>594</v>
      </c>
      <c r="P53" s="17">
        <v>481.14000000000004</v>
      </c>
      <c r="Q53" s="14">
        <v>21.439490445859875</v>
      </c>
      <c r="R53" s="16">
        <v>609.52941176470586</v>
      </c>
      <c r="S53" s="15">
        <v>39.882352941176578</v>
      </c>
      <c r="T53" s="18">
        <v>875</v>
      </c>
      <c r="U53" s="17">
        <v>708.75</v>
      </c>
      <c r="V53" s="14">
        <v>16.564587973273944</v>
      </c>
      <c r="W53" s="16">
        <v>1162.1176470588234</v>
      </c>
      <c r="X53" s="15">
        <v>29.823529411764753</v>
      </c>
      <c r="Y53" s="18">
        <v>9</v>
      </c>
      <c r="Z53" s="17">
        <v>7.2900000000000009</v>
      </c>
      <c r="AA53" s="14">
        <v>1.3909090909090911</v>
      </c>
      <c r="AB53" s="16">
        <v>142.35294117647058</v>
      </c>
      <c r="AC53" s="15">
        <v>-133.35294117647058</v>
      </c>
      <c r="AD53" s="19">
        <v>2773</v>
      </c>
      <c r="AE53" s="20">
        <v>2246.13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75</v>
      </c>
      <c r="D54" s="12">
        <v>0.81</v>
      </c>
      <c r="E54" s="13">
        <v>2423</v>
      </c>
      <c r="F54" s="14">
        <v>1962.63</v>
      </c>
      <c r="G54" s="14">
        <v>12.884266499843605</v>
      </c>
      <c r="H54" s="30">
        <v>4137.2941176470586</v>
      </c>
      <c r="I54" s="15">
        <v>542.41176470588266</v>
      </c>
      <c r="J54" s="16">
        <v>3340</v>
      </c>
      <c r="K54" s="13">
        <v>2705.4</v>
      </c>
      <c r="L54" s="14">
        <v>52.671614100185536</v>
      </c>
      <c r="M54" s="30">
        <v>1395.0588235294117</v>
      </c>
      <c r="N54" s="15">
        <v>2705.8823529411766</v>
      </c>
      <c r="O54" s="16">
        <v>249</v>
      </c>
      <c r="P54" s="17">
        <v>201.69000000000003</v>
      </c>
      <c r="Q54" s="14">
        <v>19.067567567567565</v>
      </c>
      <c r="R54" s="16">
        <v>287.29411764705884</v>
      </c>
      <c r="S54" s="15">
        <v>-12.176470588235304</v>
      </c>
      <c r="T54" s="18">
        <v>473</v>
      </c>
      <c r="U54" s="17">
        <v>383.13000000000005</v>
      </c>
      <c r="V54" s="14">
        <v>19.236842105263158</v>
      </c>
      <c r="W54" s="16">
        <v>540.94117647058829</v>
      </c>
      <c r="X54" s="15">
        <v>79.588235294117624</v>
      </c>
      <c r="Y54" s="18">
        <v>115</v>
      </c>
      <c r="Z54" s="17">
        <v>93.15</v>
      </c>
      <c r="AA54" s="14">
        <v>14.589552238805968</v>
      </c>
      <c r="AB54" s="16">
        <v>173.41176470588238</v>
      </c>
      <c r="AC54" s="15">
        <v>-58.411764705882376</v>
      </c>
      <c r="AD54" s="19">
        <v>6600</v>
      </c>
      <c r="AE54" s="20">
        <v>5346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76</v>
      </c>
      <c r="D55" s="12">
        <v>0.81</v>
      </c>
      <c r="E55" s="13">
        <v>2298</v>
      </c>
      <c r="F55" s="14">
        <v>1861.38</v>
      </c>
      <c r="G55" s="14">
        <v>13.588173913043478</v>
      </c>
      <c r="H55" s="30">
        <v>3720.588235294118</v>
      </c>
      <c r="I55" s="15">
        <v>606.82352941176464</v>
      </c>
      <c r="J55" s="16">
        <v>6333</v>
      </c>
      <c r="K55" s="13">
        <v>5129.7300000000005</v>
      </c>
      <c r="L55" s="14">
        <v>81.009029345372468</v>
      </c>
      <c r="M55" s="30">
        <v>1719.8823529411764</v>
      </c>
      <c r="N55" s="15">
        <v>5551.2352941176468</v>
      </c>
      <c r="O55" s="16">
        <v>361</v>
      </c>
      <c r="P55" s="17">
        <v>292.41000000000003</v>
      </c>
      <c r="Q55" s="14">
        <v>19.669871794871796</v>
      </c>
      <c r="R55" s="16">
        <v>403.76470588235293</v>
      </c>
      <c r="S55" s="15">
        <v>-6.0588235294117112</v>
      </c>
      <c r="T55" s="18">
        <v>479</v>
      </c>
      <c r="U55" s="17">
        <v>387.99</v>
      </c>
      <c r="V55" s="14">
        <v>17.702173913043477</v>
      </c>
      <c r="W55" s="16">
        <v>595.29411764705878</v>
      </c>
      <c r="X55" s="15">
        <v>46.058823529411768</v>
      </c>
      <c r="Y55" s="18">
        <v>126</v>
      </c>
      <c r="Z55" s="17">
        <v>102.06</v>
      </c>
      <c r="AA55" s="14">
        <v>15.3</v>
      </c>
      <c r="AB55" s="16">
        <v>181.17647058823528</v>
      </c>
      <c r="AC55" s="15">
        <v>-55.176470588235276</v>
      </c>
      <c r="AD55" s="19">
        <v>9597</v>
      </c>
      <c r="AE55" s="20">
        <v>7773.5700000000006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77</v>
      </c>
      <c r="D56" s="12">
        <v>2.62</v>
      </c>
      <c r="E56" s="13">
        <v>318</v>
      </c>
      <c r="F56" s="14">
        <v>833.16000000000008</v>
      </c>
      <c r="G56" s="14">
        <v>9.6363636363636367</v>
      </c>
      <c r="H56" s="30">
        <v>726</v>
      </c>
      <c r="I56" s="15">
        <v>-12</v>
      </c>
      <c r="J56" s="32">
        <v>127</v>
      </c>
      <c r="K56" s="13">
        <v>332.74</v>
      </c>
      <c r="L56" s="14">
        <v>9.03347280334728</v>
      </c>
      <c r="M56" s="30">
        <v>309.29411764705884</v>
      </c>
      <c r="N56" s="15">
        <v>-13.588235294117652</v>
      </c>
      <c r="O56" s="32">
        <v>55</v>
      </c>
      <c r="P56" s="17">
        <v>144.1</v>
      </c>
      <c r="Q56" s="14">
        <v>19.479166666666664</v>
      </c>
      <c r="R56" s="16">
        <v>62.117647058823536</v>
      </c>
      <c r="S56" s="15">
        <v>-1.4705882352941231</v>
      </c>
      <c r="T56" s="18">
        <v>126</v>
      </c>
      <c r="U56" s="17">
        <v>330.12</v>
      </c>
      <c r="V56" s="14">
        <v>17.414634146341463</v>
      </c>
      <c r="W56" s="16">
        <v>159.1764705882353</v>
      </c>
      <c r="X56" s="15">
        <v>10.235294117647058</v>
      </c>
      <c r="Y56" s="18">
        <v>45</v>
      </c>
      <c r="Z56" s="17">
        <v>117.9</v>
      </c>
      <c r="AA56" s="14">
        <v>24.677419354838712</v>
      </c>
      <c r="AB56" s="16">
        <v>40.117647058823529</v>
      </c>
      <c r="AC56" s="15">
        <v>4.882352941176471</v>
      </c>
      <c r="AD56" s="19">
        <v>671</v>
      </c>
      <c r="AE56" s="20">
        <v>1758.02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78</v>
      </c>
      <c r="D57" s="12">
        <v>2.62</v>
      </c>
      <c r="E57" s="13">
        <v>305</v>
      </c>
      <c r="F57" s="14">
        <v>799.1</v>
      </c>
      <c r="G57" s="14">
        <v>4.6502242152466362</v>
      </c>
      <c r="H57" s="30">
        <v>1442.9411764705883</v>
      </c>
      <c r="I57" s="15">
        <v>-350.88235294117658</v>
      </c>
      <c r="J57" s="32">
        <v>60</v>
      </c>
      <c r="K57" s="13">
        <v>157.20000000000002</v>
      </c>
      <c r="L57" s="14">
        <v>2.0278330019880713</v>
      </c>
      <c r="M57" s="30">
        <v>650.94117647058829</v>
      </c>
      <c r="N57" s="15">
        <v>-235.88235294117646</v>
      </c>
      <c r="O57" s="32">
        <v>105</v>
      </c>
      <c r="P57" s="17">
        <v>275.10000000000002</v>
      </c>
      <c r="Q57" s="14">
        <v>16.22727272727273</v>
      </c>
      <c r="R57" s="16">
        <v>142.35294117647058</v>
      </c>
      <c r="S57" s="15">
        <v>-24.411764705882348</v>
      </c>
      <c r="T57" s="18">
        <v>120</v>
      </c>
      <c r="U57" s="17">
        <v>314.40000000000003</v>
      </c>
      <c r="V57" s="14">
        <v>6.1445783132530112</v>
      </c>
      <c r="W57" s="16">
        <v>429.64705882352945</v>
      </c>
      <c r="X57" s="15">
        <v>-192.47058823529414</v>
      </c>
      <c r="Y57" s="18">
        <v>60</v>
      </c>
      <c r="Z57" s="17">
        <v>157.20000000000002</v>
      </c>
      <c r="AA57" s="14">
        <v>31.874999999999996</v>
      </c>
      <c r="AB57" s="16">
        <v>41.411764705882355</v>
      </c>
      <c r="AC57" s="15">
        <v>18.588235294117645</v>
      </c>
      <c r="AD57" s="19">
        <v>650</v>
      </c>
      <c r="AE57" s="20">
        <v>1703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79</v>
      </c>
      <c r="D58" s="12">
        <v>2.62</v>
      </c>
      <c r="E58" s="13">
        <v>95</v>
      </c>
      <c r="F58" s="14">
        <v>248.9</v>
      </c>
      <c r="G58" s="14">
        <v>3.8089622641509435</v>
      </c>
      <c r="H58" s="30">
        <v>548.70588235294122</v>
      </c>
      <c r="I58" s="15">
        <v>-154.41176470588235</v>
      </c>
      <c r="J58" s="32">
        <v>59</v>
      </c>
      <c r="K58" s="13">
        <v>154.58000000000001</v>
      </c>
      <c r="L58" s="14">
        <v>6.1533742331288348</v>
      </c>
      <c r="M58" s="30">
        <v>210.94117647058823</v>
      </c>
      <c r="N58" s="15">
        <v>-36.882352941176464</v>
      </c>
      <c r="O58" s="32">
        <v>25</v>
      </c>
      <c r="P58" s="17">
        <v>65.5</v>
      </c>
      <c r="Q58" s="14">
        <v>13.281249999999998</v>
      </c>
      <c r="R58" s="16">
        <v>41.411764705882355</v>
      </c>
      <c r="S58" s="15">
        <v>-12.647058823529413</v>
      </c>
      <c r="T58" s="18">
        <v>100</v>
      </c>
      <c r="U58" s="17">
        <v>262</v>
      </c>
      <c r="V58" s="14">
        <v>18.279569892473116</v>
      </c>
      <c r="W58" s="16">
        <v>120.35294117647059</v>
      </c>
      <c r="X58" s="15">
        <v>12.470588235294116</v>
      </c>
      <c r="Y58" s="18">
        <v>42</v>
      </c>
      <c r="Z58" s="17">
        <v>110.04</v>
      </c>
      <c r="AA58" s="14">
        <v>26.444444444444446</v>
      </c>
      <c r="AB58" s="16">
        <v>34.941176470588232</v>
      </c>
      <c r="AC58" s="15">
        <v>7.058823529411768</v>
      </c>
      <c r="AD58" s="19">
        <v>321</v>
      </c>
      <c r="AE58" s="20">
        <v>841.02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80</v>
      </c>
      <c r="D59" s="12">
        <v>2.62</v>
      </c>
      <c r="E59" s="13">
        <v>182</v>
      </c>
      <c r="F59" s="14">
        <v>476.84000000000003</v>
      </c>
      <c r="G59" s="14">
        <v>5.6875</v>
      </c>
      <c r="H59" s="30">
        <v>704</v>
      </c>
      <c r="I59" s="15">
        <v>-138</v>
      </c>
      <c r="J59" s="32">
        <v>52</v>
      </c>
      <c r="K59" s="13">
        <v>136.24</v>
      </c>
      <c r="L59" s="14">
        <v>4.5803108808290149</v>
      </c>
      <c r="M59" s="30">
        <v>249.76470588235296</v>
      </c>
      <c r="N59" s="15">
        <v>-61.529411764705884</v>
      </c>
      <c r="O59" s="32">
        <v>38</v>
      </c>
      <c r="P59" s="17">
        <v>99.56</v>
      </c>
      <c r="Q59" s="14">
        <v>12.666666666666666</v>
      </c>
      <c r="R59" s="16">
        <v>66</v>
      </c>
      <c r="S59" s="15">
        <v>-22</v>
      </c>
      <c r="T59" s="18">
        <v>111</v>
      </c>
      <c r="U59" s="17">
        <v>290.82</v>
      </c>
      <c r="V59" s="14">
        <v>18.5</v>
      </c>
      <c r="W59" s="16">
        <v>132</v>
      </c>
      <c r="X59" s="15">
        <v>15</v>
      </c>
      <c r="Y59" s="18">
        <v>53</v>
      </c>
      <c r="Z59" s="17">
        <v>138.86000000000001</v>
      </c>
      <c r="AA59" s="14">
        <v>60.06666666666667</v>
      </c>
      <c r="AB59" s="16">
        <v>19.411764705882351</v>
      </c>
      <c r="AC59" s="15">
        <v>33.588235294117652</v>
      </c>
      <c r="AD59" s="19">
        <v>436</v>
      </c>
      <c r="AE59" s="20">
        <v>1142.32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9" t="s">
        <v>3</v>
      </c>
      <c r="F61" s="69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5" t="s">
        <v>4</v>
      </c>
      <c r="C62" s="65"/>
      <c r="D62" s="42">
        <f>SUM(F13:F59)</f>
        <v>161502.74999999997</v>
      </c>
      <c r="E62" s="64">
        <f>D62*100/D67</f>
        <v>36.554147823588373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156088.52999999994</v>
      </c>
      <c r="E63" s="64">
        <f>D63*100/D67</f>
        <v>35.32870616250564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37498.729999999996</v>
      </c>
      <c r="E64" s="64">
        <f>D64*100/D67</f>
        <v>8.4873732466897813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76639.150000000009</v>
      </c>
      <c r="E65" s="64">
        <f>D65*100/D67</f>
        <v>17.346322698369928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9889.4900000000034</v>
      </c>
      <c r="E66" s="64">
        <f>D66*100/D67</f>
        <v>2.2383636152319335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5" t="s">
        <v>8</v>
      </c>
      <c r="C67" s="65"/>
      <c r="D67" s="44">
        <f>SUM(AE13:AE59)</f>
        <v>441817.85000000009</v>
      </c>
      <c r="E67" s="66">
        <f>D67*100/D67</f>
        <v>100</v>
      </c>
      <c r="F67" s="66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5" t="s">
        <v>10</v>
      </c>
      <c r="C70" s="65"/>
      <c r="D70" s="3">
        <f>SUM(E13:E59)</f>
        <v>119095</v>
      </c>
      <c r="E70" s="64">
        <f>D70*100/D75</f>
        <v>36.085238669486543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124088</v>
      </c>
      <c r="E71" s="64">
        <f>D71*100/D75</f>
        <v>37.598094764845257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27021</v>
      </c>
      <c r="E72" s="64">
        <f>D72*100/D75</f>
        <v>8.1872390452008563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53423</v>
      </c>
      <c r="E73" s="64">
        <f>D73*100/D75</f>
        <v>16.186923929971702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6411</v>
      </c>
      <c r="E74" s="64">
        <f>D74*100/D75</f>
        <v>1.9425035904956398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5" t="s">
        <v>14</v>
      </c>
      <c r="C75" s="65"/>
      <c r="D75" s="49">
        <f>SUM(AD13:AD59)</f>
        <v>330038</v>
      </c>
      <c r="E75" s="66">
        <f>D75*100/D75</f>
        <v>100</v>
      </c>
      <c r="F75" s="66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65:F65"/>
    <mergeCell ref="E63:F63"/>
    <mergeCell ref="E64:F64"/>
    <mergeCell ref="B1:AE6"/>
    <mergeCell ref="AF1:AL6"/>
    <mergeCell ref="E61:F61"/>
    <mergeCell ref="B62:C62"/>
    <mergeCell ref="E62:F62"/>
    <mergeCell ref="E66:F66"/>
    <mergeCell ref="E67:F67"/>
    <mergeCell ref="E71:F71"/>
    <mergeCell ref="B67:C67"/>
    <mergeCell ref="B70:C70"/>
    <mergeCell ref="E70:F70"/>
    <mergeCell ref="E72:F72"/>
    <mergeCell ref="E73:F73"/>
    <mergeCell ref="E74:F74"/>
    <mergeCell ref="B75:C75"/>
    <mergeCell ref="E75:F75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cp:lastPrinted>2026-09-15T12:02:34Z</cp:lastPrinted>
  <dcterms:created xsi:type="dcterms:W3CDTF">2026-08-13T20:33:16Z</dcterms:created>
  <dcterms:modified xsi:type="dcterms:W3CDTF">2026-09-24T15:10:59Z</dcterms:modified>
</cp:coreProperties>
</file>