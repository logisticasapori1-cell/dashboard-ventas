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5F062716-DE19-4A23-8606-24417D77238D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E75" i="1" s="1"/>
  <c r="AM51" i="1"/>
  <c r="E70" i="1"/>
  <c r="E62" i="1"/>
  <c r="E71" i="1"/>
  <c r="E72" i="1"/>
  <c r="E64" i="1"/>
  <c r="E73" i="1"/>
  <c r="E65" i="1"/>
  <c r="E74" i="1"/>
  <c r="E63" i="1"/>
  <c r="E66" i="1"/>
</calcChain>
</file>

<file path=xl/sharedStrings.xml><?xml version="1.0" encoding="utf-8"?>
<sst xmlns="http://schemas.openxmlformats.org/spreadsheetml/2006/main" count="82" uniqueCount="82">
  <si>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</si>
  <si>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</si>
  <si>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</si>
  <si>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</si>
  <si>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</si>
  <si>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</si>
  <si>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</si>
  <si>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</si>
  <si>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</si>
  <si>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</si>
  <si>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</si>
  <si>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</si>
  <si>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</si>
  <si>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</si>
  <si>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</si>
  <si>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</si>
  <si>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</si>
  <si>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</si>
  <si>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</si>
  <si>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</si>
  <si>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</si>
  <si>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</si>
  <si>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</si>
  <si>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</si>
  <si>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</si>
  <si>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</si>
  <si>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</si>
  <si>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</si>
  <si>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</si>
  <si>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</si>
  <si>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</si>
  <si>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</si>
  <si>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</si>
  <si>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</si>
  <si>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</si>
  <si>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</si>
  <si>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</si>
  <si>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</si>
  <si>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</si>
  <si>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</si>
  <si>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</si>
  <si>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</si>
  <si>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</si>
  <si>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</si>
  <si>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</si>
  <si>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</si>
  <si>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</si>
  <si>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</si>
  <si>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</si>
  <si>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</si>
  <si>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</si>
  <si>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</si>
  <si>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</si>
  <si>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</si>
  <si>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</si>
  <si>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</si>
  <si>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-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</si>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</sst>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B13" sqref="B13:AL59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8" t="s">
        <v>1</v>
      </c>
      <c r="AG1" s="68"/>
      <c r="AH1" s="68"/>
      <c r="AI1" s="68"/>
      <c r="AJ1" s="68"/>
      <c r="AK1" s="68"/>
      <c r="AL1" s="68"/>
    </row>
    <row r="2" spans="1:38" ht="15" customHeight="1" x14ac:dyDescent="0.25"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8"/>
      <c r="AG2" s="68"/>
      <c r="AH2" s="68"/>
      <c r="AI2" s="68"/>
      <c r="AJ2" s="68"/>
      <c r="AK2" s="68"/>
      <c r="AL2" s="68"/>
    </row>
    <row r="3" spans="1:38" ht="15" customHeight="1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8"/>
      <c r="AG3" s="68"/>
      <c r="AH3" s="68"/>
      <c r="AI3" s="68"/>
      <c r="AJ3" s="68"/>
      <c r="AK3" s="68"/>
      <c r="AL3" s="68"/>
    </row>
    <row r="4" spans="1:38" ht="15" customHeight="1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8"/>
      <c r="AG4" s="68"/>
      <c r="AH4" s="68"/>
      <c r="AI4" s="68"/>
      <c r="AJ4" s="68"/>
      <c r="AK4" s="68"/>
      <c r="AL4" s="68"/>
    </row>
    <row r="5" spans="1:38" ht="15" customHeight="1" x14ac:dyDescent="0.25"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8"/>
      <c r="AG5" s="68"/>
      <c r="AH5" s="68"/>
      <c r="AI5" s="68"/>
      <c r="AJ5" s="68"/>
      <c r="AK5" s="68"/>
      <c r="AL5" s="68"/>
    </row>
    <row r="6" spans="1:38" ht="17.25" customHeight="1" x14ac:dyDescent="0.25">
      <c r="B6" s="67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8"/>
      <c r="AG6" s="68"/>
      <c r="AH6" s="68"/>
      <c r="AI6" s="68"/>
      <c r="AJ6" s="68"/>
      <c r="AK6" s="68"/>
      <c r="AL6" s="68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4686</v>
      </c>
      <c r="F13" s="14">
        <v>6372.96</v>
      </c>
      <c r="G13" s="14">
        <v>6.0136498862509473</v>
      </c>
      <c r="H13" s="30">
        <v>17143</v>
      </c>
      <c r="I13" s="15">
        <v>-3106.2727272727279</v>
      </c>
      <c r="J13" s="16">
        <v>2641</v>
      </c>
      <c r="K13" s="13">
        <v>3591.76</v>
      </c>
      <c r="L13" s="14">
        <v>10.848020911127707</v>
      </c>
      <c r="M13" s="30">
        <v>5356</v>
      </c>
      <c r="N13" s="15">
        <v>206.4545454545455</v>
      </c>
      <c r="O13" s="16">
        <v>629</v>
      </c>
      <c r="P13" s="17">
        <v>855.44</v>
      </c>
      <c r="Q13" s="14">
        <v>16.072009291521489</v>
      </c>
      <c r="R13" s="16">
        <v>861</v>
      </c>
      <c r="S13" s="15">
        <v>41.954545454545496</v>
      </c>
      <c r="T13" s="18">
        <v>289</v>
      </c>
      <c r="U13" s="17">
        <v>393.04</v>
      </c>
      <c r="V13" s="14">
        <v>5.324958123953099</v>
      </c>
      <c r="W13" s="16">
        <v>1194</v>
      </c>
      <c r="X13" s="15">
        <v>-525.09090909090912</v>
      </c>
      <c r="Y13" s="18">
        <v>507</v>
      </c>
      <c r="Z13" s="17">
        <v>689.5200000000001</v>
      </c>
      <c r="AA13" s="14">
        <v>23.472222222222221</v>
      </c>
      <c r="AB13" s="16">
        <v>475.20000000000005</v>
      </c>
      <c r="AC13" s="15">
        <v>183</v>
      </c>
      <c r="AD13" s="19">
        <v>8752</v>
      </c>
      <c r="AE13" s="20">
        <v>11902.720000000001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264</v>
      </c>
      <c r="F14" s="14">
        <v>419.76000000000005</v>
      </c>
      <c r="G14" s="14">
        <v>7.6220472440944889</v>
      </c>
      <c r="H14" s="30">
        <v>762</v>
      </c>
      <c r="I14" s="15">
        <v>-82.363636363636317</v>
      </c>
      <c r="J14" s="16">
        <v>101</v>
      </c>
      <c r="K14" s="13">
        <v>160.59</v>
      </c>
      <c r="L14" s="14">
        <v>3.8710801393728222</v>
      </c>
      <c r="M14" s="30">
        <v>574</v>
      </c>
      <c r="N14" s="15">
        <v>-159.90909090909088</v>
      </c>
      <c r="O14" s="16">
        <v>148</v>
      </c>
      <c r="P14" s="17">
        <v>235.32000000000002</v>
      </c>
      <c r="Q14" s="14">
        <v>19.152941176470588</v>
      </c>
      <c r="R14" s="16">
        <v>170</v>
      </c>
      <c r="S14" s="15">
        <v>32.090909090909093</v>
      </c>
      <c r="T14" s="18">
        <v>31</v>
      </c>
      <c r="U14" s="17">
        <v>49.29</v>
      </c>
      <c r="V14" s="14">
        <v>12.178571428571429</v>
      </c>
      <c r="W14" s="16">
        <v>56</v>
      </c>
      <c r="X14" s="15">
        <v>-7.1818181818181799</v>
      </c>
      <c r="Y14" s="18">
        <v>105</v>
      </c>
      <c r="Z14" s="17">
        <v>166.95000000000002</v>
      </c>
      <c r="AA14" s="14">
        <v>65.625</v>
      </c>
      <c r="AB14" s="16">
        <v>35.200000000000003</v>
      </c>
      <c r="AC14" s="15">
        <v>81</v>
      </c>
      <c r="AD14" s="19">
        <v>649</v>
      </c>
      <c r="AE14" s="20">
        <v>1031.9100000000001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1860</v>
      </c>
      <c r="F15" s="14">
        <v>3775.7999999999997</v>
      </c>
      <c r="G15" s="14">
        <v>5.9304347826086961</v>
      </c>
      <c r="H15" s="30">
        <v>6900</v>
      </c>
      <c r="I15" s="15">
        <v>-1276.363636363636</v>
      </c>
      <c r="J15" s="16">
        <v>35</v>
      </c>
      <c r="K15" s="13">
        <v>71.05</v>
      </c>
      <c r="L15" s="14">
        <v>0.2550513415038092</v>
      </c>
      <c r="M15" s="30">
        <v>3019</v>
      </c>
      <c r="N15" s="15">
        <v>-1337.2727272727273</v>
      </c>
      <c r="O15" s="16">
        <v>240</v>
      </c>
      <c r="P15" s="17">
        <v>487.19999999999993</v>
      </c>
      <c r="Q15" s="14">
        <v>17.777777777777779</v>
      </c>
      <c r="R15" s="16">
        <v>297</v>
      </c>
      <c r="S15" s="15">
        <v>37.5</v>
      </c>
      <c r="T15" s="18">
        <v>35</v>
      </c>
      <c r="U15" s="17">
        <v>71.05</v>
      </c>
      <c r="V15" s="14">
        <v>2.2190201729106627</v>
      </c>
      <c r="W15" s="16">
        <v>347.00000000000006</v>
      </c>
      <c r="X15" s="15">
        <v>-201.59090909090912</v>
      </c>
      <c r="Y15" s="18">
        <v>255</v>
      </c>
      <c r="Z15" s="17">
        <v>517.65</v>
      </c>
      <c r="AA15" s="14">
        <v>60.714285714285708</v>
      </c>
      <c r="AB15" s="16">
        <v>92.4</v>
      </c>
      <c r="AC15" s="15">
        <v>192</v>
      </c>
      <c r="AD15" s="19">
        <v>2425</v>
      </c>
      <c r="AE15" s="20">
        <v>4922.7499999999991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303</v>
      </c>
      <c r="F16" s="14">
        <v>1093.83</v>
      </c>
      <c r="G16" s="14">
        <v>4.771653543307087</v>
      </c>
      <c r="H16" s="30">
        <v>1397</v>
      </c>
      <c r="I16" s="15">
        <v>-332</v>
      </c>
      <c r="J16" s="16">
        <v>243</v>
      </c>
      <c r="K16" s="13">
        <v>877.23</v>
      </c>
      <c r="L16" s="14">
        <v>9.8091743119266059</v>
      </c>
      <c r="M16" s="30">
        <v>545</v>
      </c>
      <c r="N16" s="15">
        <v>-4.7272727272727479</v>
      </c>
      <c r="O16" s="16">
        <v>35</v>
      </c>
      <c r="P16" s="17">
        <v>126.35</v>
      </c>
      <c r="Q16" s="14">
        <v>16.739130434782606</v>
      </c>
      <c r="R16" s="16">
        <v>46.000000000000007</v>
      </c>
      <c r="S16" s="15">
        <v>3.6363636363636296</v>
      </c>
      <c r="T16" s="18">
        <v>28</v>
      </c>
      <c r="U16" s="17">
        <v>101.08</v>
      </c>
      <c r="V16" s="14">
        <v>12.571428571428573</v>
      </c>
      <c r="W16" s="16">
        <v>49</v>
      </c>
      <c r="X16" s="15">
        <v>-5.4090909090909065</v>
      </c>
      <c r="Y16" s="18">
        <v>82</v>
      </c>
      <c r="Z16" s="17">
        <v>296.02</v>
      </c>
      <c r="AA16" s="14">
        <v>136.66666666666669</v>
      </c>
      <c r="AB16" s="16">
        <v>13.2</v>
      </c>
      <c r="AC16" s="15">
        <v>73</v>
      </c>
      <c r="AD16" s="19">
        <v>691</v>
      </c>
      <c r="AE16" s="20">
        <v>2494.5099999999998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18</v>
      </c>
      <c r="F17" s="14">
        <v>158.04</v>
      </c>
      <c r="G17" s="14">
        <v>2.3712574850299402</v>
      </c>
      <c r="H17" s="30">
        <v>167</v>
      </c>
      <c r="I17" s="15">
        <v>-57.909090909090907</v>
      </c>
      <c r="J17" s="16">
        <v>27</v>
      </c>
      <c r="K17" s="13">
        <v>237.05999999999997</v>
      </c>
      <c r="L17" s="14">
        <v>8.608695652173914</v>
      </c>
      <c r="M17" s="30">
        <v>69</v>
      </c>
      <c r="N17" s="15">
        <v>-4.3636363636363633</v>
      </c>
      <c r="O17" s="16">
        <v>6</v>
      </c>
      <c r="P17" s="17">
        <v>52.679999999999993</v>
      </c>
      <c r="Q17" s="14">
        <v>16.5</v>
      </c>
      <c r="R17" s="16">
        <v>8</v>
      </c>
      <c r="S17" s="15">
        <v>0.54545454545454497</v>
      </c>
      <c r="T17" s="18">
        <v>17</v>
      </c>
      <c r="U17" s="17">
        <v>149.26</v>
      </c>
      <c r="V17" s="14">
        <v>187</v>
      </c>
      <c r="W17" s="16">
        <v>2</v>
      </c>
      <c r="X17" s="15">
        <v>15.636363636363637</v>
      </c>
      <c r="Y17" s="18">
        <v>14</v>
      </c>
      <c r="Z17" s="17">
        <v>122.91999999999999</v>
      </c>
      <c r="AA17" s="14">
        <v>23.333333333333336</v>
      </c>
      <c r="AB17" s="16">
        <v>13.2</v>
      </c>
      <c r="AC17" s="15">
        <v>5</v>
      </c>
      <c r="AD17" s="19">
        <v>82</v>
      </c>
      <c r="AE17" s="20">
        <v>719.95999999999992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7800</v>
      </c>
      <c r="F18" s="14">
        <v>4914</v>
      </c>
      <c r="G18" s="14">
        <v>9.4001643385373868</v>
      </c>
      <c r="H18" s="30">
        <v>18255</v>
      </c>
      <c r="I18" s="15">
        <v>-497.72727272727207</v>
      </c>
      <c r="J18" s="16">
        <v>3869</v>
      </c>
      <c r="K18" s="13">
        <v>2437.4699999999998</v>
      </c>
      <c r="L18" s="14">
        <v>12.30028901734104</v>
      </c>
      <c r="M18" s="30">
        <v>6920</v>
      </c>
      <c r="N18" s="15">
        <v>723.5454545454545</v>
      </c>
      <c r="O18" s="16">
        <v>961</v>
      </c>
      <c r="P18" s="17">
        <v>605.42999999999995</v>
      </c>
      <c r="Q18" s="14">
        <v>14.63114186851211</v>
      </c>
      <c r="R18" s="16">
        <v>1445</v>
      </c>
      <c r="S18" s="15">
        <v>-24.227272727272748</v>
      </c>
      <c r="T18" s="18">
        <v>1124</v>
      </c>
      <c r="U18" s="17">
        <v>708.12</v>
      </c>
      <c r="V18" s="14">
        <v>6.4095386210471741</v>
      </c>
      <c r="W18" s="16">
        <v>3858</v>
      </c>
      <c r="X18" s="15">
        <v>-1506.4545454545455</v>
      </c>
      <c r="Y18" s="18">
        <v>373</v>
      </c>
      <c r="Z18" s="17">
        <v>234.99</v>
      </c>
      <c r="AA18" s="14">
        <v>50.405405405405403</v>
      </c>
      <c r="AB18" s="16">
        <v>162.80000000000001</v>
      </c>
      <c r="AC18" s="15">
        <v>262</v>
      </c>
      <c r="AD18" s="19">
        <v>14127</v>
      </c>
      <c r="AE18" s="20">
        <v>8900.01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1176</v>
      </c>
      <c r="F19" s="14">
        <v>740.88</v>
      </c>
      <c r="G19" s="14">
        <v>17.422222222222224</v>
      </c>
      <c r="H19" s="30">
        <v>1484.9999999999998</v>
      </c>
      <c r="I19" s="15">
        <v>501.00000000000011</v>
      </c>
      <c r="J19" s="16">
        <v>227</v>
      </c>
      <c r="K19" s="13">
        <v>143.01</v>
      </c>
      <c r="L19" s="14">
        <v>4.4430604982206408</v>
      </c>
      <c r="M19" s="30">
        <v>1124</v>
      </c>
      <c r="N19" s="15">
        <v>-283.90909090909093</v>
      </c>
      <c r="O19" s="16">
        <v>87</v>
      </c>
      <c r="P19" s="17">
        <v>54.81</v>
      </c>
      <c r="Q19" s="14">
        <v>20.361702127659576</v>
      </c>
      <c r="R19" s="16">
        <v>94</v>
      </c>
      <c r="S19" s="15">
        <v>22.909090909090907</v>
      </c>
      <c r="T19" s="18">
        <v>51</v>
      </c>
      <c r="U19" s="17">
        <v>32.130000000000003</v>
      </c>
      <c r="V19" s="14">
        <v>3.3097345132743365</v>
      </c>
      <c r="W19" s="16">
        <v>339</v>
      </c>
      <c r="X19" s="15">
        <v>-180.13636363636363</v>
      </c>
      <c r="Y19" s="18">
        <v>240</v>
      </c>
      <c r="Z19" s="17">
        <v>151.19999999999999</v>
      </c>
      <c r="AA19" s="14">
        <v>18.75</v>
      </c>
      <c r="AB19" s="16">
        <v>281.60000000000002</v>
      </c>
      <c r="AC19" s="15">
        <v>48</v>
      </c>
      <c r="AD19" s="19">
        <v>1781</v>
      </c>
      <c r="AE19" s="20">
        <v>1122.03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2248</v>
      </c>
      <c r="F20" s="14">
        <v>1416.24</v>
      </c>
      <c r="G20" s="14">
        <v>14.653629629629631</v>
      </c>
      <c r="H20" s="30">
        <v>3375</v>
      </c>
      <c r="I20" s="15">
        <v>713.90909090909099</v>
      </c>
      <c r="J20" s="16">
        <v>284</v>
      </c>
      <c r="K20" s="13">
        <v>178.92</v>
      </c>
      <c r="L20" s="14">
        <v>2.8258706467661692</v>
      </c>
      <c r="M20" s="30">
        <v>2211</v>
      </c>
      <c r="N20" s="15">
        <v>-721</v>
      </c>
      <c r="O20" s="16">
        <v>241</v>
      </c>
      <c r="P20" s="17">
        <v>151.83000000000001</v>
      </c>
      <c r="Q20" s="14">
        <v>19.003584229390682</v>
      </c>
      <c r="R20" s="16">
        <v>279</v>
      </c>
      <c r="S20" s="15">
        <v>50.77272727272728</v>
      </c>
      <c r="T20" s="18"/>
      <c r="U20" s="17">
        <v>0</v>
      </c>
      <c r="V20" s="14">
        <v>0</v>
      </c>
      <c r="W20" s="16">
        <v>1172</v>
      </c>
      <c r="X20" s="15">
        <v>-799.09090909090912</v>
      </c>
      <c r="Y20" s="18">
        <v>371</v>
      </c>
      <c r="Z20" s="17">
        <v>233.73</v>
      </c>
      <c r="AA20" s="14">
        <v>38.645833333333336</v>
      </c>
      <c r="AB20" s="16">
        <v>211.2</v>
      </c>
      <c r="AC20" s="15">
        <v>227</v>
      </c>
      <c r="AD20" s="19">
        <v>3144</v>
      </c>
      <c r="AE20" s="20">
        <v>1980.72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3094</v>
      </c>
      <c r="F21" s="14">
        <v>3372.46</v>
      </c>
      <c r="G21" s="14">
        <v>10.665622062049515</v>
      </c>
      <c r="H21" s="30">
        <v>6382</v>
      </c>
      <c r="I21" s="15">
        <v>193.09090909090946</v>
      </c>
      <c r="J21" s="16">
        <v>2029</v>
      </c>
      <c r="K21" s="13">
        <v>2211.61</v>
      </c>
      <c r="L21" s="14">
        <v>6.587662337662338</v>
      </c>
      <c r="M21" s="30">
        <v>6776</v>
      </c>
      <c r="N21" s="15">
        <v>-1051</v>
      </c>
      <c r="O21" s="16">
        <v>384</v>
      </c>
      <c r="P21" s="17">
        <v>418.56000000000006</v>
      </c>
      <c r="Q21" s="14">
        <v>16.030360531309299</v>
      </c>
      <c r="R21" s="16">
        <v>527</v>
      </c>
      <c r="S21" s="15">
        <v>24.681818181818187</v>
      </c>
      <c r="T21" s="18">
        <v>440</v>
      </c>
      <c r="U21" s="17">
        <v>479.6</v>
      </c>
      <c r="V21" s="14">
        <v>4.6740704973442782</v>
      </c>
      <c r="W21" s="16">
        <v>2071</v>
      </c>
      <c r="X21" s="15">
        <v>-972.0454545454545</v>
      </c>
      <c r="Y21" s="18">
        <v>418</v>
      </c>
      <c r="Z21" s="17">
        <v>455.62000000000006</v>
      </c>
      <c r="AA21" s="14">
        <v>18.173913043478262</v>
      </c>
      <c r="AB21" s="16">
        <v>506</v>
      </c>
      <c r="AC21" s="15">
        <v>73</v>
      </c>
      <c r="AD21" s="19">
        <v>6365</v>
      </c>
      <c r="AE21" s="20">
        <v>6937.85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1343</v>
      </c>
      <c r="F22" s="14">
        <v>1463.8700000000001</v>
      </c>
      <c r="G22" s="14">
        <v>6.8887852646304495</v>
      </c>
      <c r="H22" s="30">
        <v>4289</v>
      </c>
      <c r="I22" s="15">
        <v>-606.54545454545473</v>
      </c>
      <c r="J22" s="16">
        <v>661</v>
      </c>
      <c r="K22" s="13">
        <v>720.49</v>
      </c>
      <c r="L22" s="14">
        <v>6.016549441456351</v>
      </c>
      <c r="M22" s="30">
        <v>2417</v>
      </c>
      <c r="N22" s="15">
        <v>-437.63636363636351</v>
      </c>
      <c r="O22" s="16">
        <v>185</v>
      </c>
      <c r="P22" s="17">
        <v>201.65</v>
      </c>
      <c r="Q22" s="14">
        <v>19.950980392156865</v>
      </c>
      <c r="R22" s="16">
        <v>203.99999999999997</v>
      </c>
      <c r="S22" s="15">
        <v>45.909090909090935</v>
      </c>
      <c r="T22" s="18">
        <v>300</v>
      </c>
      <c r="U22" s="17">
        <v>327</v>
      </c>
      <c r="V22" s="14">
        <v>9.3088857545839208</v>
      </c>
      <c r="W22" s="16">
        <v>709</v>
      </c>
      <c r="X22" s="15">
        <v>-183.40909090909088</v>
      </c>
      <c r="Y22" s="18">
        <v>216</v>
      </c>
      <c r="Z22" s="17">
        <v>235.44000000000003</v>
      </c>
      <c r="AA22" s="14">
        <v>0</v>
      </c>
      <c r="AB22" s="16">
        <v>0</v>
      </c>
      <c r="AC22" s="15">
        <v>216</v>
      </c>
      <c r="AD22" s="19">
        <v>2705</v>
      </c>
      <c r="AE22" s="20">
        <v>2948.4500000000003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9667</v>
      </c>
      <c r="F23" s="14">
        <v>11213.72</v>
      </c>
      <c r="G23" s="14">
        <v>5.6416690983367372</v>
      </c>
      <c r="H23" s="30">
        <v>37697</v>
      </c>
      <c r="I23" s="15">
        <v>-7468</v>
      </c>
      <c r="J23" s="16">
        <v>20171</v>
      </c>
      <c r="K23" s="13">
        <v>23398.359999999997</v>
      </c>
      <c r="L23" s="14">
        <v>23.191115756467209</v>
      </c>
      <c r="M23" s="30">
        <v>19135</v>
      </c>
      <c r="N23" s="15">
        <v>11473.272727272728</v>
      </c>
      <c r="O23" s="16">
        <v>2186</v>
      </c>
      <c r="P23" s="17">
        <v>2535.7599999999998</v>
      </c>
      <c r="Q23" s="14">
        <v>15.252775134792262</v>
      </c>
      <c r="R23" s="16">
        <v>3153</v>
      </c>
      <c r="S23" s="15">
        <v>36.227272727272975</v>
      </c>
      <c r="T23" s="18">
        <v>4060</v>
      </c>
      <c r="U23" s="17">
        <v>4709.5999999999995</v>
      </c>
      <c r="V23" s="14">
        <v>6.750302297460701</v>
      </c>
      <c r="W23" s="16">
        <v>13232</v>
      </c>
      <c r="X23" s="15">
        <v>-4961.818181818182</v>
      </c>
      <c r="Y23" s="18">
        <v>747</v>
      </c>
      <c r="Z23" s="17">
        <v>866.52</v>
      </c>
      <c r="AA23" s="14">
        <v>14.880478087649401</v>
      </c>
      <c r="AB23" s="16">
        <v>1104.4000000000001</v>
      </c>
      <c r="AC23" s="15">
        <v>-6</v>
      </c>
      <c r="AD23" s="19">
        <v>36831</v>
      </c>
      <c r="AE23" s="20">
        <v>42723.96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8018</v>
      </c>
      <c r="F24" s="14">
        <v>9300.8799999999992</v>
      </c>
      <c r="G24" s="14">
        <v>6.5677265619182368</v>
      </c>
      <c r="H24" s="30">
        <v>26858</v>
      </c>
      <c r="I24" s="15">
        <v>-4190.181818181818</v>
      </c>
      <c r="J24" s="16">
        <v>8904</v>
      </c>
      <c r="K24" s="13">
        <v>10328.64</v>
      </c>
      <c r="L24" s="14">
        <v>16.417029835735836</v>
      </c>
      <c r="M24" s="30">
        <v>11932</v>
      </c>
      <c r="N24" s="15">
        <v>3480.363636363636</v>
      </c>
      <c r="O24" s="16">
        <v>1288</v>
      </c>
      <c r="P24" s="17">
        <v>1494.08</v>
      </c>
      <c r="Q24" s="14">
        <v>15.00052938062467</v>
      </c>
      <c r="R24" s="16">
        <v>1889</v>
      </c>
      <c r="S24" s="15">
        <v>4.5454545454504114E-2</v>
      </c>
      <c r="T24" s="18">
        <v>3824</v>
      </c>
      <c r="U24" s="17">
        <v>4435.84</v>
      </c>
      <c r="V24" s="14">
        <v>11.568756875687567</v>
      </c>
      <c r="W24" s="16">
        <v>7272</v>
      </c>
      <c r="X24" s="15">
        <v>-1134.181818181818</v>
      </c>
      <c r="Y24" s="18">
        <v>816</v>
      </c>
      <c r="Z24" s="17">
        <v>946.56</v>
      </c>
      <c r="AA24" s="14">
        <v>23.314285714285713</v>
      </c>
      <c r="AB24" s="16">
        <v>770</v>
      </c>
      <c r="AC24" s="15">
        <v>291</v>
      </c>
      <c r="AD24" s="19">
        <v>22850</v>
      </c>
      <c r="AE24" s="20">
        <v>26505.999999999996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8261</v>
      </c>
      <c r="F25" s="14">
        <v>9582.76</v>
      </c>
      <c r="G25" s="14">
        <v>7.0377168525402727</v>
      </c>
      <c r="H25" s="30">
        <v>25824</v>
      </c>
      <c r="I25" s="15">
        <v>-3477.181818181818</v>
      </c>
      <c r="J25" s="16">
        <v>4167</v>
      </c>
      <c r="K25" s="13">
        <v>4833.7199999999993</v>
      </c>
      <c r="L25" s="14">
        <v>7.6965829905129715</v>
      </c>
      <c r="M25" s="30">
        <v>11911</v>
      </c>
      <c r="N25" s="15">
        <v>-1247.090909090909</v>
      </c>
      <c r="O25" s="16">
        <v>1408</v>
      </c>
      <c r="P25" s="17">
        <v>1633.28</v>
      </c>
      <c r="Q25" s="14">
        <v>14.099226217569413</v>
      </c>
      <c r="R25" s="16">
        <v>2197</v>
      </c>
      <c r="S25" s="15">
        <v>-89.954545454545496</v>
      </c>
      <c r="T25" s="18">
        <v>3663</v>
      </c>
      <c r="U25" s="17">
        <v>4249.08</v>
      </c>
      <c r="V25" s="14">
        <v>11.183180682764363</v>
      </c>
      <c r="W25" s="16">
        <v>7206.0000000000009</v>
      </c>
      <c r="X25" s="15">
        <v>-1250.181818181818</v>
      </c>
      <c r="Y25" s="18">
        <v>848</v>
      </c>
      <c r="Z25" s="17">
        <v>983.68</v>
      </c>
      <c r="AA25" s="14">
        <v>27.006369426751593</v>
      </c>
      <c r="AB25" s="16">
        <v>690.8</v>
      </c>
      <c r="AC25" s="15">
        <v>377</v>
      </c>
      <c r="AD25" s="19">
        <v>18347</v>
      </c>
      <c r="AE25" s="20">
        <v>21282.519999999997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6157</v>
      </c>
      <c r="F26" s="14">
        <v>7142.12</v>
      </c>
      <c r="G26" s="14">
        <v>4.3172589641434262</v>
      </c>
      <c r="H26" s="30">
        <v>31375</v>
      </c>
      <c r="I26" s="15">
        <v>-8104.3636363636379</v>
      </c>
      <c r="J26" s="16">
        <v>11022</v>
      </c>
      <c r="K26" s="13">
        <v>12785.519999999999</v>
      </c>
      <c r="L26" s="14">
        <v>17.198666572097313</v>
      </c>
      <c r="M26" s="30">
        <v>14099</v>
      </c>
      <c r="N26" s="15">
        <v>4613.363636363636</v>
      </c>
      <c r="O26" s="16">
        <v>1240</v>
      </c>
      <c r="P26" s="17">
        <v>1438.3999999999999</v>
      </c>
      <c r="Q26" s="14">
        <v>14.989010989010987</v>
      </c>
      <c r="R26" s="16">
        <v>1820</v>
      </c>
      <c r="S26" s="15">
        <v>-0.90909090909099177</v>
      </c>
      <c r="T26" s="18">
        <v>4327</v>
      </c>
      <c r="U26" s="17">
        <v>5019.32</v>
      </c>
      <c r="V26" s="14">
        <v>11.433341340379535</v>
      </c>
      <c r="W26" s="16">
        <v>8326</v>
      </c>
      <c r="X26" s="15">
        <v>-1349.818181818182</v>
      </c>
      <c r="Y26" s="18">
        <v>925</v>
      </c>
      <c r="Z26" s="17">
        <v>1073</v>
      </c>
      <c r="AA26" s="14">
        <v>18.877551020408163</v>
      </c>
      <c r="AB26" s="16">
        <v>1078</v>
      </c>
      <c r="AC26" s="15">
        <v>190</v>
      </c>
      <c r="AD26" s="19">
        <v>23671</v>
      </c>
      <c r="AE26" s="20">
        <v>27458.359999999997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1164</v>
      </c>
      <c r="F27" s="14">
        <v>1350.24</v>
      </c>
      <c r="G27" s="14">
        <v>7.0603804797353176</v>
      </c>
      <c r="H27" s="30">
        <v>3627</v>
      </c>
      <c r="I27" s="15">
        <v>-484.63636363636374</v>
      </c>
      <c r="J27" s="16">
        <v>5278</v>
      </c>
      <c r="K27" s="13">
        <v>6122.48</v>
      </c>
      <c r="L27" s="14">
        <v>45.841294907224636</v>
      </c>
      <c r="M27" s="30">
        <v>2533</v>
      </c>
      <c r="N27" s="15">
        <v>4126.636363636364</v>
      </c>
      <c r="O27" s="16">
        <v>649</v>
      </c>
      <c r="P27" s="17">
        <v>752.83999999999992</v>
      </c>
      <c r="Q27" s="14">
        <v>33.995238095238093</v>
      </c>
      <c r="R27" s="16">
        <v>420</v>
      </c>
      <c r="S27" s="15">
        <v>362.63636363636363</v>
      </c>
      <c r="T27" s="18">
        <v>660</v>
      </c>
      <c r="U27" s="17">
        <v>765.59999999999991</v>
      </c>
      <c r="V27" s="14">
        <v>9.5088408644400815</v>
      </c>
      <c r="W27" s="16">
        <v>1526.9999999999998</v>
      </c>
      <c r="X27" s="15">
        <v>-381.13636363636328</v>
      </c>
      <c r="Y27" s="18">
        <v>496</v>
      </c>
      <c r="Z27" s="17">
        <v>575.36</v>
      </c>
      <c r="AA27" s="14">
        <v>42.03389830508474</v>
      </c>
      <c r="AB27" s="16">
        <v>259.60000000000002</v>
      </c>
      <c r="AC27" s="15">
        <v>319</v>
      </c>
      <c r="AD27" s="19">
        <v>8247</v>
      </c>
      <c r="AE27" s="20">
        <v>9566.5199999999986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1060</v>
      </c>
      <c r="F28" s="14">
        <v>1229.5999999999999</v>
      </c>
      <c r="G28" s="14">
        <v>6.2136957100985875</v>
      </c>
      <c r="H28" s="30">
        <v>3753</v>
      </c>
      <c r="I28" s="15">
        <v>-645.90909090909099</v>
      </c>
      <c r="J28" s="16">
        <v>1124</v>
      </c>
      <c r="K28" s="13">
        <v>1303.8399999999999</v>
      </c>
      <c r="L28" s="14">
        <v>7.4102487264009591</v>
      </c>
      <c r="M28" s="30">
        <v>3337</v>
      </c>
      <c r="N28" s="15">
        <v>-392.81818181818198</v>
      </c>
      <c r="O28" s="16">
        <v>656</v>
      </c>
      <c r="P28" s="17">
        <v>760.95999999999992</v>
      </c>
      <c r="Q28" s="14">
        <v>27.333333333333332</v>
      </c>
      <c r="R28" s="16">
        <v>528</v>
      </c>
      <c r="S28" s="15">
        <v>296</v>
      </c>
      <c r="T28" s="18">
        <v>334</v>
      </c>
      <c r="U28" s="17">
        <v>387.44</v>
      </c>
      <c r="V28" s="14">
        <v>5.66538164996145</v>
      </c>
      <c r="W28" s="16">
        <v>1297</v>
      </c>
      <c r="X28" s="15">
        <v>-550.31818181818176</v>
      </c>
      <c r="Y28" s="18">
        <v>455</v>
      </c>
      <c r="Z28" s="17">
        <v>527.79999999999995</v>
      </c>
      <c r="AA28" s="14">
        <v>25.852272727272727</v>
      </c>
      <c r="AB28" s="16">
        <v>387.20000000000005</v>
      </c>
      <c r="AC28" s="15">
        <v>191</v>
      </c>
      <c r="AD28" s="19">
        <v>3629</v>
      </c>
      <c r="AE28" s="20">
        <v>4209.6399999999994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890</v>
      </c>
      <c r="F29" s="14">
        <v>1032.3999999999999</v>
      </c>
      <c r="G29" s="14">
        <v>5.1458607095926405</v>
      </c>
      <c r="H29" s="30">
        <v>3805.0000000000005</v>
      </c>
      <c r="I29" s="15">
        <v>-839.54545454545473</v>
      </c>
      <c r="J29" s="16">
        <v>5730</v>
      </c>
      <c r="K29" s="13">
        <v>6646.7999999999993</v>
      </c>
      <c r="L29" s="14">
        <v>46.430939226519335</v>
      </c>
      <c r="M29" s="30">
        <v>2715</v>
      </c>
      <c r="N29" s="15">
        <v>4495.909090909091</v>
      </c>
      <c r="O29" s="16">
        <v>652</v>
      </c>
      <c r="P29" s="17">
        <v>756.31999999999994</v>
      </c>
      <c r="Q29" s="14">
        <v>29.945720250521919</v>
      </c>
      <c r="R29" s="16">
        <v>479</v>
      </c>
      <c r="S29" s="15">
        <v>325.40909090909088</v>
      </c>
      <c r="T29" s="18">
        <v>290</v>
      </c>
      <c r="U29" s="17">
        <v>336.4</v>
      </c>
      <c r="V29" s="14">
        <v>5.5915863277826467</v>
      </c>
      <c r="W29" s="16">
        <v>1141</v>
      </c>
      <c r="X29" s="15">
        <v>-487.9545454545455</v>
      </c>
      <c r="Y29" s="18">
        <v>454</v>
      </c>
      <c r="Z29" s="17">
        <v>526.64</v>
      </c>
      <c r="AA29" s="14">
        <v>19.401709401709404</v>
      </c>
      <c r="AB29" s="16">
        <v>514.79999999999995</v>
      </c>
      <c r="AC29" s="15">
        <v>103</v>
      </c>
      <c r="AD29" s="19">
        <v>8016</v>
      </c>
      <c r="AE29" s="20">
        <v>9298.56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701</v>
      </c>
      <c r="F30" s="14">
        <v>2579.6800000000003</v>
      </c>
      <c r="G30" s="14">
        <v>7.7692695214105791</v>
      </c>
      <c r="H30" s="30">
        <v>1985</v>
      </c>
      <c r="I30" s="15">
        <v>-201.27272727272737</v>
      </c>
      <c r="J30" s="16">
        <v>1670</v>
      </c>
      <c r="K30" s="13">
        <v>6145.6</v>
      </c>
      <c r="L30" s="14">
        <v>16.527215474583894</v>
      </c>
      <c r="M30" s="30">
        <v>2223</v>
      </c>
      <c r="N30" s="15">
        <v>659.5454545454545</v>
      </c>
      <c r="O30" s="16">
        <v>80</v>
      </c>
      <c r="P30" s="17">
        <v>294.40000000000003</v>
      </c>
      <c r="Q30" s="14">
        <v>21.463414634146343</v>
      </c>
      <c r="R30" s="16">
        <v>82</v>
      </c>
      <c r="S30" s="15">
        <v>24.090909090909093</v>
      </c>
      <c r="T30" s="18">
        <v>255</v>
      </c>
      <c r="U30" s="17">
        <v>938.40000000000009</v>
      </c>
      <c r="V30" s="14">
        <v>8.0372492836676219</v>
      </c>
      <c r="W30" s="16">
        <v>698</v>
      </c>
      <c r="X30" s="15">
        <v>-220.90909090909088</v>
      </c>
      <c r="Y30" s="18">
        <v>99</v>
      </c>
      <c r="Z30" s="17">
        <v>364.32</v>
      </c>
      <c r="AA30" s="14">
        <v>165</v>
      </c>
      <c r="AB30" s="16">
        <v>13.2</v>
      </c>
      <c r="AC30" s="15">
        <v>90</v>
      </c>
      <c r="AD30" s="19">
        <v>2805</v>
      </c>
      <c r="AE30" s="20">
        <v>10322.4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117</v>
      </c>
      <c r="F31" s="14">
        <v>430.56</v>
      </c>
      <c r="G31" s="14">
        <v>2.1467889908256881</v>
      </c>
      <c r="H31" s="30">
        <v>1199</v>
      </c>
      <c r="I31" s="15">
        <v>-428</v>
      </c>
      <c r="J31" s="16">
        <v>1150</v>
      </c>
      <c r="K31" s="13">
        <v>4232</v>
      </c>
      <c r="L31" s="14">
        <v>17.281420765027327</v>
      </c>
      <c r="M31" s="30">
        <v>1463.9999999999998</v>
      </c>
      <c r="N31" s="15">
        <v>484.54545454545473</v>
      </c>
      <c r="O31" s="16">
        <v>33</v>
      </c>
      <c r="P31" s="17">
        <v>121.44000000000001</v>
      </c>
      <c r="Q31" s="14">
        <v>18.150000000000002</v>
      </c>
      <c r="R31" s="16">
        <v>40</v>
      </c>
      <c r="S31" s="15">
        <v>5.7272727272727266</v>
      </c>
      <c r="T31" s="18">
        <v>142</v>
      </c>
      <c r="U31" s="17">
        <v>522.56000000000006</v>
      </c>
      <c r="V31" s="14">
        <v>11.878326996197718</v>
      </c>
      <c r="W31" s="16">
        <v>263</v>
      </c>
      <c r="X31" s="15">
        <v>-37.318181818181813</v>
      </c>
      <c r="Y31" s="18">
        <v>68</v>
      </c>
      <c r="Z31" s="17">
        <v>250.24</v>
      </c>
      <c r="AA31" s="14">
        <v>56.666666666666671</v>
      </c>
      <c r="AB31" s="16">
        <v>26.4</v>
      </c>
      <c r="AC31" s="15">
        <v>50</v>
      </c>
      <c r="AD31" s="19">
        <v>1510</v>
      </c>
      <c r="AE31" s="20">
        <v>5556.8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3098</v>
      </c>
      <c r="F32" s="14">
        <v>12856.7</v>
      </c>
      <c r="G32" s="14">
        <v>14.1843912591051</v>
      </c>
      <c r="H32" s="30">
        <v>4805</v>
      </c>
      <c r="I32" s="15">
        <v>913.90909090909099</v>
      </c>
      <c r="J32" s="16">
        <v>1043</v>
      </c>
      <c r="K32" s="13">
        <v>4328.4500000000007</v>
      </c>
      <c r="L32" s="14">
        <v>6.0848581278175544</v>
      </c>
      <c r="M32" s="30">
        <v>3771.0000000000005</v>
      </c>
      <c r="N32" s="15">
        <v>-671.09090909090946</v>
      </c>
      <c r="O32" s="16">
        <v>210</v>
      </c>
      <c r="P32" s="17">
        <v>871.50000000000011</v>
      </c>
      <c r="Q32" s="14">
        <v>16.441281138790035</v>
      </c>
      <c r="R32" s="16">
        <v>281</v>
      </c>
      <c r="S32" s="15">
        <v>18.409090909090907</v>
      </c>
      <c r="T32" s="18">
        <v>427</v>
      </c>
      <c r="U32" s="17">
        <v>1772.0500000000002</v>
      </c>
      <c r="V32" s="14">
        <v>5.1305297651556518</v>
      </c>
      <c r="W32" s="16">
        <v>1831</v>
      </c>
      <c r="X32" s="15">
        <v>-821.40909090909099</v>
      </c>
      <c r="Y32" s="18">
        <v>155</v>
      </c>
      <c r="Z32" s="17">
        <v>643.25</v>
      </c>
      <c r="AA32" s="14">
        <v>29.807692307692307</v>
      </c>
      <c r="AB32" s="16">
        <v>114.4</v>
      </c>
      <c r="AC32" s="15">
        <v>77</v>
      </c>
      <c r="AD32" s="19">
        <v>4933</v>
      </c>
      <c r="AE32" s="20">
        <v>20471.95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1675</v>
      </c>
      <c r="F33" s="14">
        <v>6951.2500000000009</v>
      </c>
      <c r="G33" s="14">
        <v>4.182746878547106</v>
      </c>
      <c r="H33" s="30">
        <v>8810</v>
      </c>
      <c r="I33" s="15">
        <v>-2329.5454545454545</v>
      </c>
      <c r="J33" s="16">
        <v>4267</v>
      </c>
      <c r="K33" s="13">
        <v>17708.050000000003</v>
      </c>
      <c r="L33" s="14">
        <v>18.504632367435441</v>
      </c>
      <c r="M33" s="30">
        <v>5073</v>
      </c>
      <c r="N33" s="15">
        <v>1961.090909090909</v>
      </c>
      <c r="O33" s="16">
        <v>266</v>
      </c>
      <c r="P33" s="17">
        <v>1103.9000000000001</v>
      </c>
      <c r="Q33" s="14">
        <v>16.300835654596103</v>
      </c>
      <c r="R33" s="16">
        <v>359</v>
      </c>
      <c r="S33" s="15">
        <v>21.227272727272748</v>
      </c>
      <c r="T33" s="18">
        <v>772</v>
      </c>
      <c r="U33" s="17">
        <v>3203.8</v>
      </c>
      <c r="V33" s="14">
        <v>6.6291959406713508</v>
      </c>
      <c r="W33" s="16">
        <v>2562</v>
      </c>
      <c r="X33" s="15">
        <v>-974.81818181818176</v>
      </c>
      <c r="Y33" s="18">
        <v>252</v>
      </c>
      <c r="Z33" s="17">
        <v>1045.8000000000002</v>
      </c>
      <c r="AA33" s="14">
        <v>96.92307692307692</v>
      </c>
      <c r="AB33" s="16">
        <v>57.2</v>
      </c>
      <c r="AC33" s="15">
        <v>213</v>
      </c>
      <c r="AD33" s="19">
        <v>7232</v>
      </c>
      <c r="AE33" s="20">
        <v>30012.800000000003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269</v>
      </c>
      <c r="F34" s="14">
        <v>1116.3500000000001</v>
      </c>
      <c r="G34" s="14">
        <v>3.9986486486486492</v>
      </c>
      <c r="H34" s="30">
        <v>1480</v>
      </c>
      <c r="I34" s="15">
        <v>-403.72727272727263</v>
      </c>
      <c r="J34" s="16">
        <v>618</v>
      </c>
      <c r="K34" s="13">
        <v>2564.7000000000003</v>
      </c>
      <c r="L34" s="14">
        <v>0</v>
      </c>
      <c r="M34" s="30">
        <v>0</v>
      </c>
      <c r="N34" s="15">
        <v>618</v>
      </c>
      <c r="O34" s="16"/>
      <c r="P34" s="17">
        <v>0</v>
      </c>
      <c r="Q34" s="14">
        <v>0</v>
      </c>
      <c r="R34" s="16">
        <v>0</v>
      </c>
      <c r="S34" s="15" t="s">
        <v>56</v>
      </c>
      <c r="T34" s="18">
        <v>20</v>
      </c>
      <c r="U34" s="17">
        <v>83</v>
      </c>
      <c r="V34" s="14">
        <v>4.6808510638297873</v>
      </c>
      <c r="W34" s="16">
        <v>94</v>
      </c>
      <c r="X34" s="15">
        <v>-44.090909090909093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939</v>
      </c>
      <c r="AE34" s="20">
        <v>3896.8500000000004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57</v>
      </c>
      <c r="D35" s="12">
        <v>1.63</v>
      </c>
      <c r="E35" s="13">
        <v>2451</v>
      </c>
      <c r="F35" s="14">
        <v>3995.1299999999997</v>
      </c>
      <c r="G35" s="14">
        <v>5.0422666916027685</v>
      </c>
      <c r="H35" s="30">
        <v>10694</v>
      </c>
      <c r="I35" s="15">
        <v>-2409.909090909091</v>
      </c>
      <c r="J35" s="16">
        <v>1309</v>
      </c>
      <c r="K35" s="13">
        <v>2133.67</v>
      </c>
      <c r="L35" s="14">
        <v>8.940701645451723</v>
      </c>
      <c r="M35" s="30">
        <v>3221</v>
      </c>
      <c r="N35" s="15">
        <v>-155.09090909090901</v>
      </c>
      <c r="O35" s="16">
        <v>693</v>
      </c>
      <c r="P35" s="17">
        <v>1129.5899999999999</v>
      </c>
      <c r="Q35" s="14">
        <v>15.964397905759164</v>
      </c>
      <c r="R35" s="16">
        <v>955</v>
      </c>
      <c r="S35" s="15">
        <v>41.863636363636374</v>
      </c>
      <c r="T35" s="18">
        <v>445</v>
      </c>
      <c r="U35" s="17">
        <v>725.34999999999991</v>
      </c>
      <c r="V35" s="14">
        <v>7.1879588839941269</v>
      </c>
      <c r="W35" s="16">
        <v>1362</v>
      </c>
      <c r="X35" s="15">
        <v>-483.63636363636363</v>
      </c>
      <c r="Y35" s="18">
        <v>440</v>
      </c>
      <c r="Z35" s="17">
        <v>717.19999999999993</v>
      </c>
      <c r="AA35" s="14">
        <v>36.065573770491802</v>
      </c>
      <c r="AB35" s="16">
        <v>268.39999999999998</v>
      </c>
      <c r="AC35" s="15">
        <v>257</v>
      </c>
      <c r="AD35" s="19">
        <v>5338</v>
      </c>
      <c r="AE35" s="20">
        <v>8700.9399999999987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58</v>
      </c>
      <c r="D36" s="12">
        <v>1.63</v>
      </c>
      <c r="E36" s="13">
        <v>1196</v>
      </c>
      <c r="F36" s="14">
        <v>1949.4799999999998</v>
      </c>
      <c r="G36" s="14">
        <v>1.5998054356417584</v>
      </c>
      <c r="H36" s="30">
        <v>16447</v>
      </c>
      <c r="I36" s="15">
        <v>-6279.909090909091</v>
      </c>
      <c r="J36" s="16">
        <v>5663</v>
      </c>
      <c r="K36" s="13">
        <v>9230.6899999999987</v>
      </c>
      <c r="L36" s="14">
        <v>25.250506688285366</v>
      </c>
      <c r="M36" s="30">
        <v>4934</v>
      </c>
      <c r="N36" s="15">
        <v>3420.272727272727</v>
      </c>
      <c r="O36" s="16">
        <v>789</v>
      </c>
      <c r="P36" s="17">
        <v>1286.07</v>
      </c>
      <c r="Q36" s="14">
        <v>8.6660009985022466</v>
      </c>
      <c r="R36" s="16">
        <v>2003</v>
      </c>
      <c r="S36" s="15">
        <v>-576.68181818181824</v>
      </c>
      <c r="T36" s="18">
        <v>871</v>
      </c>
      <c r="U36" s="17">
        <v>1419.73</v>
      </c>
      <c r="V36" s="14">
        <v>6.5221238938053103</v>
      </c>
      <c r="W36" s="16">
        <v>2938</v>
      </c>
      <c r="X36" s="15">
        <v>-1132.181818181818</v>
      </c>
      <c r="Y36" s="18">
        <v>571</v>
      </c>
      <c r="Z36" s="17">
        <v>930.7299999999999</v>
      </c>
      <c r="AA36" s="14">
        <v>21.793893129770993</v>
      </c>
      <c r="AB36" s="16">
        <v>576.4</v>
      </c>
      <c r="AC36" s="15">
        <v>178</v>
      </c>
      <c r="AD36" s="19">
        <v>9090</v>
      </c>
      <c r="AE36" s="20">
        <v>14816.699999999999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59</v>
      </c>
      <c r="D37" s="12">
        <v>1.63</v>
      </c>
      <c r="E37" s="13">
        <v>1750</v>
      </c>
      <c r="F37" s="14">
        <v>2852.5</v>
      </c>
      <c r="G37" s="14">
        <v>6.4608155730827317</v>
      </c>
      <c r="H37" s="30">
        <v>5959</v>
      </c>
      <c r="I37" s="15">
        <v>-958.63636363636397</v>
      </c>
      <c r="J37" s="16">
        <v>0</v>
      </c>
      <c r="K37" s="13">
        <v>0</v>
      </c>
      <c r="L37" s="14">
        <v>0</v>
      </c>
      <c r="M37" s="30">
        <v>2422</v>
      </c>
      <c r="N37" s="15">
        <v>-1100.909090909091</v>
      </c>
      <c r="O37" s="16">
        <v>374</v>
      </c>
      <c r="P37" s="17">
        <v>609.62</v>
      </c>
      <c r="Q37" s="14">
        <v>8.0904621435594883</v>
      </c>
      <c r="R37" s="16">
        <v>1017</v>
      </c>
      <c r="S37" s="15">
        <v>-319.40909090909088</v>
      </c>
      <c r="T37" s="18">
        <v>841</v>
      </c>
      <c r="U37" s="17">
        <v>1370.83</v>
      </c>
      <c r="V37" s="14">
        <v>12.148391332895599</v>
      </c>
      <c r="W37" s="16">
        <v>1523</v>
      </c>
      <c r="X37" s="15">
        <v>-197.40909090909099</v>
      </c>
      <c r="Y37" s="18">
        <v>273</v>
      </c>
      <c r="Z37" s="17">
        <v>444.98999999999995</v>
      </c>
      <c r="AA37" s="14">
        <v>0</v>
      </c>
      <c r="AB37" s="16">
        <v>0</v>
      </c>
      <c r="AC37" s="15">
        <v>273</v>
      </c>
      <c r="AD37" s="19">
        <v>3238</v>
      </c>
      <c r="AE37" s="20">
        <v>5277.94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60</v>
      </c>
      <c r="D38" s="12">
        <v>1.63</v>
      </c>
      <c r="E38" s="13">
        <v>1881</v>
      </c>
      <c r="F38" s="14">
        <v>3066.0299999999997</v>
      </c>
      <c r="G38" s="14">
        <v>10.071063519104404</v>
      </c>
      <c r="H38" s="30">
        <v>4109</v>
      </c>
      <c r="I38" s="15">
        <v>13.272727272727252</v>
      </c>
      <c r="J38" s="16">
        <v>46</v>
      </c>
      <c r="K38" s="13">
        <v>74.97999999999999</v>
      </c>
      <c r="L38" s="14">
        <v>0.48513902205177378</v>
      </c>
      <c r="M38" s="30">
        <v>2086</v>
      </c>
      <c r="N38" s="15">
        <v>-902.18181818181813</v>
      </c>
      <c r="O38" s="16">
        <v>544</v>
      </c>
      <c r="P38" s="17">
        <v>886.71999999999991</v>
      </c>
      <c r="Q38" s="14">
        <v>15.936085219707058</v>
      </c>
      <c r="R38" s="16">
        <v>751</v>
      </c>
      <c r="S38" s="15">
        <v>31.954545454545496</v>
      </c>
      <c r="T38" s="18">
        <v>572</v>
      </c>
      <c r="U38" s="17">
        <v>932.3599999999999</v>
      </c>
      <c r="V38" s="14">
        <v>12.277073170731706</v>
      </c>
      <c r="W38" s="16">
        <v>1025</v>
      </c>
      <c r="X38" s="15">
        <v>-126.86363636363637</v>
      </c>
      <c r="Y38" s="18">
        <v>549</v>
      </c>
      <c r="Z38" s="17">
        <v>894.86999999999989</v>
      </c>
      <c r="AA38" s="14">
        <v>27.727272727272727</v>
      </c>
      <c r="AB38" s="16">
        <v>435.6</v>
      </c>
      <c r="AC38" s="15">
        <v>252</v>
      </c>
      <c r="AD38" s="19">
        <v>3592</v>
      </c>
      <c r="AE38" s="20">
        <v>5854.96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61</v>
      </c>
      <c r="D39" s="12">
        <v>1.63</v>
      </c>
      <c r="E39" s="13">
        <v>715</v>
      </c>
      <c r="F39" s="14">
        <v>1165.4499999999998</v>
      </c>
      <c r="G39" s="14">
        <v>84.117647058823536</v>
      </c>
      <c r="H39" s="30">
        <v>187</v>
      </c>
      <c r="I39" s="15">
        <v>630</v>
      </c>
      <c r="J39" s="16">
        <v>7082</v>
      </c>
      <c r="K39" s="13">
        <v>11543.66</v>
      </c>
      <c r="L39" s="14">
        <v>190.93627450980395</v>
      </c>
      <c r="M39" s="30">
        <v>815.99999999999989</v>
      </c>
      <c r="N39" s="15">
        <v>6711.090909090909</v>
      </c>
      <c r="O39" s="16">
        <v>558</v>
      </c>
      <c r="P39" s="17">
        <v>909.54</v>
      </c>
      <c r="Q39" s="14">
        <v>1116</v>
      </c>
      <c r="R39" s="16">
        <v>11</v>
      </c>
      <c r="S39" s="15">
        <v>550.5</v>
      </c>
      <c r="T39" s="18">
        <v>123</v>
      </c>
      <c r="U39" s="17">
        <v>200.48999999999998</v>
      </c>
      <c r="V39" s="14">
        <v>5.029739776951673</v>
      </c>
      <c r="W39" s="16">
        <v>538</v>
      </c>
      <c r="X39" s="15">
        <v>-243.81818181818181</v>
      </c>
      <c r="Y39" s="18">
        <v>510</v>
      </c>
      <c r="Z39" s="17">
        <v>831.3</v>
      </c>
      <c r="AA39" s="14">
        <v>170</v>
      </c>
      <c r="AB39" s="16">
        <v>66</v>
      </c>
      <c r="AC39" s="15">
        <v>465</v>
      </c>
      <c r="AD39" s="19">
        <v>8988</v>
      </c>
      <c r="AE39" s="20">
        <v>14650.439999999999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62</v>
      </c>
      <c r="D40" s="12">
        <v>1.63</v>
      </c>
      <c r="E40" s="13">
        <v>621</v>
      </c>
      <c r="F40" s="14">
        <v>1012.2299999999999</v>
      </c>
      <c r="G40" s="14">
        <v>73.848648648648663</v>
      </c>
      <c r="H40" s="30">
        <v>185</v>
      </c>
      <c r="I40" s="15">
        <v>536.90909090909088</v>
      </c>
      <c r="J40" s="16">
        <v>7076</v>
      </c>
      <c r="K40" s="13">
        <v>11533.88</v>
      </c>
      <c r="L40" s="14">
        <v>218.0280112044818</v>
      </c>
      <c r="M40" s="30">
        <v>714</v>
      </c>
      <c r="N40" s="15">
        <v>6751.454545454546</v>
      </c>
      <c r="O40" s="16">
        <v>517</v>
      </c>
      <c r="P40" s="17">
        <v>842.70999999999992</v>
      </c>
      <c r="Q40" s="14">
        <v>1034</v>
      </c>
      <c r="R40" s="16">
        <v>11</v>
      </c>
      <c r="S40" s="15">
        <v>509.5</v>
      </c>
      <c r="T40" s="18">
        <v>64</v>
      </c>
      <c r="U40" s="17">
        <v>104.32</v>
      </c>
      <c r="V40" s="14">
        <v>2.5008880994671405</v>
      </c>
      <c r="W40" s="16">
        <v>563</v>
      </c>
      <c r="X40" s="15">
        <v>-319.86363636363637</v>
      </c>
      <c r="Y40" s="18">
        <v>519</v>
      </c>
      <c r="Z40" s="17">
        <v>845.96999999999991</v>
      </c>
      <c r="AA40" s="14">
        <v>173</v>
      </c>
      <c r="AB40" s="16">
        <v>66</v>
      </c>
      <c r="AC40" s="15">
        <v>474</v>
      </c>
      <c r="AD40" s="19">
        <v>8797</v>
      </c>
      <c r="AE40" s="20">
        <v>14339.109999999999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63</v>
      </c>
      <c r="D41" s="12">
        <v>6.15</v>
      </c>
      <c r="E41" s="13">
        <v>139</v>
      </c>
      <c r="F41" s="14">
        <v>854.85</v>
      </c>
      <c r="G41" s="14">
        <v>2.278688524590164</v>
      </c>
      <c r="H41" s="30">
        <v>1342</v>
      </c>
      <c r="I41" s="15">
        <v>-471</v>
      </c>
      <c r="J41" s="16">
        <v>920</v>
      </c>
      <c r="K41" s="13">
        <v>5658</v>
      </c>
      <c r="L41" s="14">
        <v>25.555555555555557</v>
      </c>
      <c r="M41" s="30">
        <v>792</v>
      </c>
      <c r="N41" s="15">
        <v>560</v>
      </c>
      <c r="O41" s="16">
        <v>70</v>
      </c>
      <c r="P41" s="17">
        <v>430.5</v>
      </c>
      <c r="Q41" s="14">
        <v>18.554216867469879</v>
      </c>
      <c r="R41" s="16">
        <v>83</v>
      </c>
      <c r="S41" s="15">
        <v>13.409090909090907</v>
      </c>
      <c r="T41" s="18">
        <v>117</v>
      </c>
      <c r="U41" s="17">
        <v>719.55000000000007</v>
      </c>
      <c r="V41" s="14">
        <v>6.919354838709677</v>
      </c>
      <c r="W41" s="16">
        <v>372</v>
      </c>
      <c r="X41" s="15">
        <v>-136.63636363636365</v>
      </c>
      <c r="Y41" s="18">
        <v>97</v>
      </c>
      <c r="Z41" s="17">
        <v>596.55000000000007</v>
      </c>
      <c r="AA41" s="14">
        <v>0</v>
      </c>
      <c r="AB41" s="16">
        <v>0</v>
      </c>
      <c r="AC41" s="15">
        <v>97</v>
      </c>
      <c r="AD41" s="19">
        <v>1343</v>
      </c>
      <c r="AE41" s="20">
        <v>8259.4500000000007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64</v>
      </c>
      <c r="D42" s="12">
        <v>6.15</v>
      </c>
      <c r="E42" s="13">
        <v>140</v>
      </c>
      <c r="F42" s="14">
        <v>861</v>
      </c>
      <c r="G42" s="14">
        <v>2.1813031161473084</v>
      </c>
      <c r="H42" s="30">
        <v>1412</v>
      </c>
      <c r="I42" s="15">
        <v>-501.81818181818187</v>
      </c>
      <c r="J42" s="16">
        <v>147</v>
      </c>
      <c r="K42" s="13">
        <v>904.05000000000007</v>
      </c>
      <c r="L42" s="14">
        <v>3.4924406047516197</v>
      </c>
      <c r="M42" s="30">
        <v>926</v>
      </c>
      <c r="N42" s="15">
        <v>-273.90909090909093</v>
      </c>
      <c r="O42" s="16">
        <v>57</v>
      </c>
      <c r="P42" s="17">
        <v>350.55</v>
      </c>
      <c r="Q42" s="14">
        <v>15.481481481481483</v>
      </c>
      <c r="R42" s="16">
        <v>81</v>
      </c>
      <c r="S42" s="15">
        <v>1.7727272727272734</v>
      </c>
      <c r="T42" s="18">
        <v>148</v>
      </c>
      <c r="U42" s="17">
        <v>910.2</v>
      </c>
      <c r="V42" s="14">
        <v>6.1433962264150948</v>
      </c>
      <c r="W42" s="16">
        <v>530</v>
      </c>
      <c r="X42" s="15">
        <v>-213.36363636363637</v>
      </c>
      <c r="Y42" s="18">
        <v>117</v>
      </c>
      <c r="Z42" s="17">
        <v>719.55000000000007</v>
      </c>
      <c r="AA42" s="14">
        <v>21.666666666666664</v>
      </c>
      <c r="AB42" s="16">
        <v>118.80000000000001</v>
      </c>
      <c r="AC42" s="15">
        <v>36</v>
      </c>
      <c r="AD42" s="19">
        <v>609</v>
      </c>
      <c r="AE42" s="20">
        <v>3745.3500000000004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65</v>
      </c>
      <c r="D43" s="12">
        <v>1.1599999999999999</v>
      </c>
      <c r="E43" s="13">
        <v>2201</v>
      </c>
      <c r="F43" s="14">
        <v>2553.16</v>
      </c>
      <c r="G43" s="14">
        <v>6.5603576751117734</v>
      </c>
      <c r="H43" s="30">
        <v>7381</v>
      </c>
      <c r="I43" s="15">
        <v>-1154</v>
      </c>
      <c r="J43" s="16">
        <v>4568</v>
      </c>
      <c r="K43" s="13">
        <v>5298.8799999999992</v>
      </c>
      <c r="L43" s="14">
        <v>36.610564663023681</v>
      </c>
      <c r="M43" s="30">
        <v>2745</v>
      </c>
      <c r="N43" s="15">
        <v>3320.272727272727</v>
      </c>
      <c r="O43" s="16">
        <v>506</v>
      </c>
      <c r="P43" s="17">
        <v>586.95999999999992</v>
      </c>
      <c r="Q43" s="14">
        <v>9.7906772207563773</v>
      </c>
      <c r="R43" s="16">
        <v>1137</v>
      </c>
      <c r="S43" s="15">
        <v>-269.22727272727275</v>
      </c>
      <c r="T43" s="18">
        <v>1073</v>
      </c>
      <c r="U43" s="17">
        <v>1244.6799999999998</v>
      </c>
      <c r="V43" s="14">
        <v>11.376385542168675</v>
      </c>
      <c r="W43" s="16">
        <v>2075</v>
      </c>
      <c r="X43" s="15">
        <v>-341.77272727272725</v>
      </c>
      <c r="Y43" s="18">
        <v>432</v>
      </c>
      <c r="Z43" s="17">
        <v>501.11999999999995</v>
      </c>
      <c r="AA43" s="14">
        <v>12.781065088757398</v>
      </c>
      <c r="AB43" s="16">
        <v>743.59999999999991</v>
      </c>
      <c r="AC43" s="15">
        <v>-74.999999999999943</v>
      </c>
      <c r="AD43" s="19">
        <v>8780</v>
      </c>
      <c r="AE43" s="20">
        <v>10184.799999999999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66</v>
      </c>
      <c r="D44" s="12">
        <v>1.1599999999999999</v>
      </c>
      <c r="E44" s="13">
        <v>2001</v>
      </c>
      <c r="F44" s="14">
        <v>2321.16</v>
      </c>
      <c r="G44" s="14">
        <v>6.8378378378378377</v>
      </c>
      <c r="H44" s="30">
        <v>6438</v>
      </c>
      <c r="I44" s="15">
        <v>-925.36363636363603</v>
      </c>
      <c r="J44" s="16">
        <v>2714</v>
      </c>
      <c r="K44" s="13">
        <v>3148.24</v>
      </c>
      <c r="L44" s="14">
        <v>15.846072186836519</v>
      </c>
      <c r="M44" s="30">
        <v>3767.9999999999995</v>
      </c>
      <c r="N44" s="15">
        <v>1001.2727272727275</v>
      </c>
      <c r="O44" s="16">
        <v>501</v>
      </c>
      <c r="P44" s="17">
        <v>581.16</v>
      </c>
      <c r="Q44" s="14">
        <v>14.656914893617023</v>
      </c>
      <c r="R44" s="16">
        <v>752</v>
      </c>
      <c r="S44" s="15">
        <v>-11.727272727272748</v>
      </c>
      <c r="T44" s="18">
        <v>1054</v>
      </c>
      <c r="U44" s="17">
        <v>1222.6399999999999</v>
      </c>
      <c r="V44" s="14">
        <v>12.466666666666667</v>
      </c>
      <c r="W44" s="16">
        <v>1860</v>
      </c>
      <c r="X44" s="15">
        <v>-214.18181818181824</v>
      </c>
      <c r="Y44" s="18">
        <v>558</v>
      </c>
      <c r="Z44" s="17">
        <v>647.28</v>
      </c>
      <c r="AA44" s="14">
        <v>22.68292682926829</v>
      </c>
      <c r="AB44" s="16">
        <v>541.20000000000005</v>
      </c>
      <c r="AC44" s="15">
        <v>189</v>
      </c>
      <c r="AD44" s="19">
        <v>6828</v>
      </c>
      <c r="AE44" s="20">
        <v>7920.48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67</v>
      </c>
      <c r="D45" s="12">
        <v>1.1599999999999999</v>
      </c>
      <c r="E45" s="13">
        <v>2214</v>
      </c>
      <c r="F45" s="14">
        <v>2568.2399999999998</v>
      </c>
      <c r="G45" s="14">
        <v>5.7465785747994342</v>
      </c>
      <c r="H45" s="30">
        <v>8476</v>
      </c>
      <c r="I45" s="15">
        <v>-1638.7272727272725</v>
      </c>
      <c r="J45" s="16">
        <v>3615</v>
      </c>
      <c r="K45" s="13">
        <v>4193.3999999999996</v>
      </c>
      <c r="L45" s="14">
        <v>14.705991124260356</v>
      </c>
      <c r="M45" s="30">
        <v>5408</v>
      </c>
      <c r="N45" s="15">
        <v>1156.818181818182</v>
      </c>
      <c r="O45" s="16">
        <v>793</v>
      </c>
      <c r="P45" s="17">
        <v>919.87999999999988</v>
      </c>
      <c r="Q45" s="14">
        <v>15.590705987488828</v>
      </c>
      <c r="R45" s="16">
        <v>1119</v>
      </c>
      <c r="S45" s="15">
        <v>30.045454545454504</v>
      </c>
      <c r="T45" s="18">
        <v>1260</v>
      </c>
      <c r="U45" s="17">
        <v>1461.6</v>
      </c>
      <c r="V45" s="14">
        <v>10.956521739130435</v>
      </c>
      <c r="W45" s="16">
        <v>2530</v>
      </c>
      <c r="X45" s="15">
        <v>-465</v>
      </c>
      <c r="Y45" s="18">
        <v>457</v>
      </c>
      <c r="Z45" s="17">
        <v>530.12</v>
      </c>
      <c r="AA45" s="14">
        <v>15.758620689655173</v>
      </c>
      <c r="AB45" s="16">
        <v>638</v>
      </c>
      <c r="AC45" s="15">
        <v>22</v>
      </c>
      <c r="AD45" s="19">
        <v>8339</v>
      </c>
      <c r="AE45" s="20">
        <v>9673.24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68</v>
      </c>
      <c r="D46" s="12">
        <v>1.1599999999999999</v>
      </c>
      <c r="E46" s="13">
        <v>3490</v>
      </c>
      <c r="F46" s="14">
        <v>4048.3999999999996</v>
      </c>
      <c r="G46" s="14">
        <v>13.517605633802816</v>
      </c>
      <c r="H46" s="30">
        <v>5680</v>
      </c>
      <c r="I46" s="15">
        <v>908.18181818181802</v>
      </c>
      <c r="J46" s="16">
        <v>1038</v>
      </c>
      <c r="K46" s="13">
        <v>1204.08</v>
      </c>
      <c r="L46" s="14">
        <v>5.7521410579345087</v>
      </c>
      <c r="M46" s="30">
        <v>3970</v>
      </c>
      <c r="N46" s="15">
        <v>-766.54545454545473</v>
      </c>
      <c r="O46" s="16">
        <v>650</v>
      </c>
      <c r="P46" s="17">
        <v>754</v>
      </c>
      <c r="Q46" s="14">
        <v>17.396593673965935</v>
      </c>
      <c r="R46" s="16">
        <v>822.00000000000011</v>
      </c>
      <c r="S46" s="15">
        <v>89.545454545454504</v>
      </c>
      <c r="T46" s="18">
        <v>674</v>
      </c>
      <c r="U46" s="17">
        <v>781.83999999999992</v>
      </c>
      <c r="V46" s="14">
        <v>11.919614147909968</v>
      </c>
      <c r="W46" s="16">
        <v>1244</v>
      </c>
      <c r="X46" s="15">
        <v>-174.18181818181824</v>
      </c>
      <c r="Y46" s="18">
        <v>383</v>
      </c>
      <c r="Z46" s="17">
        <v>444.28</v>
      </c>
      <c r="AA46" s="14">
        <v>23.9375</v>
      </c>
      <c r="AB46" s="16">
        <v>352</v>
      </c>
      <c r="AC46" s="15">
        <v>143</v>
      </c>
      <c r="AD46" s="19">
        <v>6235</v>
      </c>
      <c r="AE46" s="20">
        <v>7232.5999999999995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69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1</v>
      </c>
      <c r="K47" s="13">
        <v>18</v>
      </c>
      <c r="L47" s="14">
        <v>0.6875</v>
      </c>
      <c r="M47" s="30">
        <v>32</v>
      </c>
      <c r="N47" s="15">
        <v>-13.545454545454547</v>
      </c>
      <c r="O47" s="16"/>
      <c r="P47" s="17">
        <v>0</v>
      </c>
      <c r="Q47" s="14">
        <v>0</v>
      </c>
      <c r="R47" s="16">
        <v>0</v>
      </c>
      <c r="S47" s="15">
        <v>0</v>
      </c>
      <c r="T47" s="18">
        <v>12</v>
      </c>
      <c r="U47" s="17">
        <v>216</v>
      </c>
      <c r="V47" s="14">
        <v>13.200000000000001</v>
      </c>
      <c r="W47" s="16">
        <v>20</v>
      </c>
      <c r="X47" s="15">
        <v>-1.6363636363636367</v>
      </c>
      <c r="Y47" s="18">
        <v>4</v>
      </c>
      <c r="Z47" s="17">
        <v>72</v>
      </c>
      <c r="AA47" s="14">
        <v>0</v>
      </c>
      <c r="AB47" s="16">
        <v>0</v>
      </c>
      <c r="AC47" s="15">
        <v>4</v>
      </c>
      <c r="AD47" s="19">
        <v>17</v>
      </c>
      <c r="AE47" s="20">
        <v>306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70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1</v>
      </c>
      <c r="K48" s="13">
        <v>18</v>
      </c>
      <c r="L48" s="14">
        <v>2.4444444444444442</v>
      </c>
      <c r="M48" s="30">
        <v>9</v>
      </c>
      <c r="N48" s="15">
        <v>-3.0909090909090908</v>
      </c>
      <c r="O48" s="16"/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1</v>
      </c>
      <c r="AE48" s="20">
        <v>18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71</v>
      </c>
      <c r="D49" s="12">
        <v>1.1599999999999999</v>
      </c>
      <c r="E49" s="13">
        <v>1062</v>
      </c>
      <c r="F49" s="14">
        <v>1231.9199999999998</v>
      </c>
      <c r="G49" s="14">
        <v>18.88763136620857</v>
      </c>
      <c r="H49" s="30">
        <v>1237</v>
      </c>
      <c r="I49" s="15">
        <v>499.72727272727275</v>
      </c>
      <c r="J49" s="16">
        <v>726</v>
      </c>
      <c r="K49" s="13">
        <v>842.16</v>
      </c>
      <c r="L49" s="14">
        <v>12.953771289537713</v>
      </c>
      <c r="M49" s="30">
        <v>1233</v>
      </c>
      <c r="N49" s="15">
        <v>165.5454545454545</v>
      </c>
      <c r="O49" s="16">
        <v>41</v>
      </c>
      <c r="P49" s="17">
        <v>47.559999999999995</v>
      </c>
      <c r="Q49" s="14">
        <v>8.0535714285714288</v>
      </c>
      <c r="R49" s="16">
        <v>112</v>
      </c>
      <c r="S49" s="15">
        <v>-35.36363636363636</v>
      </c>
      <c r="T49" s="18">
        <v>222</v>
      </c>
      <c r="U49" s="17">
        <v>257.52</v>
      </c>
      <c r="V49" s="14">
        <v>21.051724137931036</v>
      </c>
      <c r="W49" s="16">
        <v>232</v>
      </c>
      <c r="X49" s="15">
        <v>63.818181818181813</v>
      </c>
      <c r="Y49" s="18">
        <v>96</v>
      </c>
      <c r="Z49" s="17">
        <v>111.35999999999999</v>
      </c>
      <c r="AA49" s="14">
        <v>18.46153846153846</v>
      </c>
      <c r="AB49" s="16">
        <v>114.4</v>
      </c>
      <c r="AC49" s="15">
        <v>18</v>
      </c>
      <c r="AD49" s="19">
        <v>2147</v>
      </c>
      <c r="AE49" s="20">
        <v>2490.52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72</v>
      </c>
      <c r="D50" s="12">
        <v>1.1599999999999999</v>
      </c>
      <c r="E50" s="13">
        <v>2326</v>
      </c>
      <c r="F50" s="14">
        <v>2698.16</v>
      </c>
      <c r="G50" s="14">
        <v>9.1248216833095572</v>
      </c>
      <c r="H50" s="30">
        <v>5608</v>
      </c>
      <c r="I50" s="15">
        <v>-223.09090909090901</v>
      </c>
      <c r="J50" s="16">
        <v>919</v>
      </c>
      <c r="K50" s="13">
        <v>1066.04</v>
      </c>
      <c r="L50" s="14">
        <v>5.6538031319910518</v>
      </c>
      <c r="M50" s="30">
        <v>3576</v>
      </c>
      <c r="N50" s="15">
        <v>-706.45454545454527</v>
      </c>
      <c r="O50" s="16">
        <v>387</v>
      </c>
      <c r="P50" s="17">
        <v>448.91999999999996</v>
      </c>
      <c r="Q50" s="14">
        <v>17.737500000000001</v>
      </c>
      <c r="R50" s="16">
        <v>480</v>
      </c>
      <c r="S50" s="15">
        <v>59.727272727272748</v>
      </c>
      <c r="T50" s="18">
        <v>2</v>
      </c>
      <c r="U50" s="17">
        <v>2.3199999999999998</v>
      </c>
      <c r="V50" s="14">
        <v>2.5014212620807278E-2</v>
      </c>
      <c r="W50" s="16">
        <v>1759</v>
      </c>
      <c r="X50" s="15">
        <v>-1197.3181818181818</v>
      </c>
      <c r="Y50" s="18">
        <v>184</v>
      </c>
      <c r="Z50" s="17">
        <v>213.44</v>
      </c>
      <c r="AA50" s="14">
        <v>14.838709677419354</v>
      </c>
      <c r="AB50" s="16">
        <v>272.8</v>
      </c>
      <c r="AC50" s="15">
        <v>-2</v>
      </c>
      <c r="AD50" s="19">
        <v>3818</v>
      </c>
      <c r="AE50" s="20">
        <v>4428.88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73</v>
      </c>
      <c r="D51" s="12">
        <v>1.1599999999999999</v>
      </c>
      <c r="E51" s="13">
        <v>1223</v>
      </c>
      <c r="F51" s="14">
        <v>1418.6799999999998</v>
      </c>
      <c r="G51" s="14">
        <v>21.169158143194334</v>
      </c>
      <c r="H51" s="30">
        <v>1271</v>
      </c>
      <c r="I51" s="15">
        <v>645.27272727272725</v>
      </c>
      <c r="J51" s="16">
        <v>1524</v>
      </c>
      <c r="K51" s="13">
        <v>1767.84</v>
      </c>
      <c r="L51" s="14">
        <v>34.212244897959181</v>
      </c>
      <c r="M51" s="30">
        <v>980</v>
      </c>
      <c r="N51" s="15">
        <v>1078.5454545454545</v>
      </c>
      <c r="O51" s="16">
        <v>378</v>
      </c>
      <c r="P51" s="17">
        <v>438.47999999999996</v>
      </c>
      <c r="Q51" s="14">
        <v>0</v>
      </c>
      <c r="R51" s="16">
        <v>0</v>
      </c>
      <c r="S51" s="15">
        <v>378</v>
      </c>
      <c r="T51" s="18">
        <v>274</v>
      </c>
      <c r="U51" s="17">
        <v>317.83999999999997</v>
      </c>
      <c r="V51" s="14">
        <v>11.204460966542751</v>
      </c>
      <c r="W51" s="16">
        <v>538</v>
      </c>
      <c r="X51" s="15">
        <v>-92.818181818181813</v>
      </c>
      <c r="Y51" s="18">
        <v>162</v>
      </c>
      <c r="Z51" s="17">
        <v>187.92</v>
      </c>
      <c r="AA51" s="14">
        <v>0</v>
      </c>
      <c r="AB51" s="16">
        <v>0</v>
      </c>
      <c r="AC51" s="15">
        <v>162</v>
      </c>
      <c r="AD51" s="19">
        <v>3561</v>
      </c>
      <c r="AE51" s="20">
        <v>4130.7599999999993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74</v>
      </c>
      <c r="D52" s="12">
        <v>0.81</v>
      </c>
      <c r="E52" s="13">
        <v>3820</v>
      </c>
      <c r="F52" s="14">
        <v>3094.2000000000003</v>
      </c>
      <c r="G52" s="14">
        <v>31.761148904006049</v>
      </c>
      <c r="H52" s="30">
        <v>2646</v>
      </c>
      <c r="I52" s="15">
        <v>2617.272727272727</v>
      </c>
      <c r="J52" s="16">
        <v>0</v>
      </c>
      <c r="K52" s="13">
        <v>0</v>
      </c>
      <c r="L52" s="14">
        <v>0</v>
      </c>
      <c r="M52" s="30">
        <v>1936</v>
      </c>
      <c r="N52" s="15">
        <v>-880</v>
      </c>
      <c r="O52" s="16">
        <v>0</v>
      </c>
      <c r="P52" s="17">
        <v>0</v>
      </c>
      <c r="Q52" s="14">
        <v>0</v>
      </c>
      <c r="R52" s="16">
        <v>498</v>
      </c>
      <c r="S52" s="15">
        <v>-339.54545454545456</v>
      </c>
      <c r="T52" s="18">
        <v>223</v>
      </c>
      <c r="U52" s="17">
        <v>180.63000000000002</v>
      </c>
      <c r="V52" s="14">
        <v>5.4450610432852384</v>
      </c>
      <c r="W52" s="16">
        <v>901</v>
      </c>
      <c r="X52" s="15">
        <v>-391.31818181818176</v>
      </c>
      <c r="Y52" s="18">
        <v>0</v>
      </c>
      <c r="Z52" s="17">
        <v>0</v>
      </c>
      <c r="AA52" s="14">
        <v>0</v>
      </c>
      <c r="AB52" s="16">
        <v>101.19999999999999</v>
      </c>
      <c r="AC52" s="15">
        <v>-69</v>
      </c>
      <c r="AD52" s="19">
        <v>4043</v>
      </c>
      <c r="AE52" s="20">
        <v>3274.8300000000004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75</v>
      </c>
      <c r="D53" s="12">
        <v>0.81</v>
      </c>
      <c r="E53" s="13">
        <v>2924</v>
      </c>
      <c r="F53" s="14">
        <v>2368.44</v>
      </c>
      <c r="G53" s="14">
        <v>12.527361246348589</v>
      </c>
      <c r="H53" s="30">
        <v>5135</v>
      </c>
      <c r="I53" s="15">
        <v>589.90909090909099</v>
      </c>
      <c r="J53" s="16">
        <v>4925</v>
      </c>
      <c r="K53" s="13">
        <v>3989.2500000000005</v>
      </c>
      <c r="L53" s="14">
        <v>34.125984251968497</v>
      </c>
      <c r="M53" s="30">
        <v>3175.0000000000005</v>
      </c>
      <c r="N53" s="15">
        <v>3481.8181818181815</v>
      </c>
      <c r="O53" s="16">
        <v>600</v>
      </c>
      <c r="P53" s="17">
        <v>486.00000000000006</v>
      </c>
      <c r="Q53" s="14">
        <v>14.94903737259343</v>
      </c>
      <c r="R53" s="16">
        <v>883.00000000000011</v>
      </c>
      <c r="S53" s="15">
        <v>-2.0454545454546178</v>
      </c>
      <c r="T53" s="18">
        <v>325</v>
      </c>
      <c r="U53" s="17">
        <v>263.25</v>
      </c>
      <c r="V53" s="14">
        <v>4.3307086614173231</v>
      </c>
      <c r="W53" s="16">
        <v>1651</v>
      </c>
      <c r="X53" s="15">
        <v>-800.68181818181824</v>
      </c>
      <c r="Y53" s="18">
        <v>96</v>
      </c>
      <c r="Z53" s="17">
        <v>77.760000000000005</v>
      </c>
      <c r="AA53" s="14">
        <v>20.869565217391305</v>
      </c>
      <c r="AB53" s="16">
        <v>101.19999999999999</v>
      </c>
      <c r="AC53" s="15">
        <v>27</v>
      </c>
      <c r="AD53" s="19">
        <v>8870</v>
      </c>
      <c r="AE53" s="20">
        <v>7184.7000000000007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76</v>
      </c>
      <c r="D54" s="12">
        <v>0.81</v>
      </c>
      <c r="E54" s="13">
        <v>3183</v>
      </c>
      <c r="F54" s="14">
        <v>2578.23</v>
      </c>
      <c r="G54" s="14">
        <v>20.344567112144102</v>
      </c>
      <c r="H54" s="30">
        <v>3442</v>
      </c>
      <c r="I54" s="15">
        <v>1618.4545454545453</v>
      </c>
      <c r="J54" s="16">
        <v>7566</v>
      </c>
      <c r="K54" s="13">
        <v>6128.46</v>
      </c>
      <c r="L54" s="14">
        <v>95.333333333333343</v>
      </c>
      <c r="M54" s="30">
        <v>1746</v>
      </c>
      <c r="N54" s="15">
        <v>6772.363636363636</v>
      </c>
      <c r="O54" s="16">
        <v>370</v>
      </c>
      <c r="P54" s="17">
        <v>299.70000000000005</v>
      </c>
      <c r="Q54" s="14">
        <v>23.801169590643276</v>
      </c>
      <c r="R54" s="16">
        <v>342</v>
      </c>
      <c r="S54" s="15">
        <v>136.81818181818181</v>
      </c>
      <c r="T54" s="18">
        <v>855</v>
      </c>
      <c r="U54" s="17">
        <v>692.55000000000007</v>
      </c>
      <c r="V54" s="14">
        <v>30.436893203883496</v>
      </c>
      <c r="W54" s="16">
        <v>618</v>
      </c>
      <c r="X54" s="15">
        <v>433.63636363636363</v>
      </c>
      <c r="Y54" s="18">
        <v>211</v>
      </c>
      <c r="Z54" s="17">
        <v>170.91000000000003</v>
      </c>
      <c r="AA54" s="14">
        <v>23.977272727272727</v>
      </c>
      <c r="AB54" s="16">
        <v>193.60000000000002</v>
      </c>
      <c r="AC54" s="15">
        <v>79</v>
      </c>
      <c r="AD54" s="19">
        <v>12185</v>
      </c>
      <c r="AE54" s="20">
        <v>9869.85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77</v>
      </c>
      <c r="D55" s="12">
        <v>0.81</v>
      </c>
      <c r="E55" s="13">
        <v>4560</v>
      </c>
      <c r="F55" s="14">
        <v>3693.6000000000004</v>
      </c>
      <c r="G55" s="14">
        <v>36.828193832599119</v>
      </c>
      <c r="H55" s="30">
        <v>2724</v>
      </c>
      <c r="I55" s="15">
        <v>3321.818181818182</v>
      </c>
      <c r="J55" s="16">
        <v>8196</v>
      </c>
      <c r="K55" s="13">
        <v>6638.76</v>
      </c>
      <c r="L55" s="14">
        <v>92.23120204603579</v>
      </c>
      <c r="M55" s="30">
        <v>1955.0000000000002</v>
      </c>
      <c r="N55" s="15">
        <v>7307.363636363636</v>
      </c>
      <c r="O55" s="16">
        <v>237</v>
      </c>
      <c r="P55" s="17">
        <v>191.97</v>
      </c>
      <c r="Q55" s="14">
        <v>11.586666666666668</v>
      </c>
      <c r="R55" s="16">
        <v>449.99999999999994</v>
      </c>
      <c r="S55" s="15">
        <v>-69.818181818181813</v>
      </c>
      <c r="T55" s="18">
        <v>489</v>
      </c>
      <c r="U55" s="17">
        <v>396.09000000000003</v>
      </c>
      <c r="V55" s="14">
        <v>15.173483779971791</v>
      </c>
      <c r="W55" s="16">
        <v>709</v>
      </c>
      <c r="X55" s="15">
        <v>5.5909090909091219</v>
      </c>
      <c r="Y55" s="18">
        <v>222</v>
      </c>
      <c r="Z55" s="17">
        <v>179.82000000000002</v>
      </c>
      <c r="AA55" s="14">
        <v>25.227272727272727</v>
      </c>
      <c r="AB55" s="16">
        <v>193.60000000000002</v>
      </c>
      <c r="AC55" s="15">
        <v>90</v>
      </c>
      <c r="AD55" s="19">
        <v>13704</v>
      </c>
      <c r="AE55" s="20">
        <v>11100.240000000002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78</v>
      </c>
      <c r="D56" s="12">
        <v>2.62</v>
      </c>
      <c r="E56" s="13">
        <v>151</v>
      </c>
      <c r="F56" s="14">
        <v>395.62</v>
      </c>
      <c r="G56" s="14">
        <v>6.6573146292585168</v>
      </c>
      <c r="H56" s="30">
        <v>499</v>
      </c>
      <c r="I56" s="15">
        <v>-75.818181818181841</v>
      </c>
      <c r="J56" s="32">
        <v>584</v>
      </c>
      <c r="K56" s="13">
        <v>1530.0800000000002</v>
      </c>
      <c r="L56" s="14">
        <v>28.871910112359551</v>
      </c>
      <c r="M56" s="30">
        <v>445</v>
      </c>
      <c r="N56" s="15">
        <v>381.72727272727275</v>
      </c>
      <c r="O56" s="32">
        <v>28</v>
      </c>
      <c r="P56" s="17">
        <v>73.36</v>
      </c>
      <c r="Q56" s="14">
        <v>20.533333333333335</v>
      </c>
      <c r="R56" s="16">
        <v>30</v>
      </c>
      <c r="S56" s="15">
        <v>7.5454545454545467</v>
      </c>
      <c r="T56" s="18">
        <v>29</v>
      </c>
      <c r="U56" s="17">
        <v>75.98</v>
      </c>
      <c r="V56" s="14">
        <v>3.3936170212765959</v>
      </c>
      <c r="W56" s="16">
        <v>188</v>
      </c>
      <c r="X56" s="15">
        <v>-99.181818181818187</v>
      </c>
      <c r="Y56" s="18">
        <v>64</v>
      </c>
      <c r="Z56" s="17">
        <v>167.68</v>
      </c>
      <c r="AA56" s="14">
        <v>26.666666666666668</v>
      </c>
      <c r="AB56" s="16">
        <v>52.8</v>
      </c>
      <c r="AC56" s="15">
        <v>28</v>
      </c>
      <c r="AD56" s="19">
        <v>856</v>
      </c>
      <c r="AE56" s="20">
        <v>2242.7200000000003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79</v>
      </c>
      <c r="D57" s="12">
        <v>2.62</v>
      </c>
      <c r="E57" s="13">
        <v>50</v>
      </c>
      <c r="F57" s="14">
        <v>131</v>
      </c>
      <c r="G57" s="14">
        <v>1.21012101210121</v>
      </c>
      <c r="H57" s="30">
        <v>909</v>
      </c>
      <c r="I57" s="15">
        <v>-363.18181818181819</v>
      </c>
      <c r="J57" s="32">
        <v>780</v>
      </c>
      <c r="K57" s="13">
        <v>2043.6000000000001</v>
      </c>
      <c r="L57" s="14">
        <v>19.953488372093027</v>
      </c>
      <c r="M57" s="30">
        <v>859.99999999999989</v>
      </c>
      <c r="N57" s="15">
        <v>389.09090909090912</v>
      </c>
      <c r="O57" s="32">
        <v>66</v>
      </c>
      <c r="P57" s="17">
        <v>172.92000000000002</v>
      </c>
      <c r="Q57" s="14">
        <v>21.043478260869566</v>
      </c>
      <c r="R57" s="16">
        <v>69</v>
      </c>
      <c r="S57" s="15">
        <v>18.954545454545453</v>
      </c>
      <c r="T57" s="18">
        <v>23</v>
      </c>
      <c r="U57" s="17">
        <v>60.260000000000005</v>
      </c>
      <c r="V57" s="14">
        <v>1.6375404530744337</v>
      </c>
      <c r="W57" s="16">
        <v>309</v>
      </c>
      <c r="X57" s="15">
        <v>-187.68181818181819</v>
      </c>
      <c r="Y57" s="18">
        <v>80</v>
      </c>
      <c r="Z57" s="17">
        <v>209.60000000000002</v>
      </c>
      <c r="AA57" s="14">
        <v>33.333333333333336</v>
      </c>
      <c r="AB57" s="16">
        <v>52.8</v>
      </c>
      <c r="AC57" s="15">
        <v>44</v>
      </c>
      <c r="AD57" s="19">
        <v>999</v>
      </c>
      <c r="AE57" s="20">
        <v>2617.38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80</v>
      </c>
      <c r="D58" s="12">
        <v>2.62</v>
      </c>
      <c r="E58" s="13">
        <v>206</v>
      </c>
      <c r="F58" s="14">
        <v>539.72</v>
      </c>
      <c r="G58" s="14">
        <v>10.739336492890994</v>
      </c>
      <c r="H58" s="30">
        <v>422</v>
      </c>
      <c r="I58" s="15">
        <v>14.181818181818159</v>
      </c>
      <c r="J58" s="32">
        <v>209</v>
      </c>
      <c r="K58" s="13">
        <v>547.58000000000004</v>
      </c>
      <c r="L58" s="14">
        <v>11.297297297297296</v>
      </c>
      <c r="M58" s="30">
        <v>407</v>
      </c>
      <c r="N58" s="15">
        <v>24</v>
      </c>
      <c r="O58" s="32">
        <v>37</v>
      </c>
      <c r="P58" s="17">
        <v>96.94</v>
      </c>
      <c r="Q58" s="14">
        <v>18.088888888888889</v>
      </c>
      <c r="R58" s="16">
        <v>45</v>
      </c>
      <c r="S58" s="15">
        <v>6.3181818181818201</v>
      </c>
      <c r="T58" s="18">
        <v>67</v>
      </c>
      <c r="U58" s="17">
        <v>175.54000000000002</v>
      </c>
      <c r="V58" s="14">
        <v>13.279279279279278</v>
      </c>
      <c r="W58" s="16">
        <v>111</v>
      </c>
      <c r="X58" s="15">
        <v>-8.681818181818187</v>
      </c>
      <c r="Y58" s="18">
        <v>63</v>
      </c>
      <c r="Z58" s="17">
        <v>165.06</v>
      </c>
      <c r="AA58" s="14">
        <v>26.25</v>
      </c>
      <c r="AB58" s="16">
        <v>52.8</v>
      </c>
      <c r="AC58" s="15">
        <v>27</v>
      </c>
      <c r="AD58" s="19">
        <v>582</v>
      </c>
      <c r="AE58" s="20">
        <v>1524.8400000000001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81</v>
      </c>
      <c r="D59" s="12">
        <v>2.62</v>
      </c>
      <c r="E59" s="13">
        <v>61</v>
      </c>
      <c r="F59" s="14">
        <v>159.82</v>
      </c>
      <c r="G59" s="14">
        <v>2.6365422396856579</v>
      </c>
      <c r="H59" s="30">
        <v>509</v>
      </c>
      <c r="I59" s="15">
        <v>-170.36363636363637</v>
      </c>
      <c r="J59" s="32">
        <v>470</v>
      </c>
      <c r="K59" s="13">
        <v>1231.4000000000001</v>
      </c>
      <c r="L59" s="14">
        <v>25.594059405940595</v>
      </c>
      <c r="M59" s="30">
        <v>404</v>
      </c>
      <c r="N59" s="15">
        <v>286.36363636363637</v>
      </c>
      <c r="O59" s="32">
        <v>24</v>
      </c>
      <c r="P59" s="17">
        <v>62.88</v>
      </c>
      <c r="Q59" s="14">
        <v>20.307692307692307</v>
      </c>
      <c r="R59" s="16">
        <v>26</v>
      </c>
      <c r="S59" s="15">
        <v>6.2727272727272734</v>
      </c>
      <c r="T59" s="18">
        <v>69</v>
      </c>
      <c r="U59" s="17">
        <v>180.78</v>
      </c>
      <c r="V59" s="14">
        <v>7.7846153846153836</v>
      </c>
      <c r="W59" s="16">
        <v>195.00000000000003</v>
      </c>
      <c r="X59" s="15">
        <v>-63.954545454545467</v>
      </c>
      <c r="Y59" s="18">
        <v>56</v>
      </c>
      <c r="Z59" s="17">
        <v>146.72</v>
      </c>
      <c r="AA59" s="14">
        <v>23.333333333333336</v>
      </c>
      <c r="AB59" s="16">
        <v>52.8</v>
      </c>
      <c r="AC59" s="15">
        <v>20</v>
      </c>
      <c r="AD59" s="19">
        <v>680</v>
      </c>
      <c r="AE59" s="20">
        <v>1781.6000000000001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9" t="s">
        <v>3</v>
      </c>
      <c r="F61" s="69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5" t="s">
        <v>4</v>
      </c>
      <c r="C62" s="65"/>
      <c r="D62" s="42">
        <f>SUM(F13:F59)</f>
        <v>134071.12</v>
      </c>
      <c r="E62" s="64">
        <f>D62*100/D67</f>
        <v>32.236879817337901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191772.04999999996</v>
      </c>
      <c r="E63" s="64">
        <f>D63*100/D67</f>
        <v>46.110844215924459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26558.179999999997</v>
      </c>
      <c r="E64" s="64">
        <f>D64*100/D67</f>
        <v>6.38581117862838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42646.009999999987</v>
      </c>
      <c r="E65" s="64">
        <f>D65*100/D67</f>
        <v>10.254067386466154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20846.239999999991</v>
      </c>
      <c r="E66" s="64">
        <f>D66*100/D67</f>
        <v>5.0123974016431116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5" t="s">
        <v>8</v>
      </c>
      <c r="C67" s="65"/>
      <c r="D67" s="44">
        <f>SUM(AE13:AE59)</f>
        <v>415893.59999999992</v>
      </c>
      <c r="E67" s="66">
        <f>D67*100/D67</f>
        <v>100</v>
      </c>
      <c r="F67" s="66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5" t="s">
        <v>10</v>
      </c>
      <c r="C70" s="65"/>
      <c r="D70" s="3">
        <f>SUM(E13:E59)</f>
        <v>102234</v>
      </c>
      <c r="E70" s="64">
        <f>D70*100/D75</f>
        <v>33.81078211865556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135340</v>
      </c>
      <c r="E71" s="64">
        <f>D71*100/D75</f>
        <v>44.759583425659208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19804</v>
      </c>
      <c r="E72" s="64">
        <f>D72*100/D75</f>
        <v>6.5495698992297537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30921</v>
      </c>
      <c r="E73" s="64">
        <f>D73*100/D75</f>
        <v>10.226179097863222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14072</v>
      </c>
      <c r="E74" s="64">
        <f>D74*100/D75</f>
        <v>4.6538854585922591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5" t="s">
        <v>14</v>
      </c>
      <c r="C75" s="65"/>
      <c r="D75" s="49">
        <f>SUM(AD13:AD59)</f>
        <v>302371</v>
      </c>
      <c r="E75" s="66">
        <f>D75*100/D75</f>
        <v>100</v>
      </c>
      <c r="F75" s="66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65:F65"/>
    <mergeCell ref="E63:F63"/>
    <mergeCell ref="E64:F64"/>
    <mergeCell ref="B1:AE6"/>
    <mergeCell ref="AF1:AL6"/>
    <mergeCell ref="E61:F61"/>
    <mergeCell ref="B62:C62"/>
    <mergeCell ref="E62:F62"/>
    <mergeCell ref="E66:F66"/>
    <mergeCell ref="E67:F67"/>
    <mergeCell ref="E71:F71"/>
    <mergeCell ref="B67:C67"/>
    <mergeCell ref="B70:C70"/>
    <mergeCell ref="E70:F70"/>
    <mergeCell ref="E72:F72"/>
    <mergeCell ref="E73:F73"/>
    <mergeCell ref="E74:F74"/>
    <mergeCell ref="B75:C75"/>
    <mergeCell ref="E75:F75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2026-08-13T20:33:16Z</dcterms:created>
  <dcterms:modified xsi:type="dcterms:W3CDTF">2026-09-08T17:01:20Z</dcterms:modified>
</cp:coreProperties>
</file>