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9AEE23FB-3A6A-4BF0-97FE-D98D3D3BDDE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35" i="1" l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B49" i="1"/>
  <c r="AD49" i="1"/>
  <c r="AC49" i="1"/>
  <c r="AE49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27" i="1" l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49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<sst xmlns="http://schemas.openxmlformats.org/spreadsheetml/2006/main" count="111" uniqueCount="101">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</sst>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10726.923076923076</v>
          </cell>
          <cell r="AB13">
            <v>9.326998924345645</v>
          </cell>
          <cell r="AC13">
            <v>0.93269989243456441</v>
          </cell>
          <cell r="AD13">
            <v>-721.92307692307622</v>
          </cell>
          <cell r="AE13">
            <v>5363.4615384615381</v>
          </cell>
          <cell r="AF13">
            <v>6085.3846153846143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766.92307692307691</v>
          </cell>
          <cell r="AB14">
            <v>7.2888665997993982</v>
          </cell>
          <cell r="AC14">
            <v>0.72888665997993984</v>
          </cell>
          <cell r="AD14">
            <v>-207.92307692307691</v>
          </cell>
          <cell r="AE14">
            <v>383.46153846153845</v>
          </cell>
          <cell r="AF14">
            <v>591.38461538461536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4302.3076923076924</v>
          </cell>
          <cell r="AB15">
            <v>7.9771142499553012</v>
          </cell>
          <cell r="AC15">
            <v>0.79771142499553016</v>
          </cell>
          <cell r="AD15">
            <v>-870.30769230769238</v>
          </cell>
          <cell r="AE15">
            <v>2151.1538461538462</v>
          </cell>
          <cell r="AF15">
            <v>3021.4615384615386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838.46153846153834</v>
          </cell>
          <cell r="AB16">
            <v>2.4568807339449545</v>
          </cell>
          <cell r="AC16">
            <v>0.24568807339449544</v>
          </cell>
          <cell r="AD16">
            <v>-632.46153846153834</v>
          </cell>
          <cell r="AE16">
            <v>419.23076923076917</v>
          </cell>
          <cell r="AF16">
            <v>1051.6923076923076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86.92307692307692</v>
          </cell>
          <cell r="AB17">
            <v>24.389380530973455</v>
          </cell>
          <cell r="AC17">
            <v>2.438938053097345</v>
          </cell>
          <cell r="AD17">
            <v>125.07692307692308</v>
          </cell>
          <cell r="AE17">
            <v>43.46153846153846</v>
          </cell>
          <cell r="AF17">
            <v>-81.615384615384613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12897.692307692307</v>
          </cell>
          <cell r="AB18">
            <v>6.4949603387606611</v>
          </cell>
          <cell r="AC18">
            <v>0.64949603387606614</v>
          </cell>
          <cell r="AD18">
            <v>-4520.6923076923067</v>
          </cell>
          <cell r="AE18">
            <v>6448.8461538461534</v>
          </cell>
          <cell r="AF18">
            <v>10969.538461538461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1277.6923076923076</v>
          </cell>
          <cell r="AB19">
            <v>11.794701986754967</v>
          </cell>
          <cell r="AC19">
            <v>1.1794701986754967</v>
          </cell>
          <cell r="AD19">
            <v>229.30769230769238</v>
          </cell>
          <cell r="AE19">
            <v>638.84615384615381</v>
          </cell>
          <cell r="AF19">
            <v>409.53846153846143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2839.2307692307691</v>
          </cell>
          <cell r="AB20">
            <v>13.968572202655109</v>
          </cell>
          <cell r="AC20">
            <v>1.3968572202655107</v>
          </cell>
          <cell r="AD20">
            <v>1126.7692307692309</v>
          </cell>
          <cell r="AE20">
            <v>1419.6153846153845</v>
          </cell>
          <cell r="AF20">
            <v>292.84615384615358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6578.4615384615381</v>
          </cell>
          <cell r="AB21">
            <v>11.610617399438729</v>
          </cell>
          <cell r="AC21">
            <v>1.1610617399438727</v>
          </cell>
          <cell r="AD21">
            <v>1059.5384615384619</v>
          </cell>
          <cell r="AE21">
            <v>3289.2307692307691</v>
          </cell>
          <cell r="AF21">
            <v>2229.6923076923072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3086.9230769230767</v>
          </cell>
          <cell r="AB22">
            <v>12.183653127336157</v>
          </cell>
          <cell r="AC22">
            <v>1.2183653127336158</v>
          </cell>
          <cell r="AD22">
            <v>674.07692307692332</v>
          </cell>
          <cell r="AE22">
            <v>1543.4615384615383</v>
          </cell>
          <cell r="AF22">
            <v>869.38461538461502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33334.615384615383</v>
          </cell>
          <cell r="AB23">
            <v>9.9497173185646712</v>
          </cell>
          <cell r="AC23">
            <v>0.99497173185646715</v>
          </cell>
          <cell r="AD23">
            <v>-167.61538461538294</v>
          </cell>
          <cell r="AE23">
            <v>16667.307692307691</v>
          </cell>
          <cell r="AF23">
            <v>16834.923076923074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21931.538461538461</v>
          </cell>
          <cell r="AB24">
            <v>11.42053944091754</v>
          </cell>
          <cell r="AC24">
            <v>1.1420539440917541</v>
          </cell>
          <cell r="AD24">
            <v>3115.461538461539</v>
          </cell>
          <cell r="AE24">
            <v>10965.76923076923</v>
          </cell>
          <cell r="AF24">
            <v>7850.3076923076915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21172.307692307691</v>
          </cell>
          <cell r="AB25">
            <v>12.231543380322629</v>
          </cell>
          <cell r="AC25">
            <v>1.2231543380322627</v>
          </cell>
          <cell r="AD25">
            <v>4724.6923076923085</v>
          </cell>
          <cell r="AE25">
            <v>10586.153846153846</v>
          </cell>
          <cell r="AF25">
            <v>5861.4615384615372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25528.461538461539</v>
          </cell>
          <cell r="AB26">
            <v>11.606261487932022</v>
          </cell>
          <cell r="AC26">
            <v>1.1606261487932021</v>
          </cell>
          <cell r="AD26">
            <v>4100.538461538461</v>
          </cell>
          <cell r="AE26">
            <v>12764.23076923077</v>
          </cell>
          <cell r="AF26">
            <v>8663.6923076923085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301.53846153846155</v>
          </cell>
          <cell r="AB27">
            <v>50.275510204081634</v>
          </cell>
          <cell r="AC27">
            <v>5.027551020408163</v>
          </cell>
          <cell r="AD27">
            <v>1214.4615384615386</v>
          </cell>
          <cell r="AE27">
            <v>150.76923076923077</v>
          </cell>
          <cell r="AF27">
            <v>-1063.6923076923078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15.981361426256079</v>
          </cell>
          <cell r="M28">
            <v>4176.6153846153848</v>
          </cell>
          <cell r="N28">
            <v>186.30769230769238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1898.4615384615383</v>
          </cell>
          <cell r="AB28">
            <v>25.352106969205835</v>
          </cell>
          <cell r="AC28">
            <v>2.5352106969205837</v>
          </cell>
          <cell r="AD28">
            <v>2914.5384615384619</v>
          </cell>
          <cell r="AE28">
            <v>949.23076923076917</v>
          </cell>
          <cell r="AF28">
            <v>-1965.3076923076928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12.576805696846389</v>
          </cell>
          <cell r="M29">
            <v>4990.6153846153848</v>
          </cell>
          <cell r="N29">
            <v>-549.69230769230762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2268.4615384615386</v>
          </cell>
          <cell r="AB29">
            <v>20.070871481858255</v>
          </cell>
          <cell r="AC29">
            <v>2.0070871481858257</v>
          </cell>
          <cell r="AD29">
            <v>2284.5384615384614</v>
          </cell>
          <cell r="AE29">
            <v>1134.2307692307693</v>
          </cell>
          <cell r="AF29">
            <v>-1150.3076923076922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13.069767441860465</v>
          </cell>
          <cell r="M30">
            <v>4730</v>
          </cell>
          <cell r="N30">
            <v>-415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2150</v>
          </cell>
          <cell r="AB30">
            <v>28.037209302325582</v>
          </cell>
          <cell r="AC30">
            <v>2.8037209302325583</v>
          </cell>
          <cell r="AD30">
            <v>3878</v>
          </cell>
          <cell r="AE30">
            <v>1075</v>
          </cell>
          <cell r="AF30">
            <v>-2803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2126.1538461538462</v>
          </cell>
          <cell r="AB31">
            <v>6.4482633863965271</v>
          </cell>
          <cell r="AC31">
            <v>0.64482633863965266</v>
          </cell>
          <cell r="AD31">
            <v>-755.15384615384619</v>
          </cell>
          <cell r="AE31">
            <v>1063.0769230769231</v>
          </cell>
          <cell r="AF31">
            <v>1818.2307692307693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1213.0769230769231</v>
          </cell>
          <cell r="AB32">
            <v>8.0786303107165498</v>
          </cell>
          <cell r="AC32">
            <v>0.80786303107165502</v>
          </cell>
          <cell r="AD32">
            <v>-233.07692307692309</v>
          </cell>
          <cell r="AE32">
            <v>606.53846153846155</v>
          </cell>
          <cell r="AF32">
            <v>839.61538461538464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4619.2307692307695</v>
          </cell>
          <cell r="AB33">
            <v>7.1483763530391338</v>
          </cell>
          <cell r="AC33">
            <v>0.71483763530391331</v>
          </cell>
          <cell r="AD33">
            <v>-1317.2307692307695</v>
          </cell>
          <cell r="AE33">
            <v>2309.6153846153848</v>
          </cell>
          <cell r="AF33">
            <v>3626.8461538461543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7240.7692307692305</v>
          </cell>
          <cell r="AB34">
            <v>8.7104005099330717</v>
          </cell>
          <cell r="AC34">
            <v>0.87104005099330717</v>
          </cell>
          <cell r="AD34">
            <v>-933.76923076923049</v>
          </cell>
          <cell r="AE34">
            <v>3620.3846153846152</v>
          </cell>
          <cell r="AF34">
            <v>4554.1538461538457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76.92307692307692</v>
          </cell>
          <cell r="AB35">
            <v>0</v>
          </cell>
          <cell r="AC35">
            <v>0</v>
          </cell>
          <cell r="AD35">
            <v>-76.92307692307692</v>
          </cell>
          <cell r="AE35">
            <v>38.46153846153846</v>
          </cell>
          <cell r="AF35">
            <v>115.38461538461539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1310.7692307692307</v>
          </cell>
          <cell r="AB36">
            <v>4.142605633802817</v>
          </cell>
          <cell r="AC36">
            <v>0.41426056338028172</v>
          </cell>
          <cell r="AD36">
            <v>-767.76923076923072</v>
          </cell>
          <cell r="AE36">
            <v>655.38461538461536</v>
          </cell>
          <cell r="AF36">
            <v>1423.1538461538462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6125.3846153846152</v>
          </cell>
          <cell r="AB37">
            <v>16.599773954539746</v>
          </cell>
          <cell r="AC37">
            <v>1.6599773954539747</v>
          </cell>
          <cell r="AD37">
            <v>4042.6153846153848</v>
          </cell>
          <cell r="AE37">
            <v>3062.6923076923076</v>
          </cell>
          <cell r="AF37">
            <v>-979.92307692307713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10000</v>
          </cell>
          <cell r="AB38">
            <v>9.8580000000000005</v>
          </cell>
          <cell r="AC38">
            <v>0.98580000000000001</v>
          </cell>
          <cell r="AD38">
            <v>-142</v>
          </cell>
          <cell r="AE38">
            <v>5000</v>
          </cell>
          <cell r="AF38">
            <v>5142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4555.3846153846152</v>
          </cell>
          <cell r="AB39">
            <v>4.3157716987504218</v>
          </cell>
          <cell r="AC39">
            <v>0.43157716987504224</v>
          </cell>
          <cell r="AD39">
            <v>-2589.3846153846152</v>
          </cell>
          <cell r="AE39">
            <v>2277.6923076923076</v>
          </cell>
          <cell r="AF39">
            <v>4867.0769230769229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3306.1538461538466</v>
          </cell>
          <cell r="AB40">
            <v>13.750116333178221</v>
          </cell>
          <cell r="AC40">
            <v>1.3750116333178219</v>
          </cell>
          <cell r="AD40">
            <v>1239.8461538461534</v>
          </cell>
          <cell r="AE40">
            <v>1653.0769230769233</v>
          </cell>
          <cell r="AF40">
            <v>413.23076923076997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1216.1538461538462</v>
          </cell>
          <cell r="AB43">
            <v>5.4351676154332704</v>
          </cell>
          <cell r="AC43">
            <v>0.54351676154332695</v>
          </cell>
          <cell r="AD43">
            <v>-555.15384615384619</v>
          </cell>
          <cell r="AE43">
            <v>608.07692307692309</v>
          </cell>
          <cell r="AF43">
            <v>1163.2307692307693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1177.6923076923076</v>
          </cell>
          <cell r="AB44">
            <v>9.6374918354016987</v>
          </cell>
          <cell r="AC44">
            <v>0.96374918354016992</v>
          </cell>
          <cell r="AD44">
            <v>-42.692307692307622</v>
          </cell>
          <cell r="AE44">
            <v>588.84615384615381</v>
          </cell>
          <cell r="AF44">
            <v>631.53846153846143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5425.3846153846152</v>
          </cell>
          <cell r="AB45">
            <v>7.6529136537643554</v>
          </cell>
          <cell r="AC45">
            <v>0.76529136537643561</v>
          </cell>
          <cell r="AD45">
            <v>-1273.3846153846152</v>
          </cell>
          <cell r="AE45">
            <v>2712.6923076923076</v>
          </cell>
          <cell r="AF45">
            <v>3986.0769230769229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6050</v>
          </cell>
          <cell r="AB46">
            <v>14.135537190082644</v>
          </cell>
          <cell r="AC46">
            <v>1.4135537190082645</v>
          </cell>
          <cell r="AD46">
            <v>2502</v>
          </cell>
          <cell r="AE46">
            <v>3025</v>
          </cell>
          <cell r="AF46">
            <v>523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7557.6923076923067</v>
          </cell>
          <cell r="AB47">
            <v>8.9088040712468199</v>
          </cell>
          <cell r="AC47">
            <v>0.89088040712468208</v>
          </cell>
          <cell r="AD47">
            <v>-824.69230769230671</v>
          </cell>
          <cell r="AE47">
            <v>3778.8461538461534</v>
          </cell>
          <cell r="AF47">
            <v>4603.5384615384601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5266.1538461538466</v>
          </cell>
          <cell r="AB48">
            <v>9.9256500146070685</v>
          </cell>
          <cell r="AC48">
            <v>0.99256500146070692</v>
          </cell>
          <cell r="AD48">
            <v>-39.153846153846644</v>
          </cell>
          <cell r="AE48">
            <v>2633.0769230769233</v>
          </cell>
          <cell r="AF48">
            <v>2672.23076923077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>
            <v>20</v>
          </cell>
          <cell r="AB49">
            <v>6</v>
          </cell>
          <cell r="AC49">
            <v>0.6</v>
          </cell>
          <cell r="AD49">
            <v>-8</v>
          </cell>
          <cell r="AE49">
            <v>10</v>
          </cell>
          <cell r="AF49">
            <v>18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0</v>
          </cell>
          <cell r="AB50">
            <v>0</v>
          </cell>
          <cell r="AC50">
            <v>0</v>
          </cell>
          <cell r="AD50">
            <v>11</v>
          </cell>
          <cell r="AE50">
            <v>0</v>
          </cell>
          <cell r="AF50">
            <v>-11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229.23076923076923</v>
          </cell>
          <cell r="AB51">
            <v>1.8758389261744965</v>
          </cell>
          <cell r="AC51">
            <v>0.18758389261744968</v>
          </cell>
          <cell r="AD51">
            <v>-186.23076923076923</v>
          </cell>
          <cell r="AE51">
            <v>114.61538461538461</v>
          </cell>
          <cell r="AF51">
            <v>300.84615384615381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547.69230769230762</v>
          </cell>
          <cell r="AB53">
            <v>7.3033707865168551E-2</v>
          </cell>
          <cell r="AC53">
            <v>7.3033707865168551E-3</v>
          </cell>
          <cell r="AD53">
            <v>-543.69230769230762</v>
          </cell>
          <cell r="AE53">
            <v>273.84615384615381</v>
          </cell>
          <cell r="AF53">
            <v>817.53846153846143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2767.6923076923076</v>
          </cell>
          <cell r="AB54">
            <v>81.55892162312395</v>
          </cell>
          <cell r="AC54">
            <v>8.1558921623123961</v>
          </cell>
          <cell r="AD54">
            <v>19805.307692307691</v>
          </cell>
          <cell r="AE54">
            <v>1383.8461538461538</v>
          </cell>
          <cell r="AF54">
            <v>-18421.461538461539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4797.6923076923076</v>
          </cell>
          <cell r="AB55">
            <v>60.923039923039923</v>
          </cell>
          <cell r="AC55">
            <v>6.0923039923039921</v>
          </cell>
          <cell r="AD55">
            <v>24431.307692307691</v>
          </cell>
          <cell r="AE55">
            <v>2398.8461538461538</v>
          </cell>
          <cell r="AF55">
            <v>-22032.461538461539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2890.7692307692309</v>
          </cell>
          <cell r="AB56">
            <v>55.86748270356572</v>
          </cell>
          <cell r="AC56">
            <v>5.5867482703565727</v>
          </cell>
          <cell r="AD56">
            <v>13259.23076923077</v>
          </cell>
          <cell r="AE56">
            <v>1445.3846153846155</v>
          </cell>
          <cell r="AF56">
            <v>-11813.846153846154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2549.2307692307695</v>
          </cell>
          <cell r="AB57">
            <v>75.673808086904032</v>
          </cell>
          <cell r="AC57">
            <v>7.5673808086904035</v>
          </cell>
          <cell r="AD57">
            <v>16741.76923076923</v>
          </cell>
          <cell r="AE57">
            <v>1274.6153846153848</v>
          </cell>
          <cell r="AF57">
            <v>-15467.153846153846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426.15384615384613</v>
          </cell>
          <cell r="AB58">
            <v>16.777978339350181</v>
          </cell>
          <cell r="AC58">
            <v>1.6777978339350181</v>
          </cell>
          <cell r="AD58">
            <v>288.84615384615387</v>
          </cell>
          <cell r="AE58">
            <v>213.07692307692307</v>
          </cell>
          <cell r="AF58">
            <v>-75.769230769230802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827.69230769230774</v>
          </cell>
          <cell r="AB59">
            <v>4.6635687732342008</v>
          </cell>
          <cell r="AC59">
            <v>0.46635687732342007</v>
          </cell>
          <cell r="AD59">
            <v>-441.69230769230774</v>
          </cell>
          <cell r="AE59">
            <v>413.84615384615387</v>
          </cell>
          <cell r="AF59">
            <v>855.53846153846166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470.76923076923083</v>
          </cell>
          <cell r="AB60">
            <v>6.3300653594771239</v>
          </cell>
          <cell r="AC60">
            <v>0.63300653594771239</v>
          </cell>
          <cell r="AD60">
            <v>-172.76923076923083</v>
          </cell>
          <cell r="AE60">
            <v>235.38461538461542</v>
          </cell>
          <cell r="AF60">
            <v>408.15384615384625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396.92307692307691</v>
          </cell>
          <cell r="AB61">
            <v>3.6782945736434107</v>
          </cell>
          <cell r="AC61">
            <v>0.36782945736434108</v>
          </cell>
          <cell r="AD61">
            <v>-250.92307692307691</v>
          </cell>
          <cell r="AE61">
            <v>198.46153846153845</v>
          </cell>
          <cell r="AF61">
            <v>449.38461538461536</v>
          </cell>
          <cell r="AG61">
            <v>24.333333333333332</v>
          </cell>
        </row>
        <row r="62">
          <cell r="AE62" t="str">
            <v>Units Produce</v>
          </cell>
          <cell r="AF62">
            <v>108920.07692307689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J14" sqref="J14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10726.923076923076</v>
      </c>
      <c r="AB13" s="25">
        <f ca="1">'[1]INVENTARIO NACIONAL 17-08-26'!AB13</f>
        <v>9.326998924345645</v>
      </c>
      <c r="AC13" s="26">
        <f ca="1">'[1]INVENTARIO NACIONAL 17-08-26'!AC13</f>
        <v>0.93269989243456441</v>
      </c>
      <c r="AD13" s="27">
        <f ca="1">'[1]INVENTARIO NACIONAL 17-08-26'!AD13</f>
        <v>-721.92307692307622</v>
      </c>
      <c r="AE13" s="27">
        <f ca="1">'[1]INVENTARIO NACIONAL 17-08-26'!AE13</f>
        <v>5363.4615384615381</v>
      </c>
      <c r="AF13" s="28">
        <f ca="1">'[1]INVENTARIO NACIONAL 17-08-26'!AF13</f>
        <v>6085.3846153846143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766.92307692307691</v>
      </c>
      <c r="AB14" s="25">
        <f ca="1">'[1]INVENTARIO NACIONAL 17-08-26'!AB14</f>
        <v>7.2888665997993982</v>
      </c>
      <c r="AC14" s="26">
        <f ca="1">'[1]INVENTARIO NACIONAL 17-08-26'!AC14</f>
        <v>0.72888665997993984</v>
      </c>
      <c r="AD14" s="29">
        <f ca="1">'[1]INVENTARIO NACIONAL 17-08-26'!AD14</f>
        <v>-207.92307692307691</v>
      </c>
      <c r="AE14" s="30">
        <f ca="1">'[1]INVENTARIO NACIONAL 17-08-26'!AE14</f>
        <v>383.46153846153845</v>
      </c>
      <c r="AF14" s="28">
        <f ca="1">'[1]INVENTARIO NACIONAL 17-08-26'!AF14</f>
        <v>591.38461538461536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4302.3076923076924</v>
      </c>
      <c r="AB15" s="25">
        <f ca="1">'[1]INVENTARIO NACIONAL 17-08-26'!AB15</f>
        <v>7.9771142499553012</v>
      </c>
      <c r="AC15" s="26">
        <f ca="1">'[1]INVENTARIO NACIONAL 17-08-26'!AC15</f>
        <v>0.79771142499553016</v>
      </c>
      <c r="AD15" s="29">
        <f ca="1">'[1]INVENTARIO NACIONAL 17-08-26'!AD15</f>
        <v>-870.30769230769238</v>
      </c>
      <c r="AE15" s="30">
        <f ca="1">'[1]INVENTARIO NACIONAL 17-08-26'!AE15</f>
        <v>2151.1538461538462</v>
      </c>
      <c r="AF15" s="28">
        <f ca="1">'[1]INVENTARIO NACIONAL 17-08-26'!AF15</f>
        <v>3021.4615384615386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838.46153846153834</v>
      </c>
      <c r="AB16" s="25">
        <f ca="1">'[1]INVENTARIO NACIONAL 17-08-26'!AB16</f>
        <v>2.4568807339449545</v>
      </c>
      <c r="AC16" s="26">
        <f ca="1">'[1]INVENTARIO NACIONAL 17-08-26'!AC16</f>
        <v>0.24568807339449544</v>
      </c>
      <c r="AD16" s="29">
        <f ca="1">'[1]INVENTARIO NACIONAL 17-08-26'!AD16</f>
        <v>-632.46153846153834</v>
      </c>
      <c r="AE16" s="30">
        <f ca="1">'[1]INVENTARIO NACIONAL 17-08-26'!AE16</f>
        <v>419.23076923076917</v>
      </c>
      <c r="AF16" s="28">
        <f ca="1">'[1]INVENTARIO NACIONAL 17-08-26'!AF16</f>
        <v>1051.6923076923076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86.92307692307692</v>
      </c>
      <c r="AB17" s="25">
        <f ca="1">'[1]INVENTARIO NACIONAL 17-08-26'!AB17</f>
        <v>24.389380530973455</v>
      </c>
      <c r="AC17" s="26">
        <f ca="1">'[1]INVENTARIO NACIONAL 17-08-26'!AC17</f>
        <v>2.438938053097345</v>
      </c>
      <c r="AD17" s="29">
        <f ca="1">'[1]INVENTARIO NACIONAL 17-08-26'!AD17</f>
        <v>125.07692307692308</v>
      </c>
      <c r="AE17" s="30">
        <f ca="1">'[1]INVENTARIO NACIONAL 17-08-26'!AE17</f>
        <v>43.46153846153846</v>
      </c>
      <c r="AF17" s="28">
        <f ca="1">'[1]INVENTARIO NACIONAL 17-08-26'!AF17</f>
        <v>-81.615384615384613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12897.692307692307</v>
      </c>
      <c r="AB18" s="25">
        <f ca="1">'[1]INVENTARIO NACIONAL 17-08-26'!AB18</f>
        <v>6.4949603387606611</v>
      </c>
      <c r="AC18" s="26">
        <f ca="1">'[1]INVENTARIO NACIONAL 17-08-26'!AC18</f>
        <v>0.64949603387606614</v>
      </c>
      <c r="AD18" s="29">
        <f ca="1">'[1]INVENTARIO NACIONAL 17-08-26'!AD18</f>
        <v>-4520.6923076923067</v>
      </c>
      <c r="AE18" s="30">
        <f ca="1">'[1]INVENTARIO NACIONAL 17-08-26'!AE18</f>
        <v>6448.8461538461534</v>
      </c>
      <c r="AF18" s="28">
        <f ca="1">'[1]INVENTARIO NACIONAL 17-08-26'!AF18</f>
        <v>10969.538461538461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1277.6923076923076</v>
      </c>
      <c r="AB19" s="25">
        <f ca="1">'[1]INVENTARIO NACIONAL 17-08-26'!AB19</f>
        <v>11.794701986754967</v>
      </c>
      <c r="AC19" s="26">
        <f ca="1">'[1]INVENTARIO NACIONAL 17-08-26'!AC19</f>
        <v>1.1794701986754967</v>
      </c>
      <c r="AD19" s="29">
        <f ca="1">'[1]INVENTARIO NACIONAL 17-08-26'!AD19</f>
        <v>229.30769230769238</v>
      </c>
      <c r="AE19" s="30">
        <f ca="1">'[1]INVENTARIO NACIONAL 17-08-26'!AE19</f>
        <v>638.84615384615381</v>
      </c>
      <c r="AF19" s="28">
        <f ca="1">'[1]INVENTARIO NACIONAL 17-08-26'!AF19</f>
        <v>409.53846153846143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2839.2307692307691</v>
      </c>
      <c r="AB20" s="25">
        <f ca="1">'[1]INVENTARIO NACIONAL 17-08-26'!AB20</f>
        <v>13.968572202655109</v>
      </c>
      <c r="AC20" s="26">
        <f ca="1">'[1]INVENTARIO NACIONAL 17-08-26'!AC20</f>
        <v>1.3968572202655107</v>
      </c>
      <c r="AD20" s="29">
        <f ca="1">'[1]INVENTARIO NACIONAL 17-08-26'!AD20</f>
        <v>1126.7692307692309</v>
      </c>
      <c r="AE20" s="30">
        <f ca="1">'[1]INVENTARIO NACIONAL 17-08-26'!AE20</f>
        <v>1419.6153846153845</v>
      </c>
      <c r="AF20" s="28">
        <f ca="1">'[1]INVENTARIO NACIONAL 17-08-26'!AF20</f>
        <v>292.84615384615358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6578.4615384615381</v>
      </c>
      <c r="AB21" s="25">
        <f ca="1">'[1]INVENTARIO NACIONAL 17-08-26'!AB21</f>
        <v>11.610617399438729</v>
      </c>
      <c r="AC21" s="26">
        <f ca="1">'[1]INVENTARIO NACIONAL 17-08-26'!AC21</f>
        <v>1.1610617399438727</v>
      </c>
      <c r="AD21" s="29">
        <f ca="1">'[1]INVENTARIO NACIONAL 17-08-26'!AD21</f>
        <v>1059.5384615384619</v>
      </c>
      <c r="AE21" s="30">
        <f ca="1">'[1]INVENTARIO NACIONAL 17-08-26'!AE21</f>
        <v>3289.2307692307691</v>
      </c>
      <c r="AF21" s="28">
        <f ca="1">'[1]INVENTARIO NACIONAL 17-08-26'!AF21</f>
        <v>2229.6923076923072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3086.9230769230767</v>
      </c>
      <c r="AB22" s="25">
        <f ca="1">'[1]INVENTARIO NACIONAL 17-08-26'!AB22</f>
        <v>12.183653127336157</v>
      </c>
      <c r="AC22" s="26">
        <f ca="1">'[1]INVENTARIO NACIONAL 17-08-26'!AC22</f>
        <v>1.2183653127336158</v>
      </c>
      <c r="AD22" s="29">
        <f ca="1">'[1]INVENTARIO NACIONAL 17-08-26'!AD22</f>
        <v>674.07692307692332</v>
      </c>
      <c r="AE22" s="30">
        <f ca="1">'[1]INVENTARIO NACIONAL 17-08-26'!AE22</f>
        <v>1543.4615384615383</v>
      </c>
      <c r="AF22" s="28">
        <f ca="1">'[1]INVENTARIO NACIONAL 17-08-26'!AF22</f>
        <v>869.38461538461502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33334.615384615383</v>
      </c>
      <c r="AB23" s="25">
        <f ca="1">'[1]INVENTARIO NACIONAL 17-08-26'!AB23</f>
        <v>9.9497173185646712</v>
      </c>
      <c r="AC23" s="26">
        <f ca="1">'[1]INVENTARIO NACIONAL 17-08-26'!AC23</f>
        <v>0.99497173185646715</v>
      </c>
      <c r="AD23" s="29">
        <f ca="1">'[1]INVENTARIO NACIONAL 17-08-26'!AD23</f>
        <v>-167.61538461538294</v>
      </c>
      <c r="AE23" s="30">
        <f ca="1">'[1]INVENTARIO NACIONAL 17-08-26'!AE23</f>
        <v>16667.307692307691</v>
      </c>
      <c r="AF23" s="28">
        <f ca="1">'[1]INVENTARIO NACIONAL 17-08-26'!AF23</f>
        <v>16834.923076923074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21931.538461538461</v>
      </c>
      <c r="AB24" s="25">
        <f ca="1">'[1]INVENTARIO NACIONAL 17-08-26'!AB24</f>
        <v>11.42053944091754</v>
      </c>
      <c r="AC24" s="26">
        <f ca="1">'[1]INVENTARIO NACIONAL 17-08-26'!AC24</f>
        <v>1.1420539440917541</v>
      </c>
      <c r="AD24" s="29">
        <f ca="1">'[1]INVENTARIO NACIONAL 17-08-26'!AD24</f>
        <v>3115.461538461539</v>
      </c>
      <c r="AE24" s="30">
        <f ca="1">'[1]INVENTARIO NACIONAL 17-08-26'!AE24</f>
        <v>10965.76923076923</v>
      </c>
      <c r="AF24" s="28">
        <f ca="1">'[1]INVENTARIO NACIONAL 17-08-26'!AF24</f>
        <v>7850.3076923076915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21172.307692307691</v>
      </c>
      <c r="AB25" s="25">
        <f ca="1">'[1]INVENTARIO NACIONAL 17-08-26'!AB25</f>
        <v>12.231543380322629</v>
      </c>
      <c r="AC25" s="26">
        <f ca="1">'[1]INVENTARIO NACIONAL 17-08-26'!AC25</f>
        <v>1.2231543380322627</v>
      </c>
      <c r="AD25" s="29">
        <f ca="1">'[1]INVENTARIO NACIONAL 17-08-26'!AD25</f>
        <v>4724.6923076923085</v>
      </c>
      <c r="AE25" s="30">
        <f ca="1">'[1]INVENTARIO NACIONAL 17-08-26'!AE25</f>
        <v>10586.153846153846</v>
      </c>
      <c r="AF25" s="28">
        <f ca="1">'[1]INVENTARIO NACIONAL 17-08-26'!AF25</f>
        <v>5861.4615384615372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25528.461538461539</v>
      </c>
      <c r="AB26" s="25">
        <f ca="1">'[1]INVENTARIO NACIONAL 17-08-26'!AB26</f>
        <v>11.606261487932022</v>
      </c>
      <c r="AC26" s="26">
        <f ca="1">'[1]INVENTARIO NACIONAL 17-08-26'!AC26</f>
        <v>1.1606261487932021</v>
      </c>
      <c r="AD26" s="29">
        <f ca="1">'[1]INVENTARIO NACIONAL 17-08-26'!AD26</f>
        <v>4100.538461538461</v>
      </c>
      <c r="AE26" s="30">
        <f ca="1">'[1]INVENTARIO NACIONAL 17-08-26'!AE26</f>
        <v>12764.23076923077</v>
      </c>
      <c r="AF26" s="28">
        <f ca="1">'[1]INVENTARIO NACIONAL 17-08-26'!AF26</f>
        <v>8663.6923076923085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301.53846153846155</v>
      </c>
      <c r="AB27" s="25">
        <f ca="1">'[1]INVENTARIO NACIONAL 17-08-26'!AB27</f>
        <v>50.275510204081634</v>
      </c>
      <c r="AC27" s="26">
        <f ca="1">'[1]INVENTARIO NACIONAL 17-08-26'!AC27</f>
        <v>5.027551020408163</v>
      </c>
      <c r="AD27" s="29">
        <f ca="1">'[1]INVENTARIO NACIONAL 17-08-26'!AD27</f>
        <v>1214.4615384615386</v>
      </c>
      <c r="AE27" s="30">
        <f ca="1">'[1]INVENTARIO NACIONAL 17-08-26'!AE27</f>
        <v>150.76923076923077</v>
      </c>
      <c r="AF27" s="28">
        <f ca="1">'[1]INVENTARIO NACIONAL 17-08-26'!AF27</f>
        <v>-1063.6923076923078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15.981361426256079</v>
      </c>
      <c r="M28" s="33">
        <f ca="1">'[1]INVENTARIO NACIONAL 17-08-26'!M28</f>
        <v>4176.6153846153848</v>
      </c>
      <c r="N28" s="18">
        <f ca="1">'[1]INVENTARIO NACIONAL 17-08-26'!N28</f>
        <v>186.30769230769238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1898.4615384615383</v>
      </c>
      <c r="AB28" s="25">
        <f ca="1">'[1]INVENTARIO NACIONAL 17-08-26'!AB28</f>
        <v>25.352106969205835</v>
      </c>
      <c r="AC28" s="26">
        <f ca="1">'[1]INVENTARIO NACIONAL 17-08-26'!AC28</f>
        <v>2.5352106969205837</v>
      </c>
      <c r="AD28" s="29">
        <f ca="1">'[1]INVENTARIO NACIONAL 17-08-26'!AD28</f>
        <v>2914.5384615384619</v>
      </c>
      <c r="AE28" s="30">
        <f ca="1">'[1]INVENTARIO NACIONAL 17-08-26'!AE28</f>
        <v>949.23076923076917</v>
      </c>
      <c r="AF28" s="28">
        <f ca="1">'[1]INVENTARIO NACIONAL 17-08-26'!AF28</f>
        <v>-1965.3076923076928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12.576805696846389</v>
      </c>
      <c r="M29" s="33">
        <f ca="1">'[1]INVENTARIO NACIONAL 17-08-26'!M29</f>
        <v>4990.6153846153848</v>
      </c>
      <c r="N29" s="18">
        <f ca="1">'[1]INVENTARIO NACIONAL 17-08-26'!N29</f>
        <v>-549.69230769230762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2268.4615384615386</v>
      </c>
      <c r="AB29" s="25">
        <f ca="1">'[1]INVENTARIO NACIONAL 17-08-26'!AB29</f>
        <v>20.070871481858255</v>
      </c>
      <c r="AC29" s="26">
        <f ca="1">'[1]INVENTARIO NACIONAL 17-08-26'!AC29</f>
        <v>2.0070871481858257</v>
      </c>
      <c r="AD29" s="29">
        <f ca="1">'[1]INVENTARIO NACIONAL 17-08-26'!AD29</f>
        <v>2284.5384615384614</v>
      </c>
      <c r="AE29" s="30">
        <f ca="1">'[1]INVENTARIO NACIONAL 17-08-26'!AE29</f>
        <v>1134.2307692307693</v>
      </c>
      <c r="AF29" s="28">
        <f ca="1">'[1]INVENTARIO NACIONAL 17-08-26'!AF29</f>
        <v>-1150.3076923076922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13.069767441860465</v>
      </c>
      <c r="M30" s="33">
        <f ca="1">'[1]INVENTARIO NACIONAL 17-08-26'!M30</f>
        <v>4730</v>
      </c>
      <c r="N30" s="18">
        <f ca="1">'[1]INVENTARIO NACIONAL 17-08-26'!N30</f>
        <v>-415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2150</v>
      </c>
      <c r="AB30" s="25">
        <f ca="1">'[1]INVENTARIO NACIONAL 17-08-26'!AB30</f>
        <v>28.037209302325582</v>
      </c>
      <c r="AC30" s="26">
        <f ca="1">'[1]INVENTARIO NACIONAL 17-08-26'!AC30</f>
        <v>2.8037209302325583</v>
      </c>
      <c r="AD30" s="29">
        <f ca="1">'[1]INVENTARIO NACIONAL 17-08-26'!AD30</f>
        <v>3878</v>
      </c>
      <c r="AE30" s="30">
        <f ca="1">'[1]INVENTARIO NACIONAL 17-08-26'!AE30</f>
        <v>1075</v>
      </c>
      <c r="AF30" s="28">
        <f ca="1">'[1]INVENTARIO NACIONAL 17-08-26'!AF30</f>
        <v>-2803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2126.1538461538462</v>
      </c>
      <c r="AB31" s="25">
        <f ca="1">'[1]INVENTARIO NACIONAL 17-08-26'!AB31</f>
        <v>6.4482633863965271</v>
      </c>
      <c r="AC31" s="26">
        <f ca="1">'[1]INVENTARIO NACIONAL 17-08-26'!AC31</f>
        <v>0.64482633863965266</v>
      </c>
      <c r="AD31" s="29">
        <f ca="1">'[1]INVENTARIO NACIONAL 17-08-26'!AD31</f>
        <v>-755.15384615384619</v>
      </c>
      <c r="AE31" s="30">
        <f ca="1">'[1]INVENTARIO NACIONAL 17-08-26'!AE31</f>
        <v>1063.0769230769231</v>
      </c>
      <c r="AF31" s="28">
        <f ca="1">'[1]INVENTARIO NACIONAL 17-08-26'!AF31</f>
        <v>1818.2307692307693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1213.0769230769231</v>
      </c>
      <c r="AB32" s="25">
        <f ca="1">'[1]INVENTARIO NACIONAL 17-08-26'!AB32</f>
        <v>8.0786303107165498</v>
      </c>
      <c r="AC32" s="26">
        <f ca="1">'[1]INVENTARIO NACIONAL 17-08-26'!AC32</f>
        <v>0.80786303107165502</v>
      </c>
      <c r="AD32" s="29">
        <f ca="1">'[1]INVENTARIO NACIONAL 17-08-26'!AD32</f>
        <v>-233.07692307692309</v>
      </c>
      <c r="AE32" s="30">
        <f ca="1">'[1]INVENTARIO NACIONAL 17-08-26'!AE32</f>
        <v>606.53846153846155</v>
      </c>
      <c r="AF32" s="28">
        <f ca="1">'[1]INVENTARIO NACIONAL 17-08-26'!AF32</f>
        <v>839.61538461538464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4619.2307692307695</v>
      </c>
      <c r="AB33" s="25">
        <f ca="1">'[1]INVENTARIO NACIONAL 17-08-26'!AB33</f>
        <v>7.1483763530391338</v>
      </c>
      <c r="AC33" s="26">
        <f ca="1">'[1]INVENTARIO NACIONAL 17-08-26'!AC33</f>
        <v>0.71483763530391331</v>
      </c>
      <c r="AD33" s="29">
        <f ca="1">'[1]INVENTARIO NACIONAL 17-08-26'!AD33</f>
        <v>-1317.2307692307695</v>
      </c>
      <c r="AE33" s="30">
        <f ca="1">'[1]INVENTARIO NACIONAL 17-08-26'!AE33</f>
        <v>2309.6153846153848</v>
      </c>
      <c r="AF33" s="28">
        <f ca="1">'[1]INVENTARIO NACIONAL 17-08-26'!AF33</f>
        <v>3626.8461538461543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7240.7692307692305</v>
      </c>
      <c r="AB34" s="25">
        <f ca="1">'[1]INVENTARIO NACIONAL 17-08-26'!AB34</f>
        <v>8.7104005099330717</v>
      </c>
      <c r="AC34" s="26">
        <f ca="1">'[1]INVENTARIO NACIONAL 17-08-26'!AC34</f>
        <v>0.87104005099330717</v>
      </c>
      <c r="AD34" s="29">
        <f ca="1">'[1]INVENTARIO NACIONAL 17-08-26'!AD34</f>
        <v>-933.76923076923049</v>
      </c>
      <c r="AE34" s="30">
        <f ca="1">'[1]INVENTARIO NACIONAL 17-08-26'!AE34</f>
        <v>3620.3846153846152</v>
      </c>
      <c r="AF34" s="28">
        <f ca="1">'[1]INVENTARIO NACIONAL 17-08-26'!AF34</f>
        <v>4554.1538461538457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76.92307692307692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-76.92307692307692</v>
      </c>
      <c r="AE35" s="30">
        <f ca="1">'[1]INVENTARIO NACIONAL 17-08-26'!AE35</f>
        <v>38.46153846153846</v>
      </c>
      <c r="AF35" s="28">
        <f ca="1">'[1]INVENTARIO NACIONAL 17-08-26'!AF35</f>
        <v>115.38461538461539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1310.7692307692307</v>
      </c>
      <c r="AB36" s="25">
        <f ca="1">'[1]INVENTARIO NACIONAL 17-08-26'!AB36</f>
        <v>4.142605633802817</v>
      </c>
      <c r="AC36" s="26">
        <f ca="1">'[1]INVENTARIO NACIONAL 17-08-26'!AC36</f>
        <v>0.41426056338028172</v>
      </c>
      <c r="AD36" s="29">
        <f ca="1">'[1]INVENTARIO NACIONAL 17-08-26'!AD36</f>
        <v>-767.76923076923072</v>
      </c>
      <c r="AE36" s="30">
        <f ca="1">'[1]INVENTARIO NACIONAL 17-08-26'!AE36</f>
        <v>655.38461538461536</v>
      </c>
      <c r="AF36" s="28">
        <f ca="1">'[1]INVENTARIO NACIONAL 17-08-26'!AF36</f>
        <v>1423.1538461538462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6125.3846153846152</v>
      </c>
      <c r="AB37" s="25">
        <f ca="1">'[1]INVENTARIO NACIONAL 17-08-26'!AB37</f>
        <v>16.599773954539746</v>
      </c>
      <c r="AC37" s="26">
        <f ca="1">'[1]INVENTARIO NACIONAL 17-08-26'!AC37</f>
        <v>1.6599773954539747</v>
      </c>
      <c r="AD37" s="29">
        <f ca="1">'[1]INVENTARIO NACIONAL 17-08-26'!AD37</f>
        <v>4042.6153846153848</v>
      </c>
      <c r="AE37" s="30">
        <f ca="1">'[1]INVENTARIO NACIONAL 17-08-26'!AE37</f>
        <v>3062.6923076923076</v>
      </c>
      <c r="AF37" s="28">
        <f ca="1">'[1]INVENTARIO NACIONAL 17-08-26'!AF37</f>
        <v>-979.92307692307713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10000</v>
      </c>
      <c r="AB38" s="25">
        <f ca="1">'[1]INVENTARIO NACIONAL 17-08-26'!AB38</f>
        <v>9.8580000000000005</v>
      </c>
      <c r="AC38" s="26">
        <f ca="1">'[1]INVENTARIO NACIONAL 17-08-26'!AC38</f>
        <v>0.98580000000000001</v>
      </c>
      <c r="AD38" s="29">
        <f ca="1">'[1]INVENTARIO NACIONAL 17-08-26'!AD38</f>
        <v>-142</v>
      </c>
      <c r="AE38" s="30">
        <f ca="1">'[1]INVENTARIO NACIONAL 17-08-26'!AE38</f>
        <v>5000</v>
      </c>
      <c r="AF38" s="28">
        <f ca="1">'[1]INVENTARIO NACIONAL 17-08-26'!AF38</f>
        <v>5142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4555.3846153846152</v>
      </c>
      <c r="AB39" s="25">
        <f ca="1">'[1]INVENTARIO NACIONAL 17-08-26'!AB39</f>
        <v>4.3157716987504218</v>
      </c>
      <c r="AC39" s="26">
        <f ca="1">'[1]INVENTARIO NACIONAL 17-08-26'!AC39</f>
        <v>0.43157716987504224</v>
      </c>
      <c r="AD39" s="29">
        <f ca="1">'[1]INVENTARIO NACIONAL 17-08-26'!AD39</f>
        <v>-2589.3846153846152</v>
      </c>
      <c r="AE39" s="30">
        <f ca="1">'[1]INVENTARIO NACIONAL 17-08-26'!AE39</f>
        <v>2277.6923076923076</v>
      </c>
      <c r="AF39" s="28">
        <f ca="1">'[1]INVENTARIO NACIONAL 17-08-26'!AF39</f>
        <v>4867.0769230769229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3306.1538461538466</v>
      </c>
      <c r="AB40" s="25">
        <f ca="1">'[1]INVENTARIO NACIONAL 17-08-26'!AB40</f>
        <v>13.750116333178221</v>
      </c>
      <c r="AC40" s="26">
        <f ca="1">'[1]INVENTARIO NACIONAL 17-08-26'!AC40</f>
        <v>1.3750116333178219</v>
      </c>
      <c r="AD40" s="29">
        <f ca="1">'[1]INVENTARIO NACIONAL 17-08-26'!AD40</f>
        <v>1239.8461538461534</v>
      </c>
      <c r="AE40" s="30">
        <f ca="1">'[1]INVENTARIO NACIONAL 17-08-26'!AE40</f>
        <v>1653.0769230769233</v>
      </c>
      <c r="AF40" s="28">
        <f ca="1">'[1]INVENTARIO NACIONAL 17-08-26'!AF40</f>
        <v>413.23076923076997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1216.1538461538462</v>
      </c>
      <c r="AB43" s="25">
        <f ca="1">'[1]INVENTARIO NACIONAL 17-08-26'!AB43</f>
        <v>5.4351676154332704</v>
      </c>
      <c r="AC43" s="26">
        <f ca="1">'[1]INVENTARIO NACIONAL 17-08-26'!AC43</f>
        <v>0.54351676154332695</v>
      </c>
      <c r="AD43" s="29">
        <f ca="1">'[1]INVENTARIO NACIONAL 17-08-26'!AD43</f>
        <v>-555.15384615384619</v>
      </c>
      <c r="AE43" s="30">
        <f ca="1">'[1]INVENTARIO NACIONAL 17-08-26'!AE43</f>
        <v>608.07692307692309</v>
      </c>
      <c r="AF43" s="28">
        <f ca="1">'[1]INVENTARIO NACIONAL 17-08-26'!AF43</f>
        <v>1163.2307692307693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1177.6923076923076</v>
      </c>
      <c r="AB44" s="25">
        <f ca="1">'[1]INVENTARIO NACIONAL 17-08-26'!AB44</f>
        <v>9.6374918354016987</v>
      </c>
      <c r="AC44" s="26">
        <f ca="1">'[1]INVENTARIO NACIONAL 17-08-26'!AC44</f>
        <v>0.96374918354016992</v>
      </c>
      <c r="AD44" s="29">
        <f ca="1">'[1]INVENTARIO NACIONAL 17-08-26'!AD44</f>
        <v>-42.692307692307622</v>
      </c>
      <c r="AE44" s="30">
        <f ca="1">'[1]INVENTARIO NACIONAL 17-08-26'!AE44</f>
        <v>588.84615384615381</v>
      </c>
      <c r="AF44" s="28">
        <f ca="1">'[1]INVENTARIO NACIONAL 17-08-26'!AF44</f>
        <v>631.53846153846143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5425.3846153846152</v>
      </c>
      <c r="AB45" s="25">
        <f ca="1">'[1]INVENTARIO NACIONAL 17-08-26'!AB45</f>
        <v>7.6529136537643554</v>
      </c>
      <c r="AC45" s="26">
        <f ca="1">'[1]INVENTARIO NACIONAL 17-08-26'!AC45</f>
        <v>0.76529136537643561</v>
      </c>
      <c r="AD45" s="29">
        <f ca="1">'[1]INVENTARIO NACIONAL 17-08-26'!AD45</f>
        <v>-1273.3846153846152</v>
      </c>
      <c r="AE45" s="30">
        <f ca="1">'[1]INVENTARIO NACIONAL 17-08-26'!AE45</f>
        <v>2712.6923076923076</v>
      </c>
      <c r="AF45" s="28">
        <f ca="1">'[1]INVENTARIO NACIONAL 17-08-26'!AF45</f>
        <v>3986.0769230769229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6050</v>
      </c>
      <c r="AB46" s="25">
        <f ca="1">'[1]INVENTARIO NACIONAL 17-08-26'!AB46</f>
        <v>14.135537190082644</v>
      </c>
      <c r="AC46" s="26">
        <f ca="1">'[1]INVENTARIO NACIONAL 17-08-26'!AC46</f>
        <v>1.4135537190082645</v>
      </c>
      <c r="AD46" s="29">
        <f ca="1">'[1]INVENTARIO NACIONAL 17-08-26'!AD46</f>
        <v>2502</v>
      </c>
      <c r="AE46" s="30">
        <f ca="1">'[1]INVENTARIO NACIONAL 17-08-26'!AE46</f>
        <v>3025</v>
      </c>
      <c r="AF46" s="28">
        <f ca="1">'[1]INVENTARIO NACIONAL 17-08-26'!AF46</f>
        <v>523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7557.6923076923067</v>
      </c>
      <c r="AB47" s="25">
        <f ca="1">'[1]INVENTARIO NACIONAL 17-08-26'!AB47</f>
        <v>8.9088040712468199</v>
      </c>
      <c r="AC47" s="26">
        <f ca="1">'[1]INVENTARIO NACIONAL 17-08-26'!AC47</f>
        <v>0.89088040712468208</v>
      </c>
      <c r="AD47" s="29">
        <f ca="1">'[1]INVENTARIO NACIONAL 17-08-26'!AD47</f>
        <v>-824.69230769230671</v>
      </c>
      <c r="AE47" s="30">
        <f ca="1">'[1]INVENTARIO NACIONAL 17-08-26'!AE47</f>
        <v>3778.8461538461534</v>
      </c>
      <c r="AF47" s="28">
        <f ca="1">'[1]INVENTARIO NACIONAL 17-08-26'!AF47</f>
        <v>4603.5384615384601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5266.1538461538466</v>
      </c>
      <c r="AB48" s="25">
        <f ca="1">'[1]INVENTARIO NACIONAL 17-08-26'!AB48</f>
        <v>9.9256500146070685</v>
      </c>
      <c r="AC48" s="26">
        <f ca="1">'[1]INVENTARIO NACIONAL 17-08-26'!AC48</f>
        <v>0.99256500146070692</v>
      </c>
      <c r="AD48" s="29">
        <f ca="1">'[1]INVENTARIO NACIONAL 17-08-26'!AD48</f>
        <v>-39.153846153846644</v>
      </c>
      <c r="AE48" s="30">
        <f ca="1">'[1]INVENTARIO NACIONAL 17-08-26'!AE48</f>
        <v>2633.0769230769233</v>
      </c>
      <c r="AF48" s="28">
        <f ca="1">'[1]INVENTARIO NACIONAL 17-08-26'!AF48</f>
        <v>2672.23076923077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>
        <f ca="1">'[1]INVENTARIO NACIONAL 17-08-26'!AA49</f>
        <v>20</v>
      </c>
      <c r="AB49" s="25">
        <f ca="1">'[1]INVENTARIO NACIONAL 17-08-26'!AB49</f>
        <v>6</v>
      </c>
      <c r="AC49" s="26">
        <f ca="1">'[1]INVENTARIO NACIONAL 17-08-26'!AC49</f>
        <v>0.6</v>
      </c>
      <c r="AD49" s="29">
        <f ca="1">'[1]INVENTARIO NACIONAL 17-08-26'!AD49</f>
        <v>-8</v>
      </c>
      <c r="AE49" s="30">
        <f ca="1">'[1]INVENTARIO NACIONAL 17-08-26'!AE49</f>
        <v>10</v>
      </c>
      <c r="AF49" s="28">
        <f ca="1">'[1]INVENTARIO NACIONAL 17-08-26'!AF49</f>
        <v>18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0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11</v>
      </c>
      <c r="AE50" s="30">
        <f ca="1">'[1]INVENTARIO NACIONAL 17-08-26'!AE50</f>
        <v>0</v>
      </c>
      <c r="AF50" s="28">
        <f ca="1">'[1]INVENTARIO NACIONAL 17-08-26'!AF50</f>
        <v>-11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229.23076923076923</v>
      </c>
      <c r="AB51" s="25">
        <f ca="1">'[1]INVENTARIO NACIONAL 17-08-26'!AB51</f>
        <v>1.8758389261744965</v>
      </c>
      <c r="AC51" s="26">
        <f ca="1">'[1]INVENTARIO NACIONAL 17-08-26'!AC51</f>
        <v>0.18758389261744968</v>
      </c>
      <c r="AD51" s="29">
        <f ca="1">'[1]INVENTARIO NACIONAL 17-08-26'!AD51</f>
        <v>-186.23076923076923</v>
      </c>
      <c r="AE51" s="30">
        <f ca="1">'[1]INVENTARIO NACIONAL 17-08-26'!AE51</f>
        <v>114.61538461538461</v>
      </c>
      <c r="AF51" s="28">
        <f ca="1">'[1]INVENTARIO NACIONAL 17-08-26'!AF51</f>
        <v>300.84615384615381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547.69230769230762</v>
      </c>
      <c r="AB53" s="25">
        <f ca="1">'[1]INVENTARIO NACIONAL 17-08-26'!AB53</f>
        <v>7.3033707865168551E-2</v>
      </c>
      <c r="AC53" s="26">
        <f ca="1">'[1]INVENTARIO NACIONAL 17-08-26'!AC53</f>
        <v>7.3033707865168551E-3</v>
      </c>
      <c r="AD53" s="29">
        <f ca="1">'[1]INVENTARIO NACIONAL 17-08-26'!AD53</f>
        <v>-543.69230769230762</v>
      </c>
      <c r="AE53" s="30">
        <f ca="1">'[1]INVENTARIO NACIONAL 17-08-26'!AE53</f>
        <v>273.84615384615381</v>
      </c>
      <c r="AF53" s="28">
        <f ca="1">'[1]INVENTARIO NACIONAL 17-08-26'!AF53</f>
        <v>817.53846153846143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2767.6923076923076</v>
      </c>
      <c r="AB54" s="25">
        <f ca="1">'[1]INVENTARIO NACIONAL 17-08-26'!AB54</f>
        <v>81.55892162312395</v>
      </c>
      <c r="AC54" s="26">
        <f ca="1">'[1]INVENTARIO NACIONAL 17-08-26'!AC54</f>
        <v>8.1558921623123961</v>
      </c>
      <c r="AD54" s="29">
        <f ca="1">'[1]INVENTARIO NACIONAL 17-08-26'!AD54</f>
        <v>19805.307692307691</v>
      </c>
      <c r="AE54" s="30">
        <f ca="1">'[1]INVENTARIO NACIONAL 17-08-26'!AE54</f>
        <v>1383.8461538461538</v>
      </c>
      <c r="AF54" s="28">
        <f ca="1">'[1]INVENTARIO NACIONAL 17-08-26'!AF54</f>
        <v>-18421.461538461539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4797.6923076923076</v>
      </c>
      <c r="AB55" s="25">
        <f ca="1">'[1]INVENTARIO NACIONAL 17-08-26'!AB55</f>
        <v>60.923039923039923</v>
      </c>
      <c r="AC55" s="26">
        <f ca="1">'[1]INVENTARIO NACIONAL 17-08-26'!AC55</f>
        <v>6.0923039923039921</v>
      </c>
      <c r="AD55" s="29">
        <f ca="1">'[1]INVENTARIO NACIONAL 17-08-26'!AD55</f>
        <v>24431.307692307691</v>
      </c>
      <c r="AE55" s="30">
        <f ca="1">'[1]INVENTARIO NACIONAL 17-08-26'!AE55</f>
        <v>2398.8461538461538</v>
      </c>
      <c r="AF55" s="28">
        <f ca="1">'[1]INVENTARIO NACIONAL 17-08-26'!AF55</f>
        <v>-22032.461538461539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2890.7692307692309</v>
      </c>
      <c r="AB56" s="25">
        <f ca="1">'[1]INVENTARIO NACIONAL 17-08-26'!AB56</f>
        <v>55.86748270356572</v>
      </c>
      <c r="AC56" s="26">
        <f ca="1">'[1]INVENTARIO NACIONAL 17-08-26'!AC56</f>
        <v>5.5867482703565727</v>
      </c>
      <c r="AD56" s="29">
        <f ca="1">'[1]INVENTARIO NACIONAL 17-08-26'!AD56</f>
        <v>13259.23076923077</v>
      </c>
      <c r="AE56" s="30">
        <f ca="1">'[1]INVENTARIO NACIONAL 17-08-26'!AE56</f>
        <v>1445.3846153846155</v>
      </c>
      <c r="AF56" s="28">
        <f ca="1">'[1]INVENTARIO NACIONAL 17-08-26'!AF56</f>
        <v>-11813.846153846154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2549.2307692307695</v>
      </c>
      <c r="AB57" s="25">
        <f ca="1">'[1]INVENTARIO NACIONAL 17-08-26'!AB57</f>
        <v>75.673808086904032</v>
      </c>
      <c r="AC57" s="26">
        <f ca="1">'[1]INVENTARIO NACIONAL 17-08-26'!AC57</f>
        <v>7.5673808086904035</v>
      </c>
      <c r="AD57" s="29">
        <f ca="1">'[1]INVENTARIO NACIONAL 17-08-26'!AD57</f>
        <v>16741.76923076923</v>
      </c>
      <c r="AE57" s="30">
        <f ca="1">'[1]INVENTARIO NACIONAL 17-08-26'!AE57</f>
        <v>1274.6153846153848</v>
      </c>
      <c r="AF57" s="28">
        <f ca="1">'[1]INVENTARIO NACIONAL 17-08-26'!AF57</f>
        <v>-15467.153846153846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426.15384615384613</v>
      </c>
      <c r="AB58" s="25">
        <f ca="1">'[1]INVENTARIO NACIONAL 17-08-26'!AB58</f>
        <v>16.777978339350181</v>
      </c>
      <c r="AC58" s="26">
        <f ca="1">'[1]INVENTARIO NACIONAL 17-08-26'!AC58</f>
        <v>1.6777978339350181</v>
      </c>
      <c r="AD58" s="29">
        <f ca="1">'[1]INVENTARIO NACIONAL 17-08-26'!AD58</f>
        <v>288.84615384615387</v>
      </c>
      <c r="AE58" s="30">
        <f ca="1">'[1]INVENTARIO NACIONAL 17-08-26'!AE58</f>
        <v>213.07692307692307</v>
      </c>
      <c r="AF58" s="28">
        <f ca="1">'[1]INVENTARIO NACIONAL 17-08-26'!AF58</f>
        <v>-75.769230769230802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827.69230769230774</v>
      </c>
      <c r="AB59" s="25">
        <f ca="1">'[1]INVENTARIO NACIONAL 17-08-26'!AB59</f>
        <v>4.6635687732342008</v>
      </c>
      <c r="AC59" s="26">
        <f ca="1">'[1]INVENTARIO NACIONAL 17-08-26'!AC59</f>
        <v>0.46635687732342007</v>
      </c>
      <c r="AD59" s="29">
        <f ca="1">'[1]INVENTARIO NACIONAL 17-08-26'!AD59</f>
        <v>-441.69230769230774</v>
      </c>
      <c r="AE59" s="30">
        <f ca="1">'[1]INVENTARIO NACIONAL 17-08-26'!AE59</f>
        <v>413.84615384615387</v>
      </c>
      <c r="AF59" s="28">
        <f ca="1">'[1]INVENTARIO NACIONAL 17-08-26'!AF59</f>
        <v>855.53846153846166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470.76923076923083</v>
      </c>
      <c r="AB60" s="25">
        <f ca="1">'[1]INVENTARIO NACIONAL 17-08-26'!AB60</f>
        <v>6.3300653594771239</v>
      </c>
      <c r="AC60" s="26">
        <f ca="1">'[1]INVENTARIO NACIONAL 17-08-26'!AC60</f>
        <v>0.63300653594771239</v>
      </c>
      <c r="AD60" s="29">
        <f ca="1">'[1]INVENTARIO NACIONAL 17-08-26'!AD60</f>
        <v>-172.76923076923083</v>
      </c>
      <c r="AE60" s="30">
        <f ca="1">'[1]INVENTARIO NACIONAL 17-08-26'!AE60</f>
        <v>235.38461538461542</v>
      </c>
      <c r="AF60" s="28">
        <f ca="1">'[1]INVENTARIO NACIONAL 17-08-26'!AF60</f>
        <v>408.15384615384625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396.92307692307691</v>
      </c>
      <c r="AB61" s="25">
        <f ca="1">'[1]INVENTARIO NACIONAL 17-08-26'!AB61</f>
        <v>3.6782945736434107</v>
      </c>
      <c r="AC61" s="26">
        <f ca="1">'[1]INVENTARIO NACIONAL 17-08-26'!AC61</f>
        <v>0.36782945736434108</v>
      </c>
      <c r="AD61" s="29">
        <f ca="1">'[1]INVENTARIO NACIONAL 17-08-26'!AD61</f>
        <v>-250.92307692307691</v>
      </c>
      <c r="AE61" s="30">
        <f ca="1">'[1]INVENTARIO NACIONAL 17-08-26'!AE61</f>
        <v>198.46153846153845</v>
      </c>
      <c r="AF61" s="28">
        <f ca="1">'[1]INVENTARIO NACIONAL 17-08-26'!AF61</f>
        <v>449.38461538461536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108920.07692307689</v>
      </c>
    </row>
    <row r="63" spans="2:33" x14ac:dyDescent="0.25">
      <c r="B63" s="45" t="s">
        <v>86</v>
      </c>
      <c r="C63" s="46"/>
      <c r="D63" s="46"/>
      <c r="E63" s="67" t="s">
        <v>87</v>
      </c>
      <c r="F63" s="67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3" t="s">
        <v>88</v>
      </c>
      <c r="C64" s="63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3" t="s">
        <v>92</v>
      </c>
      <c r="C68" s="63"/>
      <c r="D68" s="50">
        <f>SUM(Z13:Z61)</f>
        <v>421177.93000000017</v>
      </c>
      <c r="E68" s="64">
        <f>D68*100/D68</f>
        <v>100</v>
      </c>
      <c r="F68" s="64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3" t="s">
        <v>94</v>
      </c>
      <c r="C71" s="63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2">
        <f>D74*100/D75</f>
        <v>11.039956032533535</v>
      </c>
      <c r="F74" s="62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3" t="s">
        <v>98</v>
      </c>
      <c r="C75" s="63"/>
      <c r="D75" s="55">
        <f>SUM(Y13:Y61)</f>
        <v>334793</v>
      </c>
      <c r="E75" s="62">
        <f>D75*100/D75</f>
        <v>100</v>
      </c>
      <c r="F75" s="62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65:F65"/>
    <mergeCell ref="B1:Z6"/>
    <mergeCell ref="AA1:AG6"/>
    <mergeCell ref="E63:F63"/>
    <mergeCell ref="B64:C64"/>
    <mergeCell ref="E64:F64"/>
    <mergeCell ref="E66:F66"/>
    <mergeCell ref="E67:F67"/>
    <mergeCell ref="B68:C68"/>
    <mergeCell ref="E68:F68"/>
    <mergeCell ref="B71:C71"/>
    <mergeCell ref="E71:F71"/>
    <mergeCell ref="E72:F72"/>
    <mergeCell ref="E73:F73"/>
    <mergeCell ref="E74:F74"/>
    <mergeCell ref="B75:C75"/>
    <mergeCell ref="E75:F75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2026-08-20T18:47:21Z</dcterms:modified>
</cp:coreProperties>
</file>