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A0541FDD-7290-4684-8366-634006005792}" xr6:coauthVersionLast="47" xr6:coauthVersionMax="47" xr10:uidLastSave="{00000000-0000-0000-0000-000000000000}"/>
  <bookViews>
    <workbookView xWindow="-108" yWindow="-108" windowWidth="23256" windowHeight="12456" xr2:uid="{75DCD74C-609F-43BF-97F7-A30B35570E21}"/>
  </bookViews>
  <sheets>
    <sheet name="Hoja1" sheetId="1" r:id="rId1"/>
  </sheets>
  <externalReferences>
    <externalReference r:id="rId2"/>
  </externalReferenc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4" i="1" l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65" i="1" l="1"/>
  <c r="D66" i="1"/>
  <c r="D62" i="1"/>
  <c r="D67" i="1"/>
  <c r="E67" i="1" s="1"/>
  <c r="D63" i="1"/>
  <c r="E63" i="1" s="1"/>
  <c r="D74" i="1"/>
  <c r="D70" i="1"/>
  <c r="D72" i="1"/>
  <c r="AK60" i="1"/>
  <c r="AM59" i="1"/>
  <c r="D71" i="1"/>
  <c r="D73" i="1"/>
  <c r="D75" i="1"/>
  <c r="AM51" i="1"/>
  <c r="E62" i="1"/>
  <c r="E66" i="1" l="1"/>
  <c r="E65" i="1"/>
  <c r="E74" i="1"/>
  <c r="E64" i="1"/>
  <c r="E73" i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<sst xmlns="http://schemas.openxmlformats.org/spreadsheetml/2006/main" count="81" uniqueCount="81">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</sst>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EN%202026/Inventario/Septiembre/Inventario%20Nacional%20Producto%20Terminado/Corte%20Diario%20Inventario%20Nacional%20Producto%20Terminado%20SEPTIEMBRE%202026.xlsx" TargetMode="External"/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/ALMACEN%202026/Inventario/Septiembre/Inventario%20Nacional%20Producto%20Terminado/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INVENTARIO NACIONAL 3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">
          <cell r="G1" t="str">
            <v>DASHBOARD</v>
          </cell>
        </row>
      </sheetData>
      <sheetData sheetId="2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B1" sqref="B1:AE6"/>
    </sheetView>
  </sheetViews>
  <sheetFormatPr baseColWidth="10" defaultRowHeight="14.4" x14ac:dyDescent="0.3"/>
  <cols>
    <col min="1" max="1" width="5.33203125" style="51" customWidth="1"/>
    <col min="2" max="2" width="11.44140625" style="34"/>
    <col min="3" max="3" width="35.44140625" style="48" customWidth="1"/>
    <col min="4" max="4" width="11" style="48" customWidth="1"/>
    <col min="5" max="5" width="12.109375" style="53" customWidth="1"/>
    <col min="6" max="9" width="11" style="53" customWidth="1"/>
    <col min="10" max="10" width="12.109375" style="48" customWidth="1"/>
    <col min="11" max="14" width="11" style="48" customWidth="1"/>
    <col min="15" max="15" width="12.109375" style="48" customWidth="1"/>
    <col min="16" max="19" width="11" style="48" customWidth="1"/>
    <col min="20" max="20" width="12.109375" style="48" customWidth="1"/>
    <col min="21" max="24" width="11" style="48" customWidth="1"/>
    <col min="25" max="25" width="12.109375" style="48" customWidth="1"/>
    <col min="26" max="29" width="11" style="48" customWidth="1"/>
    <col min="30" max="30" width="13.44140625" style="48" customWidth="1"/>
    <col min="31" max="31" width="11" style="48" customWidth="1"/>
    <col min="32" max="33" width="12.6640625" style="54" customWidth="1"/>
    <col min="38" max="38" width="9.109375" customWidth="1"/>
    <col min="39" max="39" width="13" customWidth="1"/>
  </cols>
  <sheetData>
    <row r="1" spans="1:38" ht="15" customHeight="1" x14ac:dyDescent="0.3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3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3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3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3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3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5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5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5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5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5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0.799999999999997" x14ac:dyDescent="0.3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3">
      <c r="A13" s="56"/>
      <c r="B13" s="10" t="s">
        <v>20</v>
      </c>
      <c r="C13" s="11" t="s">
        <v>21</v>
      </c>
      <c r="D13" s="12">
        <v>1.36</v>
      </c>
      <c r="E13" s="13">
        <v>5308</v>
      </c>
      <c r="F13" s="14">
        <v>7218.88</v>
      </c>
      <c r="G13" s="14">
        <v>7.5301334529550292</v>
      </c>
      <c r="H13" s="30">
        <v>15507.826086956522</v>
      </c>
      <c r="I13" s="15">
        <v>-1741.01185770751</v>
      </c>
      <c r="J13" s="16">
        <v>2539</v>
      </c>
      <c r="K13" s="13">
        <v>3453.0400000000004</v>
      </c>
      <c r="L13" s="14">
        <v>12.7910593389088</v>
      </c>
      <c r="M13" s="30">
        <v>4366.9565217391309</v>
      </c>
      <c r="N13" s="15">
        <v>554.01976284584975</v>
      </c>
      <c r="O13" s="16">
        <v>696</v>
      </c>
      <c r="P13" s="17">
        <v>946.56000000000006</v>
      </c>
      <c r="Q13" s="14">
        <v>18.209720785935886</v>
      </c>
      <c r="R13" s="16">
        <v>840.86956521739125</v>
      </c>
      <c r="S13" s="15">
        <v>-68.426877470355635</v>
      </c>
      <c r="T13" s="18">
        <v>725</v>
      </c>
      <c r="U13" s="17">
        <v>986.00000000000011</v>
      </c>
      <c r="V13" s="14">
        <v>16.261081560283689</v>
      </c>
      <c r="W13" s="16">
        <v>980.86956521739125</v>
      </c>
      <c r="X13" s="15">
        <v>11.640316205533622</v>
      </c>
      <c r="Y13" s="18">
        <v>400</v>
      </c>
      <c r="Z13" s="17">
        <v>544</v>
      </c>
      <c r="AA13" s="14">
        <v>13.694181326116375</v>
      </c>
      <c r="AB13" s="16">
        <v>642.60869565217388</v>
      </c>
      <c r="AC13" s="15">
        <v>-242.60869565217388</v>
      </c>
      <c r="AD13" s="19">
        <v>9668</v>
      </c>
      <c r="AE13" s="20">
        <v>13148.480000000001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3">
      <c r="A14" s="56"/>
      <c r="B14" s="10" t="s">
        <v>22</v>
      </c>
      <c r="C14" s="11" t="s">
        <v>23</v>
      </c>
      <c r="D14" s="12">
        <v>1.59</v>
      </c>
      <c r="E14" s="13"/>
      <c r="F14" s="14">
        <v>0</v>
      </c>
      <c r="G14" s="14">
        <v>0</v>
      </c>
      <c r="H14" s="30">
        <v>408.69565217391306</v>
      </c>
      <c r="I14" s="15">
        <v>-185.77075098814231</v>
      </c>
      <c r="J14" s="16">
        <v>20</v>
      </c>
      <c r="K14" s="13">
        <v>31.8</v>
      </c>
      <c r="L14" s="14">
        <v>2.0321285140562253</v>
      </c>
      <c r="M14" s="30">
        <v>216.52173913043475</v>
      </c>
      <c r="N14" s="15">
        <v>-78.418972332015798</v>
      </c>
      <c r="O14" s="16">
        <v>80</v>
      </c>
      <c r="P14" s="17">
        <v>127.2</v>
      </c>
      <c r="Q14" s="14">
        <v>18.071428571428569</v>
      </c>
      <c r="R14" s="16">
        <v>97.391304347826093</v>
      </c>
      <c r="S14" s="15">
        <v>-8.537549407114625</v>
      </c>
      <c r="T14" s="18">
        <v>7</v>
      </c>
      <c r="U14" s="17">
        <v>11.13</v>
      </c>
      <c r="V14" s="14">
        <v>6.5592592592592593</v>
      </c>
      <c r="W14" s="16">
        <v>23.478260869565219</v>
      </c>
      <c r="X14" s="15">
        <v>-10.07509881422925</v>
      </c>
      <c r="Y14" s="18">
        <v>7</v>
      </c>
      <c r="Z14" s="17">
        <v>11.13</v>
      </c>
      <c r="AA14" s="14">
        <v>1.9677777777777778</v>
      </c>
      <c r="AB14" s="16">
        <v>78.260869565217391</v>
      </c>
      <c r="AC14" s="15">
        <v>-71.260869565217391</v>
      </c>
      <c r="AD14" s="19">
        <v>114</v>
      </c>
      <c r="AE14" s="20">
        <v>181.26000000000002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3">
      <c r="A15" s="56"/>
      <c r="B15" s="10" t="s">
        <v>24</v>
      </c>
      <c r="C15" s="11" t="s">
        <v>25</v>
      </c>
      <c r="D15" s="12">
        <v>2.0299999999999998</v>
      </c>
      <c r="E15" s="13">
        <v>2236</v>
      </c>
      <c r="F15" s="14">
        <v>4539.08</v>
      </c>
      <c r="G15" s="14">
        <v>7.5518355359765055</v>
      </c>
      <c r="H15" s="30">
        <v>6513.913043478261</v>
      </c>
      <c r="I15" s="15">
        <v>-724.86956521739103</v>
      </c>
      <c r="J15" s="16">
        <v>2287</v>
      </c>
      <c r="K15" s="13">
        <v>4642.6099999999997</v>
      </c>
      <c r="L15" s="14">
        <v>23.860247422680413</v>
      </c>
      <c r="M15" s="30">
        <v>2108.695652173913</v>
      </c>
      <c r="N15" s="15">
        <v>1328.501976284585</v>
      </c>
      <c r="O15" s="16">
        <v>102</v>
      </c>
      <c r="P15" s="17">
        <v>207.05999999999997</v>
      </c>
      <c r="Q15" s="14">
        <v>9.1187279151943468</v>
      </c>
      <c r="R15" s="16">
        <v>246.08695652173913</v>
      </c>
      <c r="S15" s="15">
        <v>-121.71541501976284</v>
      </c>
      <c r="T15" s="18">
        <v>231</v>
      </c>
      <c r="U15" s="17">
        <v>468.92999999999995</v>
      </c>
      <c r="V15" s="14">
        <v>15.02390745501285</v>
      </c>
      <c r="W15" s="16">
        <v>338.26086956521743</v>
      </c>
      <c r="X15" s="15">
        <v>-15.007905138339964</v>
      </c>
      <c r="Y15" s="18">
        <v>158</v>
      </c>
      <c r="Z15" s="17">
        <v>320.73999999999995</v>
      </c>
      <c r="AA15" s="14">
        <v>18.592558139534884</v>
      </c>
      <c r="AB15" s="16">
        <v>186.95652173913044</v>
      </c>
      <c r="AC15" s="15">
        <v>-28.956521739130437</v>
      </c>
      <c r="AD15" s="19">
        <v>5014</v>
      </c>
      <c r="AE15" s="20">
        <v>10178.419999999998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3">
      <c r="B16" s="10" t="s">
        <v>26</v>
      </c>
      <c r="C16" s="11" t="s">
        <v>27</v>
      </c>
      <c r="D16" s="12">
        <v>3.61</v>
      </c>
      <c r="E16" s="13">
        <v>357</v>
      </c>
      <c r="F16" s="14">
        <v>1288.77</v>
      </c>
      <c r="G16" s="14">
        <v>5.2819298245614039</v>
      </c>
      <c r="H16" s="30">
        <v>1486.9565217391303</v>
      </c>
      <c r="I16" s="15">
        <v>-318.88932806324112</v>
      </c>
      <c r="J16" s="16">
        <v>261</v>
      </c>
      <c r="K16" s="13">
        <v>942.20999999999992</v>
      </c>
      <c r="L16" s="14">
        <v>11.940867992766728</v>
      </c>
      <c r="M16" s="30">
        <v>480.86956521739131</v>
      </c>
      <c r="N16" s="15">
        <v>42.42292490118578</v>
      </c>
      <c r="O16" s="16">
        <v>30</v>
      </c>
      <c r="P16" s="17">
        <v>108.3</v>
      </c>
      <c r="Q16" s="14">
        <v>14.055555555555555</v>
      </c>
      <c r="R16" s="16">
        <v>46.956521739130437</v>
      </c>
      <c r="S16" s="15">
        <v>-12.687747035573125</v>
      </c>
      <c r="T16" s="18">
        <v>29</v>
      </c>
      <c r="U16" s="17">
        <v>104.69</v>
      </c>
      <c r="V16" s="14">
        <v>27.174074074074074</v>
      </c>
      <c r="W16" s="16">
        <v>23.478260869565219</v>
      </c>
      <c r="X16" s="15">
        <v>11.92490118577075</v>
      </c>
      <c r="Y16" s="18">
        <v>64</v>
      </c>
      <c r="Z16" s="17">
        <v>231.04</v>
      </c>
      <c r="AA16" s="14">
        <v>22.805633802816899</v>
      </c>
      <c r="AB16" s="16">
        <v>61.739130434782609</v>
      </c>
      <c r="AC16" s="15">
        <v>2.2608695652173836</v>
      </c>
      <c r="AD16" s="19">
        <v>741</v>
      </c>
      <c r="AE16" s="20">
        <v>2675.0099999999998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3">
      <c r="B17" s="10" t="s">
        <v>28</v>
      </c>
      <c r="C17" s="29" t="s">
        <v>29</v>
      </c>
      <c r="D17" s="12">
        <v>8.7799999999999994</v>
      </c>
      <c r="E17" s="13">
        <v>39</v>
      </c>
      <c r="F17" s="14">
        <v>342.41999999999996</v>
      </c>
      <c r="G17" s="14">
        <v>3.8096525096525102</v>
      </c>
      <c r="H17" s="30">
        <v>225.21739130434781</v>
      </c>
      <c r="I17" s="15">
        <v>-63.371541501976267</v>
      </c>
      <c r="J17" s="16">
        <v>17</v>
      </c>
      <c r="K17" s="13">
        <v>149.26</v>
      </c>
      <c r="L17" s="14">
        <v>9.1510638297872315</v>
      </c>
      <c r="M17" s="30">
        <v>40.869565217391312</v>
      </c>
      <c r="N17" s="15">
        <v>-1.5770750988142339</v>
      </c>
      <c r="O17" s="16">
        <v>8</v>
      </c>
      <c r="P17" s="17">
        <v>70.239999999999995</v>
      </c>
      <c r="Q17" s="14">
        <v>18.400000000000002</v>
      </c>
      <c r="R17" s="16">
        <v>9.5652173913043477</v>
      </c>
      <c r="S17" s="15">
        <v>-0.69565217391304301</v>
      </c>
      <c r="T17" s="18">
        <v>16</v>
      </c>
      <c r="U17" s="17">
        <v>140.47999999999999</v>
      </c>
      <c r="V17" s="14">
        <v>176</v>
      </c>
      <c r="W17" s="16">
        <v>2</v>
      </c>
      <c r="X17" s="15">
        <v>14.545454545454545</v>
      </c>
      <c r="Y17" s="18">
        <v>6</v>
      </c>
      <c r="Z17" s="17">
        <v>52.679999999999993</v>
      </c>
      <c r="AA17" s="14">
        <v>16.866666666666667</v>
      </c>
      <c r="AB17" s="16">
        <v>7.8260869565217392</v>
      </c>
      <c r="AC17" s="15">
        <v>-1.8260869565217392</v>
      </c>
      <c r="AD17" s="19">
        <v>86</v>
      </c>
      <c r="AE17" s="20">
        <v>755.07999999999993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3">
      <c r="B18" s="10" t="s">
        <v>30</v>
      </c>
      <c r="C18" s="29" t="s">
        <v>31</v>
      </c>
      <c r="D18" s="12">
        <v>0.63</v>
      </c>
      <c r="E18" s="13">
        <v>6279</v>
      </c>
      <c r="F18" s="14">
        <v>3955.77</v>
      </c>
      <c r="G18" s="14">
        <v>8.8088444050127546</v>
      </c>
      <c r="H18" s="30">
        <v>15681.739130434782</v>
      </c>
      <c r="I18" s="15">
        <v>-849.06324110671903</v>
      </c>
      <c r="J18" s="16">
        <v>6907</v>
      </c>
      <c r="K18" s="13">
        <v>4351.41</v>
      </c>
      <c r="L18" s="14">
        <v>23.405719260648269</v>
      </c>
      <c r="M18" s="30">
        <v>6492.1739130434789</v>
      </c>
      <c r="N18" s="15">
        <v>3956.0118577075095</v>
      </c>
      <c r="O18" s="16">
        <v>716</v>
      </c>
      <c r="P18" s="17">
        <v>451.08</v>
      </c>
      <c r="Q18" s="14">
        <v>13.966692367000771</v>
      </c>
      <c r="R18" s="16">
        <v>1127.8260869565217</v>
      </c>
      <c r="S18" s="15">
        <v>-309.296442687747</v>
      </c>
      <c r="T18" s="18">
        <v>2129</v>
      </c>
      <c r="U18" s="17">
        <v>1341.27</v>
      </c>
      <c r="V18" s="14">
        <v>14.409764579989298</v>
      </c>
      <c r="W18" s="16">
        <v>3250.4347826086955</v>
      </c>
      <c r="X18" s="15">
        <v>-234.9525691699605</v>
      </c>
      <c r="Y18" s="18">
        <v>145</v>
      </c>
      <c r="Z18" s="17">
        <v>91.35</v>
      </c>
      <c r="AA18" s="14">
        <v>8.9257907542579069</v>
      </c>
      <c r="AB18" s="16">
        <v>357.39130434782612</v>
      </c>
      <c r="AC18" s="15">
        <v>-212.39130434782612</v>
      </c>
      <c r="AD18" s="19">
        <v>16176</v>
      </c>
      <c r="AE18" s="20">
        <v>10190.879999999999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3">
      <c r="B19" s="10" t="s">
        <v>32</v>
      </c>
      <c r="C19" s="29" t="s">
        <v>33</v>
      </c>
      <c r="D19" s="12">
        <v>0.63</v>
      </c>
      <c r="E19" s="13">
        <v>514</v>
      </c>
      <c r="F19" s="14">
        <v>323.82</v>
      </c>
      <c r="G19" s="14">
        <v>9.1193548387096772</v>
      </c>
      <c r="H19" s="30">
        <v>1240</v>
      </c>
      <c r="I19" s="15">
        <v>-49.636363636363626</v>
      </c>
      <c r="J19" s="16">
        <v>441</v>
      </c>
      <c r="K19" s="13">
        <v>277.83</v>
      </c>
      <c r="L19" s="14">
        <v>9.4233952702702695</v>
      </c>
      <c r="M19" s="30">
        <v>1029.5652173913045</v>
      </c>
      <c r="N19" s="15">
        <v>-26.984189723320242</v>
      </c>
      <c r="O19" s="16">
        <v>91</v>
      </c>
      <c r="P19" s="17">
        <v>57.33</v>
      </c>
      <c r="Q19" s="14">
        <v>22.795049504950498</v>
      </c>
      <c r="R19" s="16">
        <v>87.826086956521735</v>
      </c>
      <c r="S19" s="15">
        <v>11.158102766798422</v>
      </c>
      <c r="T19" s="18">
        <v>270</v>
      </c>
      <c r="U19" s="17">
        <v>170.1</v>
      </c>
      <c r="V19" s="14">
        <v>17.88219895287958</v>
      </c>
      <c r="W19" s="16">
        <v>332.17391304347825</v>
      </c>
      <c r="X19" s="15">
        <v>28.418972332015812</v>
      </c>
      <c r="Y19" s="18">
        <v>193</v>
      </c>
      <c r="Z19" s="17">
        <v>121.59</v>
      </c>
      <c r="AA19" s="14">
        <v>22.711162790697674</v>
      </c>
      <c r="AB19" s="16">
        <v>186.95652173913044</v>
      </c>
      <c r="AC19" s="15">
        <v>6.0434782608695627</v>
      </c>
      <c r="AD19" s="19">
        <v>1509</v>
      </c>
      <c r="AE19" s="20">
        <v>950.67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3">
      <c r="B20" s="10" t="s">
        <v>34</v>
      </c>
      <c r="C20" s="29" t="s">
        <v>35</v>
      </c>
      <c r="D20" s="12">
        <v>0.63</v>
      </c>
      <c r="E20" s="13">
        <v>1387</v>
      </c>
      <c r="F20" s="14">
        <v>873.81000000000006</v>
      </c>
      <c r="G20" s="14">
        <v>11.441506358004565</v>
      </c>
      <c r="H20" s="30">
        <v>2666.9565217391305</v>
      </c>
      <c r="I20" s="15">
        <v>174.7470355731225</v>
      </c>
      <c r="J20" s="16">
        <v>846</v>
      </c>
      <c r="K20" s="13">
        <v>532.98</v>
      </c>
      <c r="L20" s="14">
        <v>7.6170106761565828</v>
      </c>
      <c r="M20" s="30">
        <v>2443.4782608695655</v>
      </c>
      <c r="N20" s="15">
        <v>-264.67193675889348</v>
      </c>
      <c r="O20" s="16">
        <v>197</v>
      </c>
      <c r="P20" s="17">
        <v>124.11</v>
      </c>
      <c r="Q20" s="14">
        <v>24.552216748768476</v>
      </c>
      <c r="R20" s="16">
        <v>176.52173913043475</v>
      </c>
      <c r="S20" s="15">
        <v>36.525691699604749</v>
      </c>
      <c r="T20" s="18">
        <v>596</v>
      </c>
      <c r="U20" s="17">
        <v>375.48</v>
      </c>
      <c r="V20" s="14">
        <v>17.636023391812866</v>
      </c>
      <c r="W20" s="16">
        <v>743.47826086956513</v>
      </c>
      <c r="X20" s="15">
        <v>55.288537549407124</v>
      </c>
      <c r="Y20" s="18">
        <v>154</v>
      </c>
      <c r="Z20" s="17">
        <v>97.02</v>
      </c>
      <c r="AA20" s="14">
        <v>11.100284900284901</v>
      </c>
      <c r="AB20" s="16">
        <v>305.21739130434781</v>
      </c>
      <c r="AC20" s="15">
        <v>-151.21739130434781</v>
      </c>
      <c r="AD20" s="19">
        <v>3180</v>
      </c>
      <c r="AE20" s="20">
        <v>2003.4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3">
      <c r="B21" s="10" t="s">
        <v>36</v>
      </c>
      <c r="C21" s="29" t="s">
        <v>37</v>
      </c>
      <c r="D21" s="12">
        <v>1.0900000000000001</v>
      </c>
      <c r="E21" s="13">
        <v>2348</v>
      </c>
      <c r="F21" s="14">
        <v>2559.3200000000002</v>
      </c>
      <c r="G21" s="14">
        <v>8.5671185462936261</v>
      </c>
      <c r="H21" s="30">
        <v>6029.565217391304</v>
      </c>
      <c r="I21" s="15">
        <v>-392.71146245059253</v>
      </c>
      <c r="J21" s="16">
        <v>1864</v>
      </c>
      <c r="K21" s="13">
        <v>2031.7600000000002</v>
      </c>
      <c r="L21" s="14">
        <v>6.1937483582873654</v>
      </c>
      <c r="M21" s="30">
        <v>6620.869565217391</v>
      </c>
      <c r="N21" s="15">
        <v>-1145.486166007905</v>
      </c>
      <c r="O21" s="16">
        <v>343</v>
      </c>
      <c r="P21" s="17">
        <v>373.87</v>
      </c>
      <c r="Q21" s="14">
        <v>13.580438184663535</v>
      </c>
      <c r="R21" s="16">
        <v>555.6521739130435</v>
      </c>
      <c r="S21" s="15">
        <v>-162.13833992094868</v>
      </c>
      <c r="T21" s="18">
        <v>1135</v>
      </c>
      <c r="U21" s="17">
        <v>1237.1500000000001</v>
      </c>
      <c r="V21" s="14">
        <v>13.687082936129647</v>
      </c>
      <c r="W21" s="16">
        <v>1824.3478260869565</v>
      </c>
      <c r="X21" s="15">
        <v>-191.798418972332</v>
      </c>
      <c r="Y21" s="18">
        <v>213</v>
      </c>
      <c r="Z21" s="17">
        <v>232.17000000000002</v>
      </c>
      <c r="AA21" s="14">
        <v>11.250313152400835</v>
      </c>
      <c r="AB21" s="16">
        <v>416.52173913043475</v>
      </c>
      <c r="AC21" s="15">
        <v>-203.52173913043475</v>
      </c>
      <c r="AD21" s="19">
        <v>5903</v>
      </c>
      <c r="AE21" s="20">
        <v>6434.27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3">
      <c r="B22" s="10" t="s">
        <v>38</v>
      </c>
      <c r="C22" s="29" t="s">
        <v>39</v>
      </c>
      <c r="D22" s="12">
        <v>1.0900000000000001</v>
      </c>
      <c r="E22" s="13">
        <v>1646</v>
      </c>
      <c r="F22" s="14">
        <v>1794.14</v>
      </c>
      <c r="G22" s="14">
        <v>9.5055466788404477</v>
      </c>
      <c r="H22" s="30">
        <v>3809.5652173913045</v>
      </c>
      <c r="I22" s="15">
        <v>-85.620553359683754</v>
      </c>
      <c r="J22" s="16">
        <v>2361</v>
      </c>
      <c r="K22" s="13">
        <v>2573.4900000000002</v>
      </c>
      <c r="L22" s="14">
        <v>17.814882195049208</v>
      </c>
      <c r="M22" s="30">
        <v>2915.652173913044</v>
      </c>
      <c r="N22" s="15">
        <v>1035.7035573122528</v>
      </c>
      <c r="O22" s="16">
        <v>67</v>
      </c>
      <c r="P22" s="17">
        <v>73.03</v>
      </c>
      <c r="Q22" s="14">
        <v>9.6862857142857148</v>
      </c>
      <c r="R22" s="16">
        <v>152.17391304347825</v>
      </c>
      <c r="S22" s="15">
        <v>-71.339920948616594</v>
      </c>
      <c r="T22" s="18">
        <v>355</v>
      </c>
      <c r="U22" s="17">
        <v>386.95000000000005</v>
      </c>
      <c r="V22" s="14">
        <v>14.651712887438828</v>
      </c>
      <c r="W22" s="16">
        <v>533.04347826086951</v>
      </c>
      <c r="X22" s="15">
        <v>-32.667984189723256</v>
      </c>
      <c r="Y22" s="18">
        <v>5</v>
      </c>
      <c r="Z22" s="17">
        <v>5.45</v>
      </c>
      <c r="AA22" s="14">
        <v>0.69505494505494514</v>
      </c>
      <c r="AB22" s="16">
        <v>158.26086956521738</v>
      </c>
      <c r="AC22" s="15">
        <v>-153.26086956521738</v>
      </c>
      <c r="AD22" s="19">
        <v>4434</v>
      </c>
      <c r="AE22" s="20">
        <v>4833.0600000000004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3">
      <c r="B23" s="10" t="s">
        <v>40</v>
      </c>
      <c r="C23" s="29" t="s">
        <v>41</v>
      </c>
      <c r="D23" s="12">
        <v>1.1599999999999999</v>
      </c>
      <c r="E23" s="13">
        <v>20089</v>
      </c>
      <c r="F23" s="14">
        <v>23303.239999999998</v>
      </c>
      <c r="G23" s="14">
        <v>14.006054343033512</v>
      </c>
      <c r="H23" s="30">
        <v>31554.782608695648</v>
      </c>
      <c r="I23" s="15">
        <v>-1425.6245059288522</v>
      </c>
      <c r="J23" s="16">
        <v>10065</v>
      </c>
      <c r="K23" s="13">
        <v>11675.4</v>
      </c>
      <c r="L23" s="14">
        <v>11.995124593716142</v>
      </c>
      <c r="M23" s="30">
        <v>18460</v>
      </c>
      <c r="N23" s="15">
        <v>1674.0909090909081</v>
      </c>
      <c r="O23" s="16">
        <v>1747</v>
      </c>
      <c r="P23" s="17">
        <v>2026.5199999999998</v>
      </c>
      <c r="Q23" s="14">
        <v>13.007386698057681</v>
      </c>
      <c r="R23" s="16">
        <v>2954.782608695652</v>
      </c>
      <c r="S23" s="15">
        <v>-939.16600790513803</v>
      </c>
      <c r="T23" s="18">
        <v>5090</v>
      </c>
      <c r="U23" s="17">
        <v>5904.4</v>
      </c>
      <c r="V23" s="14">
        <v>9.8235563353421327</v>
      </c>
      <c r="W23" s="16">
        <v>11399.130434782608</v>
      </c>
      <c r="X23" s="15">
        <v>-3200.2766798418961</v>
      </c>
      <c r="Y23" s="18">
        <v>768</v>
      </c>
      <c r="Z23" s="17">
        <v>890.87999999999988</v>
      </c>
      <c r="AA23" s="14">
        <v>15.36</v>
      </c>
      <c r="AB23" s="16">
        <v>1100</v>
      </c>
      <c r="AC23" s="15">
        <v>-332</v>
      </c>
      <c r="AD23" s="19">
        <v>37759</v>
      </c>
      <c r="AE23" s="20">
        <v>43800.439999999995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3">
      <c r="B24" s="10" t="s">
        <v>42</v>
      </c>
      <c r="C24" s="29" t="s">
        <v>43</v>
      </c>
      <c r="D24" s="12">
        <v>1.1599999999999999</v>
      </c>
      <c r="E24" s="13">
        <v>9044</v>
      </c>
      <c r="F24" s="14">
        <v>10491.039999999999</v>
      </c>
      <c r="G24" s="14">
        <v>9.3202932790224047</v>
      </c>
      <c r="H24" s="30">
        <v>21347.82608695652</v>
      </c>
      <c r="I24" s="15">
        <v>-659.55731225296404</v>
      </c>
      <c r="J24" s="16">
        <v>4307</v>
      </c>
      <c r="K24" s="13">
        <v>4996.12</v>
      </c>
      <c r="L24" s="14">
        <v>8.4229033006106508</v>
      </c>
      <c r="M24" s="30">
        <v>11249.565217391304</v>
      </c>
      <c r="N24" s="15">
        <v>-806.43873517786596</v>
      </c>
      <c r="O24" s="16">
        <v>1014</v>
      </c>
      <c r="P24" s="17">
        <v>1176.24</v>
      </c>
      <c r="Q24" s="14">
        <v>13.048931841302135</v>
      </c>
      <c r="R24" s="16">
        <v>1709.5652173913045</v>
      </c>
      <c r="S24" s="15">
        <v>-540.15019762845873</v>
      </c>
      <c r="T24" s="18">
        <v>3520</v>
      </c>
      <c r="U24" s="17">
        <v>4083.2</v>
      </c>
      <c r="V24" s="14">
        <v>12.901057511227002</v>
      </c>
      <c r="W24" s="16">
        <v>6002.608695652174</v>
      </c>
      <c r="X24" s="15">
        <v>-845.53359683794497</v>
      </c>
      <c r="Y24" s="18">
        <v>445</v>
      </c>
      <c r="Z24" s="17">
        <v>516.19999999999993</v>
      </c>
      <c r="AA24" s="14">
        <v>11.977127659574467</v>
      </c>
      <c r="AB24" s="16">
        <v>817.39130434782612</v>
      </c>
      <c r="AC24" s="15">
        <v>-372.39130434782612</v>
      </c>
      <c r="AD24" s="19">
        <v>18330</v>
      </c>
      <c r="AE24" s="20">
        <v>21262.799999999999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3">
      <c r="B25" s="10" t="s">
        <v>44</v>
      </c>
      <c r="C25" s="29" t="s">
        <v>45</v>
      </c>
      <c r="D25" s="12">
        <v>1.1599999999999999</v>
      </c>
      <c r="E25" s="13">
        <v>8555</v>
      </c>
      <c r="F25" s="14">
        <v>9923.7999999999993</v>
      </c>
      <c r="G25" s="14">
        <v>9.118317394784512</v>
      </c>
      <c r="H25" s="30">
        <v>20640.869565217392</v>
      </c>
      <c r="I25" s="15">
        <v>-827.21343873517799</v>
      </c>
      <c r="J25" s="16">
        <v>12733</v>
      </c>
      <c r="K25" s="13">
        <v>14770.279999999999</v>
      </c>
      <c r="L25" s="14">
        <v>23.734244455905102</v>
      </c>
      <c r="M25" s="30">
        <v>11802.608695652176</v>
      </c>
      <c r="N25" s="15">
        <v>7368.177865612648</v>
      </c>
      <c r="O25" s="16">
        <v>1310</v>
      </c>
      <c r="P25" s="17">
        <v>1519.6</v>
      </c>
      <c r="Q25" s="14">
        <v>13.873168689828379</v>
      </c>
      <c r="R25" s="16">
        <v>2077.391304347826</v>
      </c>
      <c r="S25" s="15">
        <v>-578.53754940711474</v>
      </c>
      <c r="T25" s="18">
        <v>3402</v>
      </c>
      <c r="U25" s="17">
        <v>3946.3199999999997</v>
      </c>
      <c r="V25" s="14">
        <v>12.098763002530223</v>
      </c>
      <c r="W25" s="16">
        <v>6186.086956521739</v>
      </c>
      <c r="X25" s="15">
        <v>-1096.97233201581</v>
      </c>
      <c r="Y25" s="18">
        <v>319</v>
      </c>
      <c r="Z25" s="17">
        <v>370.03999999999996</v>
      </c>
      <c r="AA25" s="14">
        <v>11.833870967741936</v>
      </c>
      <c r="AB25" s="16">
        <v>593.04347826086951</v>
      </c>
      <c r="AC25" s="15">
        <v>-274.04347826086951</v>
      </c>
      <c r="AD25" s="19">
        <v>26319</v>
      </c>
      <c r="AE25" s="20">
        <v>30530.039999999997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3">
      <c r="B26" s="10" t="s">
        <v>46</v>
      </c>
      <c r="C26" s="29" t="s">
        <v>47</v>
      </c>
      <c r="D26" s="12">
        <v>1.1599999999999999</v>
      </c>
      <c r="E26" s="13">
        <v>17059</v>
      </c>
      <c r="F26" s="14">
        <v>19788.439999999999</v>
      </c>
      <c r="G26" s="14">
        <v>14.138527812356681</v>
      </c>
      <c r="H26" s="30">
        <v>26544.347826086956</v>
      </c>
      <c r="I26" s="15">
        <v>-1039.4189723320123</v>
      </c>
      <c r="J26" s="16">
        <v>9895</v>
      </c>
      <c r="K26" s="13">
        <v>11478.199999999999</v>
      </c>
      <c r="L26" s="14">
        <v>15.613290507671197</v>
      </c>
      <c r="M26" s="30">
        <v>13942.608695652176</v>
      </c>
      <c r="N26" s="15">
        <v>3557.450592885375</v>
      </c>
      <c r="O26" s="16">
        <v>918</v>
      </c>
      <c r="P26" s="17">
        <v>1064.8799999999999</v>
      </c>
      <c r="Q26" s="14">
        <v>12.065142857142856</v>
      </c>
      <c r="R26" s="16">
        <v>1673.913043478261</v>
      </c>
      <c r="S26" s="15">
        <v>-603.73913043478274</v>
      </c>
      <c r="T26" s="18">
        <v>3478</v>
      </c>
      <c r="U26" s="17">
        <v>4034.4799999999996</v>
      </c>
      <c r="V26" s="14">
        <v>9.9686643253653564</v>
      </c>
      <c r="W26" s="16">
        <v>7675.652173913044</v>
      </c>
      <c r="X26" s="15">
        <v>-2104.292490118577</v>
      </c>
      <c r="Y26" s="18">
        <v>548</v>
      </c>
      <c r="Z26" s="17">
        <v>635.67999999999995</v>
      </c>
      <c r="AA26" s="14">
        <v>13.091973559962229</v>
      </c>
      <c r="AB26" s="16">
        <v>920.86956521739125</v>
      </c>
      <c r="AC26" s="15">
        <v>-372.86956521739125</v>
      </c>
      <c r="AD26" s="19">
        <v>31898</v>
      </c>
      <c r="AE26" s="20">
        <v>37001.68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3">
      <c r="B27" s="10">
        <v>130157</v>
      </c>
      <c r="C27" s="29" t="s">
        <v>48</v>
      </c>
      <c r="D27" s="12">
        <v>1.1599999999999999</v>
      </c>
      <c r="E27" s="13">
        <v>2998</v>
      </c>
      <c r="F27" s="14">
        <v>3477.68</v>
      </c>
      <c r="G27" s="14">
        <v>9.5025557504384857</v>
      </c>
      <c r="H27" s="30">
        <v>6940.869565217391</v>
      </c>
      <c r="I27" s="15">
        <v>-156.94071146245051</v>
      </c>
      <c r="J27" s="16">
        <v>2950</v>
      </c>
      <c r="K27" s="13">
        <v>3421.9999999999995</v>
      </c>
      <c r="L27" s="14">
        <v>17.635869565217391</v>
      </c>
      <c r="M27" s="30">
        <v>3680</v>
      </c>
      <c r="N27" s="15">
        <v>1277.2727272727273</v>
      </c>
      <c r="O27" s="16">
        <v>441</v>
      </c>
      <c r="P27" s="17">
        <v>511.55999999999995</v>
      </c>
      <c r="Q27" s="14">
        <v>17.406084243369733</v>
      </c>
      <c r="R27" s="16">
        <v>557.39130434782612</v>
      </c>
      <c r="S27" s="15">
        <v>-65.719367588932812</v>
      </c>
      <c r="T27" s="18">
        <v>1372</v>
      </c>
      <c r="U27" s="17">
        <v>1591.52</v>
      </c>
      <c r="V27" s="14">
        <v>12.040097121054457</v>
      </c>
      <c r="W27" s="16">
        <v>2506.9565217391305</v>
      </c>
      <c r="X27" s="15">
        <v>-451.24110671936774</v>
      </c>
      <c r="Y27" s="18">
        <v>240</v>
      </c>
      <c r="Z27" s="17">
        <v>278.39999999999998</v>
      </c>
      <c r="AA27" s="14">
        <v>20.513513513513509</v>
      </c>
      <c r="AB27" s="16">
        <v>257.39130434782612</v>
      </c>
      <c r="AC27" s="15">
        <v>-17.391304347826122</v>
      </c>
      <c r="AD27" s="19">
        <v>8001</v>
      </c>
      <c r="AE27" s="20">
        <v>9281.16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3">
      <c r="B28" s="10">
        <v>130158</v>
      </c>
      <c r="C28" s="29" t="s">
        <v>49</v>
      </c>
      <c r="D28" s="12">
        <v>1.1599999999999999</v>
      </c>
      <c r="E28" s="13">
        <v>3190</v>
      </c>
      <c r="F28" s="14">
        <v>3700.3999999999996</v>
      </c>
      <c r="G28" s="14">
        <v>9.726078573150156</v>
      </c>
      <c r="H28" s="30">
        <v>7215.652173913044</v>
      </c>
      <c r="I28" s="15">
        <v>-89.841897233201962</v>
      </c>
      <c r="J28" s="16">
        <v>5161</v>
      </c>
      <c r="K28" s="13">
        <v>5986.7599999999993</v>
      </c>
      <c r="L28" s="14">
        <v>21.276405409809353</v>
      </c>
      <c r="M28" s="30">
        <v>5336.521739130435</v>
      </c>
      <c r="N28" s="15">
        <v>2735.308300395257</v>
      </c>
      <c r="O28" s="16">
        <v>543</v>
      </c>
      <c r="P28" s="17">
        <v>629.88</v>
      </c>
      <c r="Q28" s="14">
        <v>14.997707423580787</v>
      </c>
      <c r="R28" s="16">
        <v>796.52173913043487</v>
      </c>
      <c r="S28" s="15">
        <v>-181.11067193675888</v>
      </c>
      <c r="T28" s="18">
        <v>673</v>
      </c>
      <c r="U28" s="17">
        <v>780.68</v>
      </c>
      <c r="V28" s="14">
        <v>4.9655584718576851</v>
      </c>
      <c r="W28" s="16">
        <v>2981.7391304347825</v>
      </c>
      <c r="X28" s="15">
        <v>-1495.5375494071145</v>
      </c>
      <c r="Y28" s="18">
        <v>279</v>
      </c>
      <c r="Z28" s="17">
        <v>323.64</v>
      </c>
      <c r="AA28" s="14">
        <v>16.53091334894614</v>
      </c>
      <c r="AB28" s="16">
        <v>371.30434782608694</v>
      </c>
      <c r="AC28" s="15">
        <v>-92.304347826086882</v>
      </c>
      <c r="AD28" s="19">
        <v>9846</v>
      </c>
      <c r="AE28" s="20">
        <v>11421.359999999999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3">
      <c r="B29" s="10">
        <v>130159</v>
      </c>
      <c r="C29" s="29" t="s">
        <v>50</v>
      </c>
      <c r="D29" s="12">
        <v>1.1599999999999999</v>
      </c>
      <c r="E29" s="13">
        <v>2676</v>
      </c>
      <c r="F29" s="14">
        <v>3104.16</v>
      </c>
      <c r="G29" s="14">
        <v>7.7136607041130221</v>
      </c>
      <c r="H29" s="30">
        <v>7632.1739130434789</v>
      </c>
      <c r="I29" s="15">
        <v>-793.16996047430894</v>
      </c>
      <c r="J29" s="16">
        <v>4538</v>
      </c>
      <c r="K29" s="13">
        <v>5264.08</v>
      </c>
      <c r="L29" s="14">
        <v>20.476440164080611</v>
      </c>
      <c r="M29" s="30">
        <v>4875.652173913044</v>
      </c>
      <c r="N29" s="15">
        <v>2321.794466403162</v>
      </c>
      <c r="O29" s="16">
        <v>548</v>
      </c>
      <c r="P29" s="17">
        <v>635.67999999999995</v>
      </c>
      <c r="Q29" s="14">
        <v>14.92400430570506</v>
      </c>
      <c r="R29" s="16">
        <v>807.82608695652175</v>
      </c>
      <c r="S29" s="15">
        <v>-186.38735177865613</v>
      </c>
      <c r="T29" s="18">
        <v>590</v>
      </c>
      <c r="U29" s="17">
        <v>684.4</v>
      </c>
      <c r="V29" s="14">
        <v>4.3735716378552594</v>
      </c>
      <c r="W29" s="16">
        <v>2967.826086956522</v>
      </c>
      <c r="X29" s="15">
        <v>-1568.418972332016</v>
      </c>
      <c r="Y29" s="18">
        <v>264</v>
      </c>
      <c r="Z29" s="17">
        <v>306.23999999999995</v>
      </c>
      <c r="AA29" s="14">
        <v>17.038775510204079</v>
      </c>
      <c r="AB29" s="16">
        <v>340.86956521739131</v>
      </c>
      <c r="AC29" s="15">
        <v>-76.869565217391312</v>
      </c>
      <c r="AD29" s="19">
        <v>8616</v>
      </c>
      <c r="AE29" s="20">
        <v>9994.56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3">
      <c r="B30" s="10">
        <v>130700</v>
      </c>
      <c r="C30" s="29" t="s">
        <v>51</v>
      </c>
      <c r="D30" s="12">
        <v>3.68</v>
      </c>
      <c r="E30" s="13">
        <v>668</v>
      </c>
      <c r="F30" s="14">
        <v>2458.2400000000002</v>
      </c>
      <c r="G30" s="14">
        <v>6.9235559197050387</v>
      </c>
      <c r="H30" s="30">
        <v>2122.608695652174</v>
      </c>
      <c r="I30" s="15">
        <v>-296.82213438735187</v>
      </c>
      <c r="J30" s="16">
        <v>922</v>
      </c>
      <c r="K30" s="13">
        <v>3392.96</v>
      </c>
      <c r="L30" s="14">
        <v>8.6522997032640951</v>
      </c>
      <c r="M30" s="30">
        <v>2344.3478260869565</v>
      </c>
      <c r="N30" s="15">
        <v>-143.61264822134399</v>
      </c>
      <c r="O30" s="16">
        <v>90</v>
      </c>
      <c r="P30" s="17">
        <v>331.2</v>
      </c>
      <c r="Q30" s="14">
        <v>16.866666666666667</v>
      </c>
      <c r="R30" s="16">
        <v>117.39130434782609</v>
      </c>
      <c r="S30" s="15">
        <v>-16.719367588932812</v>
      </c>
      <c r="T30" s="18">
        <v>355</v>
      </c>
      <c r="U30" s="17">
        <v>1306.4000000000001</v>
      </c>
      <c r="V30" s="14">
        <v>12.474305555555556</v>
      </c>
      <c r="W30" s="16">
        <v>626.08695652173913</v>
      </c>
      <c r="X30" s="15">
        <v>-100.33596837944663</v>
      </c>
      <c r="Y30" s="18">
        <v>61</v>
      </c>
      <c r="Z30" s="17">
        <v>224.48000000000002</v>
      </c>
      <c r="AA30" s="14">
        <v>10.643448275862069</v>
      </c>
      <c r="AB30" s="16">
        <v>126.08695652173913</v>
      </c>
      <c r="AC30" s="15">
        <v>-65.086956521739125</v>
      </c>
      <c r="AD30" s="19">
        <v>2096</v>
      </c>
      <c r="AE30" s="20">
        <v>7713.2800000000007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3">
      <c r="B31" s="10">
        <v>130701</v>
      </c>
      <c r="C31" s="29" t="s">
        <v>52</v>
      </c>
      <c r="D31" s="12">
        <v>3.68</v>
      </c>
      <c r="E31" s="13">
        <v>397</v>
      </c>
      <c r="F31" s="14">
        <v>1460.96</v>
      </c>
      <c r="G31" s="14">
        <v>8.2261261261261254</v>
      </c>
      <c r="H31" s="30">
        <v>1061.7391304347827</v>
      </c>
      <c r="I31" s="15">
        <v>-85.608695652173992</v>
      </c>
      <c r="J31" s="16">
        <v>850</v>
      </c>
      <c r="K31" s="13">
        <v>3128</v>
      </c>
      <c r="L31" s="14">
        <v>13.706182281708093</v>
      </c>
      <c r="M31" s="30">
        <v>1364.3478260869565</v>
      </c>
      <c r="N31" s="15">
        <v>229.84189723320151</v>
      </c>
      <c r="O31" s="16">
        <v>17</v>
      </c>
      <c r="P31" s="17">
        <v>62.56</v>
      </c>
      <c r="Q31" s="14">
        <v>13.440624999999999</v>
      </c>
      <c r="R31" s="16">
        <v>27.826086956521738</v>
      </c>
      <c r="S31" s="15">
        <v>-8.2964426877470352</v>
      </c>
      <c r="T31" s="18">
        <v>178</v>
      </c>
      <c r="U31" s="17">
        <v>655.04000000000008</v>
      </c>
      <c r="V31" s="14">
        <v>17.123193916349809</v>
      </c>
      <c r="W31" s="16">
        <v>228.69565217391306</v>
      </c>
      <c r="X31" s="15">
        <v>11.675889328063221</v>
      </c>
      <c r="Y31" s="18">
        <v>27</v>
      </c>
      <c r="Z31" s="17">
        <v>99.36</v>
      </c>
      <c r="AA31" s="14">
        <v>18.975000000000001</v>
      </c>
      <c r="AB31" s="16">
        <v>31.304347826086957</v>
      </c>
      <c r="AC31" s="15">
        <v>-4.304347826086957</v>
      </c>
      <c r="AD31" s="19">
        <v>1469</v>
      </c>
      <c r="AE31" s="20">
        <v>5405.92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3">
      <c r="B32" s="10">
        <v>130702</v>
      </c>
      <c r="C32" s="29" t="s">
        <v>53</v>
      </c>
      <c r="D32" s="12">
        <v>4.1500000000000004</v>
      </c>
      <c r="E32" s="13">
        <v>1770</v>
      </c>
      <c r="F32" s="14">
        <v>7345.5000000000009</v>
      </c>
      <c r="G32" s="14">
        <v>8.7840329540996471</v>
      </c>
      <c r="H32" s="30">
        <v>4433.0434782608691</v>
      </c>
      <c r="I32" s="15">
        <v>-245.01976284584975</v>
      </c>
      <c r="J32" s="16">
        <v>1203</v>
      </c>
      <c r="K32" s="13">
        <v>4992.4500000000007</v>
      </c>
      <c r="L32" s="14">
        <v>7.6223140495867776</v>
      </c>
      <c r="M32" s="30">
        <v>3472.173913043478</v>
      </c>
      <c r="N32" s="15">
        <v>-375.26086956521726</v>
      </c>
      <c r="O32" s="16">
        <v>183</v>
      </c>
      <c r="P32" s="17">
        <v>759.45</v>
      </c>
      <c r="Q32" s="14">
        <v>14.513793103448275</v>
      </c>
      <c r="R32" s="16">
        <v>277.39130434782612</v>
      </c>
      <c r="S32" s="15">
        <v>-69.173913043478279</v>
      </c>
      <c r="T32" s="18">
        <v>826</v>
      </c>
      <c r="U32" s="17">
        <v>3427.9</v>
      </c>
      <c r="V32" s="14">
        <v>10.559777665487621</v>
      </c>
      <c r="W32" s="16">
        <v>1720.8695652173913</v>
      </c>
      <c r="X32" s="15">
        <v>-425.54150197628451</v>
      </c>
      <c r="Y32" s="18">
        <v>238</v>
      </c>
      <c r="Z32" s="17">
        <v>987.7</v>
      </c>
      <c r="AA32" s="14">
        <v>60.82222222222223</v>
      </c>
      <c r="AB32" s="16">
        <v>86.086956521739125</v>
      </c>
      <c r="AC32" s="15">
        <v>151.91304347826087</v>
      </c>
      <c r="AD32" s="19">
        <v>4220</v>
      </c>
      <c r="AE32" s="20">
        <v>17513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3">
      <c r="B33" s="10">
        <v>130703</v>
      </c>
      <c r="C33" s="29" t="s">
        <v>54</v>
      </c>
      <c r="D33" s="12">
        <v>4.1500000000000004</v>
      </c>
      <c r="E33" s="13">
        <v>3515</v>
      </c>
      <c r="F33" s="14">
        <v>14587.250000000002</v>
      </c>
      <c r="G33" s="14">
        <v>8.8005442850074225</v>
      </c>
      <c r="H33" s="30">
        <v>8786.95652173913</v>
      </c>
      <c r="I33" s="15">
        <v>-479.07114624505948</v>
      </c>
      <c r="J33" s="16">
        <v>4303</v>
      </c>
      <c r="K33" s="13">
        <v>17857.45</v>
      </c>
      <c r="L33" s="14">
        <v>17.920312757201646</v>
      </c>
      <c r="M33" s="30">
        <v>5282.608695652174</v>
      </c>
      <c r="N33" s="15">
        <v>1901.814229249012</v>
      </c>
      <c r="O33" s="16">
        <v>289</v>
      </c>
      <c r="P33" s="17">
        <v>1199.3500000000001</v>
      </c>
      <c r="Q33" s="14">
        <v>16.964501160092809</v>
      </c>
      <c r="R33" s="16">
        <v>374.78260869565219</v>
      </c>
      <c r="S33" s="15">
        <v>-51.711462450592876</v>
      </c>
      <c r="T33" s="18">
        <v>820</v>
      </c>
      <c r="U33" s="17">
        <v>3403.0000000000005</v>
      </c>
      <c r="V33" s="14">
        <v>8.1677165354330707</v>
      </c>
      <c r="W33" s="16">
        <v>2208.695652173913</v>
      </c>
      <c r="X33" s="15">
        <v>-786.32411067193675</v>
      </c>
      <c r="Y33" s="18">
        <v>87</v>
      </c>
      <c r="Z33" s="17">
        <v>361.05</v>
      </c>
      <c r="AA33" s="14">
        <v>6.1311977715877441</v>
      </c>
      <c r="AB33" s="16">
        <v>312.17391304347825</v>
      </c>
      <c r="AC33" s="15">
        <v>-225.17391304347825</v>
      </c>
      <c r="AD33" s="19">
        <v>9014</v>
      </c>
      <c r="AE33" s="20">
        <v>37408.100000000006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3">
      <c r="B34" s="10">
        <v>130707</v>
      </c>
      <c r="C34" s="29" t="s">
        <v>55</v>
      </c>
      <c r="D34" s="12">
        <v>4.1500000000000004</v>
      </c>
      <c r="E34" s="13">
        <v>674</v>
      </c>
      <c r="F34" s="14">
        <v>2797.1000000000004</v>
      </c>
      <c r="G34" s="14">
        <v>14.092727272727272</v>
      </c>
      <c r="H34" s="30">
        <v>1052.1739130434783</v>
      </c>
      <c r="I34" s="15">
        <v>195.73913043478257</v>
      </c>
      <c r="J34" s="16">
        <v>0</v>
      </c>
      <c r="K34" s="13">
        <v>0</v>
      </c>
      <c r="L34" s="14">
        <v>0</v>
      </c>
      <c r="M34" s="30">
        <v>0</v>
      </c>
      <c r="N34" s="15">
        <v>0</v>
      </c>
      <c r="O34" s="16">
        <v>0</v>
      </c>
      <c r="P34" s="17"/>
      <c r="Q34" s="14">
        <v>0</v>
      </c>
      <c r="R34" s="16">
        <v>69.565217391304344</v>
      </c>
      <c r="S34" s="15">
        <v>-63.241106719367586</v>
      </c>
      <c r="T34" s="18">
        <v>82</v>
      </c>
      <c r="U34" s="17">
        <v>340.3</v>
      </c>
      <c r="V34" s="14">
        <v>13.830666666666666</v>
      </c>
      <c r="W34" s="16">
        <v>130.43478260869566</v>
      </c>
      <c r="X34" s="15">
        <v>-12.86166007905139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788</v>
      </c>
      <c r="AE34" s="20">
        <v>3270.2000000000003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3">
      <c r="B35" s="10">
        <v>131150</v>
      </c>
      <c r="C35" s="29" t="s">
        <v>56</v>
      </c>
      <c r="D35" s="12">
        <v>1.63</v>
      </c>
      <c r="E35" s="13">
        <v>2850</v>
      </c>
      <c r="F35" s="14">
        <v>4645.5</v>
      </c>
      <c r="G35" s="14">
        <v>7.4727951083013782</v>
      </c>
      <c r="H35" s="30">
        <v>8390.434782608696</v>
      </c>
      <c r="I35" s="15">
        <v>-963.83399209486197</v>
      </c>
      <c r="J35" s="16">
        <v>670</v>
      </c>
      <c r="K35" s="13">
        <v>1092.0999999999999</v>
      </c>
      <c r="L35" s="14">
        <v>4.6339529797703669</v>
      </c>
      <c r="M35" s="30">
        <v>3180.869565217391</v>
      </c>
      <c r="N35" s="15">
        <v>-775.84980237154127</v>
      </c>
      <c r="O35" s="16">
        <v>503</v>
      </c>
      <c r="P35" s="17">
        <v>819.89</v>
      </c>
      <c r="Q35" s="14">
        <v>14.884093567251462</v>
      </c>
      <c r="R35" s="16">
        <v>743.47826086956513</v>
      </c>
      <c r="S35" s="15">
        <v>-172.88932806324112</v>
      </c>
      <c r="T35" s="18">
        <v>632</v>
      </c>
      <c r="U35" s="17">
        <v>1030.1599999999999</v>
      </c>
      <c r="V35" s="14">
        <v>14.860223048327137</v>
      </c>
      <c r="W35" s="16">
        <v>935.6521739130435</v>
      </c>
      <c r="X35" s="15">
        <v>-48.474308300395251</v>
      </c>
      <c r="Y35" s="18">
        <v>148</v>
      </c>
      <c r="Z35" s="17">
        <v>241.23999999999998</v>
      </c>
      <c r="AA35" s="14">
        <v>10.980645161290322</v>
      </c>
      <c r="AB35" s="16">
        <v>296.52173913043475</v>
      </c>
      <c r="AC35" s="15">
        <v>-148.52173913043475</v>
      </c>
      <c r="AD35" s="19">
        <v>4803</v>
      </c>
      <c r="AE35" s="20">
        <v>7828.8899999999994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3">
      <c r="B36" s="10">
        <v>131151</v>
      </c>
      <c r="C36" s="29" t="s">
        <v>57</v>
      </c>
      <c r="D36" s="12">
        <v>1.63</v>
      </c>
      <c r="E36" s="13">
        <v>4548</v>
      </c>
      <c r="F36" s="14">
        <v>7413.24</v>
      </c>
      <c r="G36" s="14">
        <v>8.197221628553109</v>
      </c>
      <c r="H36" s="30">
        <v>12206.08695652174</v>
      </c>
      <c r="I36" s="15">
        <v>-1000.2213438735189</v>
      </c>
      <c r="J36" s="16">
        <v>1065</v>
      </c>
      <c r="K36" s="13">
        <v>1735.9499999999998</v>
      </c>
      <c r="L36" s="14">
        <v>5.2884200196270852</v>
      </c>
      <c r="M36" s="30">
        <v>4430.434782608696</v>
      </c>
      <c r="N36" s="15">
        <v>-948.83399209486197</v>
      </c>
      <c r="O36" s="16">
        <v>1230</v>
      </c>
      <c r="P36" s="17">
        <v>2004.8999999999999</v>
      </c>
      <c r="Q36" s="14">
        <v>15.224559686888455</v>
      </c>
      <c r="R36" s="16">
        <v>1777.391304347826</v>
      </c>
      <c r="S36" s="15">
        <v>-385.81027667984199</v>
      </c>
      <c r="T36" s="18">
        <v>1222</v>
      </c>
      <c r="U36" s="17">
        <v>1991.86</v>
      </c>
      <c r="V36" s="14">
        <v>12.93581589958159</v>
      </c>
      <c r="W36" s="16">
        <v>2078.2608695652175</v>
      </c>
      <c r="X36" s="15">
        <v>-289.46245059288549</v>
      </c>
      <c r="Y36" s="18">
        <v>263</v>
      </c>
      <c r="Z36" s="17">
        <v>428.69</v>
      </c>
      <c r="AA36" s="14">
        <v>10.316124031007751</v>
      </c>
      <c r="AB36" s="16">
        <v>560.86956521739137</v>
      </c>
      <c r="AC36" s="15">
        <v>-297.86956521739137</v>
      </c>
      <c r="AD36" s="19">
        <v>8328</v>
      </c>
      <c r="AE36" s="20">
        <v>13574.64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3">
      <c r="B37" s="10">
        <v>131152</v>
      </c>
      <c r="C37" s="29" t="s">
        <v>58</v>
      </c>
      <c r="D37" s="12">
        <v>1.63</v>
      </c>
      <c r="E37" s="13">
        <v>1903</v>
      </c>
      <c r="F37" s="14">
        <v>3101.89</v>
      </c>
      <c r="G37" s="14">
        <v>7.4036444717822549</v>
      </c>
      <c r="H37" s="30">
        <v>5654.782608695652</v>
      </c>
      <c r="I37" s="15">
        <v>-667.35573122529604</v>
      </c>
      <c r="J37" s="16">
        <v>1811</v>
      </c>
      <c r="K37" s="13">
        <v>2951.93</v>
      </c>
      <c r="L37" s="14">
        <v>14.671245597182194</v>
      </c>
      <c r="M37" s="30">
        <v>2715.652173913044</v>
      </c>
      <c r="N37" s="15">
        <v>576.61264822134353</v>
      </c>
      <c r="O37" s="16">
        <v>789</v>
      </c>
      <c r="P37" s="17">
        <v>1286.07</v>
      </c>
      <c r="Q37" s="14">
        <v>15.031400602409638</v>
      </c>
      <c r="R37" s="16">
        <v>1154.7826086956522</v>
      </c>
      <c r="S37" s="15">
        <v>-260.802371541502</v>
      </c>
      <c r="T37" s="18">
        <v>640</v>
      </c>
      <c r="U37" s="17">
        <v>1043.1999999999998</v>
      </c>
      <c r="V37" s="14">
        <v>12.464973056197072</v>
      </c>
      <c r="W37" s="16">
        <v>1129.5652173913045</v>
      </c>
      <c r="X37" s="15">
        <v>-181.50197628458511</v>
      </c>
      <c r="Y37" s="18">
        <v>0</v>
      </c>
      <c r="Z37" s="17">
        <v>0</v>
      </c>
      <c r="AA37" s="14">
        <v>0</v>
      </c>
      <c r="AB37" s="16">
        <v>378.26086956521743</v>
      </c>
      <c r="AC37" s="15">
        <v>-378.26086956521743</v>
      </c>
      <c r="AD37" s="19">
        <v>5143</v>
      </c>
      <c r="AE37" s="20">
        <v>8383.09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3">
      <c r="B38" s="10">
        <v>131153</v>
      </c>
      <c r="C38" s="29" t="s">
        <v>59</v>
      </c>
      <c r="D38" s="12">
        <v>1.63</v>
      </c>
      <c r="E38" s="13">
        <v>1445</v>
      </c>
      <c r="F38" s="14">
        <v>2355.35</v>
      </c>
      <c r="G38" s="14">
        <v>7.3499195818254925</v>
      </c>
      <c r="H38" s="30">
        <v>4325.217391304348</v>
      </c>
      <c r="I38" s="15">
        <v>-521.00790513833999</v>
      </c>
      <c r="J38" s="16">
        <v>1947</v>
      </c>
      <c r="K38" s="13">
        <v>3173.6099999999997</v>
      </c>
      <c r="L38" s="14">
        <v>18.909443378119001</v>
      </c>
      <c r="M38" s="30">
        <v>2265.217391304348</v>
      </c>
      <c r="N38" s="15">
        <v>917.35573122529649</v>
      </c>
      <c r="O38" s="16">
        <v>445</v>
      </c>
      <c r="P38" s="17">
        <v>725.34999999999991</v>
      </c>
      <c r="Q38" s="14">
        <v>12.41289966923925</v>
      </c>
      <c r="R38" s="16">
        <v>788.695652173913</v>
      </c>
      <c r="S38" s="15">
        <v>-271.99604743083</v>
      </c>
      <c r="T38" s="18">
        <v>497</v>
      </c>
      <c r="U38" s="17">
        <v>810.1099999999999</v>
      </c>
      <c r="V38" s="14">
        <v>14.741031652989451</v>
      </c>
      <c r="W38" s="16">
        <v>741.73913043478262</v>
      </c>
      <c r="X38" s="15">
        <v>-42.446640316205503</v>
      </c>
      <c r="Y38" s="18">
        <v>222</v>
      </c>
      <c r="Z38" s="17">
        <v>361.85999999999996</v>
      </c>
      <c r="AA38" s="14">
        <v>7.7151098901098907</v>
      </c>
      <c r="AB38" s="16">
        <v>633.04347826086951</v>
      </c>
      <c r="AC38" s="15">
        <v>-411.04347826086951</v>
      </c>
      <c r="AD38" s="19">
        <v>4556</v>
      </c>
      <c r="AE38" s="20">
        <v>7426.28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3">
      <c r="B39" s="10">
        <v>131154</v>
      </c>
      <c r="C39" s="29" t="s">
        <v>60</v>
      </c>
      <c r="D39" s="12">
        <v>1.63</v>
      </c>
      <c r="E39" s="13">
        <v>802</v>
      </c>
      <c r="F39" s="14">
        <v>1307.26</v>
      </c>
      <c r="G39" s="14">
        <v>9.2693467336683426</v>
      </c>
      <c r="H39" s="30">
        <v>1903.4782608695652</v>
      </c>
      <c r="I39" s="15">
        <v>-63.217391304347757</v>
      </c>
      <c r="J39" s="16">
        <v>805</v>
      </c>
      <c r="K39" s="13">
        <v>1312.1499999999999</v>
      </c>
      <c r="L39" s="14">
        <v>16.358634538152611</v>
      </c>
      <c r="M39" s="30">
        <v>1082.608695652174</v>
      </c>
      <c r="N39" s="15">
        <v>312.90513833992094</v>
      </c>
      <c r="O39" s="16">
        <v>417</v>
      </c>
      <c r="P39" s="17">
        <v>679.70999999999992</v>
      </c>
      <c r="Q39" s="14">
        <v>16.205990783410137</v>
      </c>
      <c r="R39" s="16">
        <v>566.08695652173913</v>
      </c>
      <c r="S39" s="15">
        <v>-97.62450592885375</v>
      </c>
      <c r="T39" s="18">
        <v>780</v>
      </c>
      <c r="U39" s="17">
        <v>1271.3999999999999</v>
      </c>
      <c r="V39" s="14">
        <v>15.57537490134175</v>
      </c>
      <c r="W39" s="16">
        <v>1101.7391304347827</v>
      </c>
      <c r="X39" s="15">
        <v>-21.264822134387487</v>
      </c>
      <c r="Y39" s="18">
        <v>355</v>
      </c>
      <c r="Z39" s="17">
        <v>578.65</v>
      </c>
      <c r="AA39" s="14">
        <v>64.615107913669064</v>
      </c>
      <c r="AB39" s="16">
        <v>120.86956521739131</v>
      </c>
      <c r="AC39" s="15">
        <v>234.13043478260869</v>
      </c>
      <c r="AD39" s="19">
        <v>3159</v>
      </c>
      <c r="AE39" s="20">
        <v>5149.17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3">
      <c r="B40" s="10">
        <v>131155</v>
      </c>
      <c r="C40" s="29" t="s">
        <v>61</v>
      </c>
      <c r="D40" s="12">
        <v>1.63</v>
      </c>
      <c r="E40" s="13">
        <v>941</v>
      </c>
      <c r="F40" s="14">
        <v>1533.83</v>
      </c>
      <c r="G40" s="14">
        <v>8.2463803255975066</v>
      </c>
      <c r="H40" s="30">
        <v>2510.4347826086955</v>
      </c>
      <c r="I40" s="15">
        <v>-200.10671936758899</v>
      </c>
      <c r="J40" s="16">
        <v>20</v>
      </c>
      <c r="K40" s="13">
        <v>32.599999999999994</v>
      </c>
      <c r="L40" s="14">
        <v>0.34258632362897767</v>
      </c>
      <c r="M40" s="30">
        <v>1284.3478260869565</v>
      </c>
      <c r="N40" s="15">
        <v>-563.79446640316201</v>
      </c>
      <c r="O40" s="16">
        <v>490</v>
      </c>
      <c r="P40" s="17">
        <v>798.69999999999993</v>
      </c>
      <c r="Q40" s="14">
        <v>15.304938271604938</v>
      </c>
      <c r="R40" s="16">
        <v>704.3478260869565</v>
      </c>
      <c r="S40" s="15">
        <v>-150.31620553359687</v>
      </c>
      <c r="T40" s="18">
        <v>432</v>
      </c>
      <c r="U40" s="17">
        <v>704.16</v>
      </c>
      <c r="V40" s="14">
        <v>7.5532826537664146</v>
      </c>
      <c r="W40" s="16">
        <v>1258.2608695652173</v>
      </c>
      <c r="X40" s="15">
        <v>-483.09881422924889</v>
      </c>
      <c r="Y40" s="18">
        <v>359</v>
      </c>
      <c r="Z40" s="17">
        <v>585.16999999999996</v>
      </c>
      <c r="AA40" s="14">
        <v>62.639310344827585</v>
      </c>
      <c r="AB40" s="16">
        <v>126.08695652173913</v>
      </c>
      <c r="AC40" s="15">
        <v>232.91304347826087</v>
      </c>
      <c r="AD40" s="19">
        <v>2242</v>
      </c>
      <c r="AE40" s="20">
        <v>3654.4599999999996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3">
      <c r="B41" s="10">
        <v>131700</v>
      </c>
      <c r="C41" s="29" t="s">
        <v>62</v>
      </c>
      <c r="D41" s="12">
        <v>6.15</v>
      </c>
      <c r="E41" s="13">
        <v>695</v>
      </c>
      <c r="F41" s="14">
        <v>4274.25</v>
      </c>
      <c r="G41" s="14">
        <v>10.989687499999999</v>
      </c>
      <c r="H41" s="30">
        <v>1391.304347826087</v>
      </c>
      <c r="I41" s="15">
        <v>62.58893280632401</v>
      </c>
      <c r="J41" s="16">
        <v>240</v>
      </c>
      <c r="K41" s="13">
        <v>1476</v>
      </c>
      <c r="L41" s="14">
        <v>7.3778857837181047</v>
      </c>
      <c r="M41" s="30">
        <v>715.6521739130435</v>
      </c>
      <c r="N41" s="15">
        <v>-85.296442687747003</v>
      </c>
      <c r="O41" s="16">
        <v>28</v>
      </c>
      <c r="P41" s="17">
        <v>172.20000000000002</v>
      </c>
      <c r="Q41" s="14">
        <v>5.4914728682170546</v>
      </c>
      <c r="R41" s="16">
        <v>112.17391304347827</v>
      </c>
      <c r="S41" s="15">
        <v>-73.976284584980235</v>
      </c>
      <c r="T41" s="18">
        <v>205</v>
      </c>
      <c r="U41" s="17">
        <v>1260.75</v>
      </c>
      <c r="V41" s="14">
        <v>17.117161716171616</v>
      </c>
      <c r="W41" s="16">
        <v>263.47826086956525</v>
      </c>
      <c r="X41" s="15">
        <v>13.379446640316189</v>
      </c>
      <c r="Y41" s="18">
        <v>19</v>
      </c>
      <c r="Z41" s="17">
        <v>116.85000000000001</v>
      </c>
      <c r="AA41" s="14">
        <v>3.6142857142857143</v>
      </c>
      <c r="AB41" s="16">
        <v>115.65217391304347</v>
      </c>
      <c r="AC41" s="15">
        <v>-96.65217391304347</v>
      </c>
      <c r="AD41" s="19">
        <v>1187</v>
      </c>
      <c r="AE41" s="20">
        <v>7300.05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3">
      <c r="B42" s="10">
        <v>131701</v>
      </c>
      <c r="C42" s="29" t="s">
        <v>63</v>
      </c>
      <c r="D42" s="12">
        <v>6.15</v>
      </c>
      <c r="E42" s="13">
        <v>160</v>
      </c>
      <c r="F42" s="14">
        <v>984</v>
      </c>
      <c r="G42" s="14">
        <v>2.2857142857142856</v>
      </c>
      <c r="H42" s="30">
        <v>1540</v>
      </c>
      <c r="I42" s="15">
        <v>-540</v>
      </c>
      <c r="J42" s="16">
        <v>213</v>
      </c>
      <c r="K42" s="13">
        <v>1309.95</v>
      </c>
      <c r="L42" s="14">
        <v>6.0010022271714929</v>
      </c>
      <c r="M42" s="30">
        <v>780.86956521739125</v>
      </c>
      <c r="N42" s="15">
        <v>-141.94071146245057</v>
      </c>
      <c r="O42" s="16">
        <v>92</v>
      </c>
      <c r="P42" s="17">
        <v>565.80000000000007</v>
      </c>
      <c r="Q42" s="14">
        <v>14.638993710691826</v>
      </c>
      <c r="R42" s="16">
        <v>138.26086956521738</v>
      </c>
      <c r="S42" s="15">
        <v>-33.691699604743064</v>
      </c>
      <c r="T42" s="18">
        <v>282</v>
      </c>
      <c r="U42" s="17">
        <v>1734.3000000000002</v>
      </c>
      <c r="V42" s="14">
        <v>17.703722084367246</v>
      </c>
      <c r="W42" s="16">
        <v>350.43478260869563</v>
      </c>
      <c r="X42" s="15">
        <v>27.138339920948624</v>
      </c>
      <c r="Y42" s="18">
        <v>35</v>
      </c>
      <c r="Z42" s="17">
        <v>215.25</v>
      </c>
      <c r="AA42" s="14">
        <v>11.06875</v>
      </c>
      <c r="AB42" s="16">
        <v>69.565217391304344</v>
      </c>
      <c r="AC42" s="15">
        <v>-34.565217391304344</v>
      </c>
      <c r="AD42" s="19">
        <v>782</v>
      </c>
      <c r="AE42" s="20">
        <v>4809.3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3">
      <c r="B43" s="10">
        <v>132150</v>
      </c>
      <c r="C43" s="29" t="s">
        <v>64</v>
      </c>
      <c r="D43" s="12">
        <v>1.1599999999999999</v>
      </c>
      <c r="E43" s="13">
        <v>2363</v>
      </c>
      <c r="F43" s="14">
        <v>2741.08</v>
      </c>
      <c r="G43" s="14">
        <v>7.7190316333118139</v>
      </c>
      <c r="H43" s="30">
        <v>6734.782608695652</v>
      </c>
      <c r="I43" s="15">
        <v>-698.26482213438749</v>
      </c>
      <c r="J43" s="16">
        <v>5329</v>
      </c>
      <c r="K43" s="13">
        <v>6181.6399999999994</v>
      </c>
      <c r="L43" s="14">
        <v>24.611847389558232</v>
      </c>
      <c r="M43" s="30">
        <v>4763.478260869565</v>
      </c>
      <c r="N43" s="15">
        <v>3163.782608695652</v>
      </c>
      <c r="O43" s="16">
        <v>524</v>
      </c>
      <c r="P43" s="17">
        <v>607.83999999999992</v>
      </c>
      <c r="Q43" s="14">
        <v>11.608756567425569</v>
      </c>
      <c r="R43" s="16">
        <v>993.04347826086951</v>
      </c>
      <c r="S43" s="15">
        <v>-378.76679841897237</v>
      </c>
      <c r="T43" s="18">
        <v>1280</v>
      </c>
      <c r="U43" s="17">
        <v>1484.8</v>
      </c>
      <c r="V43" s="14">
        <v>11.623833452979182</v>
      </c>
      <c r="W43" s="16">
        <v>2422.608695652174</v>
      </c>
      <c r="X43" s="15">
        <v>-481.897233201581</v>
      </c>
      <c r="Y43" s="18">
        <v>314</v>
      </c>
      <c r="Z43" s="17">
        <v>364.23999999999995</v>
      </c>
      <c r="AA43" s="14">
        <v>11.095251396648045</v>
      </c>
      <c r="AB43" s="16">
        <v>622.60869565217388</v>
      </c>
      <c r="AC43" s="15">
        <v>-308.60869565217388</v>
      </c>
      <c r="AD43" s="19">
        <v>9810</v>
      </c>
      <c r="AE43" s="20">
        <v>11379.599999999999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3">
      <c r="B44" s="10">
        <v>132151</v>
      </c>
      <c r="C44" s="29" t="s">
        <v>65</v>
      </c>
      <c r="D44" s="12">
        <v>1.1599999999999999</v>
      </c>
      <c r="E44" s="13">
        <v>2013</v>
      </c>
      <c r="F44" s="14">
        <v>2335.08</v>
      </c>
      <c r="G44" s="14">
        <v>7.8123791992636926</v>
      </c>
      <c r="H44" s="30">
        <v>5668.6956521739121</v>
      </c>
      <c r="I44" s="15">
        <v>-563.67984189723256</v>
      </c>
      <c r="J44" s="16">
        <v>3162</v>
      </c>
      <c r="K44" s="13">
        <v>3667.9199999999996</v>
      </c>
      <c r="L44" s="14">
        <v>18.730648560056196</v>
      </c>
      <c r="M44" s="30">
        <v>3713.9130434782605</v>
      </c>
      <c r="N44" s="15">
        <v>1473.8577075098815</v>
      </c>
      <c r="O44" s="16">
        <v>410</v>
      </c>
      <c r="P44" s="17">
        <v>475.59999999999997</v>
      </c>
      <c r="Q44" s="14">
        <v>16.007716049382715</v>
      </c>
      <c r="R44" s="16">
        <v>563.47826086956525</v>
      </c>
      <c r="S44" s="15">
        <v>-102.2529644268775</v>
      </c>
      <c r="T44" s="18">
        <v>1060</v>
      </c>
      <c r="U44" s="17">
        <v>1229.5999999999999</v>
      </c>
      <c r="V44" s="14">
        <v>18.047106325706601</v>
      </c>
      <c r="W44" s="16">
        <v>1292.173913043478</v>
      </c>
      <c r="X44" s="15">
        <v>120.23715415019785</v>
      </c>
      <c r="Y44" s="18">
        <v>217</v>
      </c>
      <c r="Z44" s="17">
        <v>251.71999999999997</v>
      </c>
      <c r="AA44" s="14">
        <v>7.4391598915989157</v>
      </c>
      <c r="AB44" s="16">
        <v>641.73913043478262</v>
      </c>
      <c r="AC44" s="15">
        <v>-424.73913043478262</v>
      </c>
      <c r="AD44" s="19">
        <v>6862</v>
      </c>
      <c r="AE44" s="20">
        <v>7959.9199999999992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3">
      <c r="B45" s="10">
        <v>132152</v>
      </c>
      <c r="C45" s="29" t="s">
        <v>66</v>
      </c>
      <c r="D45" s="12">
        <v>1.1599999999999999</v>
      </c>
      <c r="E45" s="13">
        <v>2530</v>
      </c>
      <c r="F45" s="14">
        <v>2934.7999999999997</v>
      </c>
      <c r="G45" s="14">
        <v>7.4403115192374765</v>
      </c>
      <c r="H45" s="30">
        <v>7480.869565217391</v>
      </c>
      <c r="I45" s="15">
        <v>-870.39525691699555</v>
      </c>
      <c r="J45" s="16">
        <v>3246</v>
      </c>
      <c r="K45" s="13">
        <v>3765.3599999999997</v>
      </c>
      <c r="L45" s="14">
        <v>14.823790613718412</v>
      </c>
      <c r="M45" s="30">
        <v>4817.391304347826</v>
      </c>
      <c r="N45" s="15">
        <v>1056.276679841897</v>
      </c>
      <c r="O45" s="16">
        <v>527</v>
      </c>
      <c r="P45" s="17">
        <v>611.31999999999994</v>
      </c>
      <c r="Q45" s="14">
        <v>12.686108468125592</v>
      </c>
      <c r="R45" s="16">
        <v>913.91304347826099</v>
      </c>
      <c r="S45" s="15">
        <v>-303.83003952569186</v>
      </c>
      <c r="T45" s="18">
        <v>1260</v>
      </c>
      <c r="U45" s="17">
        <v>1461.6</v>
      </c>
      <c r="V45" s="14">
        <v>14.320754716981133</v>
      </c>
      <c r="W45" s="16">
        <v>1935.6521739130435</v>
      </c>
      <c r="X45" s="15">
        <v>-147.7470355731225</v>
      </c>
      <c r="Y45" s="18">
        <v>207</v>
      </c>
      <c r="Z45" s="17">
        <v>240.11999999999998</v>
      </c>
      <c r="AA45" s="14">
        <v>7.3348739495798316</v>
      </c>
      <c r="AB45" s="16">
        <v>620.86956521739137</v>
      </c>
      <c r="AC45" s="15">
        <v>-413.86956521739137</v>
      </c>
      <c r="AD45" s="19">
        <v>7770</v>
      </c>
      <c r="AE45" s="20">
        <v>9013.1999999999989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3">
      <c r="B46" s="10">
        <v>132153</v>
      </c>
      <c r="C46" s="29" t="s">
        <v>67</v>
      </c>
      <c r="D46" s="12">
        <v>1.1599999999999999</v>
      </c>
      <c r="E46" s="13">
        <v>2144</v>
      </c>
      <c r="F46" s="14">
        <v>2487.04</v>
      </c>
      <c r="G46" s="14">
        <v>8.4675616609428648</v>
      </c>
      <c r="H46" s="30">
        <v>5570.434782608696</v>
      </c>
      <c r="I46" s="15">
        <v>-388.01581027667999</v>
      </c>
      <c r="J46" s="16">
        <v>2347</v>
      </c>
      <c r="K46" s="13">
        <v>2722.52</v>
      </c>
      <c r="L46" s="14">
        <v>16.684209047485247</v>
      </c>
      <c r="M46" s="30">
        <v>3094.782608695652</v>
      </c>
      <c r="N46" s="15">
        <v>940.28063241106724</v>
      </c>
      <c r="O46" s="16">
        <v>334</v>
      </c>
      <c r="P46" s="17">
        <v>387.44</v>
      </c>
      <c r="Q46" s="14">
        <v>13.020338983050848</v>
      </c>
      <c r="R46" s="16">
        <v>564.3478260869565</v>
      </c>
      <c r="S46" s="15">
        <v>-179.04347826086951</v>
      </c>
      <c r="T46" s="18">
        <v>556</v>
      </c>
      <c r="U46" s="17">
        <v>644.95999999999992</v>
      </c>
      <c r="V46" s="14">
        <v>16.021412300683373</v>
      </c>
      <c r="W46" s="16">
        <v>763.47826086956513</v>
      </c>
      <c r="X46" s="15">
        <v>0.74308300395261995</v>
      </c>
      <c r="Y46" s="18">
        <v>336</v>
      </c>
      <c r="Z46" s="17">
        <v>389.76</v>
      </c>
      <c r="AA46" s="14">
        <v>14.681865284974092</v>
      </c>
      <c r="AB46" s="16">
        <v>503.47826086956525</v>
      </c>
      <c r="AC46" s="15">
        <v>-167.47826086956525</v>
      </c>
      <c r="AD46" s="19">
        <v>5717</v>
      </c>
      <c r="AE46" s="20">
        <v>6631.7199999999993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3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22</v>
      </c>
      <c r="K47" s="13">
        <v>396</v>
      </c>
      <c r="L47" s="14">
        <v>9.2766666666666655</v>
      </c>
      <c r="M47" s="30">
        <v>52.173913043478265</v>
      </c>
      <c r="N47" s="15">
        <v>-1.7154150197628475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12</v>
      </c>
      <c r="U47" s="17">
        <v>216</v>
      </c>
      <c r="V47" s="14">
        <v>13.8</v>
      </c>
      <c r="W47" s="16">
        <v>19.130434782608695</v>
      </c>
      <c r="X47" s="15">
        <v>-1.9130434782608692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34</v>
      </c>
      <c r="AE47" s="20">
        <v>612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3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12</v>
      </c>
      <c r="K48" s="13">
        <v>216</v>
      </c>
      <c r="L48" s="14">
        <v>27.6</v>
      </c>
      <c r="M48" s="30">
        <v>9.5652173913043477</v>
      </c>
      <c r="N48" s="15">
        <v>7.6521739130434785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12</v>
      </c>
      <c r="AE48" s="20">
        <v>216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3">
      <c r="B49" s="10">
        <v>140230</v>
      </c>
      <c r="C49" s="29" t="s">
        <v>70</v>
      </c>
      <c r="D49" s="12">
        <v>1.1599999999999999</v>
      </c>
      <c r="E49" s="13">
        <v>6</v>
      </c>
      <c r="F49" s="14">
        <v>6.9599999999999991</v>
      </c>
      <c r="G49" s="14">
        <v>0.14307257304429782</v>
      </c>
      <c r="H49" s="30">
        <v>922.60869565217388</v>
      </c>
      <c r="I49" s="15">
        <v>-413.36758893280631</v>
      </c>
      <c r="J49" s="16">
        <v>84</v>
      </c>
      <c r="K49" s="13">
        <v>97.44</v>
      </c>
      <c r="L49" s="14">
        <v>1.8707746478873237</v>
      </c>
      <c r="M49" s="30">
        <v>987.82608695652175</v>
      </c>
      <c r="N49" s="15">
        <v>-365.01185770750993</v>
      </c>
      <c r="O49" s="16">
        <v>0</v>
      </c>
      <c r="P49" s="17">
        <v>0</v>
      </c>
      <c r="Q49" s="14">
        <v>0</v>
      </c>
      <c r="R49" s="16">
        <v>146.95652173913044</v>
      </c>
      <c r="S49" s="15">
        <v>-133.59683794466403</v>
      </c>
      <c r="T49" s="18">
        <v>1</v>
      </c>
      <c r="U49" s="17">
        <v>1.1599999999999999</v>
      </c>
      <c r="V49" s="14">
        <v>0.1081196581196581</v>
      </c>
      <c r="W49" s="16">
        <v>203.47826086956525</v>
      </c>
      <c r="X49" s="15">
        <v>-146.98418972332018</v>
      </c>
      <c r="Y49" s="18">
        <v>0</v>
      </c>
      <c r="Z49" s="17">
        <v>0</v>
      </c>
      <c r="AA49" s="14">
        <v>0</v>
      </c>
      <c r="AB49" s="16">
        <v>92.173913043478265</v>
      </c>
      <c r="AC49" s="15">
        <v>-92.173913043478251</v>
      </c>
      <c r="AD49" s="19">
        <v>91</v>
      </c>
      <c r="AE49" s="20">
        <v>105.55999999999999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3">
      <c r="B50" s="10">
        <v>140231</v>
      </c>
      <c r="C50" s="29" t="s">
        <v>71</v>
      </c>
      <c r="D50" s="12">
        <v>1.1599999999999999</v>
      </c>
      <c r="E50" s="13">
        <v>989</v>
      </c>
      <c r="F50" s="14">
        <v>1147.24</v>
      </c>
      <c r="G50" s="14">
        <v>3.8471248462484624</v>
      </c>
      <c r="H50" s="30">
        <v>5655.652173913044</v>
      </c>
      <c r="I50" s="15">
        <v>-1581.7509881422925</v>
      </c>
      <c r="J50" s="16">
        <v>1267</v>
      </c>
      <c r="K50" s="13">
        <v>1469.7199999999998</v>
      </c>
      <c r="L50" s="14">
        <v>7.2326489169675092</v>
      </c>
      <c r="M50" s="30">
        <v>3853.9130434782605</v>
      </c>
      <c r="N50" s="15">
        <v>-484.77865612648225</v>
      </c>
      <c r="O50" s="16">
        <v>0</v>
      </c>
      <c r="P50" s="17">
        <v>0</v>
      </c>
      <c r="Q50" s="14">
        <v>0</v>
      </c>
      <c r="R50" s="16">
        <v>815.6521739130435</v>
      </c>
      <c r="S50" s="15">
        <v>-741.501976284585</v>
      </c>
      <c r="T50" s="18">
        <v>127</v>
      </c>
      <c r="U50" s="17">
        <v>147.32</v>
      </c>
      <c r="V50" s="14">
        <v>2.9833797585886721</v>
      </c>
      <c r="W50" s="16">
        <v>936.52173913043487</v>
      </c>
      <c r="X50" s="15">
        <v>-554.10671936758899</v>
      </c>
      <c r="Y50" s="18">
        <v>0</v>
      </c>
      <c r="Z50" s="17">
        <v>0</v>
      </c>
      <c r="AA50" s="14">
        <v>0</v>
      </c>
      <c r="AB50" s="16">
        <v>208.69565217391306</v>
      </c>
      <c r="AC50" s="15">
        <v>-208.69565217391306</v>
      </c>
      <c r="AD50" s="19">
        <v>2383</v>
      </c>
      <c r="AE50" s="20">
        <v>2764.2799999999997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3">
      <c r="B51" s="10">
        <v>140232</v>
      </c>
      <c r="C51" s="29" t="s">
        <v>72</v>
      </c>
      <c r="D51" s="12">
        <v>1.1599999999999999</v>
      </c>
      <c r="E51" s="13">
        <v>1346</v>
      </c>
      <c r="F51" s="14">
        <v>1561.36</v>
      </c>
      <c r="G51" s="14">
        <v>7.5490578585679451</v>
      </c>
      <c r="H51" s="30">
        <v>3922.608695652174</v>
      </c>
      <c r="I51" s="15">
        <v>-437.00395256917</v>
      </c>
      <c r="J51" s="16">
        <v>916</v>
      </c>
      <c r="K51" s="13">
        <v>1062.56</v>
      </c>
      <c r="L51" s="14">
        <v>6.3250000000000002</v>
      </c>
      <c r="M51" s="30">
        <v>3186.0869565217395</v>
      </c>
      <c r="N51" s="15">
        <v>-532.22134387351775</v>
      </c>
      <c r="O51" s="16">
        <v>187</v>
      </c>
      <c r="P51" s="17">
        <v>216.92</v>
      </c>
      <c r="Q51" s="14">
        <v>16.427430555555556</v>
      </c>
      <c r="R51" s="16">
        <v>250.43478260869566</v>
      </c>
      <c r="S51" s="15">
        <v>-40.667984189723313</v>
      </c>
      <c r="T51" s="18">
        <v>205</v>
      </c>
      <c r="U51" s="17">
        <v>237.79999999999998</v>
      </c>
      <c r="V51" s="14">
        <v>6.1891408114558475</v>
      </c>
      <c r="W51" s="16">
        <v>728.695652173913</v>
      </c>
      <c r="X51" s="15">
        <v>-324.96047430830038</v>
      </c>
      <c r="Y51" s="18">
        <v>36</v>
      </c>
      <c r="Z51" s="17">
        <v>41.76</v>
      </c>
      <c r="AA51" s="14">
        <v>7.0061538461538468</v>
      </c>
      <c r="AB51" s="16">
        <v>113.04347826086956</v>
      </c>
      <c r="AC51" s="15">
        <v>-77.043478260869563</v>
      </c>
      <c r="AD51" s="19">
        <v>2690</v>
      </c>
      <c r="AE51" s="20">
        <v>3120.3999999999996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3">
      <c r="B52" s="10">
        <v>150360</v>
      </c>
      <c r="C52" s="29" t="s">
        <v>73</v>
      </c>
      <c r="D52" s="12">
        <v>0.81</v>
      </c>
      <c r="E52" s="13">
        <v>720</v>
      </c>
      <c r="F52" s="14">
        <v>583.20000000000005</v>
      </c>
      <c r="G52" s="14">
        <v>4.6493108728943344</v>
      </c>
      <c r="H52" s="30">
        <v>3406.9565217391305</v>
      </c>
      <c r="I52" s="15">
        <v>-828.61660079051376</v>
      </c>
      <c r="J52" s="16">
        <v>7018</v>
      </c>
      <c r="K52" s="13">
        <v>5684.58</v>
      </c>
      <c r="L52" s="14">
        <v>149.33170731707315</v>
      </c>
      <c r="M52" s="30">
        <v>1033.913043478261</v>
      </c>
      <c r="N52" s="15">
        <v>6548.0395256917</v>
      </c>
      <c r="O52" s="16">
        <v>4</v>
      </c>
      <c r="P52" s="17">
        <v>3.24</v>
      </c>
      <c r="Q52" s="14">
        <v>0.37902621722846441</v>
      </c>
      <c r="R52" s="16">
        <v>232.17391304347825</v>
      </c>
      <c r="S52" s="15">
        <v>-207.06719367588934</v>
      </c>
      <c r="T52" s="18">
        <v>204</v>
      </c>
      <c r="U52" s="17">
        <v>165.24</v>
      </c>
      <c r="V52" s="14">
        <v>9.3500000000000014</v>
      </c>
      <c r="W52" s="16">
        <v>480</v>
      </c>
      <c r="X52" s="15">
        <v>-145.09090909090907</v>
      </c>
      <c r="Y52" s="18">
        <v>52</v>
      </c>
      <c r="Z52" s="17">
        <v>42.120000000000005</v>
      </c>
      <c r="AA52" s="14">
        <v>18.021917808219175</v>
      </c>
      <c r="AB52" s="16">
        <v>63.478260869565219</v>
      </c>
      <c r="AC52" s="15">
        <v>-11.478260869565219</v>
      </c>
      <c r="AD52" s="19">
        <v>7998</v>
      </c>
      <c r="AE52" s="20">
        <v>6478.38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3">
      <c r="B53" s="10">
        <v>150361</v>
      </c>
      <c r="C53" s="29" t="s">
        <v>74</v>
      </c>
      <c r="D53" s="12">
        <v>0.81</v>
      </c>
      <c r="E53" s="13">
        <v>1560</v>
      </c>
      <c r="F53" s="14">
        <v>1263.6000000000001</v>
      </c>
      <c r="G53" s="14">
        <v>6.2897211155378479</v>
      </c>
      <c r="H53" s="30">
        <v>5456.521739130435</v>
      </c>
      <c r="I53" s="15">
        <v>-920.23715415019797</v>
      </c>
      <c r="J53" s="16">
        <v>6808</v>
      </c>
      <c r="K53" s="13">
        <v>5514.4800000000005</v>
      </c>
      <c r="L53" s="14">
        <v>64.461976047904187</v>
      </c>
      <c r="M53" s="30">
        <v>2323.4782608695655</v>
      </c>
      <c r="N53" s="15">
        <v>5751.873517786561</v>
      </c>
      <c r="O53" s="16">
        <v>220</v>
      </c>
      <c r="P53" s="17">
        <v>178.20000000000002</v>
      </c>
      <c r="Q53" s="14">
        <v>7.4711409395973147</v>
      </c>
      <c r="R53" s="16">
        <v>647.82608695652175</v>
      </c>
      <c r="S53" s="15">
        <v>-368.93280632411074</v>
      </c>
      <c r="T53" s="18">
        <v>414</v>
      </c>
      <c r="U53" s="17">
        <v>335.34000000000003</v>
      </c>
      <c r="V53" s="14">
        <v>8.3062648691514678</v>
      </c>
      <c r="W53" s="16">
        <v>1096.5217391304348</v>
      </c>
      <c r="X53" s="15">
        <v>-383.47035573122525</v>
      </c>
      <c r="Y53" s="18">
        <v>173</v>
      </c>
      <c r="Z53" s="17">
        <v>140.13</v>
      </c>
      <c r="AA53" s="14">
        <v>25.154597701149427</v>
      </c>
      <c r="AB53" s="16">
        <v>151.30434782608694</v>
      </c>
      <c r="AC53" s="15">
        <v>21.695652173913061</v>
      </c>
      <c r="AD53" s="19">
        <v>9175</v>
      </c>
      <c r="AE53" s="20">
        <v>7431.7500000000009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3">
      <c r="B54" s="10">
        <v>150362</v>
      </c>
      <c r="C54" s="29" t="s">
        <v>75</v>
      </c>
      <c r="D54" s="12">
        <v>0.81</v>
      </c>
      <c r="E54" s="13">
        <v>1926</v>
      </c>
      <c r="F54" s="14">
        <v>1560.0600000000002</v>
      </c>
      <c r="G54" s="14">
        <v>10.398591549295775</v>
      </c>
      <c r="H54" s="30">
        <v>4074.782608695652</v>
      </c>
      <c r="I54" s="15">
        <v>73.826086956521976</v>
      </c>
      <c r="J54" s="16">
        <v>981</v>
      </c>
      <c r="K54" s="13">
        <v>794.61</v>
      </c>
      <c r="L54" s="14">
        <v>19.239767441860462</v>
      </c>
      <c r="M54" s="30">
        <v>1121.7391304347827</v>
      </c>
      <c r="N54" s="15">
        <v>471.11857707509876</v>
      </c>
      <c r="O54" s="16">
        <v>123</v>
      </c>
      <c r="P54" s="17">
        <v>99.63000000000001</v>
      </c>
      <c r="Q54" s="14">
        <v>9.3731927710843372</v>
      </c>
      <c r="R54" s="16">
        <v>288.69565217391306</v>
      </c>
      <c r="S54" s="15">
        <v>-139.4505928853755</v>
      </c>
      <c r="T54" s="18">
        <v>365</v>
      </c>
      <c r="U54" s="17">
        <v>295.65000000000003</v>
      </c>
      <c r="V54" s="14">
        <v>19.079545454545453</v>
      </c>
      <c r="W54" s="16">
        <v>420.86956521739131</v>
      </c>
      <c r="X54" s="15">
        <v>58.913043478260875</v>
      </c>
      <c r="Y54" s="18">
        <v>162</v>
      </c>
      <c r="Z54" s="17">
        <v>131.22</v>
      </c>
      <c r="AA54" s="14">
        <v>21.018461538461537</v>
      </c>
      <c r="AB54" s="16">
        <v>169.56521739130434</v>
      </c>
      <c r="AC54" s="15">
        <v>-7.5652173913043441</v>
      </c>
      <c r="AD54" s="19">
        <v>3557</v>
      </c>
      <c r="AE54" s="20">
        <v>2881.17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3">
      <c r="B55" s="10">
        <v>150363</v>
      </c>
      <c r="C55" s="29" t="s">
        <v>76</v>
      </c>
      <c r="D55" s="12">
        <v>0.81</v>
      </c>
      <c r="E55" s="13">
        <v>978</v>
      </c>
      <c r="F55" s="14">
        <v>792.18000000000006</v>
      </c>
      <c r="G55" s="14">
        <v>6.2625664388762328</v>
      </c>
      <c r="H55" s="30">
        <v>3435.652173913044</v>
      </c>
      <c r="I55" s="15">
        <v>-583.66007905138372</v>
      </c>
      <c r="J55" s="16">
        <v>5640</v>
      </c>
      <c r="K55" s="13">
        <v>4568.4000000000005</v>
      </c>
      <c r="L55" s="14">
        <v>91.410634208840492</v>
      </c>
      <c r="M55" s="30">
        <v>1357.391304347826</v>
      </c>
      <c r="N55" s="15">
        <v>5023.00395256917</v>
      </c>
      <c r="O55" s="16">
        <v>203</v>
      </c>
      <c r="P55" s="17">
        <v>164.43</v>
      </c>
      <c r="Q55" s="14">
        <v>11.779587155963302</v>
      </c>
      <c r="R55" s="16">
        <v>379.13043478260869</v>
      </c>
      <c r="S55" s="15">
        <v>-141.66403162055337</v>
      </c>
      <c r="T55" s="18">
        <v>346</v>
      </c>
      <c r="U55" s="17">
        <v>280.26</v>
      </c>
      <c r="V55" s="14">
        <v>15.659749552772809</v>
      </c>
      <c r="W55" s="16">
        <v>486.08695652173913</v>
      </c>
      <c r="X55" s="15">
        <v>-7.5177865612648134</v>
      </c>
      <c r="Y55" s="18">
        <v>178</v>
      </c>
      <c r="Z55" s="17">
        <v>144.18</v>
      </c>
      <c r="AA55" s="14">
        <v>22.976530612244897</v>
      </c>
      <c r="AB55" s="16">
        <v>170.43478260869566</v>
      </c>
      <c r="AC55" s="15">
        <v>7.5652173913043441</v>
      </c>
      <c r="AD55" s="19">
        <v>7345</v>
      </c>
      <c r="AE55" s="20">
        <v>5949.4500000000007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3">
      <c r="B56" s="10">
        <v>151500</v>
      </c>
      <c r="C56" s="29" t="s">
        <v>77</v>
      </c>
      <c r="D56" s="12">
        <v>2.62</v>
      </c>
      <c r="E56" s="13">
        <v>377</v>
      </c>
      <c r="F56" s="14">
        <v>987.74</v>
      </c>
      <c r="G56" s="14">
        <v>12.012720403022671</v>
      </c>
      <c r="H56" s="30">
        <v>690.43478260869563</v>
      </c>
      <c r="I56" s="15">
        <v>63.166007905138372</v>
      </c>
      <c r="J56" s="32">
        <v>189</v>
      </c>
      <c r="K56" s="13">
        <v>495.18</v>
      </c>
      <c r="L56" s="14">
        <v>16.154391891891891</v>
      </c>
      <c r="M56" s="30">
        <v>257.39130434782612</v>
      </c>
      <c r="N56" s="15">
        <v>72.00395256916994</v>
      </c>
      <c r="O56" s="32">
        <v>41</v>
      </c>
      <c r="P56" s="17">
        <v>107.42</v>
      </c>
      <c r="Q56" s="14">
        <v>17.288333333333334</v>
      </c>
      <c r="R56" s="16">
        <v>52.173913043478265</v>
      </c>
      <c r="S56" s="15">
        <v>-6.430830039525695</v>
      </c>
      <c r="T56" s="18">
        <v>75</v>
      </c>
      <c r="U56" s="17">
        <v>196.5</v>
      </c>
      <c r="V56" s="14">
        <v>12.163461538461538</v>
      </c>
      <c r="W56" s="16">
        <v>135.65217391304347</v>
      </c>
      <c r="X56" s="15">
        <v>-23.656126482213438</v>
      </c>
      <c r="Y56" s="18">
        <v>36</v>
      </c>
      <c r="Z56" s="17">
        <v>94.320000000000007</v>
      </c>
      <c r="AA56" s="14">
        <v>21.18139534883721</v>
      </c>
      <c r="AB56" s="16">
        <v>37.391304347826086</v>
      </c>
      <c r="AC56" s="15">
        <v>-1.391304347826086</v>
      </c>
      <c r="AD56" s="19">
        <v>718</v>
      </c>
      <c r="AE56" s="20">
        <v>1881.16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3">
      <c r="B57" s="10">
        <v>151501</v>
      </c>
      <c r="C57" s="29" t="s">
        <v>78</v>
      </c>
      <c r="D57" s="12">
        <v>2.62</v>
      </c>
      <c r="E57" s="13">
        <v>383</v>
      </c>
      <c r="F57" s="14">
        <v>1003.46</v>
      </c>
      <c r="G57" s="14">
        <v>7.2043866171003712</v>
      </c>
      <c r="H57" s="30">
        <v>1169.5652173913045</v>
      </c>
      <c r="I57" s="15">
        <v>-148.62055335968387</v>
      </c>
      <c r="J57" s="32">
        <v>165</v>
      </c>
      <c r="K57" s="13">
        <v>432.3</v>
      </c>
      <c r="L57" s="14">
        <v>7.4147424511545283</v>
      </c>
      <c r="M57" s="30">
        <v>489.56521739130437</v>
      </c>
      <c r="N57" s="15">
        <v>-57.529644268774717</v>
      </c>
      <c r="O57" s="32">
        <v>67</v>
      </c>
      <c r="P57" s="17">
        <v>175.54000000000002</v>
      </c>
      <c r="Q57" s="14">
        <v>11.610273972602739</v>
      </c>
      <c r="R57" s="16">
        <v>126.95652173913044</v>
      </c>
      <c r="S57" s="15">
        <v>-48.415019762845859</v>
      </c>
      <c r="T57" s="18">
        <v>4</v>
      </c>
      <c r="U57" s="17">
        <v>10.48</v>
      </c>
      <c r="V57" s="14">
        <v>0.22589285714285715</v>
      </c>
      <c r="W57" s="16">
        <v>389.56521739130437</v>
      </c>
      <c r="X57" s="15">
        <v>-279.32015810276681</v>
      </c>
      <c r="Y57" s="18">
        <v>44</v>
      </c>
      <c r="Z57" s="17">
        <v>115.28</v>
      </c>
      <c r="AA57" s="14">
        <v>25.3</v>
      </c>
      <c r="AB57" s="16">
        <v>38.260869565217391</v>
      </c>
      <c r="AC57" s="15">
        <v>5.7391304347826093</v>
      </c>
      <c r="AD57" s="19">
        <v>663</v>
      </c>
      <c r="AE57" s="20">
        <v>1737.0600000000002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3">
      <c r="B58" s="10">
        <v>151502</v>
      </c>
      <c r="C58" s="29" t="s">
        <v>79</v>
      </c>
      <c r="D58" s="12">
        <v>2.62</v>
      </c>
      <c r="E58" s="13">
        <v>132</v>
      </c>
      <c r="F58" s="14">
        <v>345.84000000000003</v>
      </c>
      <c r="G58" s="14">
        <v>6.4972762645914388</v>
      </c>
      <c r="H58" s="30">
        <v>446.95652173913049</v>
      </c>
      <c r="I58" s="15">
        <v>-71.162055335968404</v>
      </c>
      <c r="J58" s="32">
        <v>76</v>
      </c>
      <c r="K58" s="13">
        <v>199.12</v>
      </c>
      <c r="L58" s="14">
        <v>9.4254901960784316</v>
      </c>
      <c r="M58" s="30">
        <v>177.39130434782609</v>
      </c>
      <c r="N58" s="15">
        <v>-4.6324110671936722</v>
      </c>
      <c r="O58" s="32">
        <v>12</v>
      </c>
      <c r="P58" s="17">
        <v>31.44</v>
      </c>
      <c r="Q58" s="14">
        <v>6.9</v>
      </c>
      <c r="R58" s="16">
        <v>38.260869565217391</v>
      </c>
      <c r="S58" s="15">
        <v>-22.782608695652172</v>
      </c>
      <c r="T58" s="18">
        <v>51</v>
      </c>
      <c r="U58" s="17">
        <v>133.62</v>
      </c>
      <c r="V58" s="14">
        <v>11.624324324324325</v>
      </c>
      <c r="W58" s="16">
        <v>96.521739130434781</v>
      </c>
      <c r="X58" s="15">
        <v>-19.197628458498016</v>
      </c>
      <c r="Y58" s="18">
        <v>39</v>
      </c>
      <c r="Z58" s="17">
        <v>102.18</v>
      </c>
      <c r="AA58" s="14">
        <v>29.9</v>
      </c>
      <c r="AB58" s="16">
        <v>28.695652173913043</v>
      </c>
      <c r="AC58" s="15">
        <v>10.304347826086957</v>
      </c>
      <c r="AD58" s="19">
        <v>310</v>
      </c>
      <c r="AE58" s="20">
        <v>812.2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3">
      <c r="B59" s="33">
        <v>151503</v>
      </c>
      <c r="C59" s="11" t="s">
        <v>80</v>
      </c>
      <c r="D59" s="12">
        <v>2.62</v>
      </c>
      <c r="E59" s="13">
        <v>137</v>
      </c>
      <c r="F59" s="14">
        <v>358.94</v>
      </c>
      <c r="G59" s="14">
        <v>5.4756714060031602</v>
      </c>
      <c r="H59" s="30">
        <v>550.43478260869563</v>
      </c>
      <c r="I59" s="15">
        <v>-113.197628458498</v>
      </c>
      <c r="J59" s="32">
        <v>132</v>
      </c>
      <c r="K59" s="13">
        <v>345.84000000000003</v>
      </c>
      <c r="L59" s="14">
        <v>13.914999999999999</v>
      </c>
      <c r="M59" s="30">
        <v>208.69565217391306</v>
      </c>
      <c r="N59" s="15">
        <v>37.13833992094861</v>
      </c>
      <c r="O59" s="32">
        <v>20</v>
      </c>
      <c r="P59" s="17">
        <v>52.400000000000006</v>
      </c>
      <c r="Q59" s="14">
        <v>7.3333333333333339</v>
      </c>
      <c r="R59" s="16">
        <v>60</v>
      </c>
      <c r="S59" s="15">
        <v>-34.54545454545454</v>
      </c>
      <c r="T59" s="18">
        <v>60</v>
      </c>
      <c r="U59" s="17">
        <v>157.20000000000002</v>
      </c>
      <c r="V59" s="14">
        <v>11.244444444444444</v>
      </c>
      <c r="W59" s="16">
        <v>117.39130434782609</v>
      </c>
      <c r="X59" s="15">
        <v>-25.37549407114625</v>
      </c>
      <c r="Y59" s="18">
        <v>44</v>
      </c>
      <c r="Z59" s="17">
        <v>115.28</v>
      </c>
      <c r="AA59" s="14">
        <v>53.009523809523813</v>
      </c>
      <c r="AB59" s="16">
        <v>18.260869565217391</v>
      </c>
      <c r="AC59" s="15">
        <v>25.739130434782609</v>
      </c>
      <c r="AD59" s="19">
        <v>393</v>
      </c>
      <c r="AE59" s="20">
        <v>1029.6600000000001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3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3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3">
      <c r="B62" s="65" t="s">
        <v>4</v>
      </c>
      <c r="C62" s="65"/>
      <c r="D62" s="42">
        <f>SUM(F13:F59)</f>
        <v>171057.71999999994</v>
      </c>
      <c r="E62" s="64">
        <f>D62*100/D67</f>
        <v>41.310061768856357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3">
      <c r="B63" s="41" t="s">
        <v>5</v>
      </c>
      <c r="C63" s="41"/>
      <c r="D63" s="44">
        <f>SUM(K13:K59)</f>
        <v>156648.04999999993</v>
      </c>
      <c r="E63" s="64">
        <f>D63*100/D67</f>
        <v>37.830158273306218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3">
      <c r="B64" s="41" t="s">
        <v>6</v>
      </c>
      <c r="C64" s="41"/>
      <c r="D64" s="44">
        <f>SUM(P13:P59)</f>
        <v>22619.739999999994</v>
      </c>
      <c r="E64" s="64">
        <f>D64*100/D67</f>
        <v>5.4626172767617334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3">
      <c r="B65" s="41" t="s">
        <v>7</v>
      </c>
      <c r="C65" s="41"/>
      <c r="D65" s="44">
        <f>SUM(U13:U59)</f>
        <v>52223.290000000023</v>
      </c>
      <c r="E65" s="64">
        <f>D65*100/D67</f>
        <v>12.611809251712815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3">
      <c r="B66" s="41" t="s">
        <v>18</v>
      </c>
      <c r="C66" s="41"/>
      <c r="D66" s="44">
        <f>SUM(Z13:Z59)</f>
        <v>11533.66</v>
      </c>
      <c r="E66" s="64">
        <f>D66*100/D67</f>
        <v>2.7853534293628375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3">
      <c r="B67" s="65" t="s">
        <v>8</v>
      </c>
      <c r="C67" s="65"/>
      <c r="D67" s="44">
        <f>SUM(AE13:AE59)</f>
        <v>414082.46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3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3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3">
      <c r="B70" s="65" t="s">
        <v>10</v>
      </c>
      <c r="C70" s="65"/>
      <c r="D70" s="3">
        <f>SUM(E13:E59)</f>
        <v>121697</v>
      </c>
      <c r="E70" s="64">
        <f>D70*100/D75</f>
        <v>40.443124000943804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3">
      <c r="B71" s="41" t="s">
        <v>11</v>
      </c>
      <c r="C71" s="41"/>
      <c r="D71" s="49">
        <f>SUM(J13:J59)</f>
        <v>118635</v>
      </c>
      <c r="E71" s="64">
        <f>D71*100/D75</f>
        <v>39.425540611945806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3">
      <c r="B72" s="41" t="s">
        <v>12</v>
      </c>
      <c r="C72" s="41"/>
      <c r="D72" s="49">
        <f>SUM(O13:O59)</f>
        <v>16096</v>
      </c>
      <c r="E72" s="64">
        <f>D72*100/D75</f>
        <v>5.3491254831194812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3">
      <c r="B73" s="41" t="s">
        <v>13</v>
      </c>
      <c r="C73" s="41"/>
      <c r="D73" s="49">
        <f>SUM(T13:T59)</f>
        <v>36589</v>
      </c>
      <c r="E73" s="64">
        <f>D73*100/D75</f>
        <v>12.159490078395795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3">
      <c r="B74" s="41" t="s">
        <v>19</v>
      </c>
      <c r="C74" s="41"/>
      <c r="D74" s="49">
        <f>SUM(Y13:Y59)</f>
        <v>7892</v>
      </c>
      <c r="E74" s="64">
        <f>D74*100/D75</f>
        <v>2.6227198255951136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3">
      <c r="B75" s="65" t="s">
        <v>14</v>
      </c>
      <c r="C75" s="65"/>
      <c r="D75" s="49">
        <f>SUM(AD13:AD59)</f>
        <v>300909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3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3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3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3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3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3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3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3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3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3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3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3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3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3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3">
      <c r="B90" s="46"/>
      <c r="C90" s="35"/>
      <c r="D90" s="35"/>
      <c r="E90" s="47"/>
      <c r="AD90" s="35"/>
      <c r="AE90" s="35"/>
      <c r="AF90" s="36"/>
      <c r="AG90" s="36"/>
    </row>
    <row r="91" spans="2:33" x14ac:dyDescent="0.3">
      <c r="B91" s="46"/>
      <c r="C91" s="35"/>
      <c r="D91" s="35"/>
      <c r="E91" s="47"/>
      <c r="AD91" s="35"/>
      <c r="AE91" s="35"/>
      <c r="AF91" s="36"/>
      <c r="AG91" s="36"/>
    </row>
    <row r="92" spans="2:33" x14ac:dyDescent="0.3">
      <c r="B92" s="46"/>
      <c r="C92" s="35"/>
      <c r="D92" s="35"/>
      <c r="E92" s="47"/>
      <c r="AD92" s="35"/>
      <c r="AE92" s="35"/>
      <c r="AF92" s="36"/>
      <c r="AG92" s="36"/>
    </row>
    <row r="93" spans="2:33" x14ac:dyDescent="0.3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Sapori CA</cp:lastModifiedBy>
  <cp:lastPrinted>2026-09-15T12:02:34Z</cp:lastPrinted>
  <dcterms:created xsi:type="dcterms:W3CDTF">2026-08-13T20:33:16Z</dcterms:created>
  <dcterms:modified xsi:type="dcterms:W3CDTF">2026-10-06T01:47:49Z</dcterms:modified>
</cp:coreProperties>
</file>