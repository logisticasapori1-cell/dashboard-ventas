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R:\SUPPLY CHAIN\dashboard_supply_v.2.0\data\"/>
    </mc:Choice>
  </mc:AlternateContent>
  <xr:revisionPtr revIDLastSave="0" documentId="14_{0E5779F7-8682-44DE-88C6-83F206C2BB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 a="1"/>
  <c r="F2" i="1" s="1"/>
  <c r="E2" i="1" a="1"/>
  <c r="E2" i="1" s="1"/>
  <c r="G41" i="1" l="1"/>
  <c r="G29" i="1"/>
  <c r="G25" i="1"/>
  <c r="G17" i="1"/>
  <c r="G37" i="1"/>
  <c r="G33" i="1"/>
  <c r="G21" i="1"/>
  <c r="G45" i="1"/>
  <c r="G13" i="1"/>
  <c r="G9" i="1"/>
  <c r="G5" i="1"/>
  <c r="F45" i="1"/>
  <c r="F41" i="1"/>
  <c r="F37" i="1"/>
  <c r="F33" i="1"/>
  <c r="F29" i="1"/>
  <c r="F25" i="1"/>
  <c r="F21" i="1"/>
  <c r="F17" i="1"/>
  <c r="F13" i="1"/>
  <c r="F9" i="1"/>
  <c r="F5" i="1"/>
  <c r="G48" i="1"/>
  <c r="G44" i="1"/>
  <c r="G40" i="1"/>
  <c r="G36" i="1"/>
  <c r="G32" i="1"/>
  <c r="G28" i="1"/>
  <c r="G24" i="1"/>
  <c r="G20" i="1"/>
  <c r="G16" i="1"/>
  <c r="G12" i="1"/>
  <c r="G8" i="1"/>
  <c r="G4" i="1"/>
  <c r="F48" i="1"/>
  <c r="F44" i="1"/>
  <c r="F40" i="1"/>
  <c r="F36" i="1"/>
  <c r="F32" i="1"/>
  <c r="F28" i="1"/>
  <c r="F24" i="1"/>
  <c r="F20" i="1"/>
  <c r="F16" i="1"/>
  <c r="F12" i="1"/>
  <c r="F8" i="1"/>
  <c r="F4" i="1"/>
  <c r="G47" i="1"/>
  <c r="G43" i="1"/>
  <c r="G39" i="1"/>
  <c r="G35" i="1"/>
  <c r="G31" i="1"/>
  <c r="G27" i="1"/>
  <c r="G23" i="1"/>
  <c r="G19" i="1"/>
  <c r="G15" i="1"/>
  <c r="G11" i="1"/>
  <c r="G7" i="1"/>
  <c r="G3" i="1"/>
  <c r="F47" i="1"/>
  <c r="F43" i="1"/>
  <c r="F39" i="1"/>
  <c r="F35" i="1"/>
  <c r="F31" i="1"/>
  <c r="F27" i="1"/>
  <c r="F23" i="1"/>
  <c r="F19" i="1"/>
  <c r="F15" i="1"/>
  <c r="F11" i="1"/>
  <c r="F7" i="1"/>
  <c r="F3" i="1"/>
  <c r="G46" i="1"/>
  <c r="G42" i="1"/>
  <c r="G38" i="1"/>
  <c r="G34" i="1"/>
  <c r="G30" i="1"/>
  <c r="G26" i="1"/>
  <c r="G22" i="1"/>
  <c r="G18" i="1"/>
  <c r="G14" i="1"/>
  <c r="G10" i="1"/>
  <c r="G6" i="1"/>
  <c r="G2" i="1"/>
  <c r="F46" i="1"/>
  <c r="F42" i="1"/>
  <c r="F38" i="1"/>
  <c r="F34" i="1"/>
  <c r="F30" i="1"/>
  <c r="F26" i="1"/>
  <c r="F22" i="1"/>
  <c r="F18" i="1"/>
  <c r="F14" i="1"/>
  <c r="F10" i="1"/>
  <c r="F6" i="1"/>
  <c r="E3" i="1"/>
  <c r="E41" i="1"/>
  <c r="E33" i="1"/>
  <c r="E25" i="1"/>
  <c r="E17" i="1"/>
  <c r="E9" i="1"/>
  <c r="E48" i="1"/>
  <c r="E40" i="1"/>
  <c r="E32" i="1"/>
  <c r="E24" i="1"/>
  <c r="E16" i="1"/>
  <c r="E8" i="1"/>
  <c r="E47" i="1"/>
  <c r="E39" i="1"/>
  <c r="E31" i="1"/>
  <c r="E23" i="1"/>
  <c r="E15" i="1"/>
  <c r="E7" i="1"/>
  <c r="E46" i="1"/>
  <c r="E38" i="1"/>
  <c r="E30" i="1"/>
  <c r="E22" i="1"/>
  <c r="E14" i="1"/>
  <c r="E6" i="1"/>
  <c r="E45" i="1"/>
  <c r="E37" i="1"/>
  <c r="E29" i="1"/>
  <c r="E21" i="1"/>
  <c r="E13" i="1"/>
  <c r="E5" i="1"/>
  <c r="E44" i="1"/>
  <c r="E36" i="1"/>
  <c r="E28" i="1"/>
  <c r="E20" i="1"/>
  <c r="E12" i="1"/>
  <c r="E4" i="1"/>
  <c r="E43" i="1"/>
  <c r="E35" i="1"/>
  <c r="E27" i="1"/>
  <c r="E19" i="1"/>
  <c r="E11" i="1"/>
  <c r="E42" i="1"/>
  <c r="E34" i="1"/>
  <c r="E26" i="1"/>
  <c r="E18" i="1"/>
  <c r="E10" i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<sst xmlns="http://schemas.openxmlformats.org/spreadsheetml/2006/main" count="106" uniqueCount="64">
  <si>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</si>
  <si>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</si>
  <si>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</si>
  <si>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</si>
  <si>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</si>
  <si>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</si>
  <si>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</si>
  <si>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</si>
  <si>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</si>
  <si>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</si>
  <si>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</si>
  <si>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</si>
  <si>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</si>
  <si>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</si>
  <si>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</si>
  <si>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</si>
  <si>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</si>
  <si>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</si>
  <si>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</si>
  <si>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</si>
  <si>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</si>
  <si>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</si>
  <si>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</si>
  <si>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</si>
  <si>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</si>
  <si>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</si>
  <si>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</si>
  <si>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</si>
  <si>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</si>
  <si>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</si>
  <si>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</si>
  <si>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</si>
  <si>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</si>
  <si>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</si>
  <si>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</si>
  <si>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</si>
  <si>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</si>
  <si>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</si>
  <si>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</si>
  <si>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</si>
  <si>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</si>
  <si>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</si>
  <si>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</si>
  <si>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</si>
  <si>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</si>
  <si>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</si>
  <si>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</si>
  <si>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</si>
  <si>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</si>
  <si>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</si>
  <si>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</si>
  <si>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</si>
  <si>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</si>
  <si>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</si>
  <si>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</si>
  <si>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</si>
  <si>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</si>
  <si>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</si>
  <si>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</si>
  <si>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</si>
  <si>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</si>
  <si>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</si>
  <si>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</si>
  <si>
    <t>PROMD VTA DIA OCTUBRE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</si>
</sst>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%"/>
  </numFmts>
  <fonts count="7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1"/>
      <color rgb="FF0061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0">
    <xf numFmtId="0" fontId="0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4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4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4" borderId="0" applyNumberFormat="0" applyBorder="0" applyAlignment="0" applyProtection="0"/>
  </cellStyleXfs>
  <cellXfs count="9">
    <xf numFmtId="0" fontId="0" fillId="0" borderId="0" xfId="0"/>
    <xf numFmtId="0" fontId="3" fillId="0" borderId="0" xfId="0" applyFont="1"/>
    <xf numFmtId="0" fontId="3" fillId="0" borderId="0" xfId="0" quotePrefix="1" applyFont="1"/>
    <xf numFmtId="0" fontId="4" fillId="0" borderId="0" xfId="0" applyFont="1"/>
    <xf numFmtId="1" fontId="0" fillId="0" borderId="0" xfId="0" applyNumberFormat="1"/>
    <xf numFmtId="164" fontId="5" fillId="2" borderId="1" xfId="1" applyNumberFormat="1" applyFont="1" applyFill="1" applyBorder="1" applyAlignment="1">
      <alignment horizontal="right"/>
    </xf>
    <xf numFmtId="164" fontId="5" fillId="3" borderId="1" xfId="1" applyNumberFormat="1" applyFont="1" applyFill="1" applyBorder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right"/>
    </xf>
  </cellXfs>
  <cellStyles count="20">
    <cellStyle name="Bueno 2" xfId="9" xr:uid="{94F67CAC-752E-4491-A3E3-C4BB62743B72}"/>
    <cellStyle name="Bueno 3" xfId="13" xr:uid="{4F709AEB-99D0-454B-A65A-29BEAE46F7D3}"/>
    <cellStyle name="Bueno 4" xfId="19" xr:uid="{CB352053-6C19-43CD-B03E-627D0A7258B8}"/>
    <cellStyle name="Millares 2" xfId="5" xr:uid="{2375C8DF-BDBA-43D5-9D31-543C4EE04C41}"/>
    <cellStyle name="Millares 3" xfId="7" xr:uid="{27A5BDA4-BEC6-4D39-8EC6-81077DACAD2E}"/>
    <cellStyle name="Millares 4" xfId="11" xr:uid="{A8866BDA-94C2-4640-AEC3-761F4953E7A9}"/>
    <cellStyle name="Millares 5" xfId="14" xr:uid="{259FBDCB-E288-4DE6-A5A1-D75AC9203F66}"/>
    <cellStyle name="Millares 6" xfId="15" xr:uid="{EBD22DEF-DD97-40DE-9E0D-75DB84FC7626}"/>
    <cellStyle name="Millares 7" xfId="17" xr:uid="{5D7A9A1C-84A4-48A0-B651-270D23CCD661}"/>
    <cellStyle name="Normal" xfId="0" builtinId="0"/>
    <cellStyle name="Normal 2" xfId="1" xr:uid="{6A46E9E3-F881-4AFA-9613-5EAED1E58279}"/>
    <cellStyle name="Normal 2 2" xfId="4" xr:uid="{B06DF990-D905-408E-BFA0-44405515E01D}"/>
    <cellStyle name="Normal 3" xfId="6" xr:uid="{3CC58EFF-C4E0-4F85-B088-2FDD0B926453}"/>
    <cellStyle name="Normal 4" xfId="10" xr:uid="{0DD17921-2CD6-422C-A23C-9A67FFB24691}"/>
    <cellStyle name="Normal 5" xfId="16" xr:uid="{6D56047B-2B25-4585-8E22-6D9FFAE9B0FE}"/>
    <cellStyle name="Normal 6" xfId="2" xr:uid="{13ADE74A-2259-43F4-9CA9-C254DDCD9F7C}"/>
    <cellStyle name="Porcentaje 2" xfId="8" xr:uid="{9BC1E1EC-552B-4A61-AC7B-93A66CA2C63A}"/>
    <cellStyle name="Porcentaje 3" xfId="12" xr:uid="{1BCE6996-3CD8-414B-A94D-1F5613AF54F4}"/>
    <cellStyle name="Porcentaje 4" xfId="18" xr:uid="{12FA4737-A541-4FD6-B499-94C89E1AA6CA}"/>
    <cellStyle name="Porcentaje 5" xfId="3" xr:uid="{03AE4CCC-FE99-48B8-A7EC-56272B60C02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oleObject" Target="file:///\\192.168.88.250\Comun\SUPPLY%20CHAIN\Inventario\Octubre\Inventario%20Nacional%20Producto%20Terminado\Corte%20Diario%20Inventario%20Nacional%20Producto%20Terminado%20OCTU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oleLink xmlns:r="http://schemas.openxmlformats.org/officeDocument/2006/relationships" r:id="rId1" progId="Excel.Sheet.12">
    <oleItems>
      <mc:AlternateContent xmlns:mc="http://schemas.openxmlformats.org/markup-compatibility/2006">
        <mc:Choice Requires="x14">
          <x14:oleItem name="!DESV. VTS BY SKU!F4C6:F50C6" advise="1">
            <x14:values rows="47">
              <value>
                <val>1379.5</val>
              </value>
              <value>
                <val>1.5</val>
              </value>
              <value>
                <val>622</val>
              </value>
              <value>
                <val>86.5</val>
              </value>
              <value>
                <val>8.5</val>
              </value>
              <value>
                <val>2007</val>
              </value>
              <value>
                <val>211</val>
              </value>
              <value>
                <val>445.5</val>
              </value>
              <value>
                <val>824.5</val>
              </value>
              <value>
                <val>334</val>
              </value>
              <value>
                <val>3894.5</val>
              </value>
              <value>
                <val>2513.5</val>
              </value>
              <value>
                <val>2404</val>
              </value>
              <value>
                <val>2877</val>
              </value>
              <value>
                <val>775</val>
              </value>
              <value>
                <val>1050</val>
              </value>
              <value>
                <val>1029</val>
              </value>
              <value>
                <val>208</val>
              </value>
              <value>
                <val>99</val>
              </value>
              <value>
                <val>461</val>
              </value>
              <value>
                <val>796</val>
              </value>
              <value>
                <val>130</val>
              </value>
              <value>
                <val>777</val>
              </value>
              <value>
                <val>1322.5</val>
              </value>
              <value>
                <val>566.5</val>
              </value>
              <value>
                <val>513</val>
              </value>
              <value>
                <val>395</val>
              </value>
              <value>
                <val>510</val>
              </value>
              <value>
                <val>77</val>
              </value>
              <value>
                <val>149</val>
              </value>
              <value>
                <val>958</val>
              </value>
              <value>
                <val>655</val>
              </value>
              <value>
                <val>873</val>
              </value>
              <value>
                <val>585.5</val>
              </value>
              <value>
                <val>3</val>
              </value>
              <value>
                <val>0</val>
              </value>
              <value>
                <val>60</val>
              </value>
              <value>
                <val>618.5</val>
              </value>
              <value>
                <val>460</val>
              </value>
              <value>
                <val>310</val>
              </value>
              <value>
                <val>575</val>
              </value>
              <value>
                <val>292</val>
              </value>
              <value>
                <val>316</val>
              </value>
              <value>
                <val>31.5</val>
              </value>
              <value>
                <val>65</val>
              </value>
              <value>
                <val>25.5</val>
              </value>
              <value>
                <val>34</val>
              </value>
            </x14:values>
          </x14:oleItem>
        </mc:Choice>
        <mc:Fallback>
          <oleItem name="!DESV. VTS BY SKU!F4C6:F50C6" advise="1"/>
        </mc:Fallback>
      </mc:AlternateContent>
      <mc:AlternateContent xmlns:mc="http://schemas.openxmlformats.org/markup-compatibility/2006">
        <mc:Choice Requires="x14">
          <x14:oleItem name="!DESV. VTS BY SKU!F4C7:F50C8" advise="1">
            <x14:values rows="47" cols="2">
              <value>
                <val>0.13961173068979771</val>
              </value>
              <value t="str">
                <val>SUBIÓ</val>
              </value>
              <value>
                <val>-0.96529968454258674</val>
              </value>
              <value t="str">
                <val>BAJO</val>
              </value>
              <value>
                <val>0.25645028004774573</val>
              </value>
              <value t="str">
                <val>SUBIÓ</val>
              </value>
              <value>
                <val>-0.21622734761120266</val>
              </value>
              <value t="str">
                <val>BAJO</val>
              </value>
              <value>
                <val>-0.43674698795180722</val>
              </value>
              <value t="str">
                <val>BAJO</val>
              </value>
              <value>
                <val>0.4188303341902313</val>
              </value>
              <value t="str">
                <val>SUBIÓ</val>
              </value>
              <value>
                <val>0.39441273655752473</val>
              </value>
              <value t="str">
                <val>SUBIÓ</val>
              </value>
              <value>
                <val>0.3372902169463774</val>
              </value>
              <value t="str">
                <val>SUBIÓ</val>
              </value>
              <value>
                <val>1.1712867421495909E-2</val>
              </value>
              <value t="str">
                <val>SUBIÓ</val>
              </value>
              <value>
                <val>-0.16764839148164923</val>
              </value>
              <value t="str">
                <val>BAJO</val>
              </value>
              <value>
                <val>0.13168843862684754</val>
              </value>
              <value t="str">
                <val>SUBIÓ</val>
              </value>
              <value>
                <val>0.16240987156040432</val>
              </value>
              <value t="str">
                <val>SUBIÓ</val>
              </value>
              <value>
                <val>0.10688348925305036</val>
              </value>
              <value t="str">
                <val>SUBIÓ</val>
              </value>
              <value>
                <val>7.7729911968533516E-2</val>
              </value>
              <value t="str">
                <val>SUBIÓ</val>
              </value>
              <value>
                <val>6.1511642385755128E-2</val>
              </value>
              <value t="str">
                <val>SUBIÓ</val>
              </value>
              <value>
                <val>0.20012468827930174</val>
              </value>
              <value t="str">
                <val>SUBIÓ</val>
              </value>
              <value>
                <val>0.18164735358596928</val>
              </value>
              <value t="str">
                <val>SUBIÓ</val>
              </value>
              <value>
                <val>-0.26678416920365322</val>
              </value>
              <value t="str">
                <val>BAJO</val>
              </value>
              <value>
                <val>-0.30879086004443035</val>
              </value>
              <value t="str">
                <val>BAJO</val>
              </value>
              <value>
                <val>-0.12213277936466715</val>
              </value>
              <value t="str">
                <val>BAJO</val>
              </value>
              <value>
                <val>-0.11237264939936131</val>
              </value>
              <value t="str">
                <val>BAJO</val>
              </value>
              <value>
                <val>0.98611111111111116</val>
              </value>
              <value t="str">
                <val>SUBIÓ</val>
              </value>
              <value>
                <val>8.4438241451500362E-2</val>
              </value>
              <value t="str">
                <val>SUBIÓ</val>
              </value>
              <value>
                <val>0.19516102530397639</val>
              </value>
              <value t="str">
                <val>SUBIÓ</val>
              </value>
              <value>
                <val>-2.8377640913697655E-2</val>
              </value>
              <value t="str">
                <val>BAJO</val>
              </value>
              <value>
                <val>8.2589928057553941E-2</val>
              </value>
              <value t="str">
                <val>SUBIÓ</val>
              </value>
              <value>
                <val>0.5635120546959338</val>
              </value>
              <value t="str">
                <val>SUBIÓ</val>
              </value>
              <value>
                <val>0.65145716808949072</val>
              </value>
              <value t="str">
                <val>SUBIÓ</val>
              </value>
              <value>
                <val>-0.44110854503464203</val>
              </value>
              <value t="str">
                <val>BAJO</val>
              </value>
              <value>
                <val>-2.1200358315915158E-2</val>
              </value>
              <value t="str">
                <val>BAJO</val>
              </value>
              <value>
                <val>0.16570796460176984</val>
              </value>
              <value t="str">
                <val>SUBIÓ</val>
              </value>
              <value>
                <val>4.1561257679797681E-2</val>
              </value>
              <value t="str">
                <val>SUBIÓ</val>
              </value>
              <value>
                <val>5.3769340502578755E-2</val>
              </value>
              <value t="str">
                <val>SUBIÓ</val>
              </value>
              <value>
                <val>5.7119409109560815E-2</val>
              </value>
              <value t="str">
                <val>SUBIÓ</val>
              </value>
              <value>
                <val>-0.19512195121951215</val>
              </value>
              <value t="str">
                <val>BAJO</val>
              </value>
              <value>
                <val>-1</val>
              </value>
              <value t="str">
                <val>BAJO</val>
              </value>
              <value>
                <val>-0.51877506379876048</val>
              </value>
              <value t="str">
                <val>BAJO</val>
              </value>
              <value>
                <val>2.6014175840747944E-2</val>
              </value>
              <value t="str">
                <val>SUBIÓ</val>
              </value>
              <value>
                <val>6.7623167000738338E-2</val>
              </value>
              <value t="str">
                <val>SUBIÓ</val>
              </value>
              <value>
                <val>0.12244897959183665</val>
              </value>
              <value t="str">
                <val>SUBIÓ</val>
              </value>
              <value>
                <val>0.12896028558679151</val>
              </value>
              <value t="str">
                <val>SUBIÓ</val>
              </value>
              <value>
                <val>-8.4509049451332419E-2</val>
              </value>
              <value t="str">
                <val>BAJO</val>
              </value>
              <value>
                <val>3.9318283749439242E-2</val>
              </value>
              <value t="str">
                <val>SUBIÓ</val>
              </value>
              <value>
                <val>-0.47776940467219298</val>
              </value>
              <value t="str">
                <val>BAJO</val>
              </value>
              <value>
                <val>-0.44787644787644787</val>
              </value>
              <value t="str">
                <val>BAJO</val>
              </value>
              <value>
                <val>-0.3835164835164836</val>
              </value>
              <value t="str">
                <val>BAJO</val>
              </value>
              <value>
                <val>-0.32123411978221417</val>
              </value>
              <value t="str">
                <val>BAJO</val>
              </value>
            </x14:values>
          </x14:oleItem>
        </mc:Choice>
        <mc:Fallback>
          <oleItem name="!DESV. VTS BY SKU!F4C7:F50C8" advise="1"/>
        </mc:Fallback>
      </mc:AlternateContent>
    </oleItems>
  </oleLin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E2" sqref="E2"/>
    </sheetView>
  </sheetViews>
  <sheetFormatPr baseColWidth="10" defaultColWidth="9.109375" defaultRowHeight="13.2" x14ac:dyDescent="0.25"/>
  <cols>
    <col min="1" max="1" width="17.6640625" customWidth="1"/>
    <col min="2" max="2" width="38" customWidth="1"/>
    <col min="3" max="3" width="17.6640625" customWidth="1"/>
    <col min="4" max="4" width="24" customWidth="1"/>
    <col min="5" max="5" width="24.6640625" customWidth="1"/>
    <col min="6" max="8" width="17.6640625" customWidth="1"/>
    <col min="10" max="10" width="17.6640625" customWidth="1"/>
  </cols>
  <sheetData>
    <row r="1" spans="1:8" x14ac:dyDescent="0.25">
      <c r="A1" t="s">
        <v>0</v>
      </c>
      <c r="B1" t="s">
        <v>1</v>
      </c>
      <c r="C1" s="3" t="s">
        <v>56</v>
      </c>
      <c r="D1" s="3" t="s">
        <v>62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5">
      <c r="A2">
        <v>110150</v>
      </c>
      <c r="B2" t="s">
        <v>4</v>
      </c>
      <c r="C2" s="3" t="s">
        <v>51</v>
      </c>
      <c r="D2" s="4">
        <v>1210.5</v>
      </c>
      <c r="E2" s="4">
        <f t="array" aca="1" ref="E2:E48" ca="1">[1]!'!DESV. VTS BY SKU!F4C6:F50C6'</f>
        <v>1379.5</v>
      </c>
      <c r="F2" s="5">
        <f t="array" aca="1" ref="F2:G48" ca="1">[1]!'!DESV. VTS BY SKU!F4C7:F50C8'</f>
        <v>0.13961173068979771</v>
      </c>
      <c r="G2" s="7" t="str">
        <f ca="1"/>
        <v>SUBIÓ</v>
      </c>
      <c r="H2">
        <v>1.36</v>
      </c>
    </row>
    <row r="3" spans="1:8" x14ac:dyDescent="0.25">
      <c r="A3">
        <v>110151</v>
      </c>
      <c r="B3" t="s">
        <v>5</v>
      </c>
      <c r="C3" s="3" t="s">
        <v>51</v>
      </c>
      <c r="D3" s="4">
        <v>43.227272727272727</v>
      </c>
      <c r="E3" s="4">
        <f ca="1"/>
        <v>1.5</v>
      </c>
      <c r="F3" s="6">
        <f ca="1"/>
        <v>-0.96529968454258674</v>
      </c>
      <c r="G3" s="7" t="str">
        <f ca="1"/>
        <v>BAJO</v>
      </c>
      <c r="H3">
        <v>1.59</v>
      </c>
    </row>
    <row r="4" spans="1:8" x14ac:dyDescent="0.25">
      <c r="A4">
        <v>110230</v>
      </c>
      <c r="B4" t="s">
        <v>6</v>
      </c>
      <c r="C4" s="3" t="s">
        <v>51</v>
      </c>
      <c r="D4" s="4">
        <v>495.04545454545456</v>
      </c>
      <c r="E4" s="4">
        <f ca="1"/>
        <v>622</v>
      </c>
      <c r="F4" s="5">
        <f ca="1"/>
        <v>0.25645028004774573</v>
      </c>
      <c r="G4" s="7" t="str">
        <f ca="1"/>
        <v>SUBIÓ</v>
      </c>
      <c r="H4">
        <v>2.0299999999999998</v>
      </c>
    </row>
    <row r="5" spans="1:8" x14ac:dyDescent="0.25">
      <c r="A5">
        <v>110400</v>
      </c>
      <c r="B5" t="s">
        <v>7</v>
      </c>
      <c r="C5" s="3" t="s">
        <v>51</v>
      </c>
      <c r="D5" s="4">
        <v>110.36363636363636</v>
      </c>
      <c r="E5" s="4">
        <f ca="1"/>
        <v>86.5</v>
      </c>
      <c r="F5" s="6">
        <f ca="1"/>
        <v>-0.21622734761120266</v>
      </c>
      <c r="G5" s="7" t="str">
        <f ca="1"/>
        <v>BAJO</v>
      </c>
      <c r="H5">
        <v>3.61</v>
      </c>
    </row>
    <row r="6" spans="1:8" x14ac:dyDescent="0.25">
      <c r="A6">
        <v>111000</v>
      </c>
      <c r="B6" t="s">
        <v>8</v>
      </c>
      <c r="C6" s="3" t="s">
        <v>51</v>
      </c>
      <c r="D6" s="4">
        <v>15.090909090909092</v>
      </c>
      <c r="E6" s="4">
        <f ca="1"/>
        <v>8.5</v>
      </c>
      <c r="F6" s="5">
        <f ca="1"/>
        <v>-0.43674698795180722</v>
      </c>
      <c r="G6" s="7" t="str">
        <f ca="1"/>
        <v>BAJO</v>
      </c>
      <c r="H6">
        <v>8.7799999999999994</v>
      </c>
    </row>
    <row r="7" spans="1:8" x14ac:dyDescent="0.25">
      <c r="A7">
        <v>120130</v>
      </c>
      <c r="B7" t="s">
        <v>9</v>
      </c>
      <c r="C7" s="3" t="s">
        <v>54</v>
      </c>
      <c r="D7" s="4">
        <v>1414.5454545454545</v>
      </c>
      <c r="E7" s="4">
        <f ca="1"/>
        <v>2007</v>
      </c>
      <c r="F7" s="6">
        <f ca="1"/>
        <v>0.4188303341902313</v>
      </c>
      <c r="G7" s="7" t="str">
        <f ca="1"/>
        <v>SUBIÓ</v>
      </c>
      <c r="H7">
        <v>0.63</v>
      </c>
    </row>
    <row r="8" spans="1:8" x14ac:dyDescent="0.25">
      <c r="A8">
        <v>120131</v>
      </c>
      <c r="B8" t="s">
        <v>10</v>
      </c>
      <c r="C8" s="3" t="s">
        <v>54</v>
      </c>
      <c r="D8" s="4">
        <v>151.31818181818181</v>
      </c>
      <c r="E8" s="4">
        <f ca="1"/>
        <v>211</v>
      </c>
      <c r="F8" s="5">
        <f ca="1"/>
        <v>0.39441273655752473</v>
      </c>
      <c r="G8" s="7" t="str">
        <f ca="1"/>
        <v>SUBIÓ</v>
      </c>
      <c r="H8">
        <v>0.63</v>
      </c>
    </row>
    <row r="9" spans="1:8" x14ac:dyDescent="0.25">
      <c r="A9">
        <v>120132</v>
      </c>
      <c r="B9" t="s">
        <v>11</v>
      </c>
      <c r="C9" s="3" t="s">
        <v>54</v>
      </c>
      <c r="D9" s="4">
        <v>333.13636363636363</v>
      </c>
      <c r="E9" s="4">
        <f ca="1"/>
        <v>445.5</v>
      </c>
      <c r="F9" s="6">
        <f ca="1"/>
        <v>0.3372902169463774</v>
      </c>
      <c r="G9" s="7" t="str">
        <f ca="1"/>
        <v>SUBIÓ</v>
      </c>
      <c r="H9">
        <v>0.63</v>
      </c>
    </row>
    <row r="10" spans="1:8" x14ac:dyDescent="0.25">
      <c r="A10">
        <v>130150</v>
      </c>
      <c r="B10" t="s">
        <v>12</v>
      </c>
      <c r="C10" s="3" t="s">
        <v>52</v>
      </c>
      <c r="D10" s="4">
        <v>814.9545454545455</v>
      </c>
      <c r="E10" s="4">
        <f ca="1"/>
        <v>824.5</v>
      </c>
      <c r="F10" s="5">
        <f ca="1"/>
        <v>1.1712867421495909E-2</v>
      </c>
      <c r="G10" s="7" t="str">
        <f ca="1"/>
        <v>SUBIÓ</v>
      </c>
      <c r="H10">
        <v>1.0900000000000001</v>
      </c>
    </row>
    <row r="11" spans="1:8" x14ac:dyDescent="0.25">
      <c r="A11">
        <v>130151</v>
      </c>
      <c r="B11" t="s">
        <v>13</v>
      </c>
      <c r="C11" s="3" t="s">
        <v>52</v>
      </c>
      <c r="D11" s="4">
        <v>401.27272727272725</v>
      </c>
      <c r="E11" s="4">
        <f ca="1"/>
        <v>334</v>
      </c>
      <c r="F11" s="6">
        <f ca="1"/>
        <v>-0.16764839148164923</v>
      </c>
      <c r="G11" s="7" t="str">
        <f ca="1"/>
        <v>BAJO</v>
      </c>
      <c r="H11">
        <v>1.0900000000000001</v>
      </c>
    </row>
    <row r="12" spans="1:8" x14ac:dyDescent="0.25">
      <c r="A12">
        <v>130152</v>
      </c>
      <c r="B12" t="s">
        <v>14</v>
      </c>
      <c r="C12" s="3" t="s">
        <v>52</v>
      </c>
      <c r="D12" s="4">
        <v>3441.318181818182</v>
      </c>
      <c r="E12" s="4">
        <f ca="1"/>
        <v>3894.5</v>
      </c>
      <c r="F12" s="5">
        <f ca="1"/>
        <v>0.13168843862684754</v>
      </c>
      <c r="G12" s="7" t="str">
        <f ca="1"/>
        <v>SUBIÓ</v>
      </c>
      <c r="H12">
        <v>1.1599999999999999</v>
      </c>
    </row>
    <row r="13" spans="1:8" x14ac:dyDescent="0.25">
      <c r="A13">
        <v>130153</v>
      </c>
      <c r="B13" t="s">
        <v>15</v>
      </c>
      <c r="C13" s="3" t="s">
        <v>52</v>
      </c>
      <c r="D13" s="4">
        <v>2162.318181818182</v>
      </c>
      <c r="E13" s="4">
        <f ca="1"/>
        <v>2513.5</v>
      </c>
      <c r="F13" s="6">
        <f ca="1"/>
        <v>0.16240987156040432</v>
      </c>
      <c r="G13" s="7" t="str">
        <f ca="1"/>
        <v>SUBIÓ</v>
      </c>
      <c r="H13">
        <v>1.1599999999999999</v>
      </c>
    </row>
    <row r="14" spans="1:8" x14ac:dyDescent="0.25">
      <c r="A14">
        <v>130154</v>
      </c>
      <c r="B14" t="s">
        <v>16</v>
      </c>
      <c r="C14" s="3" t="s">
        <v>52</v>
      </c>
      <c r="D14" s="4">
        <v>2171.8636363636365</v>
      </c>
      <c r="E14" s="4">
        <f ca="1"/>
        <v>2404</v>
      </c>
      <c r="F14" s="5">
        <f ca="1"/>
        <v>0.10688348925305036</v>
      </c>
      <c r="G14" s="7" t="str">
        <f ca="1"/>
        <v>SUBIÓ</v>
      </c>
      <c r="H14">
        <v>1.1599999999999999</v>
      </c>
    </row>
    <row r="15" spans="1:8" x14ac:dyDescent="0.25">
      <c r="A15">
        <v>130155</v>
      </c>
      <c r="B15" t="s">
        <v>17</v>
      </c>
      <c r="C15" s="3" t="s">
        <v>52</v>
      </c>
      <c r="D15" s="4">
        <v>2669.5</v>
      </c>
      <c r="E15" s="4">
        <f ca="1"/>
        <v>2877</v>
      </c>
      <c r="F15" s="6">
        <f ca="1"/>
        <v>7.7729911968533516E-2</v>
      </c>
      <c r="G15" s="7" t="str">
        <f ca="1"/>
        <v>SUBIÓ</v>
      </c>
      <c r="H15">
        <v>1.1599999999999999</v>
      </c>
    </row>
    <row r="16" spans="1:8" x14ac:dyDescent="0.25">
      <c r="A16">
        <v>130157</v>
      </c>
      <c r="B16" t="s">
        <v>59</v>
      </c>
      <c r="C16" s="3" t="s">
        <v>52</v>
      </c>
      <c r="D16" s="4">
        <v>730.09090909090912</v>
      </c>
      <c r="E16" s="4">
        <f ca="1"/>
        <v>775</v>
      </c>
      <c r="F16" s="6">
        <f ca="1"/>
        <v>6.1511642385755128E-2</v>
      </c>
      <c r="G16" s="7" t="str">
        <f ca="1"/>
        <v>SUBIÓ</v>
      </c>
      <c r="H16">
        <v>1.1599999999999999</v>
      </c>
    </row>
    <row r="17" spans="1:8" x14ac:dyDescent="0.25">
      <c r="A17">
        <v>130158</v>
      </c>
      <c r="B17" t="s">
        <v>60</v>
      </c>
      <c r="C17" s="3" t="s">
        <v>52</v>
      </c>
      <c r="D17" s="4">
        <v>874.90909090909088</v>
      </c>
      <c r="E17" s="4">
        <f ca="1"/>
        <v>1050</v>
      </c>
      <c r="F17" s="6">
        <f ca="1"/>
        <v>0.20012468827930174</v>
      </c>
      <c r="G17" s="7" t="str">
        <f ca="1"/>
        <v>SUBIÓ</v>
      </c>
      <c r="H17">
        <v>1.1599999999999999</v>
      </c>
    </row>
    <row r="18" spans="1:8" x14ac:dyDescent="0.25">
      <c r="A18">
        <v>130159</v>
      </c>
      <c r="B18" t="s">
        <v>61</v>
      </c>
      <c r="C18" s="3" t="s">
        <v>52</v>
      </c>
      <c r="D18" s="4">
        <v>870.81818181818187</v>
      </c>
      <c r="E18" s="4">
        <f ca="1"/>
        <v>1029</v>
      </c>
      <c r="F18" s="6">
        <f ca="1"/>
        <v>0.18164735358596928</v>
      </c>
      <c r="G18" s="7" t="str">
        <f ca="1"/>
        <v>SUBIÓ</v>
      </c>
      <c r="H18">
        <v>1.1599999999999999</v>
      </c>
    </row>
    <row r="19" spans="1:8" x14ac:dyDescent="0.25">
      <c r="A19">
        <v>130700</v>
      </c>
      <c r="B19" t="s">
        <v>18</v>
      </c>
      <c r="C19" s="3" t="s">
        <v>52</v>
      </c>
      <c r="D19" s="4">
        <v>283.68181818181819</v>
      </c>
      <c r="E19" s="4">
        <f ca="1"/>
        <v>208</v>
      </c>
      <c r="F19" s="6">
        <f ca="1"/>
        <v>-0.26678416920365322</v>
      </c>
      <c r="G19" s="7" t="str">
        <f ca="1"/>
        <v>BAJO</v>
      </c>
      <c r="H19">
        <v>3.68</v>
      </c>
    </row>
    <row r="20" spans="1:8" x14ac:dyDescent="0.25">
      <c r="A20">
        <v>130701</v>
      </c>
      <c r="B20" t="s">
        <v>19</v>
      </c>
      <c r="C20" s="3" t="s">
        <v>52</v>
      </c>
      <c r="D20" s="4">
        <v>143.22727272727272</v>
      </c>
      <c r="E20" s="4">
        <f ca="1"/>
        <v>99</v>
      </c>
      <c r="F20" s="5">
        <f ca="1"/>
        <v>-0.30879086004443035</v>
      </c>
      <c r="G20" s="7" t="str">
        <f ca="1"/>
        <v>BAJO</v>
      </c>
      <c r="H20">
        <v>3.68</v>
      </c>
    </row>
    <row r="21" spans="1:8" x14ac:dyDescent="0.25">
      <c r="A21">
        <v>130702</v>
      </c>
      <c r="B21" t="s">
        <v>20</v>
      </c>
      <c r="C21" s="3" t="s">
        <v>52</v>
      </c>
      <c r="D21" s="4">
        <v>525.13636363636363</v>
      </c>
      <c r="E21" s="4">
        <f ca="1"/>
        <v>461</v>
      </c>
      <c r="F21" s="6">
        <f ca="1"/>
        <v>-0.12213277936466715</v>
      </c>
      <c r="G21" s="7" t="str">
        <f ca="1"/>
        <v>BAJO</v>
      </c>
      <c r="H21">
        <v>4.1500000000000004</v>
      </c>
    </row>
    <row r="22" spans="1:8" x14ac:dyDescent="0.25">
      <c r="A22">
        <v>130703</v>
      </c>
      <c r="B22" t="s">
        <v>21</v>
      </c>
      <c r="C22" s="3" t="s">
        <v>52</v>
      </c>
      <c r="D22" s="4">
        <v>896.77272727272725</v>
      </c>
      <c r="E22" s="4">
        <f ca="1"/>
        <v>796</v>
      </c>
      <c r="F22" s="5">
        <f ca="1"/>
        <v>-0.11237264939936131</v>
      </c>
      <c r="G22" s="7" t="str">
        <f ca="1"/>
        <v>BAJO</v>
      </c>
      <c r="H22">
        <v>4.1500000000000004</v>
      </c>
    </row>
    <row r="23" spans="1:8" x14ac:dyDescent="0.25">
      <c r="A23">
        <v>130707</v>
      </c>
      <c r="B23" t="s">
        <v>22</v>
      </c>
      <c r="C23" s="3" t="s">
        <v>52</v>
      </c>
      <c r="D23" s="4">
        <v>65.454545454545453</v>
      </c>
      <c r="E23" s="4">
        <f ca="1"/>
        <v>130</v>
      </c>
      <c r="F23" s="5">
        <f ca="1"/>
        <v>0.98611111111111116</v>
      </c>
      <c r="G23" s="7" t="str">
        <f ca="1"/>
        <v>SUBIÓ</v>
      </c>
      <c r="H23">
        <v>4.1500000000000004</v>
      </c>
    </row>
    <row r="24" spans="1:8" x14ac:dyDescent="0.25">
      <c r="A24">
        <v>131150</v>
      </c>
      <c r="B24" t="s">
        <v>23</v>
      </c>
      <c r="C24" s="3" t="s">
        <v>55</v>
      </c>
      <c r="D24" s="4">
        <v>716.5</v>
      </c>
      <c r="E24" s="4">
        <f ca="1"/>
        <v>777</v>
      </c>
      <c r="F24" s="6">
        <f ca="1"/>
        <v>8.4438241451500362E-2</v>
      </c>
      <c r="G24" s="7" t="str">
        <f ca="1"/>
        <v>SUBIÓ</v>
      </c>
      <c r="H24">
        <v>1.63</v>
      </c>
    </row>
    <row r="25" spans="1:8" x14ac:dyDescent="0.25">
      <c r="A25">
        <v>131151</v>
      </c>
      <c r="B25" t="s">
        <v>24</v>
      </c>
      <c r="C25" s="3" t="s">
        <v>55</v>
      </c>
      <c r="D25" s="4">
        <v>1106.5454545454545</v>
      </c>
      <c r="E25" s="4">
        <f ca="1"/>
        <v>1322.5</v>
      </c>
      <c r="F25" s="5">
        <f ca="1"/>
        <v>0.19516102530397639</v>
      </c>
      <c r="G25" s="7" t="str">
        <f ca="1"/>
        <v>SUBIÓ</v>
      </c>
      <c r="H25">
        <v>1.63</v>
      </c>
    </row>
    <row r="26" spans="1:8" x14ac:dyDescent="0.25">
      <c r="A26">
        <v>131152</v>
      </c>
      <c r="B26" t="s">
        <v>25</v>
      </c>
      <c r="C26" s="3" t="s">
        <v>55</v>
      </c>
      <c r="D26" s="4">
        <v>583.0454545454545</v>
      </c>
      <c r="E26" s="4">
        <f ca="1"/>
        <v>566.5</v>
      </c>
      <c r="F26" s="6">
        <f ca="1"/>
        <v>-2.8377640913697655E-2</v>
      </c>
      <c r="G26" s="7" t="str">
        <f ca="1"/>
        <v>BAJO</v>
      </c>
      <c r="H26">
        <v>1.63</v>
      </c>
    </row>
    <row r="27" spans="1:8" x14ac:dyDescent="0.25">
      <c r="A27">
        <v>131153</v>
      </c>
      <c r="B27" t="s">
        <v>26</v>
      </c>
      <c r="C27" s="3" t="s">
        <v>55</v>
      </c>
      <c r="D27" s="4">
        <v>473.86363636363637</v>
      </c>
      <c r="E27" s="4">
        <f ca="1"/>
        <v>513</v>
      </c>
      <c r="F27" s="5">
        <f ca="1"/>
        <v>8.2589928057553941E-2</v>
      </c>
      <c r="G27" s="7" t="str">
        <f ca="1"/>
        <v>SUBIÓ</v>
      </c>
      <c r="H27">
        <v>1.63</v>
      </c>
    </row>
    <row r="28" spans="1:8" x14ac:dyDescent="0.25">
      <c r="A28">
        <v>131154</v>
      </c>
      <c r="B28" t="s">
        <v>57</v>
      </c>
      <c r="C28" s="3" t="s">
        <v>55</v>
      </c>
      <c r="D28" s="4">
        <v>252.63636363636363</v>
      </c>
      <c r="E28" s="4">
        <f ca="1"/>
        <v>395</v>
      </c>
      <c r="F28" s="5">
        <f ca="1"/>
        <v>0.5635120546959338</v>
      </c>
      <c r="G28" s="7" t="str">
        <f ca="1"/>
        <v>SUBIÓ</v>
      </c>
      <c r="H28">
        <v>1.63</v>
      </c>
    </row>
    <row r="29" spans="1:8" x14ac:dyDescent="0.25">
      <c r="A29">
        <v>131155</v>
      </c>
      <c r="B29" t="s">
        <v>58</v>
      </c>
      <c r="C29" s="3" t="s">
        <v>55</v>
      </c>
      <c r="D29" s="4">
        <v>308.81818181818181</v>
      </c>
      <c r="E29" s="4">
        <f ca="1"/>
        <v>510</v>
      </c>
      <c r="F29" s="5">
        <f ca="1"/>
        <v>0.65145716808949072</v>
      </c>
      <c r="G29" s="7" t="str">
        <f ca="1"/>
        <v>SUBIÓ</v>
      </c>
      <c r="H29">
        <v>1.63</v>
      </c>
    </row>
    <row r="30" spans="1:8" x14ac:dyDescent="0.25">
      <c r="A30">
        <v>131700</v>
      </c>
      <c r="B30" t="s">
        <v>27</v>
      </c>
      <c r="C30" s="3" t="s">
        <v>55</v>
      </c>
      <c r="D30" s="4">
        <v>137.77272727272728</v>
      </c>
      <c r="E30" s="4">
        <f ca="1"/>
        <v>77</v>
      </c>
      <c r="F30" s="6">
        <f ca="1"/>
        <v>-0.44110854503464203</v>
      </c>
      <c r="G30" s="7" t="str">
        <f ca="1"/>
        <v>BAJO</v>
      </c>
      <c r="H30">
        <v>6.15</v>
      </c>
    </row>
    <row r="31" spans="1:8" x14ac:dyDescent="0.25">
      <c r="A31">
        <v>131701</v>
      </c>
      <c r="B31" t="s">
        <v>28</v>
      </c>
      <c r="C31" s="3" t="s">
        <v>55</v>
      </c>
      <c r="D31" s="4">
        <v>152.22727272727272</v>
      </c>
      <c r="E31" s="4">
        <f ca="1"/>
        <v>149</v>
      </c>
      <c r="F31" s="5">
        <f ca="1"/>
        <v>-2.1200358315915158E-2</v>
      </c>
      <c r="G31" s="7" t="str">
        <f ca="1"/>
        <v>BAJO</v>
      </c>
      <c r="H31">
        <v>6.15</v>
      </c>
    </row>
    <row r="32" spans="1:8" x14ac:dyDescent="0.25">
      <c r="A32">
        <v>132150</v>
      </c>
      <c r="B32" t="s">
        <v>29</v>
      </c>
      <c r="C32" s="3" t="s">
        <v>52</v>
      </c>
      <c r="D32" s="4">
        <v>821.81818181818187</v>
      </c>
      <c r="E32" s="4">
        <f ca="1"/>
        <v>958</v>
      </c>
      <c r="F32" s="6">
        <f ca="1"/>
        <v>0.16570796460176984</v>
      </c>
      <c r="G32" s="7" t="str">
        <f ca="1"/>
        <v>SUBIÓ</v>
      </c>
      <c r="H32">
        <v>1.1599999999999999</v>
      </c>
    </row>
    <row r="33" spans="1:8" x14ac:dyDescent="0.25">
      <c r="A33">
        <v>132151</v>
      </c>
      <c r="B33" t="s">
        <v>30</v>
      </c>
      <c r="C33" s="3" t="s">
        <v>52</v>
      </c>
      <c r="D33" s="4">
        <v>628.86363636363637</v>
      </c>
      <c r="E33" s="4">
        <f ca="1"/>
        <v>655</v>
      </c>
      <c r="F33" s="5">
        <f ca="1"/>
        <v>4.1561257679797681E-2</v>
      </c>
      <c r="G33" s="7" t="str">
        <f ca="1"/>
        <v>SUBIÓ</v>
      </c>
      <c r="H33">
        <v>1.1599999999999999</v>
      </c>
    </row>
    <row r="34" spans="1:8" x14ac:dyDescent="0.25">
      <c r="A34">
        <v>132152</v>
      </c>
      <c r="B34" t="s">
        <v>31</v>
      </c>
      <c r="C34" s="3" t="s">
        <v>52</v>
      </c>
      <c r="D34" s="4">
        <v>828.4545454545455</v>
      </c>
      <c r="E34" s="4">
        <f ca="1"/>
        <v>873</v>
      </c>
      <c r="F34" s="6">
        <f ca="1"/>
        <v>5.3769340502578755E-2</v>
      </c>
      <c r="G34" s="7" t="str">
        <f ca="1"/>
        <v>SUBIÓ</v>
      </c>
      <c r="H34">
        <v>1.1599999999999999</v>
      </c>
    </row>
    <row r="35" spans="1:8" x14ac:dyDescent="0.25">
      <c r="A35">
        <v>132153</v>
      </c>
      <c r="B35" t="s">
        <v>32</v>
      </c>
      <c r="C35" s="3" t="s">
        <v>52</v>
      </c>
      <c r="D35" s="4">
        <v>553.86363636363637</v>
      </c>
      <c r="E35" s="4">
        <f ca="1"/>
        <v>585.5</v>
      </c>
      <c r="F35" s="5">
        <f ca="1"/>
        <v>5.7119409109560815E-2</v>
      </c>
      <c r="G35" s="7" t="str">
        <f ca="1"/>
        <v>SUBIÓ</v>
      </c>
      <c r="H35">
        <v>1.1599999999999999</v>
      </c>
    </row>
    <row r="36" spans="1:8" x14ac:dyDescent="0.25">
      <c r="A36" s="8">
        <v>134000</v>
      </c>
      <c r="B36" t="s">
        <v>40</v>
      </c>
      <c r="C36" s="3" t="s">
        <v>52</v>
      </c>
      <c r="D36" s="4">
        <v>3.7272727272727271</v>
      </c>
      <c r="E36" s="4">
        <f ca="1"/>
        <v>3</v>
      </c>
      <c r="F36" s="6">
        <f ca="1"/>
        <v>-0.19512195121951215</v>
      </c>
      <c r="G36" s="7" t="str">
        <f ca="1"/>
        <v>BAJO</v>
      </c>
      <c r="H36">
        <v>18</v>
      </c>
    </row>
    <row r="37" spans="1:8" x14ac:dyDescent="0.25">
      <c r="A37" s="8">
        <v>134001</v>
      </c>
      <c r="B37" t="s">
        <v>39</v>
      </c>
      <c r="C37" s="3" t="s">
        <v>52</v>
      </c>
      <c r="D37" s="4">
        <v>0.5</v>
      </c>
      <c r="E37" s="4">
        <f ca="1"/>
        <v>0</v>
      </c>
      <c r="F37" s="5">
        <f ca="1"/>
        <v>-1</v>
      </c>
      <c r="G37" s="7" t="str">
        <f ca="1"/>
        <v>BAJO</v>
      </c>
      <c r="H37">
        <v>18</v>
      </c>
    </row>
    <row r="38" spans="1:8" x14ac:dyDescent="0.25">
      <c r="A38">
        <v>140230</v>
      </c>
      <c r="B38" t="s">
        <v>33</v>
      </c>
      <c r="C38" s="3" t="s">
        <v>52</v>
      </c>
      <c r="D38" s="4">
        <v>124.68181818181819</v>
      </c>
      <c r="E38" s="4">
        <f ca="1"/>
        <v>60</v>
      </c>
      <c r="F38" s="6">
        <f ca="1"/>
        <v>-0.51877506379876048</v>
      </c>
      <c r="G38" s="7" t="str">
        <f ca="1"/>
        <v>BAJO</v>
      </c>
      <c r="H38">
        <v>1.1599999999999999</v>
      </c>
    </row>
    <row r="39" spans="1:8" x14ac:dyDescent="0.25">
      <c r="A39">
        <v>140231</v>
      </c>
      <c r="B39" t="s">
        <v>34</v>
      </c>
      <c r="C39" s="3" t="s">
        <v>52</v>
      </c>
      <c r="D39" s="4">
        <v>602.81818181818187</v>
      </c>
      <c r="E39" s="4">
        <f ca="1"/>
        <v>618.5</v>
      </c>
      <c r="F39" s="5">
        <f ca="1"/>
        <v>2.6014175840747944E-2</v>
      </c>
      <c r="G39" s="7" t="str">
        <f ca="1"/>
        <v>SUBIÓ</v>
      </c>
      <c r="H39">
        <v>1.1599999999999999</v>
      </c>
    </row>
    <row r="40" spans="1:8" x14ac:dyDescent="0.25">
      <c r="A40">
        <v>140232</v>
      </c>
      <c r="B40" t="s">
        <v>35</v>
      </c>
      <c r="C40" s="3" t="s">
        <v>52</v>
      </c>
      <c r="D40" s="4">
        <v>430.86363636363637</v>
      </c>
      <c r="E40" s="4">
        <f ca="1"/>
        <v>460</v>
      </c>
      <c r="F40" s="6">
        <f ca="1"/>
        <v>6.7623167000738338E-2</v>
      </c>
      <c r="G40" s="7" t="str">
        <f ca="1"/>
        <v>SUBIÓ</v>
      </c>
      <c r="H40">
        <v>1.1599999999999999</v>
      </c>
    </row>
    <row r="41" spans="1:8" x14ac:dyDescent="0.25">
      <c r="A41">
        <v>150360</v>
      </c>
      <c r="B41" t="s">
        <v>45</v>
      </c>
      <c r="C41" s="3" t="s">
        <v>53</v>
      </c>
      <c r="D41" s="4">
        <v>276.18181818181819</v>
      </c>
      <c r="E41" s="4">
        <f ca="1"/>
        <v>310</v>
      </c>
      <c r="F41" s="5">
        <f ca="1"/>
        <v>0.12244897959183665</v>
      </c>
      <c r="G41" s="7" t="str">
        <f ca="1"/>
        <v>SUBIÓ</v>
      </c>
      <c r="H41">
        <v>0.81</v>
      </c>
    </row>
    <row r="42" spans="1:8" x14ac:dyDescent="0.25">
      <c r="A42">
        <v>150361</v>
      </c>
      <c r="B42" t="s">
        <v>36</v>
      </c>
      <c r="C42" s="3" t="s">
        <v>53</v>
      </c>
      <c r="D42" s="4">
        <v>509.31818181818181</v>
      </c>
      <c r="E42" s="4">
        <f ca="1"/>
        <v>575</v>
      </c>
      <c r="F42" s="6">
        <f ca="1"/>
        <v>0.12896028558679151</v>
      </c>
      <c r="G42" s="7" t="str">
        <f ca="1"/>
        <v>SUBIÓ</v>
      </c>
      <c r="H42">
        <v>0.81</v>
      </c>
    </row>
    <row r="43" spans="1:8" x14ac:dyDescent="0.25">
      <c r="A43">
        <v>150362</v>
      </c>
      <c r="B43" t="s">
        <v>37</v>
      </c>
      <c r="C43" s="3" t="s">
        <v>53</v>
      </c>
      <c r="D43" s="4">
        <v>318.95454545454544</v>
      </c>
      <c r="E43" s="4">
        <f ca="1"/>
        <v>292</v>
      </c>
      <c r="F43" s="5">
        <f ca="1"/>
        <v>-8.4509049451332419E-2</v>
      </c>
      <c r="G43" s="7" t="str">
        <f ca="1"/>
        <v>BAJO</v>
      </c>
      <c r="H43">
        <v>0.81</v>
      </c>
    </row>
    <row r="44" spans="1:8" x14ac:dyDescent="0.25">
      <c r="A44">
        <v>150363</v>
      </c>
      <c r="B44" t="s">
        <v>38</v>
      </c>
      <c r="C44" s="3" t="s">
        <v>53</v>
      </c>
      <c r="D44" s="4">
        <v>304.04545454545456</v>
      </c>
      <c r="E44" s="4">
        <f ca="1"/>
        <v>316</v>
      </c>
      <c r="F44" s="6">
        <f ca="1"/>
        <v>3.9318283749439242E-2</v>
      </c>
      <c r="G44" s="7" t="str">
        <f ca="1"/>
        <v>SUBIÓ</v>
      </c>
      <c r="H44">
        <v>0.81</v>
      </c>
    </row>
    <row r="45" spans="1:8" x14ac:dyDescent="0.25">
      <c r="A45">
        <v>151500</v>
      </c>
      <c r="B45" t="s">
        <v>46</v>
      </c>
      <c r="C45" s="3" t="s">
        <v>53</v>
      </c>
      <c r="D45" s="4">
        <v>60.31818181818182</v>
      </c>
      <c r="E45" s="4">
        <f ca="1"/>
        <v>31.5</v>
      </c>
      <c r="F45" s="5">
        <f ca="1"/>
        <v>-0.47776940467219298</v>
      </c>
      <c r="G45" s="7" t="str">
        <f ca="1"/>
        <v>BAJO</v>
      </c>
      <c r="H45">
        <v>2.62</v>
      </c>
    </row>
    <row r="46" spans="1:8" x14ac:dyDescent="0.25">
      <c r="A46">
        <v>151501</v>
      </c>
      <c r="B46" t="s">
        <v>47</v>
      </c>
      <c r="C46" s="3" t="s">
        <v>53</v>
      </c>
      <c r="D46" s="4">
        <v>117.72727272727273</v>
      </c>
      <c r="E46" s="4">
        <f ca="1"/>
        <v>65</v>
      </c>
      <c r="F46" s="6">
        <f ca="1"/>
        <v>-0.44787644787644787</v>
      </c>
      <c r="G46" s="7" t="str">
        <f ca="1"/>
        <v>BAJO</v>
      </c>
      <c r="H46">
        <v>2.62</v>
      </c>
    </row>
    <row r="47" spans="1:8" x14ac:dyDescent="0.25">
      <c r="A47">
        <v>151502</v>
      </c>
      <c r="B47" t="s">
        <v>48</v>
      </c>
      <c r="C47" s="3" t="s">
        <v>53</v>
      </c>
      <c r="D47" s="4">
        <v>41.363636363636367</v>
      </c>
      <c r="E47" s="4">
        <f ca="1"/>
        <v>25.5</v>
      </c>
      <c r="F47" s="5">
        <f ca="1"/>
        <v>-0.3835164835164836</v>
      </c>
      <c r="G47" s="7" t="str">
        <f ca="1"/>
        <v>BAJO</v>
      </c>
      <c r="H47">
        <v>2.62</v>
      </c>
    </row>
    <row r="48" spans="1:8" x14ac:dyDescent="0.25">
      <c r="A48">
        <v>151503</v>
      </c>
      <c r="B48" t="s">
        <v>49</v>
      </c>
      <c r="C48" s="3" t="s">
        <v>53</v>
      </c>
      <c r="D48" s="4">
        <v>50.090909090909093</v>
      </c>
      <c r="E48" s="4">
        <f ca="1"/>
        <v>34</v>
      </c>
      <c r="F48" s="6">
        <f ca="1"/>
        <v>-0.32123411978221417</v>
      </c>
      <c r="G48" s="7" t="str">
        <f ca="1"/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>
      <selection activeCell="B2" sqref="B2"/>
    </sheetView>
  </sheetViews>
  <sheetFormatPr baseColWidth="10" defaultColWidth="12.5546875" defaultRowHeight="15.75" customHeight="1" x14ac:dyDescent="0.25"/>
  <sheetData>
    <row r="1" spans="1:2" ht="15.75" customHeight="1" x14ac:dyDescent="0.25">
      <c r="A1" s="1" t="s">
        <v>41</v>
      </c>
      <c r="B1" s="1" t="s">
        <v>42</v>
      </c>
    </row>
    <row r="2" spans="1:2" ht="15.75" customHeight="1" x14ac:dyDescent="0.25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Sapori CA</cp:lastModifiedBy>
  <dcterms:created xsi:type="dcterms:W3CDTF">2026-07-09T19:32:57Z</dcterms:created>
  <dcterms:modified xsi:type="dcterms:W3CDTF">2026-10-06T01:46:54Z</dcterms:modified>
</cp:coreProperties>
</file>