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49D94364-479A-45E7-A3EB-F1618C2025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1" l="1"/>
  <c r="E38" i="1"/>
  <c r="E46" i="1"/>
  <c r="E47" i="1"/>
  <c r="E36" i="1"/>
  <c r="E15" i="1"/>
  <c r="E4" i="1"/>
  <c r="F17" i="1" l="1"/>
  <c r="G17" i="1"/>
  <c r="F38" i="1"/>
  <c r="G38" i="1"/>
  <c r="F46" i="1"/>
  <c r="G46" i="1"/>
  <c r="F47" i="1"/>
  <c r="G47" i="1"/>
  <c r="F36" i="1"/>
  <c r="G36" i="1"/>
  <c r="F15" i="1"/>
  <c r="G15" i="1"/>
  <c r="F4" i="1"/>
  <c r="G4" i="1"/>
  <c r="E44" i="1"/>
  <c r="E22" i="1"/>
  <c r="E3" i="1"/>
  <c r="E14" i="1"/>
  <c r="E10" i="1"/>
  <c r="E21" i="1"/>
  <c r="E29" i="1"/>
  <c r="E13" i="1"/>
  <c r="E43" i="1"/>
  <c r="E9" i="1"/>
  <c r="E16" i="1"/>
  <c r="E11" i="1"/>
  <c r="E41" i="1"/>
  <c r="E37" i="1"/>
  <c r="E32" i="1"/>
  <c r="E19" i="1"/>
  <c r="E20" i="1"/>
  <c r="E39" i="1"/>
  <c r="E48" i="1"/>
  <c r="E33" i="1"/>
  <c r="E2" i="1"/>
  <c r="E42" i="1"/>
  <c r="E23" i="1"/>
  <c r="E6" i="1"/>
  <c r="E7" i="1"/>
  <c r="E34" i="1"/>
  <c r="E5" i="1"/>
  <c r="E24" i="1"/>
  <c r="E35" i="1"/>
  <c r="E25" i="1"/>
  <c r="E27" i="1"/>
  <c r="E45" i="1"/>
  <c r="E12" i="1"/>
  <c r="E31" i="1"/>
  <c r="E26" i="1"/>
  <c r="E8" i="1"/>
  <c r="E30" i="1"/>
  <c r="E40" i="1"/>
  <c r="E28" i="1"/>
  <c r="E18" i="1"/>
  <c r="F44" i="1" l="1"/>
  <c r="G44" i="1"/>
  <c r="F22" i="1"/>
  <c r="G22" i="1"/>
  <c r="F3" i="1"/>
  <c r="G3" i="1"/>
  <c r="F14" i="1"/>
  <c r="G14" i="1"/>
  <c r="F10" i="1"/>
  <c r="G10" i="1"/>
  <c r="F21" i="1"/>
  <c r="G21" i="1"/>
  <c r="F29" i="1"/>
  <c r="G29" i="1"/>
  <c r="F13" i="1"/>
  <c r="G13" i="1"/>
  <c r="F43" i="1"/>
  <c r="G43" i="1"/>
  <c r="F9" i="1"/>
  <c r="G9" i="1"/>
  <c r="F16" i="1"/>
  <c r="G16" i="1"/>
  <c r="F11" i="1"/>
  <c r="G11" i="1"/>
  <c r="F41" i="1"/>
  <c r="G41" i="1"/>
  <c r="F37" i="1"/>
  <c r="G37" i="1"/>
  <c r="F32" i="1"/>
  <c r="G32" i="1"/>
  <c r="F19" i="1"/>
  <c r="G19" i="1"/>
  <c r="F20" i="1"/>
  <c r="G20" i="1"/>
  <c r="F39" i="1"/>
  <c r="G39" i="1"/>
  <c r="F48" i="1"/>
  <c r="G48" i="1"/>
  <c r="F33" i="1"/>
  <c r="G33" i="1"/>
  <c r="F2" i="1"/>
  <c r="G2" i="1"/>
  <c r="F42" i="1"/>
  <c r="G42" i="1"/>
  <c r="F23" i="1"/>
  <c r="G23" i="1"/>
  <c r="F6" i="1"/>
  <c r="G6" i="1"/>
  <c r="F7" i="1"/>
  <c r="G7" i="1"/>
  <c r="F34" i="1"/>
  <c r="G34" i="1"/>
  <c r="F5" i="1"/>
  <c r="G5" i="1"/>
  <c r="F24" i="1"/>
  <c r="G24" i="1"/>
  <c r="F35" i="1"/>
  <c r="G35" i="1"/>
  <c r="F25" i="1"/>
  <c r="G25" i="1"/>
  <c r="F27" i="1"/>
  <c r="G27" i="1"/>
  <c r="F45" i="1"/>
  <c r="G45" i="1"/>
  <c r="F12" i="1"/>
  <c r="G12" i="1"/>
  <c r="F31" i="1"/>
  <c r="G31" i="1"/>
  <c r="F26" i="1"/>
  <c r="G26" i="1"/>
  <c r="F8" i="1"/>
  <c r="G8" i="1"/>
  <c r="F30" i="1"/>
  <c r="G30" i="1"/>
  <c r="F40" i="1"/>
  <c r="G40" i="1"/>
  <c r="F28" i="1"/>
  <c r="G28" i="1"/>
  <c r="F18" i="1"/>
  <c r="G18" i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<sst xmlns="http://schemas.openxmlformats.org/spreadsheetml/2006/main" count="106" uniqueCount="64">
  <si>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</si>
  <si>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</si>
  <si>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</si>
  <si>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</si>
  <si>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</si>
  <si>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</si>
  <si>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</si>
  <si>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</si>
  <si>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</si>
  <si>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</si>
  <si>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</si>
  <si>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</si>
  <si>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</si>
  <si>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</si>
  <si>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</si>
  <si>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</si>
  <si>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</si>
  <si>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</si>
  <si>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</si>
  <si>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</si>
  <si>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</si>
  <si>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</si>
  <si>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</si>
  <si>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</si>
  <si>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</si>
  <si>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</si>
  <si>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</si>
  <si>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</si>
  <si>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</si>
  <si>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</si>
  <si>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</si>
  <si>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</si>
  <si>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</si>
  <si>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</si>
  <si>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</si>
  <si>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</si>
  <si>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</si>
  <si>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</si>
  <si>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</si>
  <si>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</si>
  <si>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</si>
  <si>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</si>
  <si>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</si>
  <si>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</si>
  <si>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</si>
  <si>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</si>
  <si>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</si>
  <si>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</si>
  <si>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</si>
  <si>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</si>
  <si>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</si>
  <si>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</si>
  <si>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</si>
  <si>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</si>
  <si>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</si>
  <si>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</si>
  <si>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</si>
  <si>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</si>
  <si>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</si>
  <si>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</si>
  <si>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</si>
  <si>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</si>
  <si>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</si>
  <si>
    <t>PROMD VTA DIA 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</si>
</sst>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%"/>
  </numFmts>
  <fonts count="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1"/>
      <color rgb="FF0061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0">
    <xf numFmtId="0" fontId="0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4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4" borderId="0" applyNumberFormat="0" applyBorder="0" applyAlignment="0" applyProtection="0"/>
  </cellStyleXfs>
  <cellXfs count="9">
    <xf numFmtId="0" fontId="0" fillId="0" borderId="0" xfId="0"/>
    <xf numFmtId="0" fontId="3" fillId="0" borderId="0" xfId="0" applyFont="1"/>
    <xf numFmtId="0" fontId="3" fillId="0" borderId="0" xfId="0" quotePrefix="1" applyFont="1"/>
    <xf numFmtId="0" fontId="4" fillId="0" borderId="0" xfId="0" applyFont="1"/>
    <xf numFmtId="1" fontId="0" fillId="0" borderId="0" xfId="0" applyNumberFormat="1"/>
    <xf numFmtId="164" fontId="5" fillId="2" borderId="1" xfId="1" applyNumberFormat="1" applyFont="1" applyFill="1" applyBorder="1" applyAlignment="1">
      <alignment horizontal="right"/>
    </xf>
    <xf numFmtId="164" fontId="5" fillId="3" borderId="1" xfId="1" applyNumberFormat="1" applyFont="1" applyFill="1" applyBorder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right"/>
    </xf>
  </cellXfs>
  <cellStyles count="20">
    <cellStyle name="Bueno 2" xfId="9" xr:uid="{94F67CAC-752E-4491-A3E3-C4BB62743B72}"/>
    <cellStyle name="Bueno 3" xfId="13" xr:uid="{4F709AEB-99D0-454B-A65A-29BEAE46F7D3}"/>
    <cellStyle name="Bueno 4" xfId="19" xr:uid="{CB352053-6C19-43CD-B03E-627D0A7258B8}"/>
    <cellStyle name="Millares 2" xfId="5" xr:uid="{2375C8DF-BDBA-43D5-9D31-543C4EE04C41}"/>
    <cellStyle name="Millares 3" xfId="7" xr:uid="{27A5BDA4-BEC6-4D39-8EC6-81077DACAD2E}"/>
    <cellStyle name="Millares 4" xfId="11" xr:uid="{A8866BDA-94C2-4640-AEC3-761F4953E7A9}"/>
    <cellStyle name="Millares 5" xfId="14" xr:uid="{259FBDCB-E288-4DE6-A5A1-D75AC9203F66}"/>
    <cellStyle name="Millares 6" xfId="15" xr:uid="{EBD22DEF-DD97-40DE-9E0D-75DB84FC7626}"/>
    <cellStyle name="Millares 7" xfId="17" xr:uid="{5D7A9A1C-84A4-48A0-B651-270D23CCD661}"/>
    <cellStyle name="Normal" xfId="0" builtinId="0"/>
    <cellStyle name="Normal 2" xfId="1" xr:uid="{6A46E9E3-F881-4AFA-9613-5EAED1E58279}"/>
    <cellStyle name="Normal 2 2" xfId="4" xr:uid="{B06DF990-D905-408E-BFA0-44405515E01D}"/>
    <cellStyle name="Normal 3" xfId="6" xr:uid="{3CC58EFF-C4E0-4F85-B088-2FDD0B926453}"/>
    <cellStyle name="Normal 4" xfId="10" xr:uid="{0DD17921-2CD6-422C-A23C-9A67FFB24691}"/>
    <cellStyle name="Normal 5" xfId="16" xr:uid="{6D56047B-2B25-4585-8E22-6D9FFAE9B0FE}"/>
    <cellStyle name="Normal 6" xfId="2" xr:uid="{13ADE74A-2259-43F4-9CA9-C254DDCD9F7C}"/>
    <cellStyle name="Porcentaje 2" xfId="8" xr:uid="{9BC1E1EC-552B-4A61-AC7B-93A66CA2C63A}"/>
    <cellStyle name="Porcentaje 3" xfId="12" xr:uid="{1BCE6996-3CD8-414B-A94D-1F5613AF54F4}"/>
    <cellStyle name="Porcentaje 4" xfId="18" xr:uid="{12FA4737-A541-4FD6-B499-94C89E1AA6CA}"/>
    <cellStyle name="Porcentaje 5" xfId="3" xr:uid="{03AE4CCC-FE99-48B8-A7EC-56272B60C02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nventario/Octubre/Inventario%20Nacional%20Producto%20Terminado/Corte%20Diario%20Inventario%20Nacional%20Producto%20Terminado%20OCTUBRE%202026.xlsx" TargetMode="External"/><Relationship Id="rId2" Type="http://schemas.openxmlformats.org/officeDocument/2006/relationships/externalLinkPath" Target="file:///R:\SUPPLY%20CHAIN\Inventario\Octubre\Inventario%20Nacional%20Producto%20Terminado\Corte%20Diario%20Inventario%20Nacional%20Producto%20Terminado%20OCTUBRE%202026.xlsx" TargetMode="External"/><Relationship Id="rId1" Type="http://schemas.openxmlformats.org/officeDocument/2006/relationships/externalLinkPath" Target="/SUPPLY%20CHAIN/Inventario/Octubre/Inventario%20Nacional%20Producto%20Terminado/Corte%20Diario%20Inventario%20Nacional%20Producto%20Terminado%20OCTU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VENTARIO NACIONAL 01-10-26"/>
      <sheetName val="INVENTARIO NACIONAL 02-10-26"/>
      <sheetName val="INVENTARIO NACIONAL 05-10-26"/>
      <sheetName val="INVENTARIO NACIONAL 06-10-26"/>
      <sheetName val="INVENTARIO NACIONAL 07-10-26"/>
      <sheetName val="INVENTARIO NACIONAL 08-10-2 "/>
      <sheetName val="CCC"/>
      <sheetName val="VINCULO VTS BY SKU SEPTIEMBRE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F4">
            <v>1170.5</v>
          </cell>
          <cell r="G4">
            <v>-3.3044196612969867E-2</v>
          </cell>
          <cell r="H4" t="str">
            <v>BAJO</v>
          </cell>
        </row>
        <row r="5">
          <cell r="F5">
            <v>8.3333333333333339</v>
          </cell>
          <cell r="G5">
            <v>-0.80722046968103744</v>
          </cell>
          <cell r="H5" t="str">
            <v>BAJO</v>
          </cell>
        </row>
        <row r="6">
          <cell r="F6">
            <v>491</v>
          </cell>
          <cell r="G6">
            <v>-8.1718850426958367E-3</v>
          </cell>
          <cell r="H6" t="str">
            <v>BAJO</v>
          </cell>
        </row>
        <row r="7">
          <cell r="F7">
            <v>88.5</v>
          </cell>
          <cell r="G7">
            <v>-0.19810543657331137</v>
          </cell>
          <cell r="H7" t="str">
            <v>BAJO</v>
          </cell>
        </row>
        <row r="8">
          <cell r="F8">
            <v>11.166666666666666</v>
          </cell>
          <cell r="G8">
            <v>-0.26004016064257041</v>
          </cell>
          <cell r="H8" t="str">
            <v>BAJO</v>
          </cell>
        </row>
        <row r="9">
          <cell r="F9">
            <v>1524</v>
          </cell>
          <cell r="G9">
            <v>7.7377892030848328E-2</v>
          </cell>
          <cell r="H9" t="str">
            <v>SUBIÓ</v>
          </cell>
        </row>
        <row r="10">
          <cell r="F10">
            <v>159.66666666666666</v>
          </cell>
          <cell r="G10">
            <v>5.5171723240212245E-2</v>
          </cell>
          <cell r="H10" t="str">
            <v>SUBIÓ</v>
          </cell>
        </row>
        <row r="11">
          <cell r="F11">
            <v>408.83333333333331</v>
          </cell>
          <cell r="G11">
            <v>0.22722517851457669</v>
          </cell>
          <cell r="H11" t="str">
            <v>SUBIÓ</v>
          </cell>
        </row>
        <row r="12">
          <cell r="F12">
            <v>823.16666666666663</v>
          </cell>
          <cell r="G12">
            <v>1.0076784353096446E-2</v>
          </cell>
          <cell r="H12" t="str">
            <v>SUBIÓ</v>
          </cell>
        </row>
        <row r="13">
          <cell r="F13">
            <v>369.5</v>
          </cell>
          <cell r="G13">
            <v>-7.9179882193022189E-2</v>
          </cell>
          <cell r="H13" t="str">
            <v>BAJO</v>
          </cell>
        </row>
        <row r="14">
          <cell r="F14">
            <v>3576.5</v>
          </cell>
          <cell r="G14">
            <v>3.928198761045576E-2</v>
          </cell>
          <cell r="H14" t="str">
            <v>SUBIÓ</v>
          </cell>
        </row>
        <row r="15">
          <cell r="F15">
            <v>2157.1666666666665</v>
          </cell>
          <cell r="G15">
            <v>-2.3824038454802743E-3</v>
          </cell>
          <cell r="H15" t="str">
            <v>BAJO</v>
          </cell>
        </row>
        <row r="16">
          <cell r="F16">
            <v>2114.6666666666665</v>
          </cell>
          <cell r="G16">
            <v>-2.6335433191715052E-2</v>
          </cell>
          <cell r="H16" t="str">
            <v>BAJO</v>
          </cell>
        </row>
        <row r="17">
          <cell r="F17">
            <v>2682.8333333333335</v>
          </cell>
          <cell r="G17">
            <v>4.9946931385402848E-3</v>
          </cell>
          <cell r="H17" t="str">
            <v>SUBIÓ</v>
          </cell>
        </row>
        <row r="18">
          <cell r="F18">
            <v>796</v>
          </cell>
          <cell r="G18">
            <v>9.027518366330467E-2</v>
          </cell>
          <cell r="H18" t="str">
            <v>SUBIÓ</v>
          </cell>
        </row>
        <row r="19">
          <cell r="F19">
            <v>1054.1666666666667</v>
          </cell>
          <cell r="G19">
            <v>0.20488708783596588</v>
          </cell>
          <cell r="H19" t="str">
            <v>SUBIÓ</v>
          </cell>
        </row>
        <row r="20">
          <cell r="F20">
            <v>1017.6666666666666</v>
          </cell>
          <cell r="G20">
            <v>0.16863277308000124</v>
          </cell>
          <cell r="H20" t="str">
            <v>SUBIÓ</v>
          </cell>
        </row>
        <row r="21">
          <cell r="F21">
            <v>279</v>
          </cell>
          <cell r="G21">
            <v>-1.6503765422207994E-2</v>
          </cell>
          <cell r="H21" t="str">
            <v>BAJO</v>
          </cell>
        </row>
        <row r="22">
          <cell r="F22">
            <v>135.66666666666666</v>
          </cell>
          <cell r="G22">
            <v>-5.2787474875700902E-2</v>
          </cell>
          <cell r="H22" t="str">
            <v>BAJO</v>
          </cell>
        </row>
        <row r="23">
          <cell r="F23">
            <v>510.16666666666669</v>
          </cell>
          <cell r="G23">
            <v>-2.850630427883083E-2</v>
          </cell>
          <cell r="H23" t="str">
            <v>BAJO</v>
          </cell>
        </row>
        <row r="24">
          <cell r="F24">
            <v>861.66666666666663</v>
          </cell>
          <cell r="G24">
            <v>-3.9147110007265118E-2</v>
          </cell>
          <cell r="H24" t="str">
            <v>BAJO</v>
          </cell>
        </row>
        <row r="25">
          <cell r="F25">
            <v>43.333333333333336</v>
          </cell>
          <cell r="G25">
            <v>-0.33796296296296291</v>
          </cell>
          <cell r="H25" t="str">
            <v>BAJO</v>
          </cell>
        </row>
        <row r="26">
          <cell r="F26">
            <v>623.5</v>
          </cell>
          <cell r="G26">
            <v>-0.12979762735519884</v>
          </cell>
          <cell r="H26" t="str">
            <v>BAJO</v>
          </cell>
        </row>
        <row r="27">
          <cell r="F27">
            <v>1032.5</v>
          </cell>
          <cell r="G27">
            <v>-6.6915872494249018E-2</v>
          </cell>
          <cell r="H27" t="str">
            <v>BAJO</v>
          </cell>
        </row>
        <row r="28">
          <cell r="F28">
            <v>594.33333333333337</v>
          </cell>
          <cell r="G28">
            <v>1.9360203736909165E-2</v>
          </cell>
          <cell r="H28" t="str">
            <v>SUBIÓ</v>
          </cell>
        </row>
        <row r="29">
          <cell r="F29">
            <v>490.66666666666669</v>
          </cell>
          <cell r="G29">
            <v>3.5459632294164711E-2</v>
          </cell>
          <cell r="H29" t="str">
            <v>SUBIÓ</v>
          </cell>
        </row>
        <row r="30">
          <cell r="F30">
            <v>276.83333333333331</v>
          </cell>
          <cell r="G30">
            <v>9.5777857742593175E-2</v>
          </cell>
          <cell r="H30" t="str">
            <v>SUBIÓ</v>
          </cell>
        </row>
        <row r="31">
          <cell r="F31">
            <v>299.33333333333331</v>
          </cell>
          <cell r="G31">
            <v>-3.0713374546168182E-2</v>
          </cell>
          <cell r="H31" t="str">
            <v>BAJO</v>
          </cell>
        </row>
        <row r="32">
          <cell r="F32">
            <v>103.66666666666667</v>
          </cell>
          <cell r="G32">
            <v>-0.247553062795557</v>
          </cell>
          <cell r="H32" t="str">
            <v>BAJO</v>
          </cell>
        </row>
        <row r="33">
          <cell r="F33">
            <v>124.83333333333333</v>
          </cell>
          <cell r="G33">
            <v>-0.17995421518861354</v>
          </cell>
          <cell r="H33" t="str">
            <v>BAJO</v>
          </cell>
        </row>
        <row r="34">
          <cell r="F34">
            <v>845.16666666666663</v>
          </cell>
          <cell r="G34">
            <v>2.841076696165179E-2</v>
          </cell>
          <cell r="H34" t="str">
            <v>SUBIÓ</v>
          </cell>
        </row>
        <row r="35">
          <cell r="F35">
            <v>598.66666666666663</v>
          </cell>
          <cell r="G35">
            <v>-4.8018311046861939E-2</v>
          </cell>
          <cell r="H35" t="str">
            <v>BAJO</v>
          </cell>
        </row>
        <row r="36">
          <cell r="F36">
            <v>786.33333333333337</v>
          </cell>
          <cell r="G36">
            <v>-5.0843117890193468E-2</v>
          </cell>
          <cell r="H36" t="str">
            <v>BAJO</v>
          </cell>
        </row>
        <row r="37">
          <cell r="F37">
            <v>516.16666666666663</v>
          </cell>
          <cell r="G37">
            <v>-6.8061824647791092E-2</v>
          </cell>
          <cell r="H37" t="str">
            <v>BAJO</v>
          </cell>
        </row>
        <row r="38">
          <cell r="F38">
            <v>3.5</v>
          </cell>
          <cell r="G38">
            <v>-6.0975609756097504E-2</v>
          </cell>
          <cell r="H38" t="str">
            <v>BAJO</v>
          </cell>
        </row>
        <row r="39">
          <cell r="F39">
            <v>1.3333333333333333</v>
          </cell>
          <cell r="G39">
            <v>1.6666666666666665</v>
          </cell>
          <cell r="H39" t="str">
            <v>SUBIÓ</v>
          </cell>
        </row>
        <row r="40">
          <cell r="F40">
            <v>37.333333333333336</v>
          </cell>
          <cell r="G40">
            <v>-0.7005711508081176</v>
          </cell>
          <cell r="H40" t="str">
            <v>BAJO</v>
          </cell>
        </row>
        <row r="41">
          <cell r="F41">
            <v>608.33333333333337</v>
          </cell>
          <cell r="G41">
            <v>9.1489468657315332E-3</v>
          </cell>
          <cell r="H41" t="str">
            <v>SUBIÓ</v>
          </cell>
        </row>
        <row r="42">
          <cell r="F42">
            <v>440.83333333333331</v>
          </cell>
          <cell r="G42">
            <v>2.3138868375707666E-2</v>
          </cell>
          <cell r="H42" t="str">
            <v>SUBIÓ</v>
          </cell>
        </row>
        <row r="43">
          <cell r="F43">
            <v>276.5</v>
          </cell>
          <cell r="G43">
            <v>1.1520737327188613E-3</v>
          </cell>
          <cell r="H43" t="str">
            <v>SUBIÓ</v>
          </cell>
        </row>
        <row r="44">
          <cell r="F44">
            <v>483.33333333333331</v>
          </cell>
          <cell r="G44">
            <v>-5.1018890376320125E-2</v>
          </cell>
          <cell r="H44" t="str">
            <v>BAJO</v>
          </cell>
        </row>
        <row r="45">
          <cell r="F45">
            <v>258.66666666666669</v>
          </cell>
          <cell r="G45">
            <v>-0.1890171488290342</v>
          </cell>
          <cell r="H45" t="str">
            <v>BAJO</v>
          </cell>
        </row>
        <row r="46">
          <cell r="F46">
            <v>270</v>
          </cell>
          <cell r="G46">
            <v>-0.11197488413813728</v>
          </cell>
          <cell r="H46" t="str">
            <v>BAJO</v>
          </cell>
        </row>
        <row r="47">
          <cell r="F47">
            <v>40.333333333333336</v>
          </cell>
          <cell r="G47">
            <v>-0.33132378799296658</v>
          </cell>
          <cell r="H47" t="str">
            <v>BAJO</v>
          </cell>
        </row>
        <row r="48">
          <cell r="F48">
            <v>84.5</v>
          </cell>
          <cell r="G48">
            <v>-0.28223938223938227</v>
          </cell>
          <cell r="H48" t="str">
            <v>BAJO</v>
          </cell>
        </row>
        <row r="49">
          <cell r="F49">
            <v>51.833333333333336</v>
          </cell>
          <cell r="G49">
            <v>0.2531135531135531</v>
          </cell>
          <cell r="H49" t="str">
            <v>SUBIÓ</v>
          </cell>
        </row>
        <row r="50">
          <cell r="F50">
            <v>53.833333333333336</v>
          </cell>
          <cell r="G50">
            <v>7.4712643678160884E-2</v>
          </cell>
          <cell r="H50" t="str">
            <v>SUBIÓ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K23" sqref="K23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62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1210.5</v>
      </c>
      <c r="E2" s="4">
        <f ca="1">'[1]DESV. VTS BY SKU'!F4</f>
        <v>1170.5</v>
      </c>
      <c r="F2" s="5">
        <f ca="1">'[1]DESV. VTS BY SKU'!G4</f>
        <v>-3.3044196612969867E-2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43.227272727272727</v>
      </c>
      <c r="E3" s="4">
        <f ca="1">'[1]DESV. VTS BY SKU'!F5</f>
        <v>8.3333333333333339</v>
      </c>
      <c r="F3" s="6">
        <f ca="1">'[1]DESV. VTS BY SKU'!G5</f>
        <v>-0.80722046968103744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495.04545454545456</v>
      </c>
      <c r="E4" s="4">
        <f ca="1">'[1]DESV. VTS BY SKU'!F6</f>
        <v>491</v>
      </c>
      <c r="F4" s="5">
        <f ca="1">'[1]DESV. VTS BY SKU'!G6</f>
        <v>-8.1718850426958367E-3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110.36363636363636</v>
      </c>
      <c r="E5" s="4">
        <f ca="1">'[1]DESV. VTS BY SKU'!F7</f>
        <v>88.5</v>
      </c>
      <c r="F5" s="6">
        <f ca="1">'[1]DESV. VTS BY SKU'!G7</f>
        <v>-0.19810543657331137</v>
      </c>
      <c r="G5" s="7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15.090909090909092</v>
      </c>
      <c r="E6" s="4">
        <f ca="1">'[1]DESV. VTS BY SKU'!F8</f>
        <v>11.166666666666666</v>
      </c>
      <c r="F6" s="5">
        <f ca="1">'[1]DESV. VTS BY SKU'!G8</f>
        <v>-0.26004016064257041</v>
      </c>
      <c r="G6" s="7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1414.5454545454545</v>
      </c>
      <c r="E7" s="4">
        <f ca="1">'[1]DESV. VTS BY SKU'!F9</f>
        <v>1524</v>
      </c>
      <c r="F7" s="6">
        <f ca="1">'[1]DESV. VTS BY SKU'!G9</f>
        <v>7.7377892030848328E-2</v>
      </c>
      <c r="G7" s="7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151.31818181818181</v>
      </c>
      <c r="E8" s="4">
        <f ca="1">'[1]DESV. VTS BY SKU'!F10</f>
        <v>159.66666666666666</v>
      </c>
      <c r="F8" s="5">
        <f ca="1">'[1]DESV. VTS BY SKU'!G10</f>
        <v>5.5171723240212245E-2</v>
      </c>
      <c r="G8" s="7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333.13636363636363</v>
      </c>
      <c r="E9" s="4">
        <f ca="1">'[1]DESV. VTS BY SKU'!F11</f>
        <v>408.83333333333331</v>
      </c>
      <c r="F9" s="6">
        <f ca="1">'[1]DESV. VTS BY SKU'!G11</f>
        <v>0.22722517851457669</v>
      </c>
      <c r="G9" s="7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814.9545454545455</v>
      </c>
      <c r="E10" s="4">
        <f ca="1">'[1]DESV. VTS BY SKU'!F12</f>
        <v>823.16666666666663</v>
      </c>
      <c r="F10" s="5">
        <f ca="1">'[1]DESV. VTS BY SKU'!G12</f>
        <v>1.0076784353096446E-2</v>
      </c>
      <c r="G10" s="7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401.27272727272725</v>
      </c>
      <c r="E11" s="4">
        <f ca="1">'[1]DESV. VTS BY SKU'!F13</f>
        <v>369.5</v>
      </c>
      <c r="F11" s="6">
        <f ca="1">'[1]DESV. VTS BY SKU'!G13</f>
        <v>-7.9179882193022189E-2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3441.318181818182</v>
      </c>
      <c r="E12" s="4">
        <f ca="1">'[1]DESV. VTS BY SKU'!F14</f>
        <v>3576.5</v>
      </c>
      <c r="F12" s="5">
        <f ca="1">'[1]DESV. VTS BY SKU'!G14</f>
        <v>3.928198761045576E-2</v>
      </c>
      <c r="G12" s="7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2162.318181818182</v>
      </c>
      <c r="E13" s="4">
        <f ca="1">'[1]DESV. VTS BY SKU'!F15</f>
        <v>2157.1666666666665</v>
      </c>
      <c r="F13" s="6">
        <f ca="1">'[1]DESV. VTS BY SKU'!G15</f>
        <v>-2.3824038454802743E-3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2171.8636363636365</v>
      </c>
      <c r="E14" s="4">
        <f ca="1">'[1]DESV. VTS BY SKU'!F16</f>
        <v>2114.6666666666665</v>
      </c>
      <c r="F14" s="5">
        <f ca="1">'[1]DESV. VTS BY SKU'!G16</f>
        <v>-2.6335433191715052E-2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2669.5</v>
      </c>
      <c r="E15" s="4">
        <f ca="1">'[1]DESV. VTS BY SKU'!F17</f>
        <v>2682.8333333333335</v>
      </c>
      <c r="F15" s="6">
        <f ca="1">'[1]DESV. VTS BY SKU'!G17</f>
        <v>4.9946931385402848E-3</v>
      </c>
      <c r="G15" s="7" t="str">
        <f ca="1">'[1]DESV. VTS BY SKU'!H17</f>
        <v>SUBIÓ</v>
      </c>
      <c r="H15">
        <v>1.1599999999999999</v>
      </c>
    </row>
    <row r="16" spans="1:8" x14ac:dyDescent="0.2">
      <c r="A16">
        <v>130157</v>
      </c>
      <c r="B16" t="s">
        <v>59</v>
      </c>
      <c r="C16" s="3" t="s">
        <v>52</v>
      </c>
      <c r="D16" s="4">
        <v>730.09090909090912</v>
      </c>
      <c r="E16" s="4">
        <f ca="1">'[1]DESV. VTS BY SKU'!F18</f>
        <v>796</v>
      </c>
      <c r="F16" s="6">
        <f ca="1">'[1]DESV. VTS BY SKU'!G18</f>
        <v>9.027518366330467E-2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60</v>
      </c>
      <c r="C17" s="3" t="s">
        <v>52</v>
      </c>
      <c r="D17" s="4">
        <v>874.90909090909088</v>
      </c>
      <c r="E17" s="4">
        <f ca="1">'[1]DESV. VTS BY SKU'!F19</f>
        <v>1054.1666666666667</v>
      </c>
      <c r="F17" s="6">
        <f ca="1">'[1]DESV. VTS BY SKU'!G19</f>
        <v>0.20488708783596588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61</v>
      </c>
      <c r="C18" s="3" t="s">
        <v>52</v>
      </c>
      <c r="D18" s="4">
        <v>870.81818181818187</v>
      </c>
      <c r="E18" s="4">
        <f ca="1">'[1]DESV. VTS BY SKU'!F20</f>
        <v>1017.6666666666666</v>
      </c>
      <c r="F18" s="6">
        <f ca="1">'[1]DESV. VTS BY SKU'!G20</f>
        <v>0.16863277308000124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283.68181818181819</v>
      </c>
      <c r="E19" s="4">
        <f ca="1">'[1]DESV. VTS BY SKU'!F21</f>
        <v>279</v>
      </c>
      <c r="F19" s="6">
        <f ca="1">'[1]DESV. VTS BY SKU'!G21</f>
        <v>-1.6503765422207994E-2</v>
      </c>
      <c r="G19" s="7" t="str">
        <f ca="1">'[1]DESV. VTS BY SKU'!H21</f>
        <v>BAJO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143.22727272727272</v>
      </c>
      <c r="E20" s="4">
        <f ca="1">'[1]DESV. VTS BY SKU'!F22</f>
        <v>135.66666666666666</v>
      </c>
      <c r="F20" s="5">
        <f ca="1">'[1]DESV. VTS BY SKU'!G22</f>
        <v>-5.2787474875700902E-2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525.13636363636363</v>
      </c>
      <c r="E21" s="4">
        <f ca="1">'[1]DESV. VTS BY SKU'!F23</f>
        <v>510.16666666666669</v>
      </c>
      <c r="F21" s="6">
        <f ca="1">'[1]DESV. VTS BY SKU'!G23</f>
        <v>-2.850630427883083E-2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896.77272727272725</v>
      </c>
      <c r="E22" s="4">
        <f ca="1">'[1]DESV. VTS BY SKU'!F24</f>
        <v>861.66666666666663</v>
      </c>
      <c r="F22" s="5">
        <f ca="1">'[1]DESV. VTS BY SKU'!G24</f>
        <v>-3.9147110007265118E-2</v>
      </c>
      <c r="G22" s="7" t="str">
        <f ca="1">'[1]DESV. VTS BY SKU'!H24</f>
        <v>BAJO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65.454545454545453</v>
      </c>
      <c r="E23" s="4">
        <f ca="1">'[1]DESV. VTS BY SKU'!F25</f>
        <v>43.333333333333336</v>
      </c>
      <c r="F23" s="5">
        <f ca="1">'[1]DESV. VTS BY SKU'!G25</f>
        <v>-0.33796296296296291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716.5</v>
      </c>
      <c r="E24" s="4">
        <f ca="1">'[1]DESV. VTS BY SKU'!F26</f>
        <v>623.5</v>
      </c>
      <c r="F24" s="6">
        <f ca="1">'[1]DESV. VTS BY SKU'!G26</f>
        <v>-0.12979762735519884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1106.5454545454545</v>
      </c>
      <c r="E25" s="4">
        <f ca="1">'[1]DESV. VTS BY SKU'!F27</f>
        <v>1032.5</v>
      </c>
      <c r="F25" s="5">
        <f ca="1">'[1]DESV. VTS BY SKU'!G27</f>
        <v>-6.6915872494249018E-2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583.0454545454545</v>
      </c>
      <c r="E26" s="4">
        <f ca="1">'[1]DESV. VTS BY SKU'!F28</f>
        <v>594.33333333333337</v>
      </c>
      <c r="F26" s="6">
        <f ca="1">'[1]DESV. VTS BY SKU'!G28</f>
        <v>1.9360203736909165E-2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473.86363636363637</v>
      </c>
      <c r="E27" s="4">
        <f ca="1">'[1]DESV. VTS BY SKU'!F29</f>
        <v>490.66666666666669</v>
      </c>
      <c r="F27" s="5">
        <f ca="1">'[1]DESV. VTS BY SKU'!G29</f>
        <v>3.5459632294164711E-2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57</v>
      </c>
      <c r="C28" s="3" t="s">
        <v>55</v>
      </c>
      <c r="D28" s="4">
        <v>252.63636363636363</v>
      </c>
      <c r="E28" s="4">
        <f ca="1">'[1]DESV. VTS BY SKU'!F30</f>
        <v>276.83333333333331</v>
      </c>
      <c r="F28" s="5">
        <f ca="1">'[1]DESV. VTS BY SKU'!G30</f>
        <v>9.5777857742593175E-2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58</v>
      </c>
      <c r="C29" s="3" t="s">
        <v>55</v>
      </c>
      <c r="D29" s="4">
        <v>308.81818181818181</v>
      </c>
      <c r="E29" s="4">
        <f ca="1">'[1]DESV. VTS BY SKU'!F31</f>
        <v>299.33333333333331</v>
      </c>
      <c r="F29" s="5">
        <f ca="1">'[1]DESV. VTS BY SKU'!G31</f>
        <v>-3.0713374546168182E-2</v>
      </c>
      <c r="G29" s="7" t="str">
        <f ca="1">'[1]DESV. VTS BY SKU'!H31</f>
        <v>BAJO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137.77272727272728</v>
      </c>
      <c r="E30" s="4">
        <f ca="1">'[1]DESV. VTS BY SKU'!F32</f>
        <v>103.66666666666667</v>
      </c>
      <c r="F30" s="6">
        <f ca="1">'[1]DESV. VTS BY SKU'!G32</f>
        <v>-0.247553062795557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152.22727272727272</v>
      </c>
      <c r="E31" s="4">
        <f ca="1">'[1]DESV. VTS BY SKU'!F33</f>
        <v>124.83333333333333</v>
      </c>
      <c r="F31" s="5">
        <f ca="1">'[1]DESV. VTS BY SKU'!G33</f>
        <v>-0.17995421518861354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821.81818181818187</v>
      </c>
      <c r="E32" s="4">
        <f ca="1">'[1]DESV. VTS BY SKU'!F34</f>
        <v>845.16666666666663</v>
      </c>
      <c r="F32" s="6">
        <f ca="1">'[1]DESV. VTS BY SKU'!G34</f>
        <v>2.841076696165179E-2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628.86363636363637</v>
      </c>
      <c r="E33" s="4">
        <f ca="1">'[1]DESV. VTS BY SKU'!F35</f>
        <v>598.66666666666663</v>
      </c>
      <c r="F33" s="5">
        <f ca="1">'[1]DESV. VTS BY SKU'!G35</f>
        <v>-4.8018311046861939E-2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828.4545454545455</v>
      </c>
      <c r="E34" s="4">
        <f ca="1">'[1]DESV. VTS BY SKU'!F36</f>
        <v>786.33333333333337</v>
      </c>
      <c r="F34" s="6">
        <f ca="1">'[1]DESV. VTS BY SKU'!G36</f>
        <v>-5.0843117890193468E-2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553.86363636363637</v>
      </c>
      <c r="E35" s="4">
        <f ca="1">'[1]DESV. VTS BY SKU'!F37</f>
        <v>516.16666666666663</v>
      </c>
      <c r="F35" s="5">
        <f ca="1">'[1]DESV. VTS BY SKU'!G37</f>
        <v>-6.8061824647791092E-2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3.7272727272727271</v>
      </c>
      <c r="E36" s="4">
        <f ca="1">'[1]DESV. VTS BY SKU'!F38</f>
        <v>3.5</v>
      </c>
      <c r="F36" s="6">
        <f ca="1">'[1]DESV. VTS BY SKU'!G38</f>
        <v>-6.0975609756097504E-2</v>
      </c>
      <c r="G36" s="7" t="str">
        <f ca="1">'[1]DESV. VTS BY SKU'!H38</f>
        <v>BAJO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0.5</v>
      </c>
      <c r="E37" s="4">
        <f ca="1">'[1]DESV. VTS BY SKU'!F39</f>
        <v>1.3333333333333333</v>
      </c>
      <c r="F37" s="5">
        <f ca="1">'[1]DESV. VTS BY SKU'!G39</f>
        <v>1.6666666666666665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124.68181818181819</v>
      </c>
      <c r="E38" s="4">
        <f ca="1">'[1]DESV. VTS BY SKU'!F40</f>
        <v>37.333333333333336</v>
      </c>
      <c r="F38" s="6">
        <f ca="1">'[1]DESV. VTS BY SKU'!G40</f>
        <v>-0.7005711508081176</v>
      </c>
      <c r="G38" s="7" t="str">
        <f ca="1">'[1]DESV. VTS BY SKU'!H40</f>
        <v>BAJO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602.81818181818187</v>
      </c>
      <c r="E39" s="4">
        <f ca="1">'[1]DESV. VTS BY SKU'!F41</f>
        <v>608.33333333333337</v>
      </c>
      <c r="F39" s="5">
        <f ca="1">'[1]DESV. VTS BY SKU'!G41</f>
        <v>9.1489468657315332E-3</v>
      </c>
      <c r="G39" s="7" t="str">
        <f ca="1">'[1]DESV. VTS BY SKU'!H41</f>
        <v>SUBIÓ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430.86363636363637</v>
      </c>
      <c r="E40" s="4">
        <f ca="1">'[1]DESV. VTS BY SKU'!F42</f>
        <v>440.83333333333331</v>
      </c>
      <c r="F40" s="6">
        <f ca="1">'[1]DESV. VTS BY SKU'!G42</f>
        <v>2.3138868375707666E-2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276.18181818181819</v>
      </c>
      <c r="E41" s="4">
        <f ca="1">'[1]DESV. VTS BY SKU'!F43</f>
        <v>276.5</v>
      </c>
      <c r="F41" s="5">
        <f ca="1">'[1]DESV. VTS BY SKU'!G43</f>
        <v>1.1520737327188613E-3</v>
      </c>
      <c r="G41" s="7" t="str">
        <f ca="1">'[1]DESV. VTS BY SKU'!H43</f>
        <v>SUBIÓ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509.31818181818181</v>
      </c>
      <c r="E42" s="4">
        <f ca="1">'[1]DESV. VTS BY SKU'!F44</f>
        <v>483.33333333333331</v>
      </c>
      <c r="F42" s="6">
        <f ca="1">'[1]DESV. VTS BY SKU'!G44</f>
        <v>-5.1018890376320125E-2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318.95454545454544</v>
      </c>
      <c r="E43" s="4">
        <f ca="1">'[1]DESV. VTS BY SKU'!F45</f>
        <v>258.66666666666669</v>
      </c>
      <c r="F43" s="5">
        <f ca="1">'[1]DESV. VTS BY SKU'!G45</f>
        <v>-0.1890171488290342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304.04545454545456</v>
      </c>
      <c r="E44" s="4">
        <f ca="1">'[1]DESV. VTS BY SKU'!F46</f>
        <v>270</v>
      </c>
      <c r="F44" s="6">
        <f ca="1">'[1]DESV. VTS BY SKU'!G46</f>
        <v>-0.11197488413813728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60.31818181818182</v>
      </c>
      <c r="E45" s="4">
        <f ca="1">'[1]DESV. VTS BY SKU'!F47</f>
        <v>40.333333333333336</v>
      </c>
      <c r="F45" s="5">
        <f ca="1">'[1]DESV. VTS BY SKU'!G47</f>
        <v>-0.33132378799296658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117.72727272727273</v>
      </c>
      <c r="E46" s="4">
        <f ca="1">'[1]DESV. VTS BY SKU'!F48</f>
        <v>84.5</v>
      </c>
      <c r="F46" s="6">
        <f ca="1">'[1]DESV. VTS BY SKU'!G48</f>
        <v>-0.28223938223938227</v>
      </c>
      <c r="G46" s="7" t="str">
        <f ca="1">'[1]DESV. VTS BY SKU'!H48</f>
        <v>BAJO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41.363636363636367</v>
      </c>
      <c r="E47" s="4">
        <f ca="1">'[1]DESV. VTS BY SKU'!F49</f>
        <v>51.833333333333336</v>
      </c>
      <c r="F47" s="5">
        <f ca="1">'[1]DESV. VTS BY SKU'!G49</f>
        <v>0.2531135531135531</v>
      </c>
      <c r="G47" s="7" t="str">
        <f ca="1">'[1]DESV. VTS BY SKU'!H49</f>
        <v>SUBIÓ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50.090909090909093</v>
      </c>
      <c r="E48" s="4">
        <f ca="1">'[1]DESV. VTS BY SKU'!F50</f>
        <v>53.833333333333336</v>
      </c>
      <c r="F48" s="6">
        <f ca="1">'[1]DESV. VTS BY SKU'!G50</f>
        <v>7.4712643678160884E-2</v>
      </c>
      <c r="G48" s="7" t="str">
        <f ca="1">'[1]DESV. VTS BY SKU'!H50</f>
        <v>SUBIÓ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>
      <selection activeCell="B2" sqref="B2"/>
    </sheetView>
  </sheetViews>
  <sheetFormatPr baseColWidth="10" defaultColWidth="12.5703125" defaultRowHeight="15.75" customHeight="1" x14ac:dyDescent="0.2"/>
  <sheetData>
    <row r="1" spans="1:2" ht="15.75" customHeight="1" x14ac:dyDescent="0.2">
      <c r="A1" s="1" t="s">
        <v>41</v>
      </c>
      <c r="B1" s="1" t="s">
        <v>42</v>
      </c>
    </row>
    <row r="2" spans="1:2" ht="15.75" customHeight="1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2026-10-09T12:12:10Z</dcterms:modified>
</cp:coreProperties>
</file>