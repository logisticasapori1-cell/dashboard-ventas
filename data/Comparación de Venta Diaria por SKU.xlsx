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R:\SUPPLY CHAIN\dashboard_supply_v.2.0\data\"/>
    </mc:Choice>
  </mc:AlternateContent>
  <xr:revisionPtr revIDLastSave="0" documentId="13_ncr:1_{DA1E24E8-FB47-44B8-826F-C9ADED3E01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Referencias de fuentes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E10" i="1" l="1"/>
  <c r="E44" i="1"/>
  <c r="E28" i="1"/>
  <c r="E16" i="1"/>
  <c r="E8" i="1"/>
  <c r="E43" i="1"/>
  <c r="E31" i="1"/>
  <c r="E19" i="1"/>
  <c r="E37" i="1"/>
  <c r="E3" i="1"/>
  <c r="E30" i="1"/>
  <c r="E42" i="1"/>
  <c r="E29" i="1"/>
  <c r="E2" i="1"/>
  <c r="E46" i="1"/>
  <c r="E36" i="1"/>
  <c r="E9" i="1"/>
  <c r="E15" i="1"/>
  <c r="E23" i="1"/>
  <c r="E14" i="1"/>
  <c r="E6" i="1"/>
  <c r="E41" i="1"/>
  <c r="E27" i="1"/>
  <c r="E35" i="1"/>
  <c r="E11" i="1"/>
  <c r="E33" i="1"/>
  <c r="E32" i="1"/>
  <c r="E45" i="1"/>
  <c r="E17" i="1"/>
  <c r="E7" i="1"/>
  <c r="E48" i="1"/>
  <c r="E21" i="1"/>
  <c r="E13" i="1"/>
  <c r="E5" i="1"/>
  <c r="E40" i="1"/>
  <c r="E25" i="1"/>
  <c r="E18" i="1"/>
  <c r="E34" i="1"/>
  <c r="E26" i="1"/>
  <c r="E22" i="1"/>
  <c r="E38" i="1"/>
  <c r="E20" i="1"/>
  <c r="E12" i="1"/>
  <c r="E47" i="1"/>
  <c r="E39" i="1"/>
  <c r="G4" i="1"/>
  <c r="F4" i="1"/>
  <c r="G22" i="1" l="1"/>
  <c r="F22" i="1"/>
  <c r="G25" i="1"/>
  <c r="F25" i="1"/>
  <c r="G14" i="1"/>
  <c r="F14" i="1"/>
  <c r="G36" i="1"/>
  <c r="F36" i="1"/>
  <c r="G12" i="1"/>
  <c r="F12" i="1"/>
  <c r="G26" i="1"/>
  <c r="F26" i="1"/>
  <c r="G40" i="1"/>
  <c r="F40" i="1"/>
  <c r="G48" i="1"/>
  <c r="F48" i="1"/>
  <c r="G32" i="1"/>
  <c r="F32" i="1"/>
  <c r="G27" i="1"/>
  <c r="F27" i="1"/>
  <c r="G23" i="1"/>
  <c r="F23" i="1"/>
  <c r="G46" i="1"/>
  <c r="F46" i="1"/>
  <c r="G30" i="1"/>
  <c r="F30" i="1"/>
  <c r="G31" i="1"/>
  <c r="F31" i="1"/>
  <c r="G28" i="1"/>
  <c r="F28" i="1"/>
  <c r="G45" i="1"/>
  <c r="F45" i="1"/>
  <c r="G42" i="1"/>
  <c r="F42" i="1"/>
  <c r="E24" i="1"/>
  <c r="G20" i="1"/>
  <c r="F20" i="1"/>
  <c r="G34" i="1"/>
  <c r="F34" i="1"/>
  <c r="G5" i="1"/>
  <c r="F5" i="1"/>
  <c r="G7" i="1"/>
  <c r="F7" i="1"/>
  <c r="G33" i="1"/>
  <c r="F33" i="1"/>
  <c r="G41" i="1"/>
  <c r="F41" i="1"/>
  <c r="G15" i="1"/>
  <c r="F15" i="1"/>
  <c r="G2" i="1"/>
  <c r="F2" i="1"/>
  <c r="G3" i="1"/>
  <c r="F3" i="1"/>
  <c r="G43" i="1"/>
  <c r="F43" i="1"/>
  <c r="G44" i="1"/>
  <c r="F44" i="1"/>
  <c r="G47" i="1"/>
  <c r="F47" i="1"/>
  <c r="G35" i="1"/>
  <c r="F35" i="1"/>
  <c r="G16" i="1"/>
  <c r="F16" i="1"/>
  <c r="G21" i="1"/>
  <c r="F21" i="1"/>
  <c r="G19" i="1"/>
  <c r="F19" i="1"/>
  <c r="G39" i="1"/>
  <c r="F39" i="1"/>
  <c r="G38" i="1"/>
  <c r="F38" i="1"/>
  <c r="G18" i="1"/>
  <c r="F18" i="1"/>
  <c r="G13" i="1"/>
  <c r="F13" i="1"/>
  <c r="G17" i="1"/>
  <c r="F17" i="1"/>
  <c r="G11" i="1"/>
  <c r="F11" i="1"/>
  <c r="G6" i="1"/>
  <c r="F6" i="1"/>
  <c r="G9" i="1"/>
  <c r="F9" i="1"/>
  <c r="G29" i="1"/>
  <c r="F29" i="1"/>
  <c r="G37" i="1"/>
  <c r="F37" i="1"/>
  <c r="G8" i="1"/>
  <c r="F8" i="1"/>
  <c r="G10" i="1"/>
  <c r="F10" i="1"/>
  <c r="G24" i="1" l="1"/>
  <c r="F24" i="1"/>
</calcChain>
</file>

<file path=xl/sharedStrings.xml><?xml version="1.0" encoding="utf-8"?>
<sst xmlns="http://schemas.openxmlformats.org/spreadsheetml/2006/main" count="106" uniqueCount="64">
  <si>
    <t>REFERENCIA INTERNA</t>
  </si>
  <si>
    <t>PRODUCTO</t>
  </si>
  <si>
    <t>Porcentaje de desviación</t>
  </si>
  <si>
    <t>Estado de tendencia</t>
  </si>
  <si>
    <t>Cremosillo Tradicional 150g</t>
  </si>
  <si>
    <t>Cremosillo Coco 150g</t>
  </si>
  <si>
    <t>Cremosillo Tradicional 230g</t>
  </si>
  <si>
    <t>Cremosillo Tradicional 400g</t>
  </si>
  <si>
    <t>Cremosillo Tradicional 1000g</t>
  </si>
  <si>
    <t>Gelatina Saltarina Fresa 130g</t>
  </si>
  <si>
    <t>Gelatina Saltarina Chicle 130g</t>
  </si>
  <si>
    <t>Gelatina Saltarina Kolita 130g</t>
  </si>
  <si>
    <t>Cremigurt Natural 150g</t>
  </si>
  <si>
    <t>Cremigurt Dulce 150g</t>
  </si>
  <si>
    <t>Cremigurt Griego Fresa 150g</t>
  </si>
  <si>
    <t>Cremigurt Griego Durazno 150g</t>
  </si>
  <si>
    <t>Cremigurt Griego Piña 150g</t>
  </si>
  <si>
    <t>Cremigurt Griego 150g</t>
  </si>
  <si>
    <t>Cremigurt Natural 700g</t>
  </si>
  <si>
    <t>Cremigurt Dulce 700g</t>
  </si>
  <si>
    <t>Cremigurt Griego Fresa 700g</t>
  </si>
  <si>
    <t>Cremigurt Griego 700g</t>
  </si>
  <si>
    <t>Griego Mykonos 700g</t>
  </si>
  <si>
    <t>Cremigurt Power Natural 150g</t>
  </si>
  <si>
    <t>Cremigurt Power Mantecado 150g</t>
  </si>
  <si>
    <t>Cremigurt Power CheesseCake Fresa 150g</t>
  </si>
  <si>
    <t>Cremigurt Power Cookies and Cream 150g</t>
  </si>
  <si>
    <t>Cremigurt Power Natural 700g</t>
  </si>
  <si>
    <t>Cremigurt Power Mantecado 700g</t>
  </si>
  <si>
    <t>Cremigurt Griego Fresa S/A 150g</t>
  </si>
  <si>
    <t>Cremigurt Griego Coco Vainilla S/A 150g</t>
  </si>
  <si>
    <t>Cremigurt Griego Pie de Limón S/A 150g</t>
  </si>
  <si>
    <t>Cremigurt Griego Caramelo Salado S/A 150g</t>
  </si>
  <si>
    <t>Cremigurt Líquido Dulce 230g</t>
  </si>
  <si>
    <t>Cremigurt Líquido Fresa 230g</t>
  </si>
  <si>
    <t>Cremigurt Líquido Durazno 230g</t>
  </si>
  <si>
    <t>Tevia Durazno 360ml</t>
  </si>
  <si>
    <t>Tevia Blueberry 360ml</t>
  </si>
  <si>
    <t>Tevia Tropical Punch 360ml</t>
  </si>
  <si>
    <t>Cremigurt Griego Dulce 4 Kg</t>
  </si>
  <si>
    <t>Cremigurt Griego Natural 4 Kg</t>
  </si>
  <si>
    <t>Índice</t>
  </si>
  <si>
    <t>Referencia</t>
  </si>
  <si>
    <t>1</t>
  </si>
  <si>
    <t>Ventas Junio y transcurso de ventas Julio.pdf</t>
  </si>
  <si>
    <t>Tevia Limon 360ml</t>
  </si>
  <si>
    <t>Tevia Limon 1.5L</t>
  </si>
  <si>
    <t>Tevia Durazno 1.5 L</t>
  </si>
  <si>
    <t>Tevia Blueberry 1.5 L</t>
  </si>
  <si>
    <t>Tevia Tropical Punch 1.5 L</t>
  </si>
  <si>
    <t>PRECIO UNITARIO</t>
  </si>
  <si>
    <t>CREMOSILLO</t>
  </si>
  <si>
    <t>CREMIGURT</t>
  </si>
  <si>
    <t>TEVIA</t>
  </si>
  <si>
    <t>SALTARINA</t>
  </si>
  <si>
    <t>CREMIGURT POWER</t>
  </si>
  <si>
    <t>CATEGORÍA</t>
  </si>
  <si>
    <t>Cremigurt Power Piña Colada 150g</t>
  </si>
  <si>
    <t>Cremigurt Power Dulce de Leche 150g</t>
  </si>
  <si>
    <t>Cremigurt Griego Mango 150g</t>
  </si>
  <si>
    <t>Cremigurt Griego Ciruela 150g</t>
  </si>
  <si>
    <t>Cremigurt Griego Mora 150g</t>
  </si>
  <si>
    <t>PROMD VTA DIA SEPTIEMBRE</t>
  </si>
  <si>
    <t>PROMD VTA DIA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</si>
</sst>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%"/>
  </numFmts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sz val="11"/>
      <color rgb="FF0061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20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4" borderId="0" applyNumberFormat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4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4" borderId="0" applyNumberFormat="0" applyBorder="0" applyAlignment="0" applyProtection="0"/>
  </cellStyleXfs>
  <cellXfs count="9">
    <xf numFmtId="0" fontId="0" fillId="0" borderId="0" xfId="0"/>
    <xf numFmtId="0" fontId="3" fillId="0" borderId="0" xfId="0" applyFont="1"/>
    <xf numFmtId="0" fontId="3" fillId="0" borderId="0" xfId="0" quotePrefix="1" applyFont="1"/>
    <xf numFmtId="0" fontId="4" fillId="0" borderId="0" xfId="0" applyFont="1"/>
    <xf numFmtId="1" fontId="0" fillId="0" borderId="0" xfId="0" applyNumberFormat="1"/>
    <xf numFmtId="164" fontId="5" fillId="2" borderId="1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3" fontId="4" fillId="0" borderId="0" xfId="0" applyNumberFormat="1" applyFont="1"/>
    <xf numFmtId="0" fontId="0" fillId="0" borderId="0" xfId="0" applyAlignment="1">
      <alignment horizontal="right"/>
    </xf>
  </cellXfs>
  <cellStyles count="20">
    <cellStyle name="Bueno 2" xfId="9" xr:uid="{94F67CAC-752E-4491-A3E3-C4BB62743B72}"/>
    <cellStyle name="Bueno 3" xfId="13" xr:uid="{4F709AEB-99D0-454B-A65A-29BEAE46F7D3}"/>
    <cellStyle name="Bueno 4" xfId="19" xr:uid="{CB352053-6C19-43CD-B03E-627D0A7258B8}"/>
    <cellStyle name="Millares 2" xfId="5" xr:uid="{2375C8DF-BDBA-43D5-9D31-543C4EE04C41}"/>
    <cellStyle name="Millares 3" xfId="7" xr:uid="{27A5BDA4-BEC6-4D39-8EC6-81077DACAD2E}"/>
    <cellStyle name="Millares 4" xfId="11" xr:uid="{A8866BDA-94C2-4640-AEC3-761F4953E7A9}"/>
    <cellStyle name="Millares 5" xfId="14" xr:uid="{259FBDCB-E288-4DE6-A5A1-D75AC9203F66}"/>
    <cellStyle name="Millares 6" xfId="15" xr:uid="{EBD22DEF-DD97-40DE-9E0D-75DB84FC7626}"/>
    <cellStyle name="Millares 7" xfId="17" xr:uid="{5D7A9A1C-84A4-48A0-B651-270D23CCD661}"/>
    <cellStyle name="Normal" xfId="0" builtinId="0"/>
    <cellStyle name="Normal 2" xfId="1" xr:uid="{6A46E9E3-F881-4AFA-9613-5EAED1E58279}"/>
    <cellStyle name="Normal 2 2" xfId="4" xr:uid="{B06DF990-D905-408E-BFA0-44405515E01D}"/>
    <cellStyle name="Normal 3" xfId="6" xr:uid="{3CC58EFF-C4E0-4F85-B088-2FDD0B926453}"/>
    <cellStyle name="Normal 4" xfId="10" xr:uid="{0DD17921-2CD6-422C-A23C-9A67FFB24691}"/>
    <cellStyle name="Normal 5" xfId="16" xr:uid="{6D56047B-2B25-4585-8E22-6D9FFAE9B0FE}"/>
    <cellStyle name="Normal 6" xfId="2" xr:uid="{13ADE74A-2259-43F4-9CA9-C254DDCD9F7C}"/>
    <cellStyle name="Porcentaje 2" xfId="8" xr:uid="{9BC1E1EC-552B-4A61-AC7B-93A66CA2C63A}"/>
    <cellStyle name="Porcentaje 3" xfId="12" xr:uid="{1BCE6996-3CD8-414B-A94D-1F5613AF54F4}"/>
    <cellStyle name="Porcentaje 4" xfId="18" xr:uid="{12FA4737-A541-4FD6-B499-94C89E1AA6CA}"/>
    <cellStyle name="Porcentaje 5" xfId="3" xr:uid="{03AE4CCC-FE99-48B8-A7EC-56272B60C0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Inventario/Octubre/Inventario%20Nacional%20Producto%20Terminado/Corte%20Diario%20Inventario%20Nacional%20Producto%20Terminado%20OCTUBRE%202026.xlsx" TargetMode="External"/><Relationship Id="rId2" Type="http://schemas.openxmlformats.org/officeDocument/2006/relationships/externalLinkPath" Target="file:///R:\SUPPLY%20CHAIN\Inventario\Octubre\Inventario%20Nacional%20Producto%20Terminado\Corte%20Diario%20Inventario%20Nacional%20Producto%20Terminado%20OCTUBRE%202026.xlsx" TargetMode="External"/><Relationship Id="rId1" Type="http://schemas.openxmlformats.org/officeDocument/2006/relationships/externalLinkPath" Target="/SUPPLY%20CHAIN/Inventario/Octubre/Inventario%20Nacional%20Producto%20Terminado/Corte%20Diario%20Inventario%20Nacional%20Producto%20Terminado%20OCTUBR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ENTARIO NACIONAL 01-10-26"/>
      <sheetName val="INVENTARIO NACIONAL 02-10-26"/>
      <sheetName val="INVENTARIO NACIONAL 05-10-26"/>
      <sheetName val="INVENTARIO NACIONAL 06-10-26"/>
      <sheetName val="INVENTARIO NACIONAL 07-10-26"/>
      <sheetName val="INVENTARIO NACIONAL 08-10-2 (2)"/>
      <sheetName val="INVENTARIO NACIONAL 09-10-26 "/>
      <sheetName val="INVENTARIO NACIONAL 13-10-26"/>
      <sheetName val="INVENTARIO NACIONAL 30-10-26"/>
      <sheetName val="CCC"/>
      <sheetName val="VINCULO VTS BY SKU SEPTIEMBRE"/>
      <sheetName val="VINCULO VTS BY SKU OPEN"/>
      <sheetName val="DESV. VTS BY SK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4">
          <cell r="F4">
            <v>1368.25</v>
          </cell>
          <cell r="G4">
            <v>0.13031805039239974</v>
          </cell>
          <cell r="H4" t="str">
            <v>SUBIÓ</v>
          </cell>
        </row>
        <row r="5">
          <cell r="F5">
            <v>5.35</v>
          </cell>
          <cell r="G5">
            <v>-0.87623554153522609</v>
          </cell>
          <cell r="H5" t="str">
            <v>BAJO</v>
          </cell>
        </row>
        <row r="6">
          <cell r="F6">
            <v>553.29999999999995</v>
          </cell>
          <cell r="G6">
            <v>0.11767514461481943</v>
          </cell>
          <cell r="H6" t="str">
            <v>SUBIÓ</v>
          </cell>
        </row>
        <row r="7">
          <cell r="F7">
            <v>112.1</v>
          </cell>
          <cell r="G7">
            <v>1.5733113673805477E-2</v>
          </cell>
          <cell r="H7" t="str">
            <v>SUBIÓ</v>
          </cell>
        </row>
        <row r="8">
          <cell r="F8">
            <v>16.3</v>
          </cell>
          <cell r="G8">
            <v>8.0120481927710818E-2</v>
          </cell>
          <cell r="H8" t="str">
            <v>SUBIÓ</v>
          </cell>
        </row>
        <row r="9">
          <cell r="F9">
            <v>1635.9</v>
          </cell>
          <cell r="G9">
            <v>0.15648457583547559</v>
          </cell>
          <cell r="H9" t="str">
            <v>SUBIÓ</v>
          </cell>
        </row>
        <row r="10">
          <cell r="F10">
            <v>143.85</v>
          </cell>
          <cell r="G10">
            <v>-4.9354160408531134E-2</v>
          </cell>
          <cell r="H10" t="str">
            <v>BAJO</v>
          </cell>
        </row>
        <row r="11">
          <cell r="F11">
            <v>420.55</v>
          </cell>
          <cell r="G11">
            <v>0.26239596124982945</v>
          </cell>
          <cell r="H11" t="str">
            <v>SUBIÓ</v>
          </cell>
        </row>
        <row r="12">
          <cell r="F12">
            <v>877.25</v>
          </cell>
          <cell r="G12">
            <v>7.644040381504813E-2</v>
          </cell>
          <cell r="H12" t="str">
            <v>SUBIÓ</v>
          </cell>
        </row>
        <row r="13">
          <cell r="F13">
            <v>397.5</v>
          </cell>
          <cell r="G13">
            <v>-9.4019030357951339E-3</v>
          </cell>
          <cell r="H13" t="str">
            <v>BAJO</v>
          </cell>
        </row>
        <row r="14">
          <cell r="F14">
            <v>3721.65</v>
          </cell>
          <cell r="G14">
            <v>8.1460592531931386E-2</v>
          </cell>
          <cell r="H14" t="str">
            <v>SUBIÓ</v>
          </cell>
        </row>
        <row r="15">
          <cell r="F15">
            <v>2285.75</v>
          </cell>
          <cell r="G15">
            <v>5.7083096844716241E-2</v>
          </cell>
          <cell r="H15" t="str">
            <v>SUBIÓ</v>
          </cell>
        </row>
        <row r="16">
          <cell r="F16">
            <v>2281.5500000000002</v>
          </cell>
          <cell r="G16">
            <v>5.0503338146962173E-2</v>
          </cell>
          <cell r="H16" t="str">
            <v>SUBIÓ</v>
          </cell>
        </row>
        <row r="17">
          <cell r="F17">
            <v>2844.8</v>
          </cell>
          <cell r="G17">
            <v>6.5667728038958595E-2</v>
          </cell>
          <cell r="H17" t="str">
            <v>SUBIÓ</v>
          </cell>
        </row>
        <row r="18">
          <cell r="F18">
            <v>806.2</v>
          </cell>
          <cell r="G18">
            <v>0.10424604656954295</v>
          </cell>
          <cell r="H18" t="str">
            <v>SUBIÓ</v>
          </cell>
        </row>
        <row r="19">
          <cell r="F19">
            <v>1044.5</v>
          </cell>
          <cell r="G19">
            <v>0.19383832086450536</v>
          </cell>
          <cell r="H19" t="str">
            <v>SUBIÓ</v>
          </cell>
        </row>
        <row r="20">
          <cell r="F20">
            <v>1017.25</v>
          </cell>
          <cell r="G20">
            <v>0.16815429585551711</v>
          </cell>
          <cell r="H20" t="str">
            <v>SUBIÓ</v>
          </cell>
        </row>
        <row r="21">
          <cell r="F21">
            <v>311.8</v>
          </cell>
          <cell r="G21">
            <v>9.9118730972600488E-2</v>
          </cell>
          <cell r="H21" t="str">
            <v>SUBIÓ</v>
          </cell>
        </row>
        <row r="22">
          <cell r="F22">
            <v>159.69999999999999</v>
          </cell>
          <cell r="G22">
            <v>0.11501110758489363</v>
          </cell>
          <cell r="H22" t="str">
            <v>SUBIÓ</v>
          </cell>
        </row>
        <row r="23">
          <cell r="F23">
            <v>560.4</v>
          </cell>
          <cell r="G23">
            <v>6.7151389249545446E-2</v>
          </cell>
          <cell r="H23" t="str">
            <v>SUBIÓ</v>
          </cell>
        </row>
        <row r="24">
          <cell r="F24">
            <v>928.95</v>
          </cell>
          <cell r="G24">
            <v>3.5881190126210161E-2</v>
          </cell>
          <cell r="H24" t="str">
            <v>SUBIÓ</v>
          </cell>
        </row>
        <row r="25">
          <cell r="F25">
            <v>68.75</v>
          </cell>
          <cell r="G25">
            <v>5.0347222222222321E-2</v>
          </cell>
          <cell r="H25" t="str">
            <v>SUBIÓ</v>
          </cell>
        </row>
        <row r="26">
          <cell r="F26">
            <v>713.4</v>
          </cell>
          <cell r="G26">
            <v>-4.3265875785066799E-3</v>
          </cell>
          <cell r="H26" t="str">
            <v>BAJO</v>
          </cell>
        </row>
        <row r="27">
          <cell r="F27">
            <v>1173.3499999999999</v>
          </cell>
          <cell r="G27">
            <v>6.0372165626026986E-2</v>
          </cell>
          <cell r="H27" t="str">
            <v>SUBIÓ</v>
          </cell>
        </row>
        <row r="28">
          <cell r="F28">
            <v>648.35</v>
          </cell>
          <cell r="G28">
            <v>0.11200592500194917</v>
          </cell>
          <cell r="H28" t="str">
            <v>SUBIÓ</v>
          </cell>
        </row>
        <row r="29">
          <cell r="F29">
            <v>521.9</v>
          </cell>
          <cell r="G29">
            <v>0.10137170263788953</v>
          </cell>
          <cell r="H29" t="str">
            <v>SUBIÓ</v>
          </cell>
        </row>
        <row r="30">
          <cell r="F30">
            <v>363.35</v>
          </cell>
          <cell r="G30">
            <v>0.43823317740194323</v>
          </cell>
          <cell r="H30" t="str">
            <v>SUBIÓ</v>
          </cell>
        </row>
        <row r="31">
          <cell r="F31">
            <v>409.25</v>
          </cell>
          <cell r="G31">
            <v>0.32521342360906691</v>
          </cell>
          <cell r="H31" t="str">
            <v>SUBIÓ</v>
          </cell>
        </row>
        <row r="32">
          <cell r="F32">
            <v>135.25</v>
          </cell>
          <cell r="G32">
            <v>-1.8310788518640764E-2</v>
          </cell>
          <cell r="H32" t="str">
            <v>BAJO</v>
          </cell>
        </row>
        <row r="33">
          <cell r="F33">
            <v>157.5</v>
          </cell>
          <cell r="G33">
            <v>3.4637205135861437E-2</v>
          </cell>
          <cell r="H33" t="str">
            <v>SUBIÓ</v>
          </cell>
        </row>
        <row r="34">
          <cell r="F34">
            <v>831.9</v>
          </cell>
          <cell r="G34">
            <v>1.2267699115044106E-2</v>
          </cell>
          <cell r="H34" t="str">
            <v>SUBIÓ</v>
          </cell>
        </row>
        <row r="35">
          <cell r="F35">
            <v>617.45000000000005</v>
          </cell>
          <cell r="G35">
            <v>-1.8149620527647237E-2</v>
          </cell>
          <cell r="H35" t="str">
            <v>BAJO</v>
          </cell>
        </row>
        <row r="36">
          <cell r="F36">
            <v>805.55</v>
          </cell>
          <cell r="G36">
            <v>-2.7647317019642403E-2</v>
          </cell>
          <cell r="H36" t="str">
            <v>BAJO</v>
          </cell>
        </row>
        <row r="37">
          <cell r="F37">
            <v>576.04999999999995</v>
          </cell>
          <cell r="G37">
            <v>4.0057447681575598E-2</v>
          </cell>
          <cell r="H37" t="str">
            <v>SUBIÓ</v>
          </cell>
        </row>
        <row r="38">
          <cell r="F38">
            <v>3.3</v>
          </cell>
          <cell r="G38">
            <v>-0.11463414634146341</v>
          </cell>
          <cell r="H38" t="str">
            <v>BAJO</v>
          </cell>
        </row>
        <row r="39">
          <cell r="F39">
            <v>0.9</v>
          </cell>
          <cell r="G39">
            <v>0.8</v>
          </cell>
          <cell r="H39" t="str">
            <v>SUBIÓ</v>
          </cell>
        </row>
        <row r="40">
          <cell r="F40">
            <v>121.85</v>
          </cell>
          <cell r="G40">
            <v>-2.2712358731316162E-2</v>
          </cell>
          <cell r="H40" t="str">
            <v>BAJO</v>
          </cell>
        </row>
        <row r="41">
          <cell r="F41">
            <v>445.8</v>
          </cell>
          <cell r="G41">
            <v>-0.26047353340370993</v>
          </cell>
          <cell r="H41" t="str">
            <v>BAJO</v>
          </cell>
        </row>
        <row r="42">
          <cell r="F42">
            <v>374.3</v>
          </cell>
          <cell r="G42">
            <v>-0.13127967085135561</v>
          </cell>
          <cell r="H42" t="str">
            <v>BAJO</v>
          </cell>
        </row>
        <row r="43">
          <cell r="F43">
            <v>327.7</v>
          </cell>
          <cell r="G43">
            <v>0.18653719552337056</v>
          </cell>
          <cell r="H43" t="str">
            <v>SUBIÓ</v>
          </cell>
        </row>
        <row r="44">
          <cell r="F44">
            <v>595.15</v>
          </cell>
          <cell r="G44">
            <v>0.16852298081213735</v>
          </cell>
          <cell r="H44" t="str">
            <v>SUBIÓ</v>
          </cell>
        </row>
        <row r="45">
          <cell r="F45">
            <v>283.95</v>
          </cell>
          <cell r="G45">
            <v>-0.10974775545104742</v>
          </cell>
          <cell r="H45" t="str">
            <v>BAJO</v>
          </cell>
        </row>
        <row r="46">
          <cell r="F46">
            <v>315.95</v>
          </cell>
          <cell r="G46">
            <v>3.9153834653909314E-2</v>
          </cell>
          <cell r="H46" t="str">
            <v>SUBIÓ</v>
          </cell>
        </row>
        <row r="47">
          <cell r="F47">
            <v>59.75</v>
          </cell>
          <cell r="G47">
            <v>-9.4197437829691699E-3</v>
          </cell>
          <cell r="H47" t="str">
            <v>BAJO</v>
          </cell>
        </row>
        <row r="48">
          <cell r="F48">
            <v>96.05</v>
          </cell>
          <cell r="G48">
            <v>-0.18413127413127417</v>
          </cell>
          <cell r="H48" t="str">
            <v>BAJO</v>
          </cell>
        </row>
        <row r="49">
          <cell r="F49">
            <v>79.349999999999994</v>
          </cell>
          <cell r="G49">
            <v>0.91835164835164806</v>
          </cell>
          <cell r="H49" t="str">
            <v>SUBIÓ</v>
          </cell>
        </row>
        <row r="50">
          <cell r="F50">
            <v>65.55</v>
          </cell>
          <cell r="G50">
            <v>0.3086206896551722</v>
          </cell>
          <cell r="H50" t="str">
            <v>SUBIÓ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8"/>
  <sheetViews>
    <sheetView tabSelected="1" workbookViewId="0">
      <selection activeCell="K20" sqref="K20"/>
    </sheetView>
  </sheetViews>
  <sheetFormatPr baseColWidth="10" defaultColWidth="9.140625" defaultRowHeight="12.75" x14ac:dyDescent="0.2"/>
  <cols>
    <col min="1" max="1" width="17.7109375" customWidth="1"/>
    <col min="2" max="2" width="38" customWidth="1"/>
    <col min="3" max="3" width="17.7109375" customWidth="1"/>
    <col min="4" max="4" width="24" customWidth="1"/>
    <col min="5" max="5" width="24.7109375" customWidth="1"/>
    <col min="6" max="8" width="17.7109375" customWidth="1"/>
    <col min="10" max="10" width="17.7109375" customWidth="1"/>
  </cols>
  <sheetData>
    <row r="1" spans="1:8" x14ac:dyDescent="0.2">
      <c r="A1" t="s">
        <v>0</v>
      </c>
      <c r="B1" t="s">
        <v>1</v>
      </c>
      <c r="C1" s="3" t="s">
        <v>56</v>
      </c>
      <c r="D1" s="3" t="s">
        <v>62</v>
      </c>
      <c r="E1" s="3" t="s">
        <v>63</v>
      </c>
      <c r="F1" s="3" t="s">
        <v>2</v>
      </c>
      <c r="G1" t="s">
        <v>3</v>
      </c>
      <c r="H1" s="3" t="s">
        <v>50</v>
      </c>
    </row>
    <row r="2" spans="1:8" x14ac:dyDescent="0.2">
      <c r="A2">
        <v>110150</v>
      </c>
      <c r="B2" t="s">
        <v>4</v>
      </c>
      <c r="C2" s="3" t="s">
        <v>51</v>
      </c>
      <c r="D2" s="4">
        <v>1210.5</v>
      </c>
      <c r="E2" s="4">
        <f ca="1">'[1]DESV. VTS BY SKU'!F4</f>
        <v>1368.25</v>
      </c>
      <c r="F2" s="5">
        <f ca="1">'[1]DESV. VTS BY SKU'!G4</f>
        <v>0.13031805039239974</v>
      </c>
      <c r="G2" s="7" t="str">
        <f ca="1">'[1]DESV. VTS BY SKU'!H4</f>
        <v>SUBIÓ</v>
      </c>
      <c r="H2">
        <v>1.36</v>
      </c>
    </row>
    <row r="3" spans="1:8" x14ac:dyDescent="0.2">
      <c r="A3">
        <v>110151</v>
      </c>
      <c r="B3" t="s">
        <v>5</v>
      </c>
      <c r="C3" s="3" t="s">
        <v>51</v>
      </c>
      <c r="D3" s="4">
        <v>43.227272727272727</v>
      </c>
      <c r="E3" s="4">
        <f ca="1">'[1]DESV. VTS BY SKU'!F5</f>
        <v>5.35</v>
      </c>
      <c r="F3" s="6">
        <f ca="1">'[1]DESV. VTS BY SKU'!G5</f>
        <v>-0.87623554153522609</v>
      </c>
      <c r="G3" s="7" t="str">
        <f ca="1">'[1]DESV. VTS BY SKU'!H5</f>
        <v>BAJO</v>
      </c>
      <c r="H3">
        <v>1.59</v>
      </c>
    </row>
    <row r="4" spans="1:8" x14ac:dyDescent="0.2">
      <c r="A4">
        <v>110230</v>
      </c>
      <c r="B4" t="s">
        <v>6</v>
      </c>
      <c r="C4" s="3" t="s">
        <v>51</v>
      </c>
      <c r="D4" s="4">
        <v>495.04545454545456</v>
      </c>
      <c r="E4" s="4">
        <f ca="1">'[1]DESV. VTS BY SKU'!F6</f>
        <v>553.29999999999995</v>
      </c>
      <c r="F4" s="5">
        <f ca="1">'[1]DESV. VTS BY SKU'!G6</f>
        <v>0.11767514461481943</v>
      </c>
      <c r="G4" s="7" t="str">
        <f ca="1">'[1]DESV. VTS BY SKU'!H6</f>
        <v>SUBIÓ</v>
      </c>
      <c r="H4">
        <v>2.0299999999999998</v>
      </c>
    </row>
    <row r="5" spans="1:8" x14ac:dyDescent="0.2">
      <c r="A5">
        <v>110400</v>
      </c>
      <c r="B5" t="s">
        <v>7</v>
      </c>
      <c r="C5" s="3" t="s">
        <v>51</v>
      </c>
      <c r="D5" s="4">
        <v>110.36363636363636</v>
      </c>
      <c r="E5" s="4">
        <f ca="1">'[1]DESV. VTS BY SKU'!F7</f>
        <v>112.1</v>
      </c>
      <c r="F5" s="6">
        <f ca="1">'[1]DESV. VTS BY SKU'!G7</f>
        <v>1.5733113673805477E-2</v>
      </c>
      <c r="G5" s="7" t="str">
        <f ca="1">'[1]DESV. VTS BY SKU'!H7</f>
        <v>SUBIÓ</v>
      </c>
      <c r="H5">
        <v>3.61</v>
      </c>
    </row>
    <row r="6" spans="1:8" x14ac:dyDescent="0.2">
      <c r="A6">
        <v>111000</v>
      </c>
      <c r="B6" t="s">
        <v>8</v>
      </c>
      <c r="C6" s="3" t="s">
        <v>51</v>
      </c>
      <c r="D6" s="4">
        <v>15.090909090909092</v>
      </c>
      <c r="E6" s="4">
        <f ca="1">'[1]DESV. VTS BY SKU'!F8</f>
        <v>16.3</v>
      </c>
      <c r="F6" s="5">
        <f ca="1">'[1]DESV. VTS BY SKU'!G8</f>
        <v>8.0120481927710818E-2</v>
      </c>
      <c r="G6" s="7" t="str">
        <f ca="1">'[1]DESV. VTS BY SKU'!H8</f>
        <v>SUBIÓ</v>
      </c>
      <c r="H6">
        <v>8.7799999999999994</v>
      </c>
    </row>
    <row r="7" spans="1:8" x14ac:dyDescent="0.2">
      <c r="A7">
        <v>120130</v>
      </c>
      <c r="B7" t="s">
        <v>9</v>
      </c>
      <c r="C7" s="3" t="s">
        <v>54</v>
      </c>
      <c r="D7" s="4">
        <v>1414.5454545454545</v>
      </c>
      <c r="E7" s="4">
        <f ca="1">'[1]DESV. VTS BY SKU'!F9</f>
        <v>1635.9</v>
      </c>
      <c r="F7" s="6">
        <f ca="1">'[1]DESV. VTS BY SKU'!G9</f>
        <v>0.15648457583547559</v>
      </c>
      <c r="G7" s="7" t="str">
        <f ca="1">'[1]DESV. VTS BY SKU'!H9</f>
        <v>SUBIÓ</v>
      </c>
      <c r="H7">
        <v>0.63</v>
      </c>
    </row>
    <row r="8" spans="1:8" x14ac:dyDescent="0.2">
      <c r="A8">
        <v>120131</v>
      </c>
      <c r="B8" t="s">
        <v>10</v>
      </c>
      <c r="C8" s="3" t="s">
        <v>54</v>
      </c>
      <c r="D8" s="4">
        <v>151.31818181818181</v>
      </c>
      <c r="E8" s="4">
        <f ca="1">'[1]DESV. VTS BY SKU'!F10</f>
        <v>143.85</v>
      </c>
      <c r="F8" s="5">
        <f ca="1">'[1]DESV. VTS BY SKU'!G10</f>
        <v>-4.9354160408531134E-2</v>
      </c>
      <c r="G8" s="7" t="str">
        <f ca="1">'[1]DESV. VTS BY SKU'!H10</f>
        <v>BAJO</v>
      </c>
      <c r="H8">
        <v>0.63</v>
      </c>
    </row>
    <row r="9" spans="1:8" x14ac:dyDescent="0.2">
      <c r="A9">
        <v>120132</v>
      </c>
      <c r="B9" t="s">
        <v>11</v>
      </c>
      <c r="C9" s="3" t="s">
        <v>54</v>
      </c>
      <c r="D9" s="4">
        <v>333.13636363636363</v>
      </c>
      <c r="E9" s="4">
        <f ca="1">'[1]DESV. VTS BY SKU'!F11</f>
        <v>420.55</v>
      </c>
      <c r="F9" s="6">
        <f ca="1">'[1]DESV. VTS BY SKU'!G11</f>
        <v>0.26239596124982945</v>
      </c>
      <c r="G9" s="7" t="str">
        <f ca="1">'[1]DESV. VTS BY SKU'!H11</f>
        <v>SUBIÓ</v>
      </c>
      <c r="H9">
        <v>0.63</v>
      </c>
    </row>
    <row r="10" spans="1:8" x14ac:dyDescent="0.2">
      <c r="A10">
        <v>130150</v>
      </c>
      <c r="B10" t="s">
        <v>12</v>
      </c>
      <c r="C10" s="3" t="s">
        <v>52</v>
      </c>
      <c r="D10" s="4">
        <v>814.9545454545455</v>
      </c>
      <c r="E10" s="4">
        <f ca="1">'[1]DESV. VTS BY SKU'!F12</f>
        <v>877.25</v>
      </c>
      <c r="F10" s="5">
        <f ca="1">'[1]DESV. VTS BY SKU'!G12</f>
        <v>7.644040381504813E-2</v>
      </c>
      <c r="G10" s="7" t="str">
        <f ca="1">'[1]DESV. VTS BY SKU'!H12</f>
        <v>SUBIÓ</v>
      </c>
      <c r="H10">
        <v>1.0900000000000001</v>
      </c>
    </row>
    <row r="11" spans="1:8" x14ac:dyDescent="0.2">
      <c r="A11">
        <v>130151</v>
      </c>
      <c r="B11" t="s">
        <v>13</v>
      </c>
      <c r="C11" s="3" t="s">
        <v>52</v>
      </c>
      <c r="D11" s="4">
        <v>401.27272727272725</v>
      </c>
      <c r="E11" s="4">
        <f ca="1">'[1]DESV. VTS BY SKU'!F13</f>
        <v>397.5</v>
      </c>
      <c r="F11" s="6">
        <f ca="1">'[1]DESV. VTS BY SKU'!G13</f>
        <v>-9.4019030357951339E-3</v>
      </c>
      <c r="G11" s="7" t="str">
        <f ca="1">'[1]DESV. VTS BY SKU'!H13</f>
        <v>BAJO</v>
      </c>
      <c r="H11">
        <v>1.0900000000000001</v>
      </c>
    </row>
    <row r="12" spans="1:8" x14ac:dyDescent="0.2">
      <c r="A12">
        <v>130152</v>
      </c>
      <c r="B12" t="s">
        <v>14</v>
      </c>
      <c r="C12" s="3" t="s">
        <v>52</v>
      </c>
      <c r="D12" s="4">
        <v>3441.318181818182</v>
      </c>
      <c r="E12" s="4">
        <f ca="1">'[1]DESV. VTS BY SKU'!F14</f>
        <v>3721.65</v>
      </c>
      <c r="F12" s="5">
        <f ca="1">'[1]DESV. VTS BY SKU'!G14</f>
        <v>8.1460592531931386E-2</v>
      </c>
      <c r="G12" s="7" t="str">
        <f ca="1">'[1]DESV. VTS BY SKU'!H14</f>
        <v>SUBIÓ</v>
      </c>
      <c r="H12">
        <v>1.1599999999999999</v>
      </c>
    </row>
    <row r="13" spans="1:8" x14ac:dyDescent="0.2">
      <c r="A13">
        <v>130153</v>
      </c>
      <c r="B13" t="s">
        <v>15</v>
      </c>
      <c r="C13" s="3" t="s">
        <v>52</v>
      </c>
      <c r="D13" s="4">
        <v>2162.318181818182</v>
      </c>
      <c r="E13" s="4">
        <f ca="1">'[1]DESV. VTS BY SKU'!F15</f>
        <v>2285.75</v>
      </c>
      <c r="F13" s="6">
        <f ca="1">'[1]DESV. VTS BY SKU'!G15</f>
        <v>5.7083096844716241E-2</v>
      </c>
      <c r="G13" s="7" t="str">
        <f ca="1">'[1]DESV. VTS BY SKU'!H15</f>
        <v>SUBIÓ</v>
      </c>
      <c r="H13">
        <v>1.1599999999999999</v>
      </c>
    </row>
    <row r="14" spans="1:8" x14ac:dyDescent="0.2">
      <c r="A14">
        <v>130154</v>
      </c>
      <c r="B14" t="s">
        <v>16</v>
      </c>
      <c r="C14" s="3" t="s">
        <v>52</v>
      </c>
      <c r="D14" s="4">
        <v>2171.8636363636365</v>
      </c>
      <c r="E14" s="4">
        <f ca="1">'[1]DESV. VTS BY SKU'!F16</f>
        <v>2281.5500000000002</v>
      </c>
      <c r="F14" s="5">
        <f ca="1">'[1]DESV. VTS BY SKU'!G16</f>
        <v>5.0503338146962173E-2</v>
      </c>
      <c r="G14" s="7" t="str">
        <f ca="1">'[1]DESV. VTS BY SKU'!H16</f>
        <v>SUBIÓ</v>
      </c>
      <c r="H14">
        <v>1.1599999999999999</v>
      </c>
    </row>
    <row r="15" spans="1:8" x14ac:dyDescent="0.2">
      <c r="A15">
        <v>130155</v>
      </c>
      <c r="B15" t="s">
        <v>17</v>
      </c>
      <c r="C15" s="3" t="s">
        <v>52</v>
      </c>
      <c r="D15" s="4">
        <v>2669.5</v>
      </c>
      <c r="E15" s="4">
        <f ca="1">'[1]DESV. VTS BY SKU'!F17</f>
        <v>2844.8</v>
      </c>
      <c r="F15" s="6">
        <f ca="1">'[1]DESV. VTS BY SKU'!G17</f>
        <v>6.5667728038958595E-2</v>
      </c>
      <c r="G15" s="7" t="str">
        <f ca="1">'[1]DESV. VTS BY SKU'!H17</f>
        <v>SUBIÓ</v>
      </c>
      <c r="H15">
        <v>1.1599999999999999</v>
      </c>
    </row>
    <row r="16" spans="1:8" x14ac:dyDescent="0.2">
      <c r="A16">
        <v>130157</v>
      </c>
      <c r="B16" t="s">
        <v>59</v>
      </c>
      <c r="C16" s="3" t="s">
        <v>52</v>
      </c>
      <c r="D16" s="4">
        <v>730.09090909090912</v>
      </c>
      <c r="E16" s="4">
        <f ca="1">'[1]DESV. VTS BY SKU'!F18</f>
        <v>806.2</v>
      </c>
      <c r="F16" s="6">
        <f ca="1">'[1]DESV. VTS BY SKU'!G18</f>
        <v>0.10424604656954295</v>
      </c>
      <c r="G16" s="7" t="str">
        <f ca="1">'[1]DESV. VTS BY SKU'!H18</f>
        <v>SUBIÓ</v>
      </c>
      <c r="H16">
        <v>1.1599999999999999</v>
      </c>
    </row>
    <row r="17" spans="1:8" x14ac:dyDescent="0.2">
      <c r="A17">
        <v>130158</v>
      </c>
      <c r="B17" t="s">
        <v>60</v>
      </c>
      <c r="C17" s="3" t="s">
        <v>52</v>
      </c>
      <c r="D17" s="4">
        <v>874.90909090909088</v>
      </c>
      <c r="E17" s="4">
        <f ca="1">'[1]DESV. VTS BY SKU'!F19</f>
        <v>1044.5</v>
      </c>
      <c r="F17" s="6">
        <f ca="1">'[1]DESV. VTS BY SKU'!G19</f>
        <v>0.19383832086450536</v>
      </c>
      <c r="G17" s="7" t="str">
        <f ca="1">'[1]DESV. VTS BY SKU'!H19</f>
        <v>SUBIÓ</v>
      </c>
      <c r="H17">
        <v>1.1599999999999999</v>
      </c>
    </row>
    <row r="18" spans="1:8" x14ac:dyDescent="0.2">
      <c r="A18">
        <v>130159</v>
      </c>
      <c r="B18" t="s">
        <v>61</v>
      </c>
      <c r="C18" s="3" t="s">
        <v>52</v>
      </c>
      <c r="D18" s="4">
        <v>870.81818181818187</v>
      </c>
      <c r="E18" s="4">
        <f ca="1">'[1]DESV. VTS BY SKU'!F20</f>
        <v>1017.25</v>
      </c>
      <c r="F18" s="6">
        <f ca="1">'[1]DESV. VTS BY SKU'!G20</f>
        <v>0.16815429585551711</v>
      </c>
      <c r="G18" s="7" t="str">
        <f ca="1">'[1]DESV. VTS BY SKU'!H20</f>
        <v>SUBIÓ</v>
      </c>
      <c r="H18">
        <v>1.1599999999999999</v>
      </c>
    </row>
    <row r="19" spans="1:8" x14ac:dyDescent="0.2">
      <c r="A19">
        <v>130700</v>
      </c>
      <c r="B19" t="s">
        <v>18</v>
      </c>
      <c r="C19" s="3" t="s">
        <v>52</v>
      </c>
      <c r="D19" s="4">
        <v>283.68181818181819</v>
      </c>
      <c r="E19" s="4">
        <f ca="1">'[1]DESV. VTS BY SKU'!F21</f>
        <v>311.8</v>
      </c>
      <c r="F19" s="6">
        <f ca="1">'[1]DESV. VTS BY SKU'!G21</f>
        <v>9.9118730972600488E-2</v>
      </c>
      <c r="G19" s="7" t="str">
        <f ca="1">'[1]DESV. VTS BY SKU'!H21</f>
        <v>SUBIÓ</v>
      </c>
      <c r="H19">
        <v>3.68</v>
      </c>
    </row>
    <row r="20" spans="1:8" x14ac:dyDescent="0.2">
      <c r="A20">
        <v>130701</v>
      </c>
      <c r="B20" t="s">
        <v>19</v>
      </c>
      <c r="C20" s="3" t="s">
        <v>52</v>
      </c>
      <c r="D20" s="4">
        <v>143.22727272727272</v>
      </c>
      <c r="E20" s="4">
        <f ca="1">'[1]DESV. VTS BY SKU'!F22</f>
        <v>159.69999999999999</v>
      </c>
      <c r="F20" s="5">
        <f ca="1">'[1]DESV. VTS BY SKU'!G22</f>
        <v>0.11501110758489363</v>
      </c>
      <c r="G20" s="7" t="str">
        <f ca="1">'[1]DESV. VTS BY SKU'!H22</f>
        <v>SUBIÓ</v>
      </c>
      <c r="H20">
        <v>3.68</v>
      </c>
    </row>
    <row r="21" spans="1:8" x14ac:dyDescent="0.2">
      <c r="A21">
        <v>130702</v>
      </c>
      <c r="B21" t="s">
        <v>20</v>
      </c>
      <c r="C21" s="3" t="s">
        <v>52</v>
      </c>
      <c r="D21" s="4">
        <v>525.13636363636363</v>
      </c>
      <c r="E21" s="4">
        <f ca="1">'[1]DESV. VTS BY SKU'!F23</f>
        <v>560.4</v>
      </c>
      <c r="F21" s="6">
        <f ca="1">'[1]DESV. VTS BY SKU'!G23</f>
        <v>6.7151389249545446E-2</v>
      </c>
      <c r="G21" s="7" t="str">
        <f ca="1">'[1]DESV. VTS BY SKU'!H23</f>
        <v>SUBIÓ</v>
      </c>
      <c r="H21">
        <v>4.1500000000000004</v>
      </c>
    </row>
    <row r="22" spans="1:8" x14ac:dyDescent="0.2">
      <c r="A22">
        <v>130703</v>
      </c>
      <c r="B22" t="s">
        <v>21</v>
      </c>
      <c r="C22" s="3" t="s">
        <v>52</v>
      </c>
      <c r="D22" s="4">
        <v>896.77272727272725</v>
      </c>
      <c r="E22" s="4">
        <f ca="1">'[1]DESV. VTS BY SKU'!F24</f>
        <v>928.95</v>
      </c>
      <c r="F22" s="5">
        <f ca="1">'[1]DESV. VTS BY SKU'!G24</f>
        <v>3.5881190126210161E-2</v>
      </c>
      <c r="G22" s="7" t="str">
        <f ca="1">'[1]DESV. VTS BY SKU'!H24</f>
        <v>SUBIÓ</v>
      </c>
      <c r="H22">
        <v>4.1500000000000004</v>
      </c>
    </row>
    <row r="23" spans="1:8" x14ac:dyDescent="0.2">
      <c r="A23">
        <v>130707</v>
      </c>
      <c r="B23" t="s">
        <v>22</v>
      </c>
      <c r="C23" s="3" t="s">
        <v>52</v>
      </c>
      <c r="D23" s="4">
        <v>65.454545454545453</v>
      </c>
      <c r="E23" s="4">
        <f ca="1">'[1]DESV. VTS BY SKU'!F25</f>
        <v>68.75</v>
      </c>
      <c r="F23" s="5">
        <f ca="1">'[1]DESV. VTS BY SKU'!G25</f>
        <v>5.0347222222222321E-2</v>
      </c>
      <c r="G23" s="7" t="str">
        <f ca="1">'[1]DESV. VTS BY SKU'!H25</f>
        <v>SUBIÓ</v>
      </c>
      <c r="H23">
        <v>4.1500000000000004</v>
      </c>
    </row>
    <row r="24" spans="1:8" x14ac:dyDescent="0.2">
      <c r="A24">
        <v>131150</v>
      </c>
      <c r="B24" t="s">
        <v>23</v>
      </c>
      <c r="C24" s="3" t="s">
        <v>55</v>
      </c>
      <c r="D24" s="4">
        <v>716.5</v>
      </c>
      <c r="E24" s="4">
        <f ca="1">'[1]DESV. VTS BY SKU'!F26</f>
        <v>713.4</v>
      </c>
      <c r="F24" s="6">
        <f ca="1">'[1]DESV. VTS BY SKU'!G26</f>
        <v>-4.3265875785066799E-3</v>
      </c>
      <c r="G24" s="7" t="str">
        <f ca="1">'[1]DESV. VTS BY SKU'!H26</f>
        <v>BAJO</v>
      </c>
      <c r="H24">
        <v>1.63</v>
      </c>
    </row>
    <row r="25" spans="1:8" x14ac:dyDescent="0.2">
      <c r="A25">
        <v>131151</v>
      </c>
      <c r="B25" t="s">
        <v>24</v>
      </c>
      <c r="C25" s="3" t="s">
        <v>55</v>
      </c>
      <c r="D25" s="4">
        <v>1106.5454545454545</v>
      </c>
      <c r="E25" s="4">
        <f ca="1">'[1]DESV. VTS BY SKU'!F27</f>
        <v>1173.3499999999999</v>
      </c>
      <c r="F25" s="5">
        <f ca="1">'[1]DESV. VTS BY SKU'!G27</f>
        <v>6.0372165626026986E-2</v>
      </c>
      <c r="G25" s="7" t="str">
        <f ca="1">'[1]DESV. VTS BY SKU'!H27</f>
        <v>SUBIÓ</v>
      </c>
      <c r="H25">
        <v>1.63</v>
      </c>
    </row>
    <row r="26" spans="1:8" x14ac:dyDescent="0.2">
      <c r="A26">
        <v>131152</v>
      </c>
      <c r="B26" t="s">
        <v>25</v>
      </c>
      <c r="C26" s="3" t="s">
        <v>55</v>
      </c>
      <c r="D26" s="4">
        <v>583.0454545454545</v>
      </c>
      <c r="E26" s="4">
        <f ca="1">'[1]DESV. VTS BY SKU'!F28</f>
        <v>648.35</v>
      </c>
      <c r="F26" s="6">
        <f ca="1">'[1]DESV. VTS BY SKU'!G28</f>
        <v>0.11200592500194917</v>
      </c>
      <c r="G26" s="7" t="str">
        <f ca="1">'[1]DESV. VTS BY SKU'!H28</f>
        <v>SUBIÓ</v>
      </c>
      <c r="H26">
        <v>1.63</v>
      </c>
    </row>
    <row r="27" spans="1:8" x14ac:dyDescent="0.2">
      <c r="A27">
        <v>131153</v>
      </c>
      <c r="B27" t="s">
        <v>26</v>
      </c>
      <c r="C27" s="3" t="s">
        <v>55</v>
      </c>
      <c r="D27" s="4">
        <v>473.86363636363637</v>
      </c>
      <c r="E27" s="4">
        <f ca="1">'[1]DESV. VTS BY SKU'!F29</f>
        <v>521.9</v>
      </c>
      <c r="F27" s="5">
        <f ca="1">'[1]DESV. VTS BY SKU'!G29</f>
        <v>0.10137170263788953</v>
      </c>
      <c r="G27" s="7" t="str">
        <f ca="1">'[1]DESV. VTS BY SKU'!H29</f>
        <v>SUBIÓ</v>
      </c>
      <c r="H27">
        <v>1.63</v>
      </c>
    </row>
    <row r="28" spans="1:8" x14ac:dyDescent="0.2">
      <c r="A28">
        <v>131154</v>
      </c>
      <c r="B28" t="s">
        <v>57</v>
      </c>
      <c r="C28" s="3" t="s">
        <v>55</v>
      </c>
      <c r="D28" s="4">
        <v>252.63636363636363</v>
      </c>
      <c r="E28" s="4">
        <f ca="1">'[1]DESV. VTS BY SKU'!F30</f>
        <v>363.35</v>
      </c>
      <c r="F28" s="5">
        <f ca="1">'[1]DESV. VTS BY SKU'!G30</f>
        <v>0.43823317740194323</v>
      </c>
      <c r="G28" s="7" t="str">
        <f ca="1">'[1]DESV. VTS BY SKU'!H30</f>
        <v>SUBIÓ</v>
      </c>
      <c r="H28">
        <v>1.63</v>
      </c>
    </row>
    <row r="29" spans="1:8" x14ac:dyDescent="0.2">
      <c r="A29">
        <v>131155</v>
      </c>
      <c r="B29" t="s">
        <v>58</v>
      </c>
      <c r="C29" s="3" t="s">
        <v>55</v>
      </c>
      <c r="D29" s="4">
        <v>308.81818181818181</v>
      </c>
      <c r="E29" s="4">
        <f ca="1">'[1]DESV. VTS BY SKU'!F31</f>
        <v>409.25</v>
      </c>
      <c r="F29" s="5">
        <f ca="1">'[1]DESV. VTS BY SKU'!G31</f>
        <v>0.32521342360906691</v>
      </c>
      <c r="G29" s="7" t="str">
        <f ca="1">'[1]DESV. VTS BY SKU'!H31</f>
        <v>SUBIÓ</v>
      </c>
      <c r="H29">
        <v>1.63</v>
      </c>
    </row>
    <row r="30" spans="1:8" x14ac:dyDescent="0.2">
      <c r="A30">
        <v>131700</v>
      </c>
      <c r="B30" t="s">
        <v>27</v>
      </c>
      <c r="C30" s="3" t="s">
        <v>55</v>
      </c>
      <c r="D30" s="4">
        <v>137.77272727272728</v>
      </c>
      <c r="E30" s="4">
        <f ca="1">'[1]DESV. VTS BY SKU'!F32</f>
        <v>135.25</v>
      </c>
      <c r="F30" s="6">
        <f ca="1">'[1]DESV. VTS BY SKU'!G32</f>
        <v>-1.8310788518640764E-2</v>
      </c>
      <c r="G30" s="7" t="str">
        <f ca="1">'[1]DESV. VTS BY SKU'!H32</f>
        <v>BAJO</v>
      </c>
      <c r="H30">
        <v>6.15</v>
      </c>
    </row>
    <row r="31" spans="1:8" x14ac:dyDescent="0.2">
      <c r="A31">
        <v>131701</v>
      </c>
      <c r="B31" t="s">
        <v>28</v>
      </c>
      <c r="C31" s="3" t="s">
        <v>55</v>
      </c>
      <c r="D31" s="4">
        <v>152.22727272727272</v>
      </c>
      <c r="E31" s="4">
        <f ca="1">'[1]DESV. VTS BY SKU'!F33</f>
        <v>157.5</v>
      </c>
      <c r="F31" s="5">
        <f ca="1">'[1]DESV. VTS BY SKU'!G33</f>
        <v>3.4637205135861437E-2</v>
      </c>
      <c r="G31" s="7" t="str">
        <f ca="1">'[1]DESV. VTS BY SKU'!H33</f>
        <v>SUBIÓ</v>
      </c>
      <c r="H31">
        <v>6.15</v>
      </c>
    </row>
    <row r="32" spans="1:8" x14ac:dyDescent="0.2">
      <c r="A32">
        <v>132150</v>
      </c>
      <c r="B32" t="s">
        <v>29</v>
      </c>
      <c r="C32" s="3" t="s">
        <v>52</v>
      </c>
      <c r="D32" s="4">
        <v>821.81818181818187</v>
      </c>
      <c r="E32" s="4">
        <f ca="1">'[1]DESV. VTS BY SKU'!F34</f>
        <v>831.9</v>
      </c>
      <c r="F32" s="6">
        <f ca="1">'[1]DESV. VTS BY SKU'!G34</f>
        <v>1.2267699115044106E-2</v>
      </c>
      <c r="G32" s="7" t="str">
        <f ca="1">'[1]DESV. VTS BY SKU'!H34</f>
        <v>SUBIÓ</v>
      </c>
      <c r="H32">
        <v>1.1599999999999999</v>
      </c>
    </row>
    <row r="33" spans="1:8" x14ac:dyDescent="0.2">
      <c r="A33">
        <v>132151</v>
      </c>
      <c r="B33" t="s">
        <v>30</v>
      </c>
      <c r="C33" s="3" t="s">
        <v>52</v>
      </c>
      <c r="D33" s="4">
        <v>628.86363636363637</v>
      </c>
      <c r="E33" s="4">
        <f ca="1">'[1]DESV. VTS BY SKU'!F35</f>
        <v>617.45000000000005</v>
      </c>
      <c r="F33" s="5">
        <f ca="1">'[1]DESV. VTS BY SKU'!G35</f>
        <v>-1.8149620527647237E-2</v>
      </c>
      <c r="G33" s="7" t="str">
        <f ca="1">'[1]DESV. VTS BY SKU'!H35</f>
        <v>BAJO</v>
      </c>
      <c r="H33">
        <v>1.1599999999999999</v>
      </c>
    </row>
    <row r="34" spans="1:8" x14ac:dyDescent="0.2">
      <c r="A34">
        <v>132152</v>
      </c>
      <c r="B34" t="s">
        <v>31</v>
      </c>
      <c r="C34" s="3" t="s">
        <v>52</v>
      </c>
      <c r="D34" s="4">
        <v>828.4545454545455</v>
      </c>
      <c r="E34" s="4">
        <f ca="1">'[1]DESV. VTS BY SKU'!F36</f>
        <v>805.55</v>
      </c>
      <c r="F34" s="6">
        <f ca="1">'[1]DESV. VTS BY SKU'!G36</f>
        <v>-2.7647317019642403E-2</v>
      </c>
      <c r="G34" s="7" t="str">
        <f ca="1">'[1]DESV. VTS BY SKU'!H36</f>
        <v>BAJO</v>
      </c>
      <c r="H34">
        <v>1.1599999999999999</v>
      </c>
    </row>
    <row r="35" spans="1:8" x14ac:dyDescent="0.2">
      <c r="A35">
        <v>132153</v>
      </c>
      <c r="B35" t="s">
        <v>32</v>
      </c>
      <c r="C35" s="3" t="s">
        <v>52</v>
      </c>
      <c r="D35" s="4">
        <v>553.86363636363637</v>
      </c>
      <c r="E35" s="4">
        <f ca="1">'[1]DESV. VTS BY SKU'!F37</f>
        <v>576.04999999999995</v>
      </c>
      <c r="F35" s="5">
        <f ca="1">'[1]DESV. VTS BY SKU'!G37</f>
        <v>4.0057447681575598E-2</v>
      </c>
      <c r="G35" s="7" t="str">
        <f ca="1">'[1]DESV. VTS BY SKU'!H37</f>
        <v>SUBIÓ</v>
      </c>
      <c r="H35">
        <v>1.1599999999999999</v>
      </c>
    </row>
    <row r="36" spans="1:8" x14ac:dyDescent="0.2">
      <c r="A36" s="8">
        <v>134000</v>
      </c>
      <c r="B36" t="s">
        <v>40</v>
      </c>
      <c r="C36" s="3" t="s">
        <v>52</v>
      </c>
      <c r="D36" s="4">
        <v>3.7272727272727271</v>
      </c>
      <c r="E36" s="4">
        <f ca="1">'[1]DESV. VTS BY SKU'!F38</f>
        <v>3.3</v>
      </c>
      <c r="F36" s="6">
        <f ca="1">'[1]DESV. VTS BY SKU'!G38</f>
        <v>-0.11463414634146341</v>
      </c>
      <c r="G36" s="7" t="str">
        <f ca="1">'[1]DESV. VTS BY SKU'!H38</f>
        <v>BAJO</v>
      </c>
      <c r="H36">
        <v>18</v>
      </c>
    </row>
    <row r="37" spans="1:8" x14ac:dyDescent="0.2">
      <c r="A37" s="8">
        <v>134001</v>
      </c>
      <c r="B37" t="s">
        <v>39</v>
      </c>
      <c r="C37" s="3" t="s">
        <v>52</v>
      </c>
      <c r="D37" s="4">
        <v>0.5</v>
      </c>
      <c r="E37" s="4">
        <f ca="1">'[1]DESV. VTS BY SKU'!F39</f>
        <v>0.9</v>
      </c>
      <c r="F37" s="5">
        <f ca="1">'[1]DESV. VTS BY SKU'!G39</f>
        <v>0.8</v>
      </c>
      <c r="G37" s="7" t="str">
        <f ca="1">'[1]DESV. VTS BY SKU'!H39</f>
        <v>SUBIÓ</v>
      </c>
      <c r="H37">
        <v>18</v>
      </c>
    </row>
    <row r="38" spans="1:8" x14ac:dyDescent="0.2">
      <c r="A38">
        <v>140230</v>
      </c>
      <c r="B38" t="s">
        <v>33</v>
      </c>
      <c r="C38" s="3" t="s">
        <v>52</v>
      </c>
      <c r="D38" s="4">
        <v>124.68181818181819</v>
      </c>
      <c r="E38" s="4">
        <f ca="1">'[1]DESV. VTS BY SKU'!F40</f>
        <v>121.85</v>
      </c>
      <c r="F38" s="6">
        <f ca="1">'[1]DESV. VTS BY SKU'!G40</f>
        <v>-2.2712358731316162E-2</v>
      </c>
      <c r="G38" s="7" t="str">
        <f ca="1">'[1]DESV. VTS BY SKU'!H40</f>
        <v>BAJO</v>
      </c>
      <c r="H38">
        <v>1.1599999999999999</v>
      </c>
    </row>
    <row r="39" spans="1:8" x14ac:dyDescent="0.2">
      <c r="A39">
        <v>140231</v>
      </c>
      <c r="B39" t="s">
        <v>34</v>
      </c>
      <c r="C39" s="3" t="s">
        <v>52</v>
      </c>
      <c r="D39" s="4">
        <v>602.81818181818187</v>
      </c>
      <c r="E39" s="4">
        <f ca="1">'[1]DESV. VTS BY SKU'!F41</f>
        <v>445.8</v>
      </c>
      <c r="F39" s="5">
        <f ca="1">'[1]DESV. VTS BY SKU'!G41</f>
        <v>-0.26047353340370993</v>
      </c>
      <c r="G39" s="7" t="str">
        <f ca="1">'[1]DESV. VTS BY SKU'!H41</f>
        <v>BAJO</v>
      </c>
      <c r="H39">
        <v>1.1599999999999999</v>
      </c>
    </row>
    <row r="40" spans="1:8" x14ac:dyDescent="0.2">
      <c r="A40">
        <v>140232</v>
      </c>
      <c r="B40" t="s">
        <v>35</v>
      </c>
      <c r="C40" s="3" t="s">
        <v>52</v>
      </c>
      <c r="D40" s="4">
        <v>430.86363636363637</v>
      </c>
      <c r="E40" s="4">
        <f ca="1">'[1]DESV. VTS BY SKU'!F42</f>
        <v>374.3</v>
      </c>
      <c r="F40" s="6">
        <f ca="1">'[1]DESV. VTS BY SKU'!G42</f>
        <v>-0.13127967085135561</v>
      </c>
      <c r="G40" s="7" t="str">
        <f ca="1">'[1]DESV. VTS BY SKU'!H42</f>
        <v>BAJO</v>
      </c>
      <c r="H40">
        <v>1.1599999999999999</v>
      </c>
    </row>
    <row r="41" spans="1:8" x14ac:dyDescent="0.2">
      <c r="A41">
        <v>150360</v>
      </c>
      <c r="B41" t="s">
        <v>45</v>
      </c>
      <c r="C41" s="3" t="s">
        <v>53</v>
      </c>
      <c r="D41" s="4">
        <v>276.18181818181819</v>
      </c>
      <c r="E41" s="4">
        <f ca="1">'[1]DESV. VTS BY SKU'!F43</f>
        <v>327.7</v>
      </c>
      <c r="F41" s="5">
        <f ca="1">'[1]DESV. VTS BY SKU'!G43</f>
        <v>0.18653719552337056</v>
      </c>
      <c r="G41" s="7" t="str">
        <f ca="1">'[1]DESV. VTS BY SKU'!H43</f>
        <v>SUBIÓ</v>
      </c>
      <c r="H41">
        <v>0.81</v>
      </c>
    </row>
    <row r="42" spans="1:8" x14ac:dyDescent="0.2">
      <c r="A42">
        <v>150361</v>
      </c>
      <c r="B42" t="s">
        <v>36</v>
      </c>
      <c r="C42" s="3" t="s">
        <v>53</v>
      </c>
      <c r="D42" s="4">
        <v>509.31818181818181</v>
      </c>
      <c r="E42" s="4">
        <f ca="1">'[1]DESV. VTS BY SKU'!F44</f>
        <v>595.15</v>
      </c>
      <c r="F42" s="6">
        <f ca="1">'[1]DESV. VTS BY SKU'!G44</f>
        <v>0.16852298081213735</v>
      </c>
      <c r="G42" s="7" t="str">
        <f ca="1">'[1]DESV. VTS BY SKU'!H44</f>
        <v>SUBIÓ</v>
      </c>
      <c r="H42">
        <v>0.81</v>
      </c>
    </row>
    <row r="43" spans="1:8" x14ac:dyDescent="0.2">
      <c r="A43">
        <v>150362</v>
      </c>
      <c r="B43" t="s">
        <v>37</v>
      </c>
      <c r="C43" s="3" t="s">
        <v>53</v>
      </c>
      <c r="D43" s="4">
        <v>318.95454545454544</v>
      </c>
      <c r="E43" s="4">
        <f ca="1">'[1]DESV. VTS BY SKU'!F45</f>
        <v>283.95</v>
      </c>
      <c r="F43" s="5">
        <f ca="1">'[1]DESV. VTS BY SKU'!G45</f>
        <v>-0.10974775545104742</v>
      </c>
      <c r="G43" s="7" t="str">
        <f ca="1">'[1]DESV. VTS BY SKU'!H45</f>
        <v>BAJO</v>
      </c>
      <c r="H43">
        <v>0.81</v>
      </c>
    </row>
    <row r="44" spans="1:8" x14ac:dyDescent="0.2">
      <c r="A44">
        <v>150363</v>
      </c>
      <c r="B44" t="s">
        <v>38</v>
      </c>
      <c r="C44" s="3" t="s">
        <v>53</v>
      </c>
      <c r="D44" s="4">
        <v>304.04545454545456</v>
      </c>
      <c r="E44" s="4">
        <f ca="1">'[1]DESV. VTS BY SKU'!F46</f>
        <v>315.95</v>
      </c>
      <c r="F44" s="6">
        <f ca="1">'[1]DESV. VTS BY SKU'!G46</f>
        <v>3.9153834653909314E-2</v>
      </c>
      <c r="G44" s="7" t="str">
        <f ca="1">'[1]DESV. VTS BY SKU'!H46</f>
        <v>SUBIÓ</v>
      </c>
      <c r="H44">
        <v>0.81</v>
      </c>
    </row>
    <row r="45" spans="1:8" x14ac:dyDescent="0.2">
      <c r="A45">
        <v>151500</v>
      </c>
      <c r="B45" t="s">
        <v>46</v>
      </c>
      <c r="C45" s="3" t="s">
        <v>53</v>
      </c>
      <c r="D45" s="4">
        <v>60.31818181818182</v>
      </c>
      <c r="E45" s="4">
        <f ca="1">'[1]DESV. VTS BY SKU'!F47</f>
        <v>59.75</v>
      </c>
      <c r="F45" s="5">
        <f ca="1">'[1]DESV. VTS BY SKU'!G47</f>
        <v>-9.4197437829691699E-3</v>
      </c>
      <c r="G45" s="7" t="str">
        <f ca="1">'[1]DESV. VTS BY SKU'!H47</f>
        <v>BAJO</v>
      </c>
      <c r="H45">
        <v>2.62</v>
      </c>
    </row>
    <row r="46" spans="1:8" x14ac:dyDescent="0.2">
      <c r="A46">
        <v>151501</v>
      </c>
      <c r="B46" t="s">
        <v>47</v>
      </c>
      <c r="C46" s="3" t="s">
        <v>53</v>
      </c>
      <c r="D46" s="4">
        <v>117.72727272727273</v>
      </c>
      <c r="E46" s="4">
        <f ca="1">'[1]DESV. VTS BY SKU'!F48</f>
        <v>96.05</v>
      </c>
      <c r="F46" s="6">
        <f ca="1">'[1]DESV. VTS BY SKU'!G48</f>
        <v>-0.18413127413127417</v>
      </c>
      <c r="G46" s="7" t="str">
        <f ca="1">'[1]DESV. VTS BY SKU'!H48</f>
        <v>BAJO</v>
      </c>
      <c r="H46">
        <v>2.62</v>
      </c>
    </row>
    <row r="47" spans="1:8" x14ac:dyDescent="0.2">
      <c r="A47">
        <v>151502</v>
      </c>
      <c r="B47" t="s">
        <v>48</v>
      </c>
      <c r="C47" s="3" t="s">
        <v>53</v>
      </c>
      <c r="D47" s="4">
        <v>41.363636363636367</v>
      </c>
      <c r="E47" s="4">
        <f ca="1">'[1]DESV. VTS BY SKU'!F49</f>
        <v>79.349999999999994</v>
      </c>
      <c r="F47" s="5">
        <f ca="1">'[1]DESV. VTS BY SKU'!G49</f>
        <v>0.91835164835164806</v>
      </c>
      <c r="G47" s="7" t="str">
        <f ca="1">'[1]DESV. VTS BY SKU'!H49</f>
        <v>SUBIÓ</v>
      </c>
      <c r="H47">
        <v>2.62</v>
      </c>
    </row>
    <row r="48" spans="1:8" x14ac:dyDescent="0.2">
      <c r="A48">
        <v>151503</v>
      </c>
      <c r="B48" t="s">
        <v>49</v>
      </c>
      <c r="C48" s="3" t="s">
        <v>53</v>
      </c>
      <c r="D48" s="4">
        <v>50.090909090909093</v>
      </c>
      <c r="E48" s="4">
        <f ca="1">'[1]DESV. VTS BY SKU'!F50</f>
        <v>65.55</v>
      </c>
      <c r="F48" s="6">
        <f ca="1">'[1]DESV. VTS BY SKU'!G50</f>
        <v>0.3086206896551722</v>
      </c>
      <c r="G48" s="7" t="str">
        <f ca="1">'[1]DESV. VTS BY SKU'!H50</f>
        <v>SUBIÓ</v>
      </c>
      <c r="H48">
        <v>2.62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"/>
  <sheetViews>
    <sheetView workbookViewId="0">
      <selection activeCell="B2" sqref="B2"/>
    </sheetView>
  </sheetViews>
  <sheetFormatPr baseColWidth="10" defaultColWidth="12.5703125" defaultRowHeight="15.75" customHeight="1" x14ac:dyDescent="0.2"/>
  <sheetData>
    <row r="1" spans="1:2" ht="15.75" customHeight="1" x14ac:dyDescent="0.2">
      <c r="A1" s="1" t="s">
        <v>41</v>
      </c>
      <c r="B1" s="1" t="s">
        <v>42</v>
      </c>
    </row>
    <row r="2" spans="1:2" ht="15.75" customHeight="1" x14ac:dyDescent="0.2">
      <c r="A2" s="2" t="s">
        <v>43</v>
      </c>
      <c r="B2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Referencias de 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Orbit</cp:lastModifiedBy>
  <dcterms:created xsi:type="dcterms:W3CDTF">2026-07-09T19:32:57Z</dcterms:created>
  <dcterms:modified xsi:type="dcterms:W3CDTF">2026-10-30T12:42:20Z</dcterms:modified>
</cp:coreProperties>
</file>