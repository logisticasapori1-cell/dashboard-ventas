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D915E756-44B4-4E73-9BCF-8F9FA5D47F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E44" i="1"/>
  <c r="E47" i="1"/>
  <c r="E46" i="1"/>
  <c r="E42" i="1"/>
  <c r="E41" i="1"/>
  <c r="E39" i="1"/>
  <c r="E37" i="1"/>
  <c r="E36" i="1"/>
  <c r="E35" i="1"/>
  <c r="E33" i="1"/>
  <c r="E29" i="1"/>
  <c r="E28" i="1"/>
  <c r="E24" i="1"/>
  <c r="E23" i="1"/>
  <c r="E17" i="1"/>
  <c r="E16" i="1"/>
  <c r="E13" i="1"/>
  <c r="E12" i="1"/>
  <c r="E11" i="1"/>
  <c r="E10" i="1"/>
  <c r="E8" i="1"/>
  <c r="E7" i="1"/>
  <c r="E5" i="1"/>
  <c r="E14" i="1"/>
  <c r="E48" i="1"/>
  <c r="E45" i="1"/>
  <c r="E43" i="1"/>
  <c r="E40" i="1"/>
  <c r="E38" i="1"/>
  <c r="E34" i="1"/>
  <c r="E32" i="1"/>
  <c r="E31" i="1"/>
  <c r="E30" i="1"/>
  <c r="E27" i="1"/>
  <c r="E26" i="1"/>
  <c r="E25" i="1"/>
  <c r="E21" i="1"/>
  <c r="E20" i="1"/>
  <c r="E19" i="1"/>
  <c r="E18" i="1"/>
  <c r="E15" i="1"/>
  <c r="E9" i="1"/>
  <c r="E3" i="1"/>
  <c r="E22" i="1"/>
  <c r="E2" i="1" l="1"/>
  <c r="F47" i="1"/>
  <c r="F45" i="1"/>
  <c r="F44" i="1"/>
  <c r="F48" i="1"/>
  <c r="F46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 l="1"/>
  <c r="E6" i="1"/>
  <c r="G47" i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<sst xmlns="http://schemas.openxmlformats.org/spreadsheetml/2006/main" count="106" uniqueCount="64">
  <si>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</si>
  <si>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</si>
  <si>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</si>
  <si>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</si>
  <si>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</si>
  <si>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</si>
  <si>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</si>
  <si>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</si>
  <si>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</si>
  <si>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</si>
  <si>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</si>
  <si>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</si>
  <si>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</si>
  <si>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</si>
  <si>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</si>
  <si>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</si>
  <si>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</si>
  <si>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</si>
  <si>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</si>
  <si>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</si>
  <si>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</si>
  <si>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</si>
  <si>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</si>
  <si>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</si>
  <si>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</si>
  <si>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</si>
  <si>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</si>
  <si>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</si>
  <si>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</si>
  <si>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</si>
  <si>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</si>
  <si>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</si>
  <si>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</si>
  <si>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</si>
  <si>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</si>
  <si>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</si>
  <si>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</si>
  <si>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</si>
  <si>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</si>
  <si>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</si>
  <si>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</si>
  <si>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</si>
  <si>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</si>
  <si>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</si>
  <si>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</si>
  <si>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</si>
  <si>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</si>
  <si>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</si>
  <si>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</si>
  <si>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</si>
  <si>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</si>
  <si>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</si>
  <si>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</si>
  <si>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</si>
  <si>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</si>
  <si>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</si>
  <si>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</si>
  <si>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</si>
  <si>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</si>
  <si>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</si>
  <si>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</si>
  <si>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</si>
  <si>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</si>
  <si>
    <t>PROMD VTA DIA OCTUBRE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</si>
</sst>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Octubre\Inventario%20Nacional%20Producto%20Terminado\Corte%20Diario%20Inventario%20Nacional%20Producto%20Terminado%20OCTUBRE%202026.xlsx" TargetMode="External"/><Relationship Id="rId1" Type="http://schemas.openxmlformats.org/officeDocument/2006/relationships/externalLinkPath" Target="file:///R:\ALMACEN%202026\Inventario\Octubre\Inventario%20Nacional%20Producto%20Terminado\Corte%20Diario%20Inventario%20Nacional%20Producto%20Terminado%20OCTU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1-10-26"/>
      <sheetName val="INVENTARIO NACIONAL 02-10-26"/>
      <sheetName val="CCC"/>
      <sheetName val="VINCULO VTS BY SKU SEPTIEMBRE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>
        <row r="4">
          <cell r="F4">
            <v>770</v>
          </cell>
          <cell r="G4">
            <v>-0.36389921520033042</v>
          </cell>
          <cell r="H4" t="str">
            <v>BAJO</v>
          </cell>
        </row>
        <row r="5">
          <cell r="F5">
            <v>0</v>
          </cell>
          <cell r="G5">
            <v>-1</v>
          </cell>
          <cell r="H5" t="str">
            <v>BAJO</v>
          </cell>
        </row>
        <row r="6">
          <cell r="F6">
            <v>380</v>
          </cell>
          <cell r="G6">
            <v>-0.23239371958497845</v>
          </cell>
          <cell r="H6" t="str">
            <v>BAJO</v>
          </cell>
        </row>
        <row r="7">
          <cell r="F7">
            <v>56</v>
          </cell>
          <cell r="G7">
            <v>-0.4925864909390445</v>
          </cell>
          <cell r="H7" t="str">
            <v>BAJO</v>
          </cell>
        </row>
        <row r="8">
          <cell r="F8">
            <v>2</v>
          </cell>
          <cell r="G8">
            <v>-0.86746987951807231</v>
          </cell>
          <cell r="H8" t="str">
            <v>BAJO</v>
          </cell>
        </row>
        <row r="9">
          <cell r="F9">
            <v>1256</v>
          </cell>
          <cell r="G9">
            <v>-0.11208226221079687</v>
          </cell>
          <cell r="H9" t="str">
            <v>BAJO</v>
          </cell>
        </row>
        <row r="10">
          <cell r="F10">
            <v>108</v>
          </cell>
          <cell r="G10">
            <v>-0.28627215379993987</v>
          </cell>
          <cell r="H10" t="str">
            <v>BAJO</v>
          </cell>
        </row>
        <row r="11">
          <cell r="F11">
            <v>231</v>
          </cell>
          <cell r="G11">
            <v>-0.3065902578796561</v>
          </cell>
          <cell r="H11" t="str">
            <v>BAJO</v>
          </cell>
        </row>
        <row r="12">
          <cell r="F12">
            <v>450</v>
          </cell>
          <cell r="G12">
            <v>-0.44782196441519329</v>
          </cell>
          <cell r="H12" t="str">
            <v>BAJO</v>
          </cell>
        </row>
        <row r="13">
          <cell r="F13">
            <v>220</v>
          </cell>
          <cell r="G13">
            <v>-0.45174444947893067</v>
          </cell>
          <cell r="H13" t="str">
            <v>BAJO</v>
          </cell>
        </row>
        <row r="14">
          <cell r="F14">
            <v>2663</v>
          </cell>
          <cell r="G14">
            <v>-0.22616861931870724</v>
          </cell>
          <cell r="H14" t="str">
            <v>BAJO</v>
          </cell>
        </row>
        <row r="15">
          <cell r="F15">
            <v>1618</v>
          </cell>
          <cell r="G15">
            <v>-0.25172899455550657</v>
          </cell>
          <cell r="H15" t="str">
            <v>BAJO</v>
          </cell>
        </row>
        <row r="16">
          <cell r="F16">
            <v>1602</v>
          </cell>
          <cell r="G16">
            <v>-0.26238462987379929</v>
          </cell>
          <cell r="H16" t="str">
            <v>BAJO</v>
          </cell>
        </row>
        <row r="17">
          <cell r="F17">
            <v>2030</v>
          </cell>
          <cell r="G17">
            <v>-0.23955796965723919</v>
          </cell>
          <cell r="H17" t="str">
            <v>BAJO</v>
          </cell>
        </row>
        <row r="18">
          <cell r="F18">
            <v>552</v>
          </cell>
          <cell r="G18">
            <v>-0.24392977213298472</v>
          </cell>
          <cell r="H18" t="str">
            <v>BAJO</v>
          </cell>
        </row>
        <row r="19">
          <cell r="F19">
            <v>687</v>
          </cell>
          <cell r="G19">
            <v>-0.21477556109725682</v>
          </cell>
          <cell r="H19" t="str">
            <v>BAJO</v>
          </cell>
        </row>
        <row r="20">
          <cell r="F20">
            <v>646</v>
          </cell>
          <cell r="G20">
            <v>-0.25816891115982887</v>
          </cell>
          <cell r="H20" t="str">
            <v>BAJO</v>
          </cell>
        </row>
        <row r="21">
          <cell r="F21">
            <v>151</v>
          </cell>
          <cell r="G21">
            <v>-0.46771350745072904</v>
          </cell>
          <cell r="H21" t="str">
            <v>BAJO</v>
          </cell>
        </row>
        <row r="22">
          <cell r="F22">
            <v>52</v>
          </cell>
          <cell r="G22">
            <v>-0.63694065376071085</v>
          </cell>
          <cell r="H22" t="str">
            <v>BAJO</v>
          </cell>
        </row>
        <row r="23">
          <cell r="F23">
            <v>287</v>
          </cell>
          <cell r="G23">
            <v>-0.45347528780403357</v>
          </cell>
          <cell r="H23" t="str">
            <v>BAJO</v>
          </cell>
        </row>
        <row r="24">
          <cell r="F24">
            <v>463</v>
          </cell>
          <cell r="G24">
            <v>-0.48370419179887469</v>
          </cell>
          <cell r="H24" t="str">
            <v>BAJO</v>
          </cell>
        </row>
        <row r="25">
          <cell r="F25">
            <v>0</v>
          </cell>
          <cell r="G25">
            <v>-1</v>
          </cell>
          <cell r="H25" t="str">
            <v>BAJO</v>
          </cell>
        </row>
        <row r="26">
          <cell r="F26">
            <v>440</v>
          </cell>
          <cell r="G26">
            <v>-0.38590369853454287</v>
          </cell>
          <cell r="H26" t="str">
            <v>BAJO</v>
          </cell>
        </row>
        <row r="27">
          <cell r="F27">
            <v>954</v>
          </cell>
          <cell r="G27">
            <v>-0.13785737758790662</v>
          </cell>
          <cell r="H27" t="str">
            <v>BAJO</v>
          </cell>
        </row>
        <row r="28">
          <cell r="F28">
            <v>284</v>
          </cell>
          <cell r="G28">
            <v>-0.51290247134949718</v>
          </cell>
          <cell r="H28" t="str">
            <v>BAJO</v>
          </cell>
        </row>
        <row r="29">
          <cell r="F29">
            <v>243</v>
          </cell>
          <cell r="G29">
            <v>-0.4871942446043166</v>
          </cell>
          <cell r="H29" t="str">
            <v>BAJO</v>
          </cell>
        </row>
        <row r="30">
          <cell r="F30">
            <v>339</v>
          </cell>
          <cell r="G30">
            <v>0.34184958618207983</v>
          </cell>
          <cell r="H30" t="str">
            <v>SUBIÓ</v>
          </cell>
        </row>
        <row r="31">
          <cell r="F31">
            <v>361</v>
          </cell>
          <cell r="G31">
            <v>0.16897262290256121</v>
          </cell>
          <cell r="H31" t="str">
            <v>SUBIÓ</v>
          </cell>
        </row>
        <row r="32">
          <cell r="F32">
            <v>55</v>
          </cell>
          <cell r="G32">
            <v>-0.60079181788188718</v>
          </cell>
          <cell r="H32" t="str">
            <v>BAJO</v>
          </cell>
        </row>
        <row r="33">
          <cell r="F33">
            <v>80</v>
          </cell>
          <cell r="G33">
            <v>-0.47446999104210208</v>
          </cell>
          <cell r="H33" t="str">
            <v>BAJO</v>
          </cell>
        </row>
        <row r="34">
          <cell r="F34">
            <v>561</v>
          </cell>
          <cell r="G34">
            <v>-0.31736725663716814</v>
          </cell>
          <cell r="H34" t="str">
            <v>BAJO</v>
          </cell>
        </row>
        <row r="35">
          <cell r="F35">
            <v>339</v>
          </cell>
          <cell r="G35">
            <v>-0.46093241778099026</v>
          </cell>
          <cell r="H35" t="str">
            <v>BAJO</v>
          </cell>
        </row>
        <row r="36">
          <cell r="F36">
            <v>498</v>
          </cell>
          <cell r="G36">
            <v>-0.39888071985076268</v>
          </cell>
          <cell r="H36" t="str">
            <v>BAJO</v>
          </cell>
        </row>
        <row r="37">
          <cell r="F37">
            <v>351</v>
          </cell>
          <cell r="G37">
            <v>-0.36627000410340582</v>
          </cell>
          <cell r="H37" t="str">
            <v>BAJO</v>
          </cell>
        </row>
        <row r="38">
          <cell r="F38">
            <v>1</v>
          </cell>
          <cell r="G38">
            <v>-0.73170731707317072</v>
          </cell>
          <cell r="H38" t="str">
            <v>BAJO</v>
          </cell>
        </row>
        <row r="39">
          <cell r="F39">
            <v>0</v>
          </cell>
          <cell r="G39">
            <v>-1</v>
          </cell>
          <cell r="H39" t="str">
            <v>BAJO</v>
          </cell>
        </row>
        <row r="40">
          <cell r="F40">
            <v>56</v>
          </cell>
          <cell r="G40">
            <v>-0.55085672621217641</v>
          </cell>
          <cell r="H40" t="str">
            <v>BAJO</v>
          </cell>
        </row>
        <row r="41">
          <cell r="F41">
            <v>371</v>
          </cell>
          <cell r="G41">
            <v>-0.38455738199366618</v>
          </cell>
          <cell r="H41" t="str">
            <v>BAJO</v>
          </cell>
        </row>
        <row r="42">
          <cell r="F42">
            <v>342</v>
          </cell>
          <cell r="G42">
            <v>-0.20624538453423358</v>
          </cell>
          <cell r="H42" t="str">
            <v>BAJO</v>
          </cell>
        </row>
        <row r="43">
          <cell r="F43">
            <v>202</v>
          </cell>
          <cell r="G43">
            <v>-0.26859776168531935</v>
          </cell>
          <cell r="H43" t="str">
            <v>BAJO</v>
          </cell>
        </row>
        <row r="44">
          <cell r="F44">
            <v>330</v>
          </cell>
          <cell r="G44">
            <v>-0.35207496653279791</v>
          </cell>
          <cell r="H44" t="str">
            <v>BAJO</v>
          </cell>
        </row>
        <row r="45">
          <cell r="F45">
            <v>151</v>
          </cell>
          <cell r="G45">
            <v>-0.52657830981901088</v>
          </cell>
          <cell r="H45" t="str">
            <v>BAJO</v>
          </cell>
        </row>
        <row r="46">
          <cell r="F46">
            <v>216</v>
          </cell>
          <cell r="G46">
            <v>-0.28957990731050987</v>
          </cell>
          <cell r="H46" t="str">
            <v>BAJO</v>
          </cell>
        </row>
        <row r="47">
          <cell r="F47">
            <v>16</v>
          </cell>
          <cell r="G47">
            <v>-0.73474001507159004</v>
          </cell>
          <cell r="H47" t="str">
            <v>BAJO</v>
          </cell>
        </row>
        <row r="48">
          <cell r="F48">
            <v>24</v>
          </cell>
          <cell r="G48">
            <v>-0.79613899613899619</v>
          </cell>
          <cell r="H48" t="str">
            <v>BAJO</v>
          </cell>
        </row>
        <row r="49">
          <cell r="F49">
            <v>12</v>
          </cell>
          <cell r="G49">
            <v>-0.70989010989010992</v>
          </cell>
          <cell r="H49" t="str">
            <v>BAJO</v>
          </cell>
        </row>
        <row r="50">
          <cell r="F50">
            <v>16</v>
          </cell>
          <cell r="G50">
            <v>-0.68058076225045372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J19" sqref="J19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62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1210.5</v>
      </c>
      <c r="E2" s="4">
        <f ca="1">'[1]DESV. VTS BY SKU'!F4</f>
        <v>770</v>
      </c>
      <c r="F2" s="5">
        <f ca="1">'[1]DESV. VTS BY SKU'!G4</f>
        <v>-0.36389921520033042</v>
      </c>
      <c r="G2" s="7" t="str">
        <f ca="1">'[1]DESV. VTS BY SKU'!H4</f>
        <v>BAJO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43.227272727272727</v>
      </c>
      <c r="E3" s="4">
        <f ca="1">'[1]DESV. VTS BY SKU'!F5</f>
        <v>0</v>
      </c>
      <c r="F3" s="6">
        <f ca="1">'[1]DESV. VTS BY SKU'!G5</f>
        <v>-1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495.04545454545456</v>
      </c>
      <c r="E4" s="4">
        <f ca="1">'[1]DESV. VTS BY SKU'!F6</f>
        <v>380</v>
      </c>
      <c r="F4" s="5">
        <f ca="1">'[1]DESV. VTS BY SKU'!G6</f>
        <v>-0.23239371958497845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110.36363636363636</v>
      </c>
      <c r="E5" s="4">
        <f ca="1">'[1]DESV. VTS BY SKU'!F7</f>
        <v>56</v>
      </c>
      <c r="F5" s="6">
        <f ca="1">'[1]DESV. VTS BY SKU'!G7</f>
        <v>-0.4925864909390445</v>
      </c>
      <c r="G5" s="7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15.090909090909092</v>
      </c>
      <c r="E6" s="4">
        <f ca="1">'[1]DESV. VTS BY SKU'!F8</f>
        <v>2</v>
      </c>
      <c r="F6" s="5">
        <f ca="1">'[1]DESV. VTS BY SKU'!G8</f>
        <v>-0.86746987951807231</v>
      </c>
      <c r="G6" s="7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1414.5454545454545</v>
      </c>
      <c r="E7" s="4">
        <f ca="1">'[1]DESV. VTS BY SKU'!F9</f>
        <v>1256</v>
      </c>
      <c r="F7" s="6">
        <f ca="1">'[1]DESV. VTS BY SKU'!G9</f>
        <v>-0.11208226221079687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151.31818181818181</v>
      </c>
      <c r="E8" s="4">
        <f ca="1">'[1]DESV. VTS BY SKU'!F10</f>
        <v>108</v>
      </c>
      <c r="F8" s="5">
        <f ca="1">'[1]DESV. VTS BY SKU'!G10</f>
        <v>-0.28627215379993987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333.13636363636363</v>
      </c>
      <c r="E9" s="4">
        <f ca="1">'[1]DESV. VTS BY SKU'!F11</f>
        <v>231</v>
      </c>
      <c r="F9" s="6">
        <f ca="1">'[1]DESV. VTS BY SKU'!G11</f>
        <v>-0.3065902578796561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814.9545454545455</v>
      </c>
      <c r="E10" s="4">
        <f ca="1">'[1]DESV. VTS BY SKU'!F12</f>
        <v>450</v>
      </c>
      <c r="F10" s="5">
        <f ca="1">'[1]DESV. VTS BY SKU'!G12</f>
        <v>-0.44782196441519329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401.27272727272725</v>
      </c>
      <c r="E11" s="4">
        <f ca="1">'[1]DESV. VTS BY SKU'!F13</f>
        <v>220</v>
      </c>
      <c r="F11" s="6">
        <f ca="1">'[1]DESV. VTS BY SKU'!G13</f>
        <v>-0.45174444947893067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3441.318181818182</v>
      </c>
      <c r="E12" s="4">
        <f ca="1">'[1]DESV. VTS BY SKU'!F14</f>
        <v>2663</v>
      </c>
      <c r="F12" s="5">
        <f ca="1">'[1]DESV. VTS BY SKU'!G14</f>
        <v>-0.22616861931870724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2162.318181818182</v>
      </c>
      <c r="E13" s="4">
        <f ca="1">'[1]DESV. VTS BY SKU'!F15</f>
        <v>1618</v>
      </c>
      <c r="F13" s="6">
        <f ca="1">'[1]DESV. VTS BY SKU'!G15</f>
        <v>-0.25172899455550657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2171.8636363636365</v>
      </c>
      <c r="E14" s="4">
        <f ca="1">'[1]DESV. VTS BY SKU'!F16</f>
        <v>1602</v>
      </c>
      <c r="F14" s="5">
        <f ca="1">'[1]DESV. VTS BY SKU'!G16</f>
        <v>-0.26238462987379929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2669.5</v>
      </c>
      <c r="E15" s="4">
        <f ca="1">'[1]DESV. VTS BY SKU'!F17</f>
        <v>2030</v>
      </c>
      <c r="F15" s="6">
        <f ca="1">'[1]DESV. VTS BY SKU'!G17</f>
        <v>-0.23955796965723919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59</v>
      </c>
      <c r="C16" s="3" t="s">
        <v>52</v>
      </c>
      <c r="D16" s="4">
        <v>730.09090909090912</v>
      </c>
      <c r="E16" s="4">
        <f ca="1">'[1]DESV. VTS BY SKU'!F18</f>
        <v>552</v>
      </c>
      <c r="F16" s="6">
        <f ca="1">'[1]DESV. VTS BY SKU'!G18</f>
        <v>-0.24392977213298472</v>
      </c>
      <c r="G16" s="7" t="str">
        <f ca="1">'[1]DESV. VTS BY SKU'!H18</f>
        <v>BAJO</v>
      </c>
      <c r="H16">
        <v>1.1599999999999999</v>
      </c>
    </row>
    <row r="17" spans="1:8" x14ac:dyDescent="0.2">
      <c r="A17">
        <v>130158</v>
      </c>
      <c r="B17" t="s">
        <v>60</v>
      </c>
      <c r="C17" s="3" t="s">
        <v>52</v>
      </c>
      <c r="D17" s="4">
        <v>874.90909090909088</v>
      </c>
      <c r="E17" s="4">
        <f ca="1">'[1]DESV. VTS BY SKU'!F19</f>
        <v>687</v>
      </c>
      <c r="F17" s="6">
        <f ca="1">'[1]DESV. VTS BY SKU'!G19</f>
        <v>-0.21477556109725682</v>
      </c>
      <c r="G17" s="7" t="str">
        <f ca="1">'[1]DESV. VTS BY SKU'!H19</f>
        <v>BAJO</v>
      </c>
      <c r="H17">
        <v>1.1599999999999999</v>
      </c>
    </row>
    <row r="18" spans="1:8" x14ac:dyDescent="0.2">
      <c r="A18">
        <v>130159</v>
      </c>
      <c r="B18" t="s">
        <v>61</v>
      </c>
      <c r="C18" s="3" t="s">
        <v>52</v>
      </c>
      <c r="D18" s="4">
        <v>870.81818181818187</v>
      </c>
      <c r="E18" s="4">
        <f ca="1">'[1]DESV. VTS BY SKU'!F20</f>
        <v>646</v>
      </c>
      <c r="F18" s="6">
        <f ca="1">'[1]DESV. VTS BY SKU'!G20</f>
        <v>-0.25816891115982887</v>
      </c>
      <c r="G18" s="7" t="str">
        <f ca="1">'[1]DESV. VTS BY SKU'!H20</f>
        <v>BAJO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283.68181818181819</v>
      </c>
      <c r="E19" s="4">
        <f ca="1">'[1]DESV. VTS BY SKU'!F21</f>
        <v>151</v>
      </c>
      <c r="F19" s="6">
        <f ca="1">'[1]DESV. VTS BY SKU'!G21</f>
        <v>-0.46771350745072904</v>
      </c>
      <c r="G19" s="7" t="str">
        <f ca="1">'[1]DESV. VTS BY SKU'!H21</f>
        <v>BAJO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143.22727272727272</v>
      </c>
      <c r="E20" s="4">
        <f ca="1">'[1]DESV. VTS BY SKU'!F22</f>
        <v>52</v>
      </c>
      <c r="F20" s="5">
        <f ca="1">'[1]DESV. VTS BY SKU'!G22</f>
        <v>-0.63694065376071085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525.13636363636363</v>
      </c>
      <c r="E21" s="4">
        <f ca="1">'[1]DESV. VTS BY SKU'!F23</f>
        <v>287</v>
      </c>
      <c r="F21" s="6">
        <f ca="1">'[1]DESV. VTS BY SKU'!G23</f>
        <v>-0.45347528780403357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896.77272727272725</v>
      </c>
      <c r="E22" s="4">
        <f ca="1">'[1]DESV. VTS BY SKU'!F24</f>
        <v>463</v>
      </c>
      <c r="F22" s="5">
        <f ca="1">'[1]DESV. VTS BY SKU'!G24</f>
        <v>-0.48370419179887469</v>
      </c>
      <c r="G22" s="7" t="str">
        <f ca="1">'[1]DESV. VTS BY SKU'!H24</f>
        <v>BAJO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65.454545454545453</v>
      </c>
      <c r="E23" s="4">
        <f ca="1">'[1]DESV. VTS BY SKU'!F25</f>
        <v>0</v>
      </c>
      <c r="F23" s="5">
        <f ca="1">'[1]DESV. VTS BY SKU'!G25</f>
        <v>-1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716.5</v>
      </c>
      <c r="E24" s="4">
        <f ca="1">'[1]DESV. VTS BY SKU'!F26</f>
        <v>440</v>
      </c>
      <c r="F24" s="6">
        <f ca="1">'[1]DESV. VTS BY SKU'!G26</f>
        <v>-0.38590369853454287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1106.5454545454545</v>
      </c>
      <c r="E25" s="4">
        <f ca="1">'[1]DESV. VTS BY SKU'!F27</f>
        <v>954</v>
      </c>
      <c r="F25" s="5">
        <f ca="1">'[1]DESV. VTS BY SKU'!G27</f>
        <v>-0.13785737758790662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583.0454545454545</v>
      </c>
      <c r="E26" s="4">
        <f ca="1">'[1]DESV. VTS BY SKU'!F28</f>
        <v>284</v>
      </c>
      <c r="F26" s="6">
        <f ca="1">'[1]DESV. VTS BY SKU'!G28</f>
        <v>-0.51290247134949718</v>
      </c>
      <c r="G26" s="7" t="str">
        <f ca="1">'[1]DESV. VTS BY SKU'!H28</f>
        <v>BAJO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473.86363636363637</v>
      </c>
      <c r="E27" s="4">
        <f ca="1">'[1]DESV. VTS BY SKU'!F29</f>
        <v>243</v>
      </c>
      <c r="F27" s="5">
        <f ca="1">'[1]DESV. VTS BY SKU'!G29</f>
        <v>-0.4871942446043166</v>
      </c>
      <c r="G27" s="7" t="str">
        <f ca="1">'[1]DESV. VTS BY SKU'!H29</f>
        <v>BAJO</v>
      </c>
      <c r="H27">
        <v>1.63</v>
      </c>
    </row>
    <row r="28" spans="1:8" x14ac:dyDescent="0.2">
      <c r="A28">
        <v>131154</v>
      </c>
      <c r="B28" t="s">
        <v>57</v>
      </c>
      <c r="C28" s="3" t="s">
        <v>55</v>
      </c>
      <c r="D28" s="4">
        <v>252.63636363636363</v>
      </c>
      <c r="E28" s="4">
        <f ca="1">'[1]DESV. VTS BY SKU'!F30</f>
        <v>339</v>
      </c>
      <c r="F28" s="5">
        <f ca="1">'[1]DESV. VTS BY SKU'!G30</f>
        <v>0.34184958618207983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58</v>
      </c>
      <c r="C29" s="3" t="s">
        <v>55</v>
      </c>
      <c r="D29" s="4">
        <v>308.81818181818181</v>
      </c>
      <c r="E29" s="4">
        <f ca="1">'[1]DESV. VTS BY SKU'!F31</f>
        <v>361</v>
      </c>
      <c r="F29" s="5">
        <f ca="1">'[1]DESV. VTS BY SKU'!G31</f>
        <v>0.16897262290256121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137.77272727272728</v>
      </c>
      <c r="E30" s="4">
        <f ca="1">'[1]DESV. VTS BY SKU'!F32</f>
        <v>55</v>
      </c>
      <c r="F30" s="6">
        <f ca="1">'[1]DESV. VTS BY SKU'!G32</f>
        <v>-0.60079181788188718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152.22727272727272</v>
      </c>
      <c r="E31" s="4">
        <f ca="1">'[1]DESV. VTS BY SKU'!F33</f>
        <v>80</v>
      </c>
      <c r="F31" s="5">
        <f ca="1">'[1]DESV. VTS BY SKU'!G33</f>
        <v>-0.47446999104210208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821.81818181818187</v>
      </c>
      <c r="E32" s="4">
        <f ca="1">'[1]DESV. VTS BY SKU'!F34</f>
        <v>561</v>
      </c>
      <c r="F32" s="6">
        <f ca="1">'[1]DESV. VTS BY SKU'!G34</f>
        <v>-0.31736725663716814</v>
      </c>
      <c r="G32" s="7" t="str">
        <f ca="1">'[1]DESV. VTS BY SKU'!H34</f>
        <v>BAJO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628.86363636363637</v>
      </c>
      <c r="E33" s="4">
        <f ca="1">'[1]DESV. VTS BY SKU'!F35</f>
        <v>339</v>
      </c>
      <c r="F33" s="5">
        <f ca="1">'[1]DESV. VTS BY SKU'!G35</f>
        <v>-0.46093241778099026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828.4545454545455</v>
      </c>
      <c r="E34" s="4">
        <f ca="1">'[1]DESV. VTS BY SKU'!F36</f>
        <v>498</v>
      </c>
      <c r="F34" s="6">
        <f ca="1">'[1]DESV. VTS BY SKU'!G36</f>
        <v>-0.39888071985076268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553.86363636363637</v>
      </c>
      <c r="E35" s="4">
        <f ca="1">'[1]DESV. VTS BY SKU'!F37</f>
        <v>351</v>
      </c>
      <c r="F35" s="5">
        <f ca="1">'[1]DESV. VTS BY SKU'!G37</f>
        <v>-0.36627000410340582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3.7272727272727271</v>
      </c>
      <c r="E36" s="4">
        <f ca="1">'[1]DESV. VTS BY SKU'!F38</f>
        <v>1</v>
      </c>
      <c r="F36" s="6">
        <f ca="1">'[1]DESV. VTS BY SKU'!G38</f>
        <v>-0.73170731707317072</v>
      </c>
      <c r="G36" s="7" t="str">
        <f ca="1">'[1]DESV. VTS BY SKU'!H38</f>
        <v>BAJO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0.5</v>
      </c>
      <c r="E37" s="4">
        <f ca="1">'[1]DESV. VTS BY SKU'!F39</f>
        <v>0</v>
      </c>
      <c r="F37" s="5">
        <f ca="1">'[1]DESV. VTS BY SKU'!G39</f>
        <v>-1</v>
      </c>
      <c r="G37" s="7" t="str">
        <f ca="1">'[1]DESV. VTS BY SKU'!H39</f>
        <v>BAJO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124.68181818181819</v>
      </c>
      <c r="E38" s="4">
        <f ca="1">'[1]DESV. VTS BY SKU'!F40</f>
        <v>56</v>
      </c>
      <c r="F38" s="6">
        <f ca="1">'[1]DESV. VTS BY SKU'!G40</f>
        <v>-0.55085672621217641</v>
      </c>
      <c r="G38" s="7" t="str">
        <f ca="1">'[1]DESV. VTS BY SKU'!H40</f>
        <v>BAJO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602.81818181818187</v>
      </c>
      <c r="E39" s="4">
        <f ca="1">'[1]DESV. VTS BY SKU'!F41</f>
        <v>371</v>
      </c>
      <c r="F39" s="5">
        <f ca="1">'[1]DESV. VTS BY SKU'!G41</f>
        <v>-0.38455738199366618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430.86363636363637</v>
      </c>
      <c r="E40" s="4">
        <f ca="1">'[1]DESV. VTS BY SKU'!F42</f>
        <v>342</v>
      </c>
      <c r="F40" s="6">
        <f ca="1">'[1]DESV. VTS BY SKU'!G42</f>
        <v>-0.20624538453423358</v>
      </c>
      <c r="G40" s="7" t="str">
        <f ca="1">'[1]DESV. VTS BY SKU'!H42</f>
        <v>BAJO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276.18181818181819</v>
      </c>
      <c r="E41" s="4">
        <f ca="1">'[1]DESV. VTS BY SKU'!F43</f>
        <v>202</v>
      </c>
      <c r="F41" s="5">
        <f ca="1">'[1]DESV. VTS BY SKU'!G43</f>
        <v>-0.26859776168531935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509.31818181818181</v>
      </c>
      <c r="E42" s="4">
        <f ca="1">'[1]DESV. VTS BY SKU'!F44</f>
        <v>330</v>
      </c>
      <c r="F42" s="6">
        <f ca="1">'[1]DESV. VTS BY SKU'!G44</f>
        <v>-0.35207496653279791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318.95454545454544</v>
      </c>
      <c r="E43" s="4">
        <f ca="1">'[1]DESV. VTS BY SKU'!F45</f>
        <v>151</v>
      </c>
      <c r="F43" s="5">
        <f ca="1">'[1]DESV. VTS BY SKU'!G45</f>
        <v>-0.52657830981901088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304.04545454545456</v>
      </c>
      <c r="E44" s="4">
        <f ca="1">'[1]DESV. VTS BY SKU'!F46</f>
        <v>216</v>
      </c>
      <c r="F44" s="6">
        <f ca="1">'[1]DESV. VTS BY SKU'!G46</f>
        <v>-0.28957990731050987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60.31818181818182</v>
      </c>
      <c r="E45" s="4">
        <f ca="1">'[1]DESV. VTS BY SKU'!F47</f>
        <v>16</v>
      </c>
      <c r="F45" s="5">
        <f ca="1">'[1]DESV. VTS BY SKU'!G47</f>
        <v>-0.73474001507159004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117.72727272727273</v>
      </c>
      <c r="E46" s="4">
        <f ca="1">'[1]DESV. VTS BY SKU'!F48</f>
        <v>24</v>
      </c>
      <c r="F46" s="6">
        <f ca="1">'[1]DESV. VTS BY SKU'!G48</f>
        <v>-0.79613899613899619</v>
      </c>
      <c r="G46" s="7" t="str">
        <f ca="1">'[1]DESV. VTS BY SKU'!H48</f>
        <v>BAJO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41.363636363636367</v>
      </c>
      <c r="E47" s="4">
        <f ca="1">'[1]DESV. VTS BY SKU'!F49</f>
        <v>12</v>
      </c>
      <c r="F47" s="5">
        <f ca="1">'[1]DESV. VTS BY SKU'!G49</f>
        <v>-0.70989010989010992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50.090909090909093</v>
      </c>
      <c r="E48" s="4">
        <f ca="1">'[1]DESV. VTS BY SKU'!F50</f>
        <v>16</v>
      </c>
      <c r="F48" s="6">
        <f ca="1">'[1]DESV. VTS BY SKU'!G50</f>
        <v>-0.68058076225045372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>
      <selection activeCell="B2" sqref="B2"/>
    </sheetView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2026-10-02T12:33:16Z</dcterms:modified>
</cp:coreProperties>
</file>