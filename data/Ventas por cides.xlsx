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4AC5ACE-20E6-4F1B-81FF-2862F2512C21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<sst xmlns="http://schemas.openxmlformats.org/spreadsheetml/2006/main" count="320" uniqueCount="62">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</sst>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339</v>
          </cell>
        </row>
        <row r="9">
          <cell r="C9">
            <v>36</v>
          </cell>
        </row>
        <row r="10">
          <cell r="C10">
            <v>97</v>
          </cell>
        </row>
        <row r="11">
          <cell r="C11">
            <v>16</v>
          </cell>
        </row>
        <row r="12">
          <cell r="C12">
            <v>5</v>
          </cell>
        </row>
        <row r="13">
          <cell r="C13">
            <v>492</v>
          </cell>
        </row>
        <row r="14">
          <cell r="C14">
            <v>20</v>
          </cell>
        </row>
        <row r="15">
          <cell r="C15">
            <v>53</v>
          </cell>
        </row>
        <row r="16">
          <cell r="C16">
            <v>157</v>
          </cell>
        </row>
        <row r="17">
          <cell r="C17">
            <v>37</v>
          </cell>
        </row>
        <row r="18">
          <cell r="C18">
            <v>1158</v>
          </cell>
        </row>
        <row r="19">
          <cell r="C19">
            <v>675</v>
          </cell>
        </row>
        <row r="20">
          <cell r="C20">
            <v>910</v>
          </cell>
        </row>
        <row r="21">
          <cell r="C21">
            <v>675</v>
          </cell>
        </row>
        <row r="22">
          <cell r="C22">
            <v>186</v>
          </cell>
        </row>
        <row r="23">
          <cell r="C23">
            <v>243</v>
          </cell>
        </row>
        <row r="24">
          <cell r="C24">
            <v>234</v>
          </cell>
        </row>
        <row r="25">
          <cell r="C25">
            <v>22</v>
          </cell>
        </row>
        <row r="26">
          <cell r="C26">
            <v>4</v>
          </cell>
        </row>
        <row r="27">
          <cell r="C27">
            <v>67</v>
          </cell>
        </row>
        <row r="28">
          <cell r="C28">
            <v>122</v>
          </cell>
        </row>
        <row r="29">
          <cell r="C29">
            <v>0</v>
          </cell>
        </row>
        <row r="30">
          <cell r="C30">
            <v>242</v>
          </cell>
        </row>
        <row r="31">
          <cell r="C31">
            <v>686</v>
          </cell>
        </row>
        <row r="32">
          <cell r="C32">
            <v>529</v>
          </cell>
        </row>
        <row r="33">
          <cell r="C33">
            <v>147</v>
          </cell>
        </row>
        <row r="34">
          <cell r="C34">
            <v>192</v>
          </cell>
        </row>
        <row r="35">
          <cell r="C35">
            <v>244</v>
          </cell>
        </row>
        <row r="36">
          <cell r="C36">
            <v>29</v>
          </cell>
        </row>
        <row r="37">
          <cell r="C37">
            <v>62</v>
          </cell>
        </row>
        <row r="38">
          <cell r="C38">
            <v>315</v>
          </cell>
        </row>
        <row r="39">
          <cell r="C39">
            <v>209</v>
          </cell>
        </row>
        <row r="40">
          <cell r="C40">
            <v>209</v>
          </cell>
        </row>
        <row r="41">
          <cell r="C41">
            <v>90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52</v>
          </cell>
        </row>
        <row r="45">
          <cell r="C45">
            <v>347</v>
          </cell>
        </row>
        <row r="46">
          <cell r="C46">
            <v>38</v>
          </cell>
        </row>
        <row r="47">
          <cell r="C47">
            <v>57</v>
          </cell>
        </row>
        <row r="48">
          <cell r="C48">
            <v>178</v>
          </cell>
        </row>
        <row r="49">
          <cell r="C49">
            <v>48</v>
          </cell>
        </row>
        <row r="50">
          <cell r="C50">
            <v>70</v>
          </cell>
        </row>
        <row r="51">
          <cell r="C51">
            <v>4</v>
          </cell>
        </row>
        <row r="52">
          <cell r="C52">
            <v>21</v>
          </cell>
        </row>
        <row r="53">
          <cell r="C53">
            <v>0</v>
          </cell>
        </row>
        <row r="54">
          <cell r="C54">
            <v>11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405</v>
          </cell>
        </row>
        <row r="9">
          <cell r="C9">
            <v>15</v>
          </cell>
        </row>
        <row r="10">
          <cell r="C10">
            <v>108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1287</v>
          </cell>
        </row>
        <row r="14">
          <cell r="C14">
            <v>124</v>
          </cell>
        </row>
        <row r="15">
          <cell r="C15">
            <v>83</v>
          </cell>
        </row>
        <row r="16">
          <cell r="C16">
            <v>583</v>
          </cell>
        </row>
        <row r="17">
          <cell r="C17">
            <v>191</v>
          </cell>
        </row>
        <row r="18">
          <cell r="C18">
            <v>4600</v>
          </cell>
        </row>
        <row r="19">
          <cell r="C19">
            <v>2461</v>
          </cell>
        </row>
        <row r="20">
          <cell r="C20">
            <v>2440</v>
          </cell>
        </row>
        <row r="21">
          <cell r="C21">
            <v>2934</v>
          </cell>
        </row>
        <row r="22">
          <cell r="C22">
            <v>965</v>
          </cell>
        </row>
        <row r="23">
          <cell r="C23">
            <v>1134</v>
          </cell>
        </row>
        <row r="24">
          <cell r="C24">
            <v>1039</v>
          </cell>
        </row>
        <row r="25">
          <cell r="C25">
            <v>248</v>
          </cell>
        </row>
        <row r="26">
          <cell r="C26">
            <v>61</v>
          </cell>
        </row>
        <row r="27">
          <cell r="C27">
            <v>742</v>
          </cell>
        </row>
        <row r="28">
          <cell r="C28">
            <v>839</v>
          </cell>
        </row>
        <row r="29">
          <cell r="C29">
            <v>30</v>
          </cell>
        </row>
        <row r="30">
          <cell r="C30">
            <v>351</v>
          </cell>
        </row>
        <row r="31">
          <cell r="C31">
            <v>874</v>
          </cell>
        </row>
        <row r="32">
          <cell r="C32">
            <v>431</v>
          </cell>
        </row>
        <row r="33">
          <cell r="C33">
            <v>286</v>
          </cell>
        </row>
        <row r="34">
          <cell r="C34">
            <v>383</v>
          </cell>
        </row>
        <row r="35">
          <cell r="C35">
            <v>437</v>
          </cell>
        </row>
        <row r="36">
          <cell r="C36">
            <v>79</v>
          </cell>
        </row>
        <row r="37">
          <cell r="C37">
            <v>135</v>
          </cell>
        </row>
        <row r="38">
          <cell r="C38">
            <v>992</v>
          </cell>
        </row>
        <row r="39">
          <cell r="C39">
            <v>508</v>
          </cell>
        </row>
        <row r="40">
          <cell r="C40">
            <v>832</v>
          </cell>
        </row>
        <row r="41">
          <cell r="C41">
            <v>355</v>
          </cell>
        </row>
        <row r="42">
          <cell r="C42">
            <v>7</v>
          </cell>
        </row>
        <row r="43">
          <cell r="C43">
            <v>0</v>
          </cell>
        </row>
        <row r="44">
          <cell r="C44">
            <v>102</v>
          </cell>
        </row>
        <row r="45">
          <cell r="C45">
            <v>92</v>
          </cell>
        </row>
        <row r="46">
          <cell r="C46">
            <v>286</v>
          </cell>
        </row>
        <row r="47">
          <cell r="C47">
            <v>102</v>
          </cell>
        </row>
        <row r="48">
          <cell r="C48">
            <v>123</v>
          </cell>
        </row>
        <row r="49">
          <cell r="C49">
            <v>120</v>
          </cell>
        </row>
        <row r="50">
          <cell r="C50">
            <v>181</v>
          </cell>
        </row>
        <row r="51">
          <cell r="C51">
            <v>40</v>
          </cell>
        </row>
        <row r="52">
          <cell r="C52">
            <v>134</v>
          </cell>
        </row>
        <row r="53">
          <cell r="C53">
            <v>12</v>
          </cell>
        </row>
        <row r="54">
          <cell r="C54">
            <v>24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6016</v>
          </cell>
        </row>
        <row r="9">
          <cell r="C9">
            <v>367</v>
          </cell>
        </row>
        <row r="10">
          <cell r="C10">
            <v>2647</v>
          </cell>
        </row>
        <row r="11">
          <cell r="C11">
            <v>565</v>
          </cell>
        </row>
        <row r="12">
          <cell r="C12">
            <v>86</v>
          </cell>
        </row>
        <row r="13">
          <cell r="C13">
            <v>5988</v>
          </cell>
        </row>
        <row r="14">
          <cell r="C14">
            <v>433</v>
          </cell>
        </row>
        <row r="15">
          <cell r="C15">
            <v>1070</v>
          </cell>
        </row>
        <row r="16">
          <cell r="C16">
            <v>2502</v>
          </cell>
        </row>
        <row r="17">
          <cell r="C17">
            <v>1254</v>
          </cell>
        </row>
        <row r="18">
          <cell r="C18">
            <v>12903</v>
          </cell>
        </row>
        <row r="19">
          <cell r="C19">
            <v>7957</v>
          </cell>
        </row>
        <row r="20">
          <cell r="C20">
            <v>8411</v>
          </cell>
        </row>
        <row r="21">
          <cell r="C21">
            <v>10853</v>
          </cell>
        </row>
        <row r="22">
          <cell r="C22">
            <v>2748</v>
          </cell>
        </row>
        <row r="23">
          <cell r="C23">
            <v>2742</v>
          </cell>
        </row>
        <row r="24">
          <cell r="C24">
            <v>2880</v>
          </cell>
        </row>
        <row r="25">
          <cell r="C25">
            <v>810</v>
          </cell>
        </row>
        <row r="26">
          <cell r="C26">
            <v>359</v>
          </cell>
        </row>
        <row r="27">
          <cell r="C27">
            <v>1887</v>
          </cell>
        </row>
        <row r="28">
          <cell r="C28">
            <v>3483</v>
          </cell>
        </row>
        <row r="29">
          <cell r="C29">
            <v>590</v>
          </cell>
        </row>
        <row r="30">
          <cell r="C30">
            <v>3203</v>
          </cell>
        </row>
        <row r="31">
          <cell r="C31">
            <v>4124</v>
          </cell>
        </row>
        <row r="32">
          <cell r="C32">
            <v>2083</v>
          </cell>
        </row>
        <row r="33">
          <cell r="C33">
            <v>1477</v>
          </cell>
        </row>
        <row r="34">
          <cell r="C34">
            <v>614</v>
          </cell>
        </row>
        <row r="35">
          <cell r="C35">
            <v>783</v>
          </cell>
        </row>
        <row r="36">
          <cell r="C36">
            <v>585</v>
          </cell>
        </row>
        <row r="37">
          <cell r="C37">
            <v>543</v>
          </cell>
        </row>
        <row r="38">
          <cell r="C38">
            <v>2613</v>
          </cell>
        </row>
        <row r="39">
          <cell r="C39">
            <v>2337</v>
          </cell>
        </row>
        <row r="40">
          <cell r="C40">
            <v>3020</v>
          </cell>
        </row>
        <row r="41">
          <cell r="C41">
            <v>2105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334</v>
          </cell>
        </row>
        <row r="45">
          <cell r="C45">
            <v>2213</v>
          </cell>
        </row>
        <row r="46">
          <cell r="C46">
            <v>1602</v>
          </cell>
        </row>
        <row r="47">
          <cell r="C47">
            <v>1242</v>
          </cell>
        </row>
        <row r="48">
          <cell r="C48">
            <v>2627</v>
          </cell>
        </row>
        <row r="49">
          <cell r="C49">
            <v>1895</v>
          </cell>
        </row>
        <row r="50">
          <cell r="C50">
            <v>946</v>
          </cell>
        </row>
        <row r="51">
          <cell r="C51">
            <v>105</v>
          </cell>
        </row>
        <row r="52">
          <cell r="C52">
            <v>515</v>
          </cell>
        </row>
        <row r="53">
          <cell r="C53">
            <v>310</v>
          </cell>
        </row>
        <row r="54">
          <cell r="C54">
            <v>425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2103</v>
          </cell>
        </row>
        <row r="9">
          <cell r="C9">
            <v>245</v>
          </cell>
        </row>
        <row r="10">
          <cell r="C10">
            <v>539</v>
          </cell>
        </row>
        <row r="11">
          <cell r="C11">
            <v>232</v>
          </cell>
        </row>
        <row r="12">
          <cell r="C12">
            <v>15</v>
          </cell>
        </row>
        <row r="13">
          <cell r="C13">
            <v>2845</v>
          </cell>
        </row>
        <row r="14">
          <cell r="C14">
            <v>412</v>
          </cell>
        </row>
        <row r="15">
          <cell r="C15">
            <v>954</v>
          </cell>
        </row>
        <row r="16">
          <cell r="C16">
            <v>2361</v>
          </cell>
        </row>
        <row r="17">
          <cell r="C17">
            <v>1112</v>
          </cell>
        </row>
        <row r="18">
          <cell r="C18">
            <v>7784</v>
          </cell>
        </row>
        <row r="19">
          <cell r="C19">
            <v>4964</v>
          </cell>
        </row>
        <row r="20">
          <cell r="C20">
            <v>5455</v>
          </cell>
        </row>
        <row r="21">
          <cell r="C21">
            <v>5915</v>
          </cell>
        </row>
        <row r="22">
          <cell r="C22">
            <v>1537</v>
          </cell>
        </row>
        <row r="23">
          <cell r="C23">
            <v>2443</v>
          </cell>
        </row>
        <row r="24">
          <cell r="C24">
            <v>2269</v>
          </cell>
        </row>
        <row r="25">
          <cell r="C25">
            <v>941</v>
          </cell>
        </row>
        <row r="26">
          <cell r="C26">
            <v>525</v>
          </cell>
        </row>
        <row r="27">
          <cell r="C27">
            <v>1496</v>
          </cell>
        </row>
        <row r="28">
          <cell r="C28">
            <v>2274</v>
          </cell>
        </row>
        <row r="29">
          <cell r="C29">
            <v>0</v>
          </cell>
        </row>
        <row r="30">
          <cell r="C30">
            <v>1373</v>
          </cell>
        </row>
        <row r="31">
          <cell r="C31">
            <v>1822</v>
          </cell>
        </row>
        <row r="32">
          <cell r="C32">
            <v>951</v>
          </cell>
        </row>
        <row r="33">
          <cell r="C33">
            <v>670</v>
          </cell>
        </row>
        <row r="34">
          <cell r="C34">
            <v>490</v>
          </cell>
        </row>
        <row r="35">
          <cell r="C35">
            <v>551</v>
          </cell>
        </row>
        <row r="36">
          <cell r="C36">
            <v>295</v>
          </cell>
        </row>
        <row r="37">
          <cell r="C37">
            <v>265</v>
          </cell>
        </row>
        <row r="38">
          <cell r="C38">
            <v>1970</v>
          </cell>
        </row>
        <row r="39">
          <cell r="C39">
            <v>1462</v>
          </cell>
        </row>
        <row r="40">
          <cell r="C40">
            <v>2090</v>
          </cell>
        </row>
        <row r="41">
          <cell r="C41">
            <v>1195</v>
          </cell>
        </row>
        <row r="42">
          <cell r="C42">
            <v>25</v>
          </cell>
        </row>
        <row r="43">
          <cell r="C43">
            <v>6</v>
          </cell>
        </row>
        <row r="44">
          <cell r="C44">
            <v>611</v>
          </cell>
        </row>
        <row r="45">
          <cell r="C45">
            <v>1424</v>
          </cell>
        </row>
        <row r="46">
          <cell r="C46">
            <v>1445</v>
          </cell>
        </row>
        <row r="47">
          <cell r="C47">
            <v>53</v>
          </cell>
        </row>
        <row r="48">
          <cell r="C48">
            <v>818</v>
          </cell>
        </row>
        <row r="49">
          <cell r="C49">
            <v>385</v>
          </cell>
        </row>
        <row r="50">
          <cell r="C50">
            <v>517</v>
          </cell>
        </row>
        <row r="51">
          <cell r="C51">
            <v>80</v>
          </cell>
        </row>
        <row r="52">
          <cell r="C52">
            <v>220</v>
          </cell>
        </row>
        <row r="53">
          <cell r="C53">
            <v>39</v>
          </cell>
        </row>
        <row r="54">
          <cell r="C54">
            <v>92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201</v>
          </cell>
        </row>
        <row r="9">
          <cell r="C9">
            <v>14</v>
          </cell>
        </row>
        <row r="10">
          <cell r="C10">
            <v>41</v>
          </cell>
        </row>
        <row r="11">
          <cell r="C11">
            <v>13</v>
          </cell>
        </row>
        <row r="12">
          <cell r="C12">
            <v>6</v>
          </cell>
        </row>
        <row r="13">
          <cell r="C13">
            <v>89</v>
          </cell>
        </row>
        <row r="14">
          <cell r="C14">
            <v>93</v>
          </cell>
        </row>
        <row r="15">
          <cell r="C15">
            <v>98</v>
          </cell>
        </row>
        <row r="16">
          <cell r="C16">
            <v>171</v>
          </cell>
        </row>
        <row r="17">
          <cell r="C17">
            <v>13</v>
          </cell>
        </row>
        <row r="18">
          <cell r="C18">
            <v>463</v>
          </cell>
        </row>
        <row r="19">
          <cell r="C19">
            <v>296</v>
          </cell>
        </row>
        <row r="20">
          <cell r="C20">
            <v>232</v>
          </cell>
        </row>
        <row r="21">
          <cell r="C21">
            <v>337</v>
          </cell>
        </row>
        <row r="22">
          <cell r="C22">
            <v>93</v>
          </cell>
        </row>
        <row r="23">
          <cell r="C23">
            <v>137</v>
          </cell>
        </row>
        <row r="24">
          <cell r="C24">
            <v>160</v>
          </cell>
        </row>
        <row r="25">
          <cell r="C25">
            <v>28</v>
          </cell>
        </row>
        <row r="26">
          <cell r="C26">
            <v>12</v>
          </cell>
        </row>
        <row r="27">
          <cell r="C27">
            <v>41</v>
          </cell>
        </row>
        <row r="28">
          <cell r="C28">
            <v>82</v>
          </cell>
        </row>
        <row r="29">
          <cell r="C29">
            <v>0</v>
          </cell>
        </row>
        <row r="30">
          <cell r="C30">
            <v>78</v>
          </cell>
        </row>
        <row r="31">
          <cell r="C31">
            <v>205</v>
          </cell>
        </row>
        <row r="32">
          <cell r="C32">
            <v>110</v>
          </cell>
        </row>
        <row r="33">
          <cell r="C33">
            <v>215</v>
          </cell>
        </row>
        <row r="34">
          <cell r="C34">
            <v>38</v>
          </cell>
        </row>
        <row r="35">
          <cell r="C35">
            <v>43</v>
          </cell>
        </row>
        <row r="36">
          <cell r="C36">
            <v>37</v>
          </cell>
        </row>
        <row r="37">
          <cell r="C37">
            <v>45</v>
          </cell>
        </row>
        <row r="38">
          <cell r="C38">
            <v>252</v>
          </cell>
        </row>
        <row r="39">
          <cell r="C39">
            <v>210</v>
          </cell>
        </row>
        <row r="40">
          <cell r="C40">
            <v>238</v>
          </cell>
        </row>
        <row r="41">
          <cell r="C41">
            <v>151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41</v>
          </cell>
        </row>
        <row r="45">
          <cell r="C45">
            <v>106</v>
          </cell>
        </row>
        <row r="46">
          <cell r="C46">
            <v>33</v>
          </cell>
        </row>
        <row r="47">
          <cell r="C47">
            <v>23</v>
          </cell>
        </row>
        <row r="48">
          <cell r="C48">
            <v>39</v>
          </cell>
        </row>
        <row r="49">
          <cell r="C49">
            <v>71</v>
          </cell>
        </row>
        <row r="50">
          <cell r="C50">
            <v>71</v>
          </cell>
        </row>
        <row r="51">
          <cell r="C51">
            <v>12</v>
          </cell>
        </row>
        <row r="52">
          <cell r="C52">
            <v>12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46276</v>
          </cell>
          <cell r="E2">
            <v>8</v>
          </cell>
        </row>
        <row r="3">
          <cell r="C3" t="str">
            <v>FINAL VENTAS</v>
          </cell>
          <cell r="D3">
            <v>46295</v>
          </cell>
          <cell r="E3">
            <v>14</v>
          </cell>
        </row>
        <row r="8">
          <cell r="C8">
            <v>9064</v>
          </cell>
        </row>
        <row r="9">
          <cell r="C9">
            <v>677</v>
          </cell>
        </row>
        <row r="10">
          <cell r="C10">
            <v>3432</v>
          </cell>
        </row>
        <row r="11">
          <cell r="C11">
            <v>840</v>
          </cell>
        </row>
        <row r="12">
          <cell r="C12">
            <v>112</v>
          </cell>
        </row>
        <row r="13">
          <cell r="C13">
            <v>10701</v>
          </cell>
        </row>
        <row r="14">
          <cell r="C14">
            <v>1082</v>
          </cell>
        </row>
        <row r="15">
          <cell r="C15">
            <v>2258</v>
          </cell>
        </row>
        <row r="16">
          <cell r="C16">
            <v>5774</v>
          </cell>
        </row>
        <row r="17">
          <cell r="C17">
            <v>2607</v>
          </cell>
        </row>
        <row r="18">
          <cell r="C18">
            <v>26908</v>
          </cell>
        </row>
        <row r="19">
          <cell r="C19">
            <v>16353</v>
          </cell>
        </row>
        <row r="20">
          <cell r="C20">
            <v>17448</v>
          </cell>
        </row>
        <row r="21">
          <cell r="C21">
            <v>20714</v>
          </cell>
        </row>
        <row r="22">
          <cell r="C22">
            <v>5529</v>
          </cell>
        </row>
        <row r="23">
          <cell r="C23">
            <v>6699</v>
          </cell>
        </row>
        <row r="24">
          <cell r="C24">
            <v>6582</v>
          </cell>
        </row>
        <row r="25">
          <cell r="C25">
            <v>2049</v>
          </cell>
        </row>
        <row r="26">
          <cell r="C26">
            <v>961</v>
          </cell>
        </row>
        <row r="27">
          <cell r="C27">
            <v>4233</v>
          </cell>
        </row>
        <row r="28">
          <cell r="C28">
            <v>6800</v>
          </cell>
        </row>
        <row r="29">
          <cell r="C29">
            <v>620</v>
          </cell>
        </row>
        <row r="30">
          <cell r="C30">
            <v>5247</v>
          </cell>
        </row>
        <row r="31">
          <cell r="C31">
            <v>7711</v>
          </cell>
        </row>
        <row r="32">
          <cell r="C32">
            <v>4104</v>
          </cell>
        </row>
        <row r="33">
          <cell r="C33">
            <v>2795</v>
          </cell>
        </row>
        <row r="34">
          <cell r="C34">
            <v>1717</v>
          </cell>
        </row>
        <row r="35">
          <cell r="C35">
            <v>2058</v>
          </cell>
        </row>
        <row r="36">
          <cell r="C36">
            <v>1025</v>
          </cell>
        </row>
        <row r="37">
          <cell r="C37">
            <v>1050</v>
          </cell>
        </row>
        <row r="38">
          <cell r="C38">
            <v>6142</v>
          </cell>
        </row>
        <row r="39">
          <cell r="C39">
            <v>4726</v>
          </cell>
        </row>
        <row r="40">
          <cell r="C40">
            <v>6389</v>
          </cell>
        </row>
        <row r="41">
          <cell r="C41">
            <v>3896</v>
          </cell>
        </row>
        <row r="42">
          <cell r="C42">
            <v>32</v>
          </cell>
        </row>
        <row r="43">
          <cell r="C43">
            <v>6</v>
          </cell>
        </row>
        <row r="44">
          <cell r="C44">
            <v>1140</v>
          </cell>
        </row>
        <row r="45">
          <cell r="C45">
            <v>4182</v>
          </cell>
        </row>
        <row r="46">
          <cell r="C46">
            <v>3404</v>
          </cell>
        </row>
        <row r="47">
          <cell r="C47">
            <v>1477</v>
          </cell>
        </row>
        <row r="48">
          <cell r="C48">
            <v>3785</v>
          </cell>
        </row>
        <row r="49">
          <cell r="C49">
            <v>2519</v>
          </cell>
        </row>
        <row r="50">
          <cell r="C50">
            <v>1785</v>
          </cell>
        </row>
        <row r="51">
          <cell r="C51">
            <v>241</v>
          </cell>
        </row>
        <row r="52">
          <cell r="C52">
            <v>902</v>
          </cell>
        </row>
        <row r="53">
          <cell r="C53">
            <v>382</v>
          </cell>
        </row>
        <row r="54">
          <cell r="C54">
            <v>564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46276</v>
      </c>
      <c r="E2" s="4">
        <f ca="1">'[1]VENTAS CONSOLIDADA ZULIA'!E2</f>
        <v>8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201</v>
      </c>
      <c r="D8" s="5">
        <f t="shared" ref="D8:D54" ca="1" si="0">C8/$E$2</f>
        <v>25.125</v>
      </c>
      <c r="E8" s="5">
        <f ca="1">D8*($E$2+$E$3)</f>
        <v>552.75</v>
      </c>
    </row>
    <row r="9" spans="1:5" x14ac:dyDescent="0.25">
      <c r="A9">
        <v>110151</v>
      </c>
      <c r="B9" t="s">
        <v>5</v>
      </c>
      <c r="C9">
        <f>'[1]VENTAS CONSOLIDADA ZULIA'!C9</f>
        <v>14</v>
      </c>
      <c r="D9" s="5">
        <f t="shared" ca="1" si="0"/>
        <v>1.75</v>
      </c>
      <c r="E9" s="5">
        <f t="shared" ref="E9:E54" ca="1" si="1">D9*($E$2+$E$3)</f>
        <v>38.5</v>
      </c>
    </row>
    <row r="10" spans="1:5" x14ac:dyDescent="0.25">
      <c r="A10">
        <v>110230</v>
      </c>
      <c r="B10" t="s">
        <v>1</v>
      </c>
      <c r="C10">
        <f>'[1]VENTAS CONSOLIDADA ZULIA'!C10</f>
        <v>41</v>
      </c>
      <c r="D10" s="5">
        <f t="shared" ca="1" si="0"/>
        <v>5.125</v>
      </c>
      <c r="E10" s="5">
        <f t="shared" ca="1" si="1"/>
        <v>112.75</v>
      </c>
    </row>
    <row r="11" spans="1:5" x14ac:dyDescent="0.25">
      <c r="A11">
        <v>110400</v>
      </c>
      <c r="B11" t="s">
        <v>13</v>
      </c>
      <c r="C11">
        <f>'[1]VENTAS CONSOLIDADA ZULIA'!C11</f>
        <v>13</v>
      </c>
      <c r="D11" s="5">
        <f t="shared" ca="1" si="0"/>
        <v>1.625</v>
      </c>
      <c r="E11" s="5">
        <f t="shared" ca="1" si="1"/>
        <v>35.75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0.75</v>
      </c>
      <c r="E12" s="5">
        <f t="shared" ca="1" si="1"/>
        <v>16.5</v>
      </c>
    </row>
    <row r="13" spans="1:5" x14ac:dyDescent="0.25">
      <c r="A13">
        <v>120130</v>
      </c>
      <c r="B13" t="s">
        <v>15</v>
      </c>
      <c r="C13">
        <f>'[1]VENTAS CONSOLIDADA ZULIA'!C13</f>
        <v>89</v>
      </c>
      <c r="D13" s="5">
        <f t="shared" ca="1" si="0"/>
        <v>11.125</v>
      </c>
      <c r="E13" s="5">
        <f t="shared" ca="1" si="1"/>
        <v>244.75</v>
      </c>
    </row>
    <row r="14" spans="1:5" x14ac:dyDescent="0.25">
      <c r="A14">
        <v>120131</v>
      </c>
      <c r="B14" t="s">
        <v>23</v>
      </c>
      <c r="C14">
        <f>'[1]VENTAS CONSOLIDADA ZULIA'!C14</f>
        <v>93</v>
      </c>
      <c r="D14" s="5">
        <f t="shared" ca="1" si="0"/>
        <v>11.625</v>
      </c>
      <c r="E14" s="5">
        <f t="shared" ca="1" si="1"/>
        <v>255.75</v>
      </c>
    </row>
    <row r="15" spans="1:5" x14ac:dyDescent="0.25">
      <c r="A15">
        <v>120132</v>
      </c>
      <c r="B15" t="s">
        <v>21</v>
      </c>
      <c r="C15">
        <f>'[1]VENTAS CONSOLIDADA ZULIA'!C15</f>
        <v>98</v>
      </c>
      <c r="D15" s="5">
        <f t="shared" ca="1" si="0"/>
        <v>12.25</v>
      </c>
      <c r="E15" s="5">
        <f t="shared" ca="1" si="1"/>
        <v>269.5</v>
      </c>
    </row>
    <row r="16" spans="1:5" x14ac:dyDescent="0.25">
      <c r="A16">
        <v>130150</v>
      </c>
      <c r="B16" t="s">
        <v>0</v>
      </c>
      <c r="C16">
        <f>'[1]VENTAS CONSOLIDADA ZULIA'!C16</f>
        <v>171</v>
      </c>
      <c r="D16" s="5">
        <f t="shared" ca="1" si="0"/>
        <v>21.375</v>
      </c>
      <c r="E16" s="5">
        <f t="shared" ca="1" si="1"/>
        <v>470.25</v>
      </c>
    </row>
    <row r="17" spans="1:5" x14ac:dyDescent="0.25">
      <c r="A17">
        <v>130151</v>
      </c>
      <c r="B17" t="s">
        <v>4</v>
      </c>
      <c r="C17">
        <f>'[1]VENTAS CONSOLIDADA ZULIA'!C17</f>
        <v>13</v>
      </c>
      <c r="D17" s="5">
        <f t="shared" ca="1" si="0"/>
        <v>1.625</v>
      </c>
      <c r="E17" s="5">
        <f t="shared" ca="1" si="1"/>
        <v>35.75</v>
      </c>
    </row>
    <row r="18" spans="1:5" x14ac:dyDescent="0.25">
      <c r="A18">
        <v>130152</v>
      </c>
      <c r="B18" t="s">
        <v>51</v>
      </c>
      <c r="C18">
        <f>'[1]VENTAS CONSOLIDADA ZULIA'!C18</f>
        <v>463</v>
      </c>
      <c r="D18" s="5">
        <f t="shared" ca="1" si="0"/>
        <v>57.875</v>
      </c>
      <c r="E18" s="5">
        <f t="shared" ca="1" si="1"/>
        <v>1273.25</v>
      </c>
    </row>
    <row r="19" spans="1:5" x14ac:dyDescent="0.25">
      <c r="A19">
        <v>130153</v>
      </c>
      <c r="B19" t="s">
        <v>52</v>
      </c>
      <c r="C19">
        <f>'[1]VENTAS CONSOLIDADA ZULIA'!C19</f>
        <v>296</v>
      </c>
      <c r="D19" s="5">
        <f t="shared" ca="1" si="0"/>
        <v>37</v>
      </c>
      <c r="E19" s="5">
        <f t="shared" ca="1" si="1"/>
        <v>814</v>
      </c>
    </row>
    <row r="20" spans="1:5" x14ac:dyDescent="0.25">
      <c r="A20">
        <v>130154</v>
      </c>
      <c r="B20" t="s">
        <v>53</v>
      </c>
      <c r="C20">
        <f>'[1]VENTAS CONSOLIDADA ZULIA'!C20</f>
        <v>232</v>
      </c>
      <c r="D20" s="5">
        <f t="shared" ca="1" si="0"/>
        <v>29</v>
      </c>
      <c r="E20" s="5">
        <f t="shared" ca="1" si="1"/>
        <v>638</v>
      </c>
    </row>
    <row r="21" spans="1:5" x14ac:dyDescent="0.25">
      <c r="A21">
        <v>130155</v>
      </c>
      <c r="B21" t="s">
        <v>16</v>
      </c>
      <c r="C21">
        <f>'[1]VENTAS CONSOLIDADA ZULIA'!C21</f>
        <v>337</v>
      </c>
      <c r="D21" s="5">
        <f t="shared" ca="1" si="0"/>
        <v>42.125</v>
      </c>
      <c r="E21" s="5">
        <f t="shared" ca="1" si="1"/>
        <v>926.75</v>
      </c>
    </row>
    <row r="22" spans="1:5" x14ac:dyDescent="0.25">
      <c r="A22">
        <v>130157</v>
      </c>
      <c r="B22" t="s">
        <v>43</v>
      </c>
      <c r="C22">
        <f>'[1]VENTAS CONSOLIDADA ZULIA'!C22</f>
        <v>93</v>
      </c>
      <c r="D22" s="5">
        <f t="shared" ca="1" si="0"/>
        <v>11.625</v>
      </c>
      <c r="E22" s="5">
        <f t="shared" ca="1" si="1"/>
        <v>255.75</v>
      </c>
    </row>
    <row r="23" spans="1:5" x14ac:dyDescent="0.25">
      <c r="A23">
        <v>130158</v>
      </c>
      <c r="B23" t="s">
        <v>44</v>
      </c>
      <c r="C23">
        <f>'[1]VENTAS CONSOLIDADA ZULIA'!C23</f>
        <v>137</v>
      </c>
      <c r="D23" s="5">
        <f t="shared" ca="1" si="0"/>
        <v>17.125</v>
      </c>
      <c r="E23" s="5">
        <f t="shared" ca="1" si="1"/>
        <v>376.75</v>
      </c>
    </row>
    <row r="24" spans="1:5" x14ac:dyDescent="0.25">
      <c r="A24">
        <v>130159</v>
      </c>
      <c r="B24" t="s">
        <v>45</v>
      </c>
      <c r="C24">
        <f>'[1]VENTAS CONSOLIDADA ZULIA'!C24</f>
        <v>160</v>
      </c>
      <c r="D24" s="5">
        <f t="shared" ca="1" si="0"/>
        <v>20</v>
      </c>
      <c r="E24" s="5">
        <f t="shared" ca="1" si="1"/>
        <v>440</v>
      </c>
    </row>
    <row r="25" spans="1:5" x14ac:dyDescent="0.25">
      <c r="A25">
        <v>130700</v>
      </c>
      <c r="B25" t="s">
        <v>3</v>
      </c>
      <c r="C25">
        <f>'[1]VENTAS CONSOLIDADA ZULIA'!C25</f>
        <v>28</v>
      </c>
      <c r="D25" s="5">
        <f t="shared" ca="1" si="0"/>
        <v>3.5</v>
      </c>
      <c r="E25" s="5">
        <f t="shared" ca="1" si="1"/>
        <v>77</v>
      </c>
    </row>
    <row r="26" spans="1:5" x14ac:dyDescent="0.25">
      <c r="A26">
        <v>130701</v>
      </c>
      <c r="B26" t="s">
        <v>30</v>
      </c>
      <c r="C26">
        <f>'[1]VENTAS CONSOLIDADA ZULIA'!C26</f>
        <v>12</v>
      </c>
      <c r="D26" s="5">
        <f t="shared" ca="1" si="0"/>
        <v>1.5</v>
      </c>
      <c r="E26" s="5">
        <f t="shared" ca="1" si="1"/>
        <v>33</v>
      </c>
    </row>
    <row r="27" spans="1:5" x14ac:dyDescent="0.25">
      <c r="A27">
        <v>130702</v>
      </c>
      <c r="B27" t="s">
        <v>12</v>
      </c>
      <c r="C27">
        <f>'[1]VENTAS CONSOLIDADA ZULIA'!C27</f>
        <v>41</v>
      </c>
      <c r="D27" s="5">
        <f t="shared" ca="1" si="0"/>
        <v>5.125</v>
      </c>
      <c r="E27" s="5">
        <f t="shared" ca="1" si="1"/>
        <v>112.75</v>
      </c>
    </row>
    <row r="28" spans="1:5" x14ac:dyDescent="0.25">
      <c r="A28">
        <v>130703</v>
      </c>
      <c r="B28" t="s">
        <v>17</v>
      </c>
      <c r="C28">
        <f>'[1]VENTAS CONSOLIDADA ZULIA'!C28</f>
        <v>82</v>
      </c>
      <c r="D28" s="5">
        <f t="shared" ca="1" si="0"/>
        <v>10.25</v>
      </c>
      <c r="E28" s="5">
        <f t="shared" ca="1" si="1"/>
        <v>225.5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78</v>
      </c>
      <c r="D30" s="5">
        <f t="shared" ca="1" si="0"/>
        <v>9.75</v>
      </c>
      <c r="E30" s="5">
        <f t="shared" ca="1" si="1"/>
        <v>214.5</v>
      </c>
    </row>
    <row r="31" spans="1:5" x14ac:dyDescent="0.25">
      <c r="A31">
        <v>131151</v>
      </c>
      <c r="B31" t="s">
        <v>19</v>
      </c>
      <c r="C31">
        <f>'[1]VENTAS CONSOLIDADA ZULIA'!C31</f>
        <v>205</v>
      </c>
      <c r="D31" s="5">
        <f t="shared" ca="1" si="0"/>
        <v>25.625</v>
      </c>
      <c r="E31" s="5">
        <f t="shared" ca="1" si="1"/>
        <v>563.75</v>
      </c>
    </row>
    <row r="32" spans="1:5" x14ac:dyDescent="0.25">
      <c r="A32">
        <v>131152</v>
      </c>
      <c r="B32" t="s">
        <v>32</v>
      </c>
      <c r="C32">
        <f>'[1]VENTAS CONSOLIDADA ZULIA'!C32</f>
        <v>110</v>
      </c>
      <c r="D32" s="5">
        <f t="shared" ca="1" si="0"/>
        <v>13.75</v>
      </c>
      <c r="E32" s="5">
        <f t="shared" ca="1" si="1"/>
        <v>302.5</v>
      </c>
    </row>
    <row r="33" spans="1:5" x14ac:dyDescent="0.25">
      <c r="A33">
        <v>131153</v>
      </c>
      <c r="B33" t="s">
        <v>11</v>
      </c>
      <c r="C33">
        <f>'[1]VENTAS CONSOLIDADA ZULIA'!C33</f>
        <v>215</v>
      </c>
      <c r="D33" s="5">
        <f t="shared" ca="1" si="0"/>
        <v>26.875</v>
      </c>
      <c r="E33" s="5">
        <f t="shared" ca="1" si="1"/>
        <v>591.25</v>
      </c>
    </row>
    <row r="34" spans="1:5" x14ac:dyDescent="0.25">
      <c r="A34">
        <v>131154</v>
      </c>
      <c r="B34" t="s">
        <v>48</v>
      </c>
      <c r="C34">
        <f>'[1]VENTAS CONSOLIDADA ZULIA'!C34</f>
        <v>38</v>
      </c>
      <c r="D34" s="5">
        <f t="shared" ca="1" si="0"/>
        <v>4.75</v>
      </c>
      <c r="E34" s="5">
        <f t="shared" ca="1" si="1"/>
        <v>104.5</v>
      </c>
    </row>
    <row r="35" spans="1:5" x14ac:dyDescent="0.25">
      <c r="A35">
        <v>131155</v>
      </c>
      <c r="B35" t="s">
        <v>57</v>
      </c>
      <c r="C35">
        <f>'[1]VENTAS CONSOLIDADA ZULIA'!C35</f>
        <v>43</v>
      </c>
      <c r="D35" s="5">
        <f t="shared" ca="1" si="0"/>
        <v>5.375</v>
      </c>
      <c r="E35" s="5">
        <f t="shared" ca="1" si="1"/>
        <v>118.25</v>
      </c>
    </row>
    <row r="36" spans="1:5" x14ac:dyDescent="0.25">
      <c r="A36">
        <v>131700</v>
      </c>
      <c r="B36" t="s">
        <v>20</v>
      </c>
      <c r="C36">
        <f>'[1]VENTAS CONSOLIDADA ZULIA'!C36</f>
        <v>37</v>
      </c>
      <c r="D36" s="5">
        <f t="shared" ca="1" si="0"/>
        <v>4.625</v>
      </c>
      <c r="E36" s="5">
        <f t="shared" ca="1" si="1"/>
        <v>101.75</v>
      </c>
    </row>
    <row r="37" spans="1:5" x14ac:dyDescent="0.25">
      <c r="A37">
        <v>131701</v>
      </c>
      <c r="B37" t="s">
        <v>24</v>
      </c>
      <c r="C37">
        <f>'[1]VENTAS CONSOLIDADA ZULIA'!C37</f>
        <v>45</v>
      </c>
      <c r="D37" s="5">
        <f t="shared" ca="1" si="0"/>
        <v>5.625</v>
      </c>
      <c r="E37" s="5">
        <f t="shared" ca="1" si="1"/>
        <v>123.75</v>
      </c>
    </row>
    <row r="38" spans="1:5" x14ac:dyDescent="0.25">
      <c r="A38">
        <v>132150</v>
      </c>
      <c r="B38" t="s">
        <v>25</v>
      </c>
      <c r="C38">
        <f>'[1]VENTAS CONSOLIDADA ZULIA'!C38</f>
        <v>252</v>
      </c>
      <c r="D38" s="5">
        <f t="shared" ca="1" si="0"/>
        <v>31.5</v>
      </c>
      <c r="E38" s="5">
        <f t="shared" ca="1" si="1"/>
        <v>693</v>
      </c>
    </row>
    <row r="39" spans="1:5" x14ac:dyDescent="0.25">
      <c r="A39">
        <v>132151</v>
      </c>
      <c r="B39" t="s">
        <v>26</v>
      </c>
      <c r="C39">
        <f>'[1]VENTAS CONSOLIDADA ZULIA'!C39</f>
        <v>210</v>
      </c>
      <c r="D39" s="5">
        <f t="shared" ca="1" si="0"/>
        <v>26.25</v>
      </c>
      <c r="E39" s="5">
        <f t="shared" ca="1" si="1"/>
        <v>577.5</v>
      </c>
    </row>
    <row r="40" spans="1:5" x14ac:dyDescent="0.25">
      <c r="A40">
        <v>132152</v>
      </c>
      <c r="B40" t="s">
        <v>27</v>
      </c>
      <c r="C40">
        <f>'[1]VENTAS CONSOLIDADA ZULIA'!C40</f>
        <v>238</v>
      </c>
      <c r="D40" s="5">
        <f t="shared" ca="1" si="0"/>
        <v>29.75</v>
      </c>
      <c r="E40" s="5">
        <f t="shared" ca="1" si="1"/>
        <v>654.5</v>
      </c>
    </row>
    <row r="41" spans="1:5" x14ac:dyDescent="0.25">
      <c r="A41">
        <v>132153</v>
      </c>
      <c r="B41" t="s">
        <v>40</v>
      </c>
      <c r="C41">
        <f>'[1]VENTAS CONSOLIDADA ZULIA'!C41</f>
        <v>151</v>
      </c>
      <c r="D41" s="5">
        <f t="shared" ca="1" si="0"/>
        <v>18.875</v>
      </c>
      <c r="E41" s="5">
        <f t="shared" ca="1" si="1"/>
        <v>415.25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41</v>
      </c>
      <c r="D44" s="5">
        <f t="shared" ca="1" si="0"/>
        <v>5.125</v>
      </c>
      <c r="E44" s="5">
        <f t="shared" ca="1" si="1"/>
        <v>112.75</v>
      </c>
    </row>
    <row r="45" spans="1:5" x14ac:dyDescent="0.25">
      <c r="A45">
        <v>140231</v>
      </c>
      <c r="B45" t="s">
        <v>10</v>
      </c>
      <c r="C45">
        <f>'[1]VENTAS CONSOLIDADA ZULIA'!C45</f>
        <v>106</v>
      </c>
      <c r="D45" s="5">
        <f t="shared" ca="1" si="0"/>
        <v>13.25</v>
      </c>
      <c r="E45" s="5">
        <f t="shared" ca="1" si="1"/>
        <v>291.5</v>
      </c>
    </row>
    <row r="46" spans="1:5" x14ac:dyDescent="0.25">
      <c r="A46">
        <v>140232</v>
      </c>
      <c r="B46" t="s">
        <v>9</v>
      </c>
      <c r="C46">
        <f>'[1]VENTAS CONSOLIDADA ZULIA'!C46</f>
        <v>33</v>
      </c>
      <c r="D46" s="5">
        <f t="shared" ca="1" si="0"/>
        <v>4.125</v>
      </c>
      <c r="E46" s="5">
        <f t="shared" ca="1" si="1"/>
        <v>90.75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2.875</v>
      </c>
      <c r="E47" s="5">
        <f t="shared" ca="1" si="1"/>
        <v>63.25</v>
      </c>
    </row>
    <row r="48" spans="1:5" x14ac:dyDescent="0.25">
      <c r="A48">
        <v>150361</v>
      </c>
      <c r="B48" t="s">
        <v>29</v>
      </c>
      <c r="C48">
        <f>'[1]VENTAS CONSOLIDADA ZULIA'!C48</f>
        <v>39</v>
      </c>
      <c r="D48" s="5">
        <f t="shared" ca="1" si="0"/>
        <v>4.875</v>
      </c>
      <c r="E48" s="5">
        <f t="shared" ca="1" si="1"/>
        <v>107.25</v>
      </c>
    </row>
    <row r="49" spans="1:5" x14ac:dyDescent="0.25">
      <c r="A49">
        <v>150362</v>
      </c>
      <c r="B49" t="s">
        <v>36</v>
      </c>
      <c r="C49">
        <f>'[1]VENTAS CONSOLIDADA ZULIA'!C49</f>
        <v>71</v>
      </c>
      <c r="D49" s="5">
        <f t="shared" ca="1" si="0"/>
        <v>8.875</v>
      </c>
      <c r="E49" s="5">
        <f t="shared" ca="1" si="1"/>
        <v>195.25</v>
      </c>
    </row>
    <row r="50" spans="1:5" x14ac:dyDescent="0.25">
      <c r="A50">
        <v>150363</v>
      </c>
      <c r="B50" t="s">
        <v>31</v>
      </c>
      <c r="C50">
        <f>'[1]VENTAS CONSOLIDADA ZULIA'!C50</f>
        <v>71</v>
      </c>
      <c r="D50" s="5">
        <f t="shared" ca="1" si="0"/>
        <v>8.875</v>
      </c>
      <c r="E50" s="5">
        <f t="shared" ca="1" si="1"/>
        <v>195.25</v>
      </c>
    </row>
    <row r="51" spans="1:5" x14ac:dyDescent="0.25">
      <c r="A51">
        <v>151500</v>
      </c>
      <c r="B51" t="s">
        <v>41</v>
      </c>
      <c r="C51">
        <f>'[1]VENTAS CONSOLIDADA ZULIA'!C51</f>
        <v>12</v>
      </c>
      <c r="D51" s="5">
        <f t="shared" ca="1" si="0"/>
        <v>1.5</v>
      </c>
      <c r="E51" s="5">
        <f t="shared" ca="1" si="1"/>
        <v>33</v>
      </c>
    </row>
    <row r="52" spans="1:5" x14ac:dyDescent="0.25">
      <c r="A52">
        <v>151501</v>
      </c>
      <c r="B52" t="s">
        <v>33</v>
      </c>
      <c r="C52">
        <f>'[1]VENTAS CONSOLIDADA ZULIA'!C52</f>
        <v>12</v>
      </c>
      <c r="D52" s="5">
        <f t="shared" ca="1" si="0"/>
        <v>1.5</v>
      </c>
      <c r="E52" s="5">
        <f t="shared" ca="1" si="1"/>
        <v>33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2.625</v>
      </c>
      <c r="E53" s="5">
        <f t="shared" ca="1" si="1"/>
        <v>57.75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1.5</v>
      </c>
      <c r="E54" s="5">
        <f t="shared" ca="1" si="1"/>
        <v>33</v>
      </c>
    </row>
    <row r="55" spans="1:5" x14ac:dyDescent="0.25">
      <c r="D55" s="5">
        <f ca="1">SUM(D8:D54)</f>
        <v>585.375</v>
      </c>
      <c r="E55" s="5">
        <f ca="1">SUM(E8:E54)</f>
        <v>12878.25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46276</v>
      </c>
      <c r="E2" s="4">
        <f ca="1">'[1]VENTAS CONSOLIDADA VALENCIA'!E2</f>
        <v>8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2103</v>
      </c>
      <c r="D8" s="5">
        <f t="shared" ref="D8:D54" ca="1" si="0">C8/$E$2</f>
        <v>262.875</v>
      </c>
      <c r="E8" s="5">
        <f ca="1">D8*($E$2+$E$3)</f>
        <v>5783.25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30.625</v>
      </c>
      <c r="E9" s="5">
        <f t="shared" ref="E9:E54" ca="1" si="1">D9*($E$2+$E$3)</f>
        <v>673.75</v>
      </c>
    </row>
    <row r="10" spans="1:5" x14ac:dyDescent="0.25">
      <c r="A10">
        <v>110230</v>
      </c>
      <c r="B10" t="s">
        <v>1</v>
      </c>
      <c r="C10">
        <f>'[1]VENTAS CONSOLIDADA VALENCIA'!C10</f>
        <v>539</v>
      </c>
      <c r="D10" s="5">
        <f t="shared" ca="1" si="0"/>
        <v>67.375</v>
      </c>
      <c r="E10" s="5">
        <f t="shared" ca="1" si="1"/>
        <v>1482.25</v>
      </c>
    </row>
    <row r="11" spans="1:5" x14ac:dyDescent="0.25">
      <c r="A11">
        <v>110400</v>
      </c>
      <c r="B11" t="s">
        <v>13</v>
      </c>
      <c r="C11">
        <f>'[1]VENTAS CONSOLIDADA VALENCIA'!C11</f>
        <v>232</v>
      </c>
      <c r="D11" s="5">
        <f t="shared" ca="1" si="0"/>
        <v>29</v>
      </c>
      <c r="E11" s="5">
        <f t="shared" ca="1" si="1"/>
        <v>638</v>
      </c>
    </row>
    <row r="12" spans="1:5" x14ac:dyDescent="0.25">
      <c r="A12">
        <v>111000</v>
      </c>
      <c r="B12" t="s">
        <v>14</v>
      </c>
      <c r="C12">
        <f>'[1]VENTAS CONSOLIDADA VALENCIA'!C12</f>
        <v>15</v>
      </c>
      <c r="D12" s="5">
        <f t="shared" ca="1" si="0"/>
        <v>1.875</v>
      </c>
      <c r="E12" s="5">
        <f t="shared" ca="1" si="1"/>
        <v>41.25</v>
      </c>
    </row>
    <row r="13" spans="1:5" x14ac:dyDescent="0.25">
      <c r="A13">
        <v>120130</v>
      </c>
      <c r="B13" t="s">
        <v>15</v>
      </c>
      <c r="C13">
        <f>'[1]VENTAS CONSOLIDADA VALENCIA'!C13</f>
        <v>2845</v>
      </c>
      <c r="D13" s="5">
        <f t="shared" ca="1" si="0"/>
        <v>355.625</v>
      </c>
      <c r="E13" s="5">
        <f t="shared" ca="1" si="1"/>
        <v>7823.75</v>
      </c>
    </row>
    <row r="14" spans="1:5" x14ac:dyDescent="0.25">
      <c r="A14">
        <v>120131</v>
      </c>
      <c r="B14" t="s">
        <v>23</v>
      </c>
      <c r="C14">
        <f>'[1]VENTAS CONSOLIDADA VALENCIA'!C14</f>
        <v>412</v>
      </c>
      <c r="D14" s="5">
        <f t="shared" ca="1" si="0"/>
        <v>51.5</v>
      </c>
      <c r="E14" s="5">
        <f t="shared" ca="1" si="1"/>
        <v>1133</v>
      </c>
    </row>
    <row r="15" spans="1:5" x14ac:dyDescent="0.25">
      <c r="A15">
        <v>120132</v>
      </c>
      <c r="B15" t="s">
        <v>21</v>
      </c>
      <c r="C15">
        <f>'[1]VENTAS CONSOLIDADA VALENCIA'!C15</f>
        <v>954</v>
      </c>
      <c r="D15" s="5">
        <f t="shared" ca="1" si="0"/>
        <v>119.25</v>
      </c>
      <c r="E15" s="5">
        <f t="shared" ca="1" si="1"/>
        <v>2623.5</v>
      </c>
    </row>
    <row r="16" spans="1:5" x14ac:dyDescent="0.25">
      <c r="A16">
        <v>130150</v>
      </c>
      <c r="B16" t="s">
        <v>0</v>
      </c>
      <c r="C16">
        <f>'[1]VENTAS CONSOLIDADA VALENCIA'!C16</f>
        <v>2361</v>
      </c>
      <c r="D16" s="5">
        <f t="shared" ca="1" si="0"/>
        <v>295.125</v>
      </c>
      <c r="E16" s="5">
        <f t="shared" ca="1" si="1"/>
        <v>6492.75</v>
      </c>
    </row>
    <row r="17" spans="1:5" x14ac:dyDescent="0.25">
      <c r="A17">
        <v>130151</v>
      </c>
      <c r="B17" t="s">
        <v>4</v>
      </c>
      <c r="C17">
        <f>'[1]VENTAS CONSOLIDADA VALENCIA'!C17</f>
        <v>1112</v>
      </c>
      <c r="D17" s="5">
        <f t="shared" ca="1" si="0"/>
        <v>139</v>
      </c>
      <c r="E17" s="5">
        <f t="shared" ca="1" si="1"/>
        <v>3058</v>
      </c>
    </row>
    <row r="18" spans="1:5" x14ac:dyDescent="0.25">
      <c r="A18">
        <v>130152</v>
      </c>
      <c r="B18" t="s">
        <v>51</v>
      </c>
      <c r="C18">
        <f>'[1]VENTAS CONSOLIDADA VALENCIA'!C18</f>
        <v>7784</v>
      </c>
      <c r="D18" s="5">
        <f t="shared" ca="1" si="0"/>
        <v>973</v>
      </c>
      <c r="E18" s="5">
        <f t="shared" ca="1" si="1"/>
        <v>21406</v>
      </c>
    </row>
    <row r="19" spans="1:5" x14ac:dyDescent="0.25">
      <c r="A19">
        <v>130153</v>
      </c>
      <c r="B19" t="s">
        <v>52</v>
      </c>
      <c r="C19">
        <f>'[1]VENTAS CONSOLIDADA VALENCIA'!C19</f>
        <v>4964</v>
      </c>
      <c r="D19" s="5">
        <f t="shared" ca="1" si="0"/>
        <v>620.5</v>
      </c>
      <c r="E19" s="5">
        <f t="shared" ca="1" si="1"/>
        <v>13651</v>
      </c>
    </row>
    <row r="20" spans="1:5" x14ac:dyDescent="0.25">
      <c r="A20">
        <v>130154</v>
      </c>
      <c r="B20" t="s">
        <v>53</v>
      </c>
      <c r="C20">
        <f>'[1]VENTAS CONSOLIDADA VALENCIA'!C20</f>
        <v>5455</v>
      </c>
      <c r="D20" s="5">
        <f t="shared" ca="1" si="0"/>
        <v>681.875</v>
      </c>
      <c r="E20" s="5">
        <f t="shared" ca="1" si="1"/>
        <v>15001.25</v>
      </c>
    </row>
    <row r="21" spans="1:5" x14ac:dyDescent="0.25">
      <c r="A21">
        <v>130155</v>
      </c>
      <c r="B21" t="s">
        <v>16</v>
      </c>
      <c r="C21">
        <f>'[1]VENTAS CONSOLIDADA VALENCIA'!C21</f>
        <v>5915</v>
      </c>
      <c r="D21" s="5">
        <f t="shared" ca="1" si="0"/>
        <v>739.375</v>
      </c>
      <c r="E21" s="5">
        <f t="shared" ca="1" si="1"/>
        <v>16266.25</v>
      </c>
    </row>
    <row r="22" spans="1:5" x14ac:dyDescent="0.25">
      <c r="A22">
        <v>130157</v>
      </c>
      <c r="B22" t="s">
        <v>43</v>
      </c>
      <c r="C22">
        <f>'[1]VENTAS CONSOLIDADA VALENCIA'!C22</f>
        <v>1537</v>
      </c>
      <c r="D22" s="5">
        <f t="shared" ca="1" si="0"/>
        <v>192.125</v>
      </c>
      <c r="E22" s="5">
        <f t="shared" ca="1" si="1"/>
        <v>4226.75</v>
      </c>
    </row>
    <row r="23" spans="1:5" x14ac:dyDescent="0.25">
      <c r="A23">
        <v>130158</v>
      </c>
      <c r="B23" t="s">
        <v>44</v>
      </c>
      <c r="C23">
        <f>'[1]VENTAS CONSOLIDADA VALENCIA'!C23</f>
        <v>2443</v>
      </c>
      <c r="D23" s="5">
        <f t="shared" ca="1" si="0"/>
        <v>305.375</v>
      </c>
      <c r="E23" s="5">
        <f t="shared" ca="1" si="1"/>
        <v>6718.25</v>
      </c>
    </row>
    <row r="24" spans="1:5" x14ac:dyDescent="0.25">
      <c r="A24">
        <v>130159</v>
      </c>
      <c r="B24" t="s">
        <v>45</v>
      </c>
      <c r="C24">
        <f>'[1]VENTAS CONSOLIDADA VALENCIA'!C24</f>
        <v>2269</v>
      </c>
      <c r="D24" s="5">
        <f t="shared" ca="1" si="0"/>
        <v>283.625</v>
      </c>
      <c r="E24" s="5">
        <f t="shared" ca="1" si="1"/>
        <v>6239.75</v>
      </c>
    </row>
    <row r="25" spans="1:5" x14ac:dyDescent="0.25">
      <c r="A25">
        <v>130700</v>
      </c>
      <c r="B25" t="s">
        <v>3</v>
      </c>
      <c r="C25">
        <f>'[1]VENTAS CONSOLIDADA VALENCIA'!C25</f>
        <v>941</v>
      </c>
      <c r="D25" s="5">
        <f t="shared" ca="1" si="0"/>
        <v>117.625</v>
      </c>
      <c r="E25" s="5">
        <f t="shared" ca="1" si="1"/>
        <v>2587.75</v>
      </c>
    </row>
    <row r="26" spans="1:5" x14ac:dyDescent="0.25">
      <c r="A26">
        <v>130701</v>
      </c>
      <c r="B26" t="s">
        <v>30</v>
      </c>
      <c r="C26">
        <f>'[1]VENTAS CONSOLIDADA VALENCIA'!C26</f>
        <v>525</v>
      </c>
      <c r="D26" s="5">
        <f t="shared" ca="1" si="0"/>
        <v>65.625</v>
      </c>
      <c r="E26" s="5">
        <f t="shared" ca="1" si="1"/>
        <v>1443.75</v>
      </c>
    </row>
    <row r="27" spans="1:5" x14ac:dyDescent="0.25">
      <c r="A27">
        <v>130702</v>
      </c>
      <c r="B27" t="s">
        <v>12</v>
      </c>
      <c r="C27">
        <f>'[1]VENTAS CONSOLIDADA VALENCIA'!C27</f>
        <v>1496</v>
      </c>
      <c r="D27" s="5">
        <f t="shared" ca="1" si="0"/>
        <v>187</v>
      </c>
      <c r="E27" s="5">
        <f t="shared" ca="1" si="1"/>
        <v>4114</v>
      </c>
    </row>
    <row r="28" spans="1:5" x14ac:dyDescent="0.25">
      <c r="A28">
        <v>130703</v>
      </c>
      <c r="B28" t="s">
        <v>17</v>
      </c>
      <c r="C28">
        <f>'[1]VENTAS CONSOLIDADA VALENCIA'!C28</f>
        <v>2274</v>
      </c>
      <c r="D28" s="5">
        <f t="shared" ca="1" si="0"/>
        <v>284.25</v>
      </c>
      <c r="E28" s="5">
        <f t="shared" ca="1" si="1"/>
        <v>6253.5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1373</v>
      </c>
      <c r="D30" s="5">
        <f t="shared" ca="1" si="0"/>
        <v>171.625</v>
      </c>
      <c r="E30" s="5">
        <f t="shared" ca="1" si="1"/>
        <v>3775.75</v>
      </c>
    </row>
    <row r="31" spans="1:5" x14ac:dyDescent="0.25">
      <c r="A31">
        <v>131151</v>
      </c>
      <c r="B31" t="s">
        <v>19</v>
      </c>
      <c r="C31">
        <f>'[1]VENTAS CONSOLIDADA VALENCIA'!C31</f>
        <v>1822</v>
      </c>
      <c r="D31" s="5">
        <f t="shared" ca="1" si="0"/>
        <v>227.75</v>
      </c>
      <c r="E31" s="5">
        <f t="shared" ca="1" si="1"/>
        <v>5010.5</v>
      </c>
    </row>
    <row r="32" spans="1:5" x14ac:dyDescent="0.25">
      <c r="A32">
        <v>131152</v>
      </c>
      <c r="B32" t="s">
        <v>32</v>
      </c>
      <c r="C32">
        <f>'[1]VENTAS CONSOLIDADA VALENCIA'!C32</f>
        <v>951</v>
      </c>
      <c r="D32" s="5">
        <f t="shared" ca="1" si="0"/>
        <v>118.875</v>
      </c>
      <c r="E32" s="5">
        <f t="shared" ca="1" si="1"/>
        <v>2615.25</v>
      </c>
    </row>
    <row r="33" spans="1:5" x14ac:dyDescent="0.25">
      <c r="A33">
        <v>131153</v>
      </c>
      <c r="B33" t="s">
        <v>11</v>
      </c>
      <c r="C33">
        <f>'[1]VENTAS CONSOLIDADA VALENCIA'!C33</f>
        <v>670</v>
      </c>
      <c r="D33" s="5">
        <f t="shared" ca="1" si="0"/>
        <v>83.75</v>
      </c>
      <c r="E33" s="5">
        <f t="shared" ca="1" si="1"/>
        <v>1842.5</v>
      </c>
    </row>
    <row r="34" spans="1:5" x14ac:dyDescent="0.25">
      <c r="A34">
        <v>131154</v>
      </c>
      <c r="B34" t="s">
        <v>48</v>
      </c>
      <c r="C34">
        <f>'[1]VENTAS CONSOLIDADA VALENCIA'!C34</f>
        <v>490</v>
      </c>
      <c r="D34" s="5">
        <f t="shared" ca="1" si="0"/>
        <v>61.25</v>
      </c>
      <c r="E34" s="5">
        <f t="shared" ca="1" si="1"/>
        <v>1347.5</v>
      </c>
    </row>
    <row r="35" spans="1:5" x14ac:dyDescent="0.25">
      <c r="A35">
        <v>131155</v>
      </c>
      <c r="B35" t="s">
        <v>57</v>
      </c>
      <c r="C35">
        <f>'[1]VENTAS CONSOLIDADA VALENCIA'!C35</f>
        <v>551</v>
      </c>
      <c r="D35" s="5">
        <f t="shared" ca="1" si="0"/>
        <v>68.875</v>
      </c>
      <c r="E35" s="5">
        <f t="shared" ca="1" si="1"/>
        <v>1515.25</v>
      </c>
    </row>
    <row r="36" spans="1:5" x14ac:dyDescent="0.25">
      <c r="A36">
        <v>131700</v>
      </c>
      <c r="B36" t="s">
        <v>20</v>
      </c>
      <c r="C36">
        <f>'[1]VENTAS CONSOLIDADA VALENCIA'!C36</f>
        <v>295</v>
      </c>
      <c r="D36" s="5">
        <f t="shared" ca="1" si="0"/>
        <v>36.875</v>
      </c>
      <c r="E36" s="5">
        <f t="shared" ca="1" si="1"/>
        <v>811.25</v>
      </c>
    </row>
    <row r="37" spans="1:5" x14ac:dyDescent="0.25">
      <c r="A37">
        <v>131701</v>
      </c>
      <c r="B37" t="s">
        <v>24</v>
      </c>
      <c r="C37">
        <f>'[1]VENTAS CONSOLIDADA VALENCIA'!C37</f>
        <v>265</v>
      </c>
      <c r="D37" s="5">
        <f t="shared" ca="1" si="0"/>
        <v>33.125</v>
      </c>
      <c r="E37" s="5">
        <f t="shared" ca="1" si="1"/>
        <v>728.75</v>
      </c>
    </row>
    <row r="38" spans="1:5" x14ac:dyDescent="0.25">
      <c r="A38">
        <v>132150</v>
      </c>
      <c r="B38" t="s">
        <v>25</v>
      </c>
      <c r="C38">
        <f>'[1]VENTAS CONSOLIDADA VALENCIA'!C38</f>
        <v>1970</v>
      </c>
      <c r="D38" s="5">
        <f t="shared" ca="1" si="0"/>
        <v>246.25</v>
      </c>
      <c r="E38" s="5">
        <f t="shared" ca="1" si="1"/>
        <v>5417.5</v>
      </c>
    </row>
    <row r="39" spans="1:5" x14ac:dyDescent="0.25">
      <c r="A39">
        <v>132151</v>
      </c>
      <c r="B39" t="s">
        <v>26</v>
      </c>
      <c r="C39">
        <f>'[1]VENTAS CONSOLIDADA VALENCIA'!C39</f>
        <v>1462</v>
      </c>
      <c r="D39" s="5">
        <f t="shared" ca="1" si="0"/>
        <v>182.75</v>
      </c>
      <c r="E39" s="5">
        <f t="shared" ca="1" si="1"/>
        <v>4020.5</v>
      </c>
    </row>
    <row r="40" spans="1:5" x14ac:dyDescent="0.25">
      <c r="A40">
        <v>132152</v>
      </c>
      <c r="B40" t="s">
        <v>27</v>
      </c>
      <c r="C40">
        <f>'[1]VENTAS CONSOLIDADA VALENCIA'!C40</f>
        <v>2090</v>
      </c>
      <c r="D40" s="5">
        <f t="shared" ca="1" si="0"/>
        <v>261.25</v>
      </c>
      <c r="E40" s="5">
        <f t="shared" ca="1" si="1"/>
        <v>5747.5</v>
      </c>
    </row>
    <row r="41" spans="1:5" x14ac:dyDescent="0.25">
      <c r="A41">
        <v>132153</v>
      </c>
      <c r="B41" t="s">
        <v>40</v>
      </c>
      <c r="C41">
        <f>'[1]VENTAS CONSOLIDADA VALENCIA'!C41</f>
        <v>1195</v>
      </c>
      <c r="D41" s="5">
        <f t="shared" ca="1" si="0"/>
        <v>149.375</v>
      </c>
      <c r="E41" s="5">
        <f t="shared" ca="1" si="1"/>
        <v>3286.25</v>
      </c>
    </row>
    <row r="42" spans="1:5" x14ac:dyDescent="0.25">
      <c r="A42">
        <v>134000</v>
      </c>
      <c r="B42" t="s">
        <v>35</v>
      </c>
      <c r="C42">
        <f>'[1]VENTAS CONSOLIDADA VALENCIA'!C42</f>
        <v>25</v>
      </c>
      <c r="D42" s="5">
        <f t="shared" ca="1" si="0"/>
        <v>3.125</v>
      </c>
      <c r="E42" s="5">
        <f t="shared" ca="1" si="1"/>
        <v>68.75</v>
      </c>
    </row>
    <row r="43" spans="1:5" x14ac:dyDescent="0.25">
      <c r="A43">
        <v>134001</v>
      </c>
      <c r="B43" t="s">
        <v>47</v>
      </c>
      <c r="C43">
        <f>'[1]VENTAS CONSOLIDADA VALENCIA'!C43</f>
        <v>6</v>
      </c>
      <c r="D43" s="5">
        <f t="shared" ca="1" si="0"/>
        <v>0.75</v>
      </c>
      <c r="E43" s="5">
        <f t="shared" ca="1" si="1"/>
        <v>16.5</v>
      </c>
    </row>
    <row r="44" spans="1:5" x14ac:dyDescent="0.25">
      <c r="A44">
        <v>140230</v>
      </c>
      <c r="B44" t="s">
        <v>18</v>
      </c>
      <c r="C44">
        <f>'[1]VENTAS CONSOLIDADA VALENCIA'!C44</f>
        <v>611</v>
      </c>
      <c r="D44" s="5">
        <f t="shared" ca="1" si="0"/>
        <v>76.375</v>
      </c>
      <c r="E44" s="5">
        <f t="shared" ca="1" si="1"/>
        <v>1680.25</v>
      </c>
    </row>
    <row r="45" spans="1:5" x14ac:dyDescent="0.25">
      <c r="A45">
        <v>140231</v>
      </c>
      <c r="B45" t="s">
        <v>10</v>
      </c>
      <c r="C45">
        <f>'[1]VENTAS CONSOLIDADA VALENCIA'!C45</f>
        <v>1424</v>
      </c>
      <c r="D45" s="5">
        <f t="shared" ca="1" si="0"/>
        <v>178</v>
      </c>
      <c r="E45" s="5">
        <f t="shared" ca="1" si="1"/>
        <v>3916</v>
      </c>
    </row>
    <row r="46" spans="1:5" x14ac:dyDescent="0.25">
      <c r="A46">
        <v>140232</v>
      </c>
      <c r="B46" t="s">
        <v>9</v>
      </c>
      <c r="C46">
        <f>'[1]VENTAS CONSOLIDADA VALENCIA'!C46</f>
        <v>1445</v>
      </c>
      <c r="D46" s="5">
        <f t="shared" ca="1" si="0"/>
        <v>180.625</v>
      </c>
      <c r="E46" s="5">
        <f t="shared" ca="1" si="1"/>
        <v>3973.75</v>
      </c>
    </row>
    <row r="47" spans="1:5" x14ac:dyDescent="0.25">
      <c r="A47">
        <v>150360</v>
      </c>
      <c r="B47" t="s">
        <v>28</v>
      </c>
      <c r="C47">
        <f>'[1]VENTAS CONSOLIDADA VALENCIA'!C47</f>
        <v>53</v>
      </c>
      <c r="D47" s="5">
        <f t="shared" ca="1" si="0"/>
        <v>6.625</v>
      </c>
      <c r="E47" s="5">
        <f t="shared" ca="1" si="1"/>
        <v>145.75</v>
      </c>
    </row>
    <row r="48" spans="1:5" x14ac:dyDescent="0.25">
      <c r="A48">
        <v>150361</v>
      </c>
      <c r="B48" t="s">
        <v>29</v>
      </c>
      <c r="C48">
        <f>'[1]VENTAS CONSOLIDADA VALENCIA'!C48</f>
        <v>818</v>
      </c>
      <c r="D48" s="5">
        <f t="shared" ca="1" si="0"/>
        <v>102.25</v>
      </c>
      <c r="E48" s="5">
        <f t="shared" ca="1" si="1"/>
        <v>2249.5</v>
      </c>
    </row>
    <row r="49" spans="1:5" x14ac:dyDescent="0.25">
      <c r="A49">
        <v>150362</v>
      </c>
      <c r="B49" t="s">
        <v>36</v>
      </c>
      <c r="C49">
        <f>'[1]VENTAS CONSOLIDADA VALENCIA'!C49</f>
        <v>385</v>
      </c>
      <c r="D49" s="5">
        <f t="shared" ca="1" si="0"/>
        <v>48.125</v>
      </c>
      <c r="E49" s="5">
        <f t="shared" ca="1" si="1"/>
        <v>1058.75</v>
      </c>
    </row>
    <row r="50" spans="1:5" x14ac:dyDescent="0.25">
      <c r="A50">
        <v>150363</v>
      </c>
      <c r="B50" t="s">
        <v>31</v>
      </c>
      <c r="C50">
        <f>'[1]VENTAS CONSOLIDADA VALENCIA'!C50</f>
        <v>517</v>
      </c>
      <c r="D50" s="5">
        <f t="shared" ca="1" si="0"/>
        <v>64.625</v>
      </c>
      <c r="E50" s="5">
        <f t="shared" ca="1" si="1"/>
        <v>1421.75</v>
      </c>
    </row>
    <row r="51" spans="1:5" x14ac:dyDescent="0.25">
      <c r="A51">
        <v>151500</v>
      </c>
      <c r="B51" t="s">
        <v>41</v>
      </c>
      <c r="C51">
        <f>'[1]VENTAS CONSOLIDADA VALENCIA'!C51</f>
        <v>80</v>
      </c>
      <c r="D51" s="5">
        <f t="shared" ca="1" si="0"/>
        <v>10</v>
      </c>
      <c r="E51" s="5">
        <f t="shared" ca="1" si="1"/>
        <v>220</v>
      </c>
    </row>
    <row r="52" spans="1:5" x14ac:dyDescent="0.25">
      <c r="A52">
        <v>151501</v>
      </c>
      <c r="B52" t="s">
        <v>33</v>
      </c>
      <c r="C52">
        <f>'[1]VENTAS CONSOLIDADA VALENCIA'!C52</f>
        <v>220</v>
      </c>
      <c r="D52" s="5">
        <f t="shared" ca="1" si="0"/>
        <v>27.5</v>
      </c>
      <c r="E52" s="5">
        <f t="shared" ca="1" si="1"/>
        <v>605</v>
      </c>
    </row>
    <row r="53" spans="1:5" x14ac:dyDescent="0.25">
      <c r="A53">
        <v>151502</v>
      </c>
      <c r="B53" t="s">
        <v>37</v>
      </c>
      <c r="C53">
        <f>'[1]VENTAS CONSOLIDADA VALENCIA'!C53</f>
        <v>39</v>
      </c>
      <c r="D53" s="5">
        <f t="shared" ca="1" si="0"/>
        <v>4.875</v>
      </c>
      <c r="E53" s="5">
        <f t="shared" ca="1" si="1"/>
        <v>107.25</v>
      </c>
    </row>
    <row r="54" spans="1:5" x14ac:dyDescent="0.25">
      <c r="A54">
        <v>151503</v>
      </c>
      <c r="B54" t="s">
        <v>34</v>
      </c>
      <c r="C54">
        <f>'[1]VENTAS CONSOLIDADA VALENCIA'!C54</f>
        <v>92</v>
      </c>
      <c r="D54" s="5">
        <f t="shared" ca="1" si="0"/>
        <v>11.5</v>
      </c>
      <c r="E54" s="5">
        <f t="shared" ca="1" si="1"/>
        <v>253</v>
      </c>
    </row>
    <row r="55" spans="1:5" x14ac:dyDescent="0.25">
      <c r="D55" s="5">
        <f ca="1">SUM(D8:D54)</f>
        <v>8158.75</v>
      </c>
      <c r="E55" s="5">
        <f ca="1">SUM(E8:E54)</f>
        <v>179492.5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46276</v>
      </c>
      <c r="E2" s="4">
        <f ca="1">'[1]VENTAS CONSOLIDADA CARACAS'!E2</f>
        <v>8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14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6016</v>
      </c>
      <c r="D8" s="5">
        <f t="shared" ref="D8:D54" ca="1" si="0">C8/$E$2</f>
        <v>752</v>
      </c>
      <c r="E8" s="5">
        <f ca="1">D8*($E$2+$E$3)</f>
        <v>16544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367</v>
      </c>
      <c r="D9" s="5">
        <f t="shared" ca="1" si="0"/>
        <v>45.875</v>
      </c>
      <c r="E9" s="5">
        <f t="shared" ref="E9:E54" ca="1" si="1">D9*($E$2+$E$3)</f>
        <v>1009.25</v>
      </c>
    </row>
    <row r="10" spans="1:6" x14ac:dyDescent="0.25">
      <c r="A10">
        <v>110230</v>
      </c>
      <c r="B10" t="s">
        <v>1</v>
      </c>
      <c r="C10">
        <f>'[1]VENTAS CONSOLIDADA CARACAS'!C10</f>
        <v>2647</v>
      </c>
      <c r="D10" s="5">
        <f t="shared" ca="1" si="0"/>
        <v>330.875</v>
      </c>
      <c r="E10" s="5">
        <f t="shared" ca="1" si="1"/>
        <v>7279.25</v>
      </c>
    </row>
    <row r="11" spans="1:6" x14ac:dyDescent="0.25">
      <c r="A11">
        <v>110400</v>
      </c>
      <c r="B11" t="s">
        <v>13</v>
      </c>
      <c r="C11">
        <f>'[1]VENTAS CONSOLIDADA CARACAS'!C11</f>
        <v>565</v>
      </c>
      <c r="D11" s="5">
        <f t="shared" ca="1" si="0"/>
        <v>70.625</v>
      </c>
      <c r="E11" s="5">
        <f t="shared" ca="1" si="1"/>
        <v>1553.75</v>
      </c>
    </row>
    <row r="12" spans="1:6" x14ac:dyDescent="0.25">
      <c r="A12">
        <v>111000</v>
      </c>
      <c r="B12" t="s">
        <v>14</v>
      </c>
      <c r="C12">
        <f>'[1]VENTAS CONSOLIDADA CARACAS'!C12</f>
        <v>86</v>
      </c>
      <c r="D12" s="5">
        <f t="shared" ca="1" si="0"/>
        <v>10.75</v>
      </c>
      <c r="E12" s="5">
        <f t="shared" ca="1" si="1"/>
        <v>236.5</v>
      </c>
    </row>
    <row r="13" spans="1:6" x14ac:dyDescent="0.25">
      <c r="A13">
        <v>120130</v>
      </c>
      <c r="B13" t="s">
        <v>15</v>
      </c>
      <c r="C13">
        <f>'[1]VENTAS CONSOLIDADA CARACAS'!C13</f>
        <v>5988</v>
      </c>
      <c r="D13" s="5">
        <f t="shared" ca="1" si="0"/>
        <v>748.5</v>
      </c>
      <c r="E13" s="5">
        <f t="shared" ca="1" si="1"/>
        <v>16467</v>
      </c>
    </row>
    <row r="14" spans="1:6" x14ac:dyDescent="0.25">
      <c r="A14">
        <v>120131</v>
      </c>
      <c r="B14" t="s">
        <v>23</v>
      </c>
      <c r="C14">
        <f>'[1]VENTAS CONSOLIDADA CARACAS'!C14</f>
        <v>433</v>
      </c>
      <c r="D14" s="5">
        <f t="shared" ca="1" si="0"/>
        <v>54.125</v>
      </c>
      <c r="E14" s="5">
        <f t="shared" ca="1" si="1"/>
        <v>1190.75</v>
      </c>
    </row>
    <row r="15" spans="1:6" x14ac:dyDescent="0.25">
      <c r="A15">
        <v>120132</v>
      </c>
      <c r="B15" t="s">
        <v>21</v>
      </c>
      <c r="C15">
        <f>'[1]VENTAS CONSOLIDADA CARACAS'!C15</f>
        <v>1070</v>
      </c>
      <c r="D15" s="5">
        <f t="shared" ca="1" si="0"/>
        <v>133.75</v>
      </c>
      <c r="E15" s="5">
        <f t="shared" ca="1" si="1"/>
        <v>2942.5</v>
      </c>
    </row>
    <row r="16" spans="1:6" x14ac:dyDescent="0.25">
      <c r="A16">
        <v>130150</v>
      </c>
      <c r="B16" t="s">
        <v>0</v>
      </c>
      <c r="C16">
        <f>'[1]VENTAS CONSOLIDADA CARACAS'!C16</f>
        <v>2502</v>
      </c>
      <c r="D16" s="5">
        <f t="shared" ca="1" si="0"/>
        <v>312.75</v>
      </c>
      <c r="E16" s="5">
        <f t="shared" ca="1" si="1"/>
        <v>6880.5</v>
      </c>
    </row>
    <row r="17" spans="1:5" x14ac:dyDescent="0.25">
      <c r="A17">
        <v>130151</v>
      </c>
      <c r="B17" t="s">
        <v>4</v>
      </c>
      <c r="C17">
        <f>'[1]VENTAS CONSOLIDADA CARACAS'!C17</f>
        <v>1254</v>
      </c>
      <c r="D17" s="5">
        <f t="shared" ca="1" si="0"/>
        <v>156.75</v>
      </c>
      <c r="E17" s="5">
        <f t="shared" ca="1" si="1"/>
        <v>3448.5</v>
      </c>
    </row>
    <row r="18" spans="1:5" x14ac:dyDescent="0.25">
      <c r="A18">
        <v>130152</v>
      </c>
      <c r="B18" t="s">
        <v>51</v>
      </c>
      <c r="C18">
        <f>'[1]VENTAS CONSOLIDADA CARACAS'!C18</f>
        <v>12903</v>
      </c>
      <c r="D18" s="5">
        <f t="shared" ca="1" si="0"/>
        <v>1612.875</v>
      </c>
      <c r="E18" s="5">
        <f t="shared" ca="1" si="1"/>
        <v>35483.25</v>
      </c>
    </row>
    <row r="19" spans="1:5" x14ac:dyDescent="0.25">
      <c r="A19">
        <v>130153</v>
      </c>
      <c r="B19" t="s">
        <v>52</v>
      </c>
      <c r="C19">
        <f>'[1]VENTAS CONSOLIDADA CARACAS'!C19</f>
        <v>7957</v>
      </c>
      <c r="D19" s="5">
        <f t="shared" ca="1" si="0"/>
        <v>994.625</v>
      </c>
      <c r="E19" s="5">
        <f t="shared" ca="1" si="1"/>
        <v>21881.75</v>
      </c>
    </row>
    <row r="20" spans="1:5" x14ac:dyDescent="0.25">
      <c r="A20">
        <v>130154</v>
      </c>
      <c r="B20" t="s">
        <v>53</v>
      </c>
      <c r="C20">
        <f>'[1]VENTAS CONSOLIDADA CARACAS'!C20</f>
        <v>8411</v>
      </c>
      <c r="D20" s="5">
        <f t="shared" ca="1" si="0"/>
        <v>1051.375</v>
      </c>
      <c r="E20" s="5">
        <f t="shared" ca="1" si="1"/>
        <v>23130.25</v>
      </c>
    </row>
    <row r="21" spans="1:5" x14ac:dyDescent="0.25">
      <c r="A21">
        <v>130155</v>
      </c>
      <c r="B21" t="s">
        <v>16</v>
      </c>
      <c r="C21">
        <f>'[1]VENTAS CONSOLIDADA CARACAS'!C21</f>
        <v>10853</v>
      </c>
      <c r="D21" s="5">
        <f t="shared" ca="1" si="0"/>
        <v>1356.625</v>
      </c>
      <c r="E21" s="5">
        <f t="shared" ca="1" si="1"/>
        <v>29845.75</v>
      </c>
    </row>
    <row r="22" spans="1:5" x14ac:dyDescent="0.25">
      <c r="A22">
        <v>130157</v>
      </c>
      <c r="B22" t="s">
        <v>43</v>
      </c>
      <c r="C22">
        <f>'[1]VENTAS CONSOLIDADA CARACAS'!C22</f>
        <v>2748</v>
      </c>
      <c r="D22" s="5">
        <f t="shared" ca="1" si="0"/>
        <v>343.5</v>
      </c>
      <c r="E22" s="5">
        <f t="shared" ca="1" si="1"/>
        <v>7557</v>
      </c>
    </row>
    <row r="23" spans="1:5" x14ac:dyDescent="0.25">
      <c r="A23">
        <v>130158</v>
      </c>
      <c r="B23" t="s">
        <v>44</v>
      </c>
      <c r="C23">
        <f>'[1]VENTAS CONSOLIDADA CARACAS'!C23</f>
        <v>2742</v>
      </c>
      <c r="D23" s="5">
        <f t="shared" ca="1" si="0"/>
        <v>342.75</v>
      </c>
      <c r="E23" s="5">
        <f t="shared" ca="1" si="1"/>
        <v>7540.5</v>
      </c>
    </row>
    <row r="24" spans="1:5" x14ac:dyDescent="0.25">
      <c r="A24">
        <v>130159</v>
      </c>
      <c r="B24" t="s">
        <v>45</v>
      </c>
      <c r="C24">
        <f>'[1]VENTAS CONSOLIDADA CARACAS'!C24</f>
        <v>2880</v>
      </c>
      <c r="D24" s="5">
        <f t="shared" ca="1" si="0"/>
        <v>360</v>
      </c>
      <c r="E24" s="5">
        <f t="shared" ca="1" si="1"/>
        <v>7920</v>
      </c>
    </row>
    <row r="25" spans="1:5" x14ac:dyDescent="0.25">
      <c r="A25">
        <v>130700</v>
      </c>
      <c r="B25" t="s">
        <v>3</v>
      </c>
      <c r="C25">
        <f>'[1]VENTAS CONSOLIDADA CARACAS'!C25</f>
        <v>810</v>
      </c>
      <c r="D25" s="5">
        <f t="shared" ca="1" si="0"/>
        <v>101.25</v>
      </c>
      <c r="E25" s="5">
        <f t="shared" ca="1" si="1"/>
        <v>2227.5</v>
      </c>
    </row>
    <row r="26" spans="1:5" x14ac:dyDescent="0.25">
      <c r="A26">
        <v>130701</v>
      </c>
      <c r="B26" t="s">
        <v>30</v>
      </c>
      <c r="C26">
        <f>'[1]VENTAS CONSOLIDADA CARACAS'!C26</f>
        <v>359</v>
      </c>
      <c r="D26" s="5">
        <f t="shared" ca="1" si="0"/>
        <v>44.875</v>
      </c>
      <c r="E26" s="5">
        <f t="shared" ca="1" si="1"/>
        <v>987.25</v>
      </c>
    </row>
    <row r="27" spans="1:5" x14ac:dyDescent="0.25">
      <c r="A27">
        <v>130702</v>
      </c>
      <c r="B27" t="s">
        <v>12</v>
      </c>
      <c r="C27">
        <f>'[1]VENTAS CONSOLIDADA CARACAS'!C27</f>
        <v>1887</v>
      </c>
      <c r="D27" s="5">
        <f t="shared" ca="1" si="0"/>
        <v>235.875</v>
      </c>
      <c r="E27" s="5">
        <f t="shared" ca="1" si="1"/>
        <v>5189.25</v>
      </c>
    </row>
    <row r="28" spans="1:5" x14ac:dyDescent="0.25">
      <c r="A28">
        <v>130703</v>
      </c>
      <c r="B28" t="s">
        <v>17</v>
      </c>
      <c r="C28">
        <f>'[1]VENTAS CONSOLIDADA CARACAS'!C28</f>
        <v>3483</v>
      </c>
      <c r="D28" s="5">
        <f t="shared" ca="1" si="0"/>
        <v>435.375</v>
      </c>
      <c r="E28" s="5">
        <f t="shared" ca="1" si="1"/>
        <v>9578.25</v>
      </c>
    </row>
    <row r="29" spans="1:5" x14ac:dyDescent="0.25">
      <c r="A29">
        <v>130707</v>
      </c>
      <c r="B29" t="s">
        <v>42</v>
      </c>
      <c r="C29">
        <f>'[1]VENTAS CONSOLIDADA CARACAS'!C29</f>
        <v>590</v>
      </c>
      <c r="D29" s="5">
        <f t="shared" ca="1" si="0"/>
        <v>73.75</v>
      </c>
      <c r="E29" s="5">
        <f t="shared" ca="1" si="1"/>
        <v>1622.5</v>
      </c>
    </row>
    <row r="30" spans="1:5" x14ac:dyDescent="0.25">
      <c r="A30">
        <v>131150</v>
      </c>
      <c r="B30" t="s">
        <v>22</v>
      </c>
      <c r="C30">
        <f>'[1]VENTAS CONSOLIDADA CARACAS'!C30</f>
        <v>3203</v>
      </c>
      <c r="D30" s="5">
        <f t="shared" ca="1" si="0"/>
        <v>400.375</v>
      </c>
      <c r="E30" s="5">
        <f t="shared" ca="1" si="1"/>
        <v>8808.25</v>
      </c>
    </row>
    <row r="31" spans="1:5" x14ac:dyDescent="0.25">
      <c r="A31">
        <v>131151</v>
      </c>
      <c r="B31" t="s">
        <v>19</v>
      </c>
      <c r="C31">
        <f>'[1]VENTAS CONSOLIDADA CARACAS'!C31</f>
        <v>4124</v>
      </c>
      <c r="D31" s="5">
        <f t="shared" ca="1" si="0"/>
        <v>515.5</v>
      </c>
      <c r="E31" s="5">
        <f t="shared" ca="1" si="1"/>
        <v>11341</v>
      </c>
    </row>
    <row r="32" spans="1:5" x14ac:dyDescent="0.25">
      <c r="A32">
        <v>131152</v>
      </c>
      <c r="B32" t="s">
        <v>32</v>
      </c>
      <c r="C32">
        <f>'[1]VENTAS CONSOLIDADA CARACAS'!C32</f>
        <v>2083</v>
      </c>
      <c r="D32" s="5">
        <f t="shared" ca="1" si="0"/>
        <v>260.375</v>
      </c>
      <c r="E32" s="5">
        <f t="shared" ca="1" si="1"/>
        <v>5728.25</v>
      </c>
    </row>
    <row r="33" spans="1:5" x14ac:dyDescent="0.25">
      <c r="A33">
        <v>131153</v>
      </c>
      <c r="B33" t="s">
        <v>11</v>
      </c>
      <c r="C33">
        <f>'[1]VENTAS CONSOLIDADA CARACAS'!C33</f>
        <v>1477</v>
      </c>
      <c r="D33" s="5">
        <f t="shared" ca="1" si="0"/>
        <v>184.625</v>
      </c>
      <c r="E33" s="5">
        <f t="shared" ca="1" si="1"/>
        <v>4061.75</v>
      </c>
    </row>
    <row r="34" spans="1:5" x14ac:dyDescent="0.25">
      <c r="A34">
        <v>131154</v>
      </c>
      <c r="B34" t="s">
        <v>48</v>
      </c>
      <c r="C34">
        <f>'[1]VENTAS CONSOLIDADA CARACAS'!C34</f>
        <v>614</v>
      </c>
      <c r="D34" s="5">
        <f t="shared" ca="1" si="0"/>
        <v>76.75</v>
      </c>
      <c r="E34" s="5">
        <f t="shared" ca="1" si="1"/>
        <v>1688.5</v>
      </c>
    </row>
    <row r="35" spans="1:5" x14ac:dyDescent="0.25">
      <c r="A35">
        <v>131155</v>
      </c>
      <c r="B35" t="s">
        <v>57</v>
      </c>
      <c r="C35">
        <f>'[1]VENTAS CONSOLIDADA CARACAS'!C35</f>
        <v>783</v>
      </c>
      <c r="D35" s="5">
        <f t="shared" ca="1" si="0"/>
        <v>97.875</v>
      </c>
      <c r="E35" s="5">
        <f t="shared" ca="1" si="1"/>
        <v>2153.25</v>
      </c>
    </row>
    <row r="36" spans="1:5" x14ac:dyDescent="0.25">
      <c r="A36">
        <v>131700</v>
      </c>
      <c r="B36" t="s">
        <v>20</v>
      </c>
      <c r="C36">
        <f>'[1]VENTAS CONSOLIDADA CARACAS'!C36</f>
        <v>585</v>
      </c>
      <c r="D36" s="5">
        <f t="shared" ca="1" si="0"/>
        <v>73.125</v>
      </c>
      <c r="E36" s="5">
        <f t="shared" ca="1" si="1"/>
        <v>1608.75</v>
      </c>
    </row>
    <row r="37" spans="1:5" x14ac:dyDescent="0.25">
      <c r="A37">
        <v>131701</v>
      </c>
      <c r="B37" t="s">
        <v>24</v>
      </c>
      <c r="C37">
        <f>'[1]VENTAS CONSOLIDADA CARACAS'!C37</f>
        <v>543</v>
      </c>
      <c r="D37" s="5">
        <f t="shared" ca="1" si="0"/>
        <v>67.875</v>
      </c>
      <c r="E37" s="5">
        <f t="shared" ca="1" si="1"/>
        <v>1493.25</v>
      </c>
    </row>
    <row r="38" spans="1:5" x14ac:dyDescent="0.25">
      <c r="A38">
        <v>132150</v>
      </c>
      <c r="B38" t="s">
        <v>25</v>
      </c>
      <c r="C38">
        <f>'[1]VENTAS CONSOLIDADA CARACAS'!C38</f>
        <v>2613</v>
      </c>
      <c r="D38" s="5">
        <f t="shared" ca="1" si="0"/>
        <v>326.625</v>
      </c>
      <c r="E38" s="5">
        <f t="shared" ca="1" si="1"/>
        <v>7185.75</v>
      </c>
    </row>
    <row r="39" spans="1:5" x14ac:dyDescent="0.25">
      <c r="A39">
        <v>132151</v>
      </c>
      <c r="B39" t="s">
        <v>26</v>
      </c>
      <c r="C39">
        <f>'[1]VENTAS CONSOLIDADA CARACAS'!C39</f>
        <v>2337</v>
      </c>
      <c r="D39" s="5">
        <f t="shared" ca="1" si="0"/>
        <v>292.125</v>
      </c>
      <c r="E39" s="5">
        <f t="shared" ca="1" si="1"/>
        <v>6426.75</v>
      </c>
    </row>
    <row r="40" spans="1:5" x14ac:dyDescent="0.25">
      <c r="A40">
        <v>132152</v>
      </c>
      <c r="B40" t="s">
        <v>27</v>
      </c>
      <c r="C40">
        <f>'[1]VENTAS CONSOLIDADA CARACAS'!C40</f>
        <v>3020</v>
      </c>
      <c r="D40" s="5">
        <f t="shared" ca="1" si="0"/>
        <v>377.5</v>
      </c>
      <c r="E40" s="5">
        <f t="shared" ca="1" si="1"/>
        <v>8305</v>
      </c>
    </row>
    <row r="41" spans="1:5" x14ac:dyDescent="0.25">
      <c r="A41">
        <v>132153</v>
      </c>
      <c r="B41" t="s">
        <v>40</v>
      </c>
      <c r="C41">
        <f>'[1]VENTAS CONSOLIDADA CARACAS'!C41</f>
        <v>2105</v>
      </c>
      <c r="D41" s="5">
        <f t="shared" ca="1" si="0"/>
        <v>263.125</v>
      </c>
      <c r="E41" s="5">
        <f t="shared" ca="1" si="1"/>
        <v>5788.75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334</v>
      </c>
      <c r="D44" s="5">
        <f t="shared" ca="1" si="0"/>
        <v>41.75</v>
      </c>
      <c r="E44" s="5">
        <f t="shared" ca="1" si="1"/>
        <v>918.5</v>
      </c>
    </row>
    <row r="45" spans="1:5" x14ac:dyDescent="0.25">
      <c r="A45">
        <v>140231</v>
      </c>
      <c r="B45" t="s">
        <v>10</v>
      </c>
      <c r="C45">
        <f>'[1]VENTAS CONSOLIDADA CARACAS'!C45</f>
        <v>2213</v>
      </c>
      <c r="D45" s="5">
        <f t="shared" ca="1" si="0"/>
        <v>276.625</v>
      </c>
      <c r="E45" s="5">
        <f t="shared" ca="1" si="1"/>
        <v>6085.75</v>
      </c>
    </row>
    <row r="46" spans="1:5" x14ac:dyDescent="0.25">
      <c r="A46">
        <v>140232</v>
      </c>
      <c r="B46" t="s">
        <v>9</v>
      </c>
      <c r="C46">
        <f>'[1]VENTAS CONSOLIDADA CARACAS'!C46</f>
        <v>1602</v>
      </c>
      <c r="D46" s="5">
        <f t="shared" ca="1" si="0"/>
        <v>200.25</v>
      </c>
      <c r="E46" s="5">
        <f t="shared" ca="1" si="1"/>
        <v>4405.5</v>
      </c>
    </row>
    <row r="47" spans="1:5" x14ac:dyDescent="0.25">
      <c r="A47">
        <v>150360</v>
      </c>
      <c r="B47" t="s">
        <v>28</v>
      </c>
      <c r="C47">
        <f>'[1]VENTAS CONSOLIDADA CARACAS'!C47</f>
        <v>1242</v>
      </c>
      <c r="D47" s="5">
        <f t="shared" ca="1" si="0"/>
        <v>155.25</v>
      </c>
      <c r="E47" s="5">
        <f t="shared" ca="1" si="1"/>
        <v>3415.5</v>
      </c>
    </row>
    <row r="48" spans="1:5" x14ac:dyDescent="0.25">
      <c r="A48">
        <v>150361</v>
      </c>
      <c r="B48" t="s">
        <v>29</v>
      </c>
      <c r="C48">
        <f>'[1]VENTAS CONSOLIDADA CARACAS'!C48</f>
        <v>2627</v>
      </c>
      <c r="D48" s="5">
        <f t="shared" ca="1" si="0"/>
        <v>328.375</v>
      </c>
      <c r="E48" s="5">
        <f t="shared" ca="1" si="1"/>
        <v>7224.25</v>
      </c>
    </row>
    <row r="49" spans="1:5" x14ac:dyDescent="0.25">
      <c r="A49">
        <v>150362</v>
      </c>
      <c r="B49" t="s">
        <v>36</v>
      </c>
      <c r="C49">
        <f>'[1]VENTAS CONSOLIDADA CARACAS'!C49</f>
        <v>1895</v>
      </c>
      <c r="D49" s="5">
        <f t="shared" ca="1" si="0"/>
        <v>236.875</v>
      </c>
      <c r="E49" s="5">
        <f t="shared" ca="1" si="1"/>
        <v>5211.25</v>
      </c>
    </row>
    <row r="50" spans="1:5" x14ac:dyDescent="0.25">
      <c r="A50">
        <v>150363</v>
      </c>
      <c r="B50" t="s">
        <v>31</v>
      </c>
      <c r="C50">
        <f>'[1]VENTAS CONSOLIDADA CARACAS'!C50</f>
        <v>946</v>
      </c>
      <c r="D50" s="5">
        <f t="shared" ca="1" si="0"/>
        <v>118.25</v>
      </c>
      <c r="E50" s="5">
        <f t="shared" ca="1" si="1"/>
        <v>2601.5</v>
      </c>
    </row>
    <row r="51" spans="1:5" x14ac:dyDescent="0.25">
      <c r="A51">
        <v>151500</v>
      </c>
      <c r="B51" t="s">
        <v>41</v>
      </c>
      <c r="C51">
        <f>'[1]VENTAS CONSOLIDADA CARACAS'!C51</f>
        <v>105</v>
      </c>
      <c r="D51" s="5">
        <f t="shared" ca="1" si="0"/>
        <v>13.125</v>
      </c>
      <c r="E51" s="5">
        <f t="shared" ca="1" si="1"/>
        <v>288.75</v>
      </c>
    </row>
    <row r="52" spans="1:5" x14ac:dyDescent="0.25">
      <c r="A52">
        <v>151501</v>
      </c>
      <c r="B52" t="s">
        <v>33</v>
      </c>
      <c r="C52">
        <f>'[1]VENTAS CONSOLIDADA CARACAS'!C52</f>
        <v>515</v>
      </c>
      <c r="D52" s="5">
        <f t="shared" ca="1" si="0"/>
        <v>64.375</v>
      </c>
      <c r="E52" s="5">
        <f t="shared" ca="1" si="1"/>
        <v>1416.25</v>
      </c>
    </row>
    <row r="53" spans="1:5" x14ac:dyDescent="0.25">
      <c r="A53">
        <v>151502</v>
      </c>
      <c r="B53" t="s">
        <v>37</v>
      </c>
      <c r="C53">
        <f>'[1]VENTAS CONSOLIDADA CARACAS'!C53</f>
        <v>310</v>
      </c>
      <c r="D53" s="5">
        <f t="shared" ca="1" si="0"/>
        <v>38.75</v>
      </c>
      <c r="E53" s="5">
        <f t="shared" ca="1" si="1"/>
        <v>852.5</v>
      </c>
    </row>
    <row r="54" spans="1:5" x14ac:dyDescent="0.25">
      <c r="A54">
        <v>151503</v>
      </c>
      <c r="B54" t="s">
        <v>34</v>
      </c>
      <c r="C54">
        <f>'[1]VENTAS CONSOLIDADA CARACAS'!C54</f>
        <v>425</v>
      </c>
      <c r="D54" s="5">
        <f t="shared" ca="1" si="0"/>
        <v>53.125</v>
      </c>
      <c r="E54" s="5">
        <f t="shared" ca="1" si="1"/>
        <v>1168.75</v>
      </c>
    </row>
    <row r="55" spans="1:5" x14ac:dyDescent="0.25">
      <c r="D55" s="5">
        <f ca="1">SUM(D8:D54)</f>
        <v>14031.5</v>
      </c>
      <c r="E55" s="5">
        <f ca="1">SUM(E8:E54)</f>
        <v>308693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46276</v>
      </c>
      <c r="E2" s="4">
        <f ca="1">'[1]VENTAS CONSOLIDADA LARA'!E2</f>
        <v>8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405</v>
      </c>
      <c r="D8" s="5">
        <f t="shared" ref="D8:D54" ca="1" si="0">C8/$E$2</f>
        <v>50.625</v>
      </c>
      <c r="E8" s="5">
        <f ca="1">D8*($E$2+$E$3)</f>
        <v>1113.75</v>
      </c>
    </row>
    <row r="9" spans="1:5" x14ac:dyDescent="0.25">
      <c r="A9">
        <v>110151</v>
      </c>
      <c r="B9" t="s">
        <v>5</v>
      </c>
      <c r="C9">
        <f>'[1]VENTAS CONSOLIDADA LARA'!C9</f>
        <v>15</v>
      </c>
      <c r="D9" s="5">
        <f t="shared" ca="1" si="0"/>
        <v>1.875</v>
      </c>
      <c r="E9" s="5">
        <f t="shared" ref="E9:E54" ca="1" si="1">D9*($E$2+$E$3)</f>
        <v>41.25</v>
      </c>
    </row>
    <row r="10" spans="1:5" x14ac:dyDescent="0.25">
      <c r="A10">
        <v>110230</v>
      </c>
      <c r="B10" t="s">
        <v>1</v>
      </c>
      <c r="C10">
        <f>'[1]VENTAS CONSOLIDADA LARA'!C10</f>
        <v>108</v>
      </c>
      <c r="D10" s="5">
        <f t="shared" ca="1" si="0"/>
        <v>13.5</v>
      </c>
      <c r="E10" s="5">
        <f t="shared" ca="1" si="1"/>
        <v>297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1.75</v>
      </c>
      <c r="E11" s="5">
        <f t="shared" ca="1" si="1"/>
        <v>38.5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1287</v>
      </c>
      <c r="D13" s="5">
        <f t="shared" ca="1" si="0"/>
        <v>160.875</v>
      </c>
      <c r="E13" s="5">
        <f t="shared" ca="1" si="1"/>
        <v>3539.25</v>
      </c>
    </row>
    <row r="14" spans="1:5" x14ac:dyDescent="0.25">
      <c r="A14">
        <v>120131</v>
      </c>
      <c r="B14" t="s">
        <v>23</v>
      </c>
      <c r="C14">
        <f>'[1]VENTAS CONSOLIDADA LARA'!C14</f>
        <v>124</v>
      </c>
      <c r="D14" s="5">
        <f t="shared" ca="1" si="0"/>
        <v>15.5</v>
      </c>
      <c r="E14" s="5">
        <f t="shared" ca="1" si="1"/>
        <v>341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10.375</v>
      </c>
      <c r="E15" s="5">
        <f t="shared" ca="1" si="1"/>
        <v>228.25</v>
      </c>
    </row>
    <row r="16" spans="1:5" x14ac:dyDescent="0.25">
      <c r="A16">
        <v>130150</v>
      </c>
      <c r="B16" t="s">
        <v>0</v>
      </c>
      <c r="C16">
        <f>'[1]VENTAS CONSOLIDADA LARA'!C16</f>
        <v>583</v>
      </c>
      <c r="D16" s="5">
        <f t="shared" ca="1" si="0"/>
        <v>72.875</v>
      </c>
      <c r="E16" s="5">
        <f t="shared" ca="1" si="1"/>
        <v>1603.25</v>
      </c>
    </row>
    <row r="17" spans="1:5" x14ac:dyDescent="0.25">
      <c r="A17">
        <v>130151</v>
      </c>
      <c r="B17" t="s">
        <v>4</v>
      </c>
      <c r="C17">
        <f>'[1]VENTAS CONSOLIDADA LARA'!C17</f>
        <v>191</v>
      </c>
      <c r="D17" s="5">
        <f t="shared" ca="1" si="0"/>
        <v>23.875</v>
      </c>
      <c r="E17" s="5">
        <f t="shared" ca="1" si="1"/>
        <v>525.25</v>
      </c>
    </row>
    <row r="18" spans="1:5" x14ac:dyDescent="0.25">
      <c r="A18">
        <v>130152</v>
      </c>
      <c r="B18" t="s">
        <v>51</v>
      </c>
      <c r="C18">
        <f>'[1]VENTAS CONSOLIDADA LARA'!C18</f>
        <v>4600</v>
      </c>
      <c r="D18" s="5">
        <f t="shared" ca="1" si="0"/>
        <v>575</v>
      </c>
      <c r="E18" s="5">
        <f t="shared" ca="1" si="1"/>
        <v>12650</v>
      </c>
    </row>
    <row r="19" spans="1:5" x14ac:dyDescent="0.25">
      <c r="A19">
        <v>130153</v>
      </c>
      <c r="B19" t="s">
        <v>52</v>
      </c>
      <c r="C19">
        <f>'[1]VENTAS CONSOLIDADA LARA'!C19</f>
        <v>2461</v>
      </c>
      <c r="D19" s="5">
        <f t="shared" ca="1" si="0"/>
        <v>307.625</v>
      </c>
      <c r="E19" s="5">
        <f t="shared" ca="1" si="1"/>
        <v>6767.75</v>
      </c>
    </row>
    <row r="20" spans="1:5" x14ac:dyDescent="0.25">
      <c r="A20">
        <v>130154</v>
      </c>
      <c r="B20" t="s">
        <v>53</v>
      </c>
      <c r="C20">
        <f>'[1]VENTAS CONSOLIDADA LARA'!C20</f>
        <v>2440</v>
      </c>
      <c r="D20" s="5">
        <f t="shared" ca="1" si="0"/>
        <v>305</v>
      </c>
      <c r="E20" s="5">
        <f t="shared" ca="1" si="1"/>
        <v>6710</v>
      </c>
    </row>
    <row r="21" spans="1:5" x14ac:dyDescent="0.25">
      <c r="A21">
        <v>130155</v>
      </c>
      <c r="B21" t="s">
        <v>16</v>
      </c>
      <c r="C21">
        <f>'[1]VENTAS CONSOLIDADA LARA'!C21</f>
        <v>2934</v>
      </c>
      <c r="D21" s="5">
        <f t="shared" ca="1" si="0"/>
        <v>366.75</v>
      </c>
      <c r="E21" s="5">
        <f t="shared" ca="1" si="1"/>
        <v>8068.5</v>
      </c>
    </row>
    <row r="22" spans="1:5" x14ac:dyDescent="0.25">
      <c r="A22">
        <v>130157</v>
      </c>
      <c r="B22" t="s">
        <v>43</v>
      </c>
      <c r="C22">
        <f>'[1]VENTAS CONSOLIDADA LARA'!C22</f>
        <v>965</v>
      </c>
      <c r="D22" s="5">
        <f t="shared" ca="1" si="0"/>
        <v>120.625</v>
      </c>
      <c r="E22" s="5">
        <f t="shared" ca="1" si="1"/>
        <v>2653.75</v>
      </c>
    </row>
    <row r="23" spans="1:5" x14ac:dyDescent="0.25">
      <c r="A23">
        <v>130158</v>
      </c>
      <c r="B23" t="s">
        <v>44</v>
      </c>
      <c r="C23">
        <f>'[1]VENTAS CONSOLIDADA LARA'!C23</f>
        <v>1134</v>
      </c>
      <c r="D23" s="5">
        <f t="shared" ca="1" si="0"/>
        <v>141.75</v>
      </c>
      <c r="E23" s="5">
        <f t="shared" ca="1" si="1"/>
        <v>3118.5</v>
      </c>
    </row>
    <row r="24" spans="1:5" x14ac:dyDescent="0.25">
      <c r="A24">
        <v>130159</v>
      </c>
      <c r="B24" t="s">
        <v>45</v>
      </c>
      <c r="C24">
        <f>'[1]VENTAS CONSOLIDADA LARA'!C24</f>
        <v>1039</v>
      </c>
      <c r="D24" s="5">
        <f t="shared" ca="1" si="0"/>
        <v>129.875</v>
      </c>
      <c r="E24" s="5">
        <f t="shared" ca="1" si="1"/>
        <v>2857.25</v>
      </c>
    </row>
    <row r="25" spans="1:5" x14ac:dyDescent="0.25">
      <c r="A25">
        <v>130700</v>
      </c>
      <c r="B25" t="s">
        <v>3</v>
      </c>
      <c r="C25">
        <f>'[1]VENTAS CONSOLIDADA LARA'!C25</f>
        <v>248</v>
      </c>
      <c r="D25" s="5">
        <f t="shared" ca="1" si="0"/>
        <v>31</v>
      </c>
      <c r="E25" s="5">
        <f t="shared" ca="1" si="1"/>
        <v>682</v>
      </c>
    </row>
    <row r="26" spans="1:5" x14ac:dyDescent="0.25">
      <c r="A26">
        <v>130701</v>
      </c>
      <c r="B26" t="s">
        <v>30</v>
      </c>
      <c r="C26">
        <f>'[1]VENTAS CONSOLIDADA LARA'!C26</f>
        <v>61</v>
      </c>
      <c r="D26" s="5">
        <f t="shared" ca="1" si="0"/>
        <v>7.625</v>
      </c>
      <c r="E26" s="5">
        <f t="shared" ca="1" si="1"/>
        <v>167.75</v>
      </c>
    </row>
    <row r="27" spans="1:5" x14ac:dyDescent="0.25">
      <c r="A27">
        <v>130702</v>
      </c>
      <c r="B27" t="s">
        <v>12</v>
      </c>
      <c r="C27">
        <f>'[1]VENTAS CONSOLIDADA LARA'!C27</f>
        <v>742</v>
      </c>
      <c r="D27" s="5">
        <f t="shared" ca="1" si="0"/>
        <v>92.75</v>
      </c>
      <c r="E27" s="5">
        <f t="shared" ca="1" si="1"/>
        <v>2040.5</v>
      </c>
    </row>
    <row r="28" spans="1:5" x14ac:dyDescent="0.25">
      <c r="A28">
        <v>130703</v>
      </c>
      <c r="B28" t="s">
        <v>17</v>
      </c>
      <c r="C28">
        <f>'[1]VENTAS CONSOLIDADA LARA'!C28</f>
        <v>839</v>
      </c>
      <c r="D28" s="5">
        <f t="shared" ca="1" si="0"/>
        <v>104.875</v>
      </c>
      <c r="E28" s="5">
        <f t="shared" ca="1" si="1"/>
        <v>2307.25</v>
      </c>
    </row>
    <row r="29" spans="1:5" x14ac:dyDescent="0.25">
      <c r="A29">
        <v>130707</v>
      </c>
      <c r="B29" t="s">
        <v>42</v>
      </c>
      <c r="C29">
        <f>'[1]VENTAS CONSOLIDADA LARA'!C29</f>
        <v>30</v>
      </c>
      <c r="D29" s="5">
        <f t="shared" ca="1" si="0"/>
        <v>3.75</v>
      </c>
      <c r="E29" s="5">
        <f t="shared" ca="1" si="1"/>
        <v>82.5</v>
      </c>
    </row>
    <row r="30" spans="1:5" x14ac:dyDescent="0.25">
      <c r="A30">
        <v>131150</v>
      </c>
      <c r="B30" t="s">
        <v>22</v>
      </c>
      <c r="C30">
        <f>'[1]VENTAS CONSOLIDADA LARA'!C30</f>
        <v>351</v>
      </c>
      <c r="D30" s="5">
        <f t="shared" ca="1" si="0"/>
        <v>43.875</v>
      </c>
      <c r="E30" s="5">
        <f t="shared" ca="1" si="1"/>
        <v>965.25</v>
      </c>
    </row>
    <row r="31" spans="1:5" x14ac:dyDescent="0.25">
      <c r="A31">
        <v>131151</v>
      </c>
      <c r="B31" t="s">
        <v>19</v>
      </c>
      <c r="C31">
        <f>'[1]VENTAS CONSOLIDADA LARA'!C31</f>
        <v>874</v>
      </c>
      <c r="D31" s="5">
        <f t="shared" ca="1" si="0"/>
        <v>109.25</v>
      </c>
      <c r="E31" s="5">
        <f t="shared" ca="1" si="1"/>
        <v>2403.5</v>
      </c>
    </row>
    <row r="32" spans="1:5" x14ac:dyDescent="0.25">
      <c r="A32">
        <v>131152</v>
      </c>
      <c r="B32" t="s">
        <v>32</v>
      </c>
      <c r="C32">
        <f>'[1]VENTAS CONSOLIDADA LARA'!C32</f>
        <v>431</v>
      </c>
      <c r="D32" s="5">
        <f t="shared" ca="1" si="0"/>
        <v>53.875</v>
      </c>
      <c r="E32" s="5">
        <f t="shared" ca="1" si="1"/>
        <v>1185.25</v>
      </c>
    </row>
    <row r="33" spans="1:5" x14ac:dyDescent="0.25">
      <c r="A33">
        <v>131153</v>
      </c>
      <c r="B33" t="s">
        <v>11</v>
      </c>
      <c r="C33">
        <f>'[1]VENTAS CONSOLIDADA LARA'!C33</f>
        <v>286</v>
      </c>
      <c r="D33" s="5">
        <f t="shared" ca="1" si="0"/>
        <v>35.75</v>
      </c>
      <c r="E33" s="5">
        <f t="shared" ca="1" si="1"/>
        <v>786.5</v>
      </c>
    </row>
    <row r="34" spans="1:5" x14ac:dyDescent="0.25">
      <c r="A34">
        <v>131154</v>
      </c>
      <c r="B34" t="s">
        <v>48</v>
      </c>
      <c r="C34">
        <f>'[1]VENTAS CONSOLIDADA LARA'!C34</f>
        <v>383</v>
      </c>
      <c r="D34" s="5">
        <f t="shared" ca="1" si="0"/>
        <v>47.875</v>
      </c>
      <c r="E34" s="5">
        <f t="shared" ca="1" si="1"/>
        <v>1053.25</v>
      </c>
    </row>
    <row r="35" spans="1:5" x14ac:dyDescent="0.25">
      <c r="A35">
        <v>131155</v>
      </c>
      <c r="B35" t="s">
        <v>57</v>
      </c>
      <c r="C35">
        <f>'[1]VENTAS CONSOLIDADA LARA'!C35</f>
        <v>437</v>
      </c>
      <c r="D35" s="5">
        <f t="shared" ca="1" si="0"/>
        <v>54.625</v>
      </c>
      <c r="E35" s="5">
        <f t="shared" ca="1" si="1"/>
        <v>1201.75</v>
      </c>
    </row>
    <row r="36" spans="1:5" x14ac:dyDescent="0.25">
      <c r="A36">
        <v>131700</v>
      </c>
      <c r="B36" t="s">
        <v>20</v>
      </c>
      <c r="C36">
        <f>'[1]VENTAS CONSOLIDADA LARA'!C36</f>
        <v>79</v>
      </c>
      <c r="D36" s="5">
        <f t="shared" ca="1" si="0"/>
        <v>9.875</v>
      </c>
      <c r="E36" s="5">
        <f t="shared" ca="1" si="1"/>
        <v>217.25</v>
      </c>
    </row>
    <row r="37" spans="1:5" x14ac:dyDescent="0.25">
      <c r="A37">
        <v>131701</v>
      </c>
      <c r="B37" t="s">
        <v>24</v>
      </c>
      <c r="C37">
        <f>'[1]VENTAS CONSOLIDADA LARA'!C37</f>
        <v>135</v>
      </c>
      <c r="D37" s="5">
        <f t="shared" ca="1" si="0"/>
        <v>16.875</v>
      </c>
      <c r="E37" s="5">
        <f t="shared" ca="1" si="1"/>
        <v>371.25</v>
      </c>
    </row>
    <row r="38" spans="1:5" x14ac:dyDescent="0.25">
      <c r="A38">
        <v>132150</v>
      </c>
      <c r="B38" t="s">
        <v>25</v>
      </c>
      <c r="C38">
        <f>'[1]VENTAS CONSOLIDADA LARA'!C38</f>
        <v>992</v>
      </c>
      <c r="D38" s="5">
        <f t="shared" ca="1" si="0"/>
        <v>124</v>
      </c>
      <c r="E38" s="5">
        <f t="shared" ca="1" si="1"/>
        <v>2728</v>
      </c>
    </row>
    <row r="39" spans="1:5" x14ac:dyDescent="0.25">
      <c r="A39">
        <v>132151</v>
      </c>
      <c r="B39" t="s">
        <v>26</v>
      </c>
      <c r="C39">
        <f>'[1]VENTAS CONSOLIDADA LARA'!C39</f>
        <v>508</v>
      </c>
      <c r="D39" s="5">
        <f t="shared" ca="1" si="0"/>
        <v>63.5</v>
      </c>
      <c r="E39" s="5">
        <f t="shared" ca="1" si="1"/>
        <v>1397</v>
      </c>
    </row>
    <row r="40" spans="1:5" x14ac:dyDescent="0.25">
      <c r="A40">
        <v>132152</v>
      </c>
      <c r="B40" t="s">
        <v>27</v>
      </c>
      <c r="C40">
        <f>'[1]VENTAS CONSOLIDADA LARA'!C40</f>
        <v>832</v>
      </c>
      <c r="D40" s="5">
        <f t="shared" ca="1" si="0"/>
        <v>104</v>
      </c>
      <c r="E40" s="5">
        <f t="shared" ca="1" si="1"/>
        <v>2288</v>
      </c>
    </row>
    <row r="41" spans="1:5" x14ac:dyDescent="0.25">
      <c r="A41">
        <v>132153</v>
      </c>
      <c r="B41" t="s">
        <v>40</v>
      </c>
      <c r="C41">
        <f>'[1]VENTAS CONSOLIDADA LARA'!C41</f>
        <v>355</v>
      </c>
      <c r="D41" s="5">
        <f t="shared" ca="1" si="0"/>
        <v>44.375</v>
      </c>
      <c r="E41" s="5">
        <f t="shared" ca="1" si="1"/>
        <v>976.25</v>
      </c>
    </row>
    <row r="42" spans="1:5" x14ac:dyDescent="0.25">
      <c r="A42">
        <v>134000</v>
      </c>
      <c r="B42" t="s">
        <v>35</v>
      </c>
      <c r="C42">
        <f>'[1]VENTAS CONSOLIDADA LARA'!C42</f>
        <v>7</v>
      </c>
      <c r="D42" s="5">
        <f t="shared" ca="1" si="0"/>
        <v>0.875</v>
      </c>
      <c r="E42" s="5">
        <f t="shared" ca="1" si="1"/>
        <v>19.25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102</v>
      </c>
      <c r="D44" s="5">
        <f t="shared" ca="1" si="0"/>
        <v>12.75</v>
      </c>
      <c r="E44" s="5">
        <f t="shared" ca="1" si="1"/>
        <v>280.5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11.5</v>
      </c>
      <c r="E45" s="5">
        <f t="shared" ca="1" si="1"/>
        <v>253</v>
      </c>
    </row>
    <row r="46" spans="1:5" x14ac:dyDescent="0.25">
      <c r="A46">
        <v>140232</v>
      </c>
      <c r="B46" t="s">
        <v>9</v>
      </c>
      <c r="C46">
        <f>'[1]VENTAS CONSOLIDADA LARA'!C46</f>
        <v>286</v>
      </c>
      <c r="D46" s="5">
        <f t="shared" ca="1" si="0"/>
        <v>35.75</v>
      </c>
      <c r="E46" s="5">
        <f t="shared" ca="1" si="1"/>
        <v>786.5</v>
      </c>
    </row>
    <row r="47" spans="1:5" x14ac:dyDescent="0.25">
      <c r="A47">
        <v>150360</v>
      </c>
      <c r="B47" t="s">
        <v>28</v>
      </c>
      <c r="C47">
        <f>'[1]VENTAS CONSOLIDADA LARA'!C47</f>
        <v>102</v>
      </c>
      <c r="D47" s="5">
        <f t="shared" ca="1" si="0"/>
        <v>12.75</v>
      </c>
      <c r="E47" s="5">
        <f t="shared" ca="1" si="1"/>
        <v>280.5</v>
      </c>
    </row>
    <row r="48" spans="1:5" x14ac:dyDescent="0.25">
      <c r="A48">
        <v>150361</v>
      </c>
      <c r="B48" t="s">
        <v>29</v>
      </c>
      <c r="C48">
        <f>'[1]VENTAS CONSOLIDADA LARA'!C48</f>
        <v>123</v>
      </c>
      <c r="D48" s="5">
        <f t="shared" ca="1" si="0"/>
        <v>15.375</v>
      </c>
      <c r="E48" s="5">
        <f t="shared" ca="1" si="1"/>
        <v>338.25</v>
      </c>
    </row>
    <row r="49" spans="1:5" x14ac:dyDescent="0.25">
      <c r="A49">
        <v>150362</v>
      </c>
      <c r="B49" t="s">
        <v>36</v>
      </c>
      <c r="C49">
        <f>'[1]VENTAS CONSOLIDADA LARA'!C49</f>
        <v>120</v>
      </c>
      <c r="D49" s="5">
        <f t="shared" ca="1" si="0"/>
        <v>15</v>
      </c>
      <c r="E49" s="5">
        <f t="shared" ca="1" si="1"/>
        <v>330</v>
      </c>
    </row>
    <row r="50" spans="1:5" x14ac:dyDescent="0.25">
      <c r="A50">
        <v>150363</v>
      </c>
      <c r="B50" t="s">
        <v>31</v>
      </c>
      <c r="C50">
        <f>'[1]VENTAS CONSOLIDADA LARA'!C50</f>
        <v>181</v>
      </c>
      <c r="D50" s="5">
        <f t="shared" ca="1" si="0"/>
        <v>22.625</v>
      </c>
      <c r="E50" s="5">
        <f t="shared" ca="1" si="1"/>
        <v>497.75</v>
      </c>
    </row>
    <row r="51" spans="1:5" x14ac:dyDescent="0.25">
      <c r="A51">
        <v>151500</v>
      </c>
      <c r="B51" t="s">
        <v>41</v>
      </c>
      <c r="C51">
        <f>'[1]VENTAS CONSOLIDADA LARA'!C51</f>
        <v>40</v>
      </c>
      <c r="D51" s="5">
        <f t="shared" ca="1" si="0"/>
        <v>5</v>
      </c>
      <c r="E51" s="5">
        <f t="shared" ca="1" si="1"/>
        <v>110</v>
      </c>
    </row>
    <row r="52" spans="1:5" x14ac:dyDescent="0.25">
      <c r="A52">
        <v>151501</v>
      </c>
      <c r="B52" t="s">
        <v>33</v>
      </c>
      <c r="C52">
        <f>'[1]VENTAS CONSOLIDADA LARA'!C52</f>
        <v>134</v>
      </c>
      <c r="D52" s="5">
        <f t="shared" ca="1" si="0"/>
        <v>16.75</v>
      </c>
      <c r="E52" s="5">
        <f t="shared" ca="1" si="1"/>
        <v>368.5</v>
      </c>
    </row>
    <row r="53" spans="1:5" x14ac:dyDescent="0.25">
      <c r="A53">
        <v>151502</v>
      </c>
      <c r="B53" t="s">
        <v>37</v>
      </c>
      <c r="C53">
        <f>'[1]VENTAS CONSOLIDADA LARA'!C53</f>
        <v>12</v>
      </c>
      <c r="D53" s="5">
        <f t="shared" ca="1" si="0"/>
        <v>1.5</v>
      </c>
      <c r="E53" s="5">
        <f t="shared" ca="1" si="1"/>
        <v>33</v>
      </c>
    </row>
    <row r="54" spans="1:5" x14ac:dyDescent="0.25">
      <c r="A54">
        <v>151503</v>
      </c>
      <c r="B54" t="s">
        <v>34</v>
      </c>
      <c r="C54">
        <f>'[1]VENTAS CONSOLIDADA LARA'!C54</f>
        <v>24</v>
      </c>
      <c r="D54" s="5">
        <f t="shared" ca="1" si="0"/>
        <v>3</v>
      </c>
      <c r="E54" s="5">
        <f t="shared" ca="1" si="1"/>
        <v>66</v>
      </c>
    </row>
    <row r="55" spans="1:5" x14ac:dyDescent="0.25">
      <c r="D55" s="5">
        <f ca="1">SUM(D8:D54)</f>
        <v>3398.625</v>
      </c>
      <c r="E55" s="5">
        <f ca="1">SUM(E8:E54)</f>
        <v>74769.75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46276</v>
      </c>
      <c r="E2" s="4">
        <f ca="1">'[1]VENTAS CONSOLIDADA ANZOATEGUI'!E2</f>
        <v>8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339</v>
      </c>
      <c r="D8" s="5">
        <f t="shared" ref="D8:D54" ca="1" si="0">C8/$E$2</f>
        <v>42.375</v>
      </c>
      <c r="E8" s="5">
        <f t="shared" ref="E8:E54" ca="1" si="1">D8*($E$2+$E$3)</f>
        <v>932.25</v>
      </c>
    </row>
    <row r="9" spans="1:5" x14ac:dyDescent="0.25">
      <c r="A9">
        <v>110151</v>
      </c>
      <c r="B9" t="s">
        <v>5</v>
      </c>
      <c r="C9">
        <f>'[1]VENTAS CONSOLIDADA ANZOATEGUI'!C9</f>
        <v>36</v>
      </c>
      <c r="D9" s="5">
        <f t="shared" ca="1" si="0"/>
        <v>4.5</v>
      </c>
      <c r="E9" s="5">
        <f t="shared" ca="1" si="1"/>
        <v>99</v>
      </c>
    </row>
    <row r="10" spans="1:5" x14ac:dyDescent="0.25">
      <c r="A10">
        <v>110230</v>
      </c>
      <c r="B10" t="s">
        <v>1</v>
      </c>
      <c r="C10">
        <f>'[1]VENTAS CONSOLIDADA ANZOATEGUI'!C10</f>
        <v>97</v>
      </c>
      <c r="D10" s="5">
        <f t="shared" ca="1" si="0"/>
        <v>12.125</v>
      </c>
      <c r="E10" s="5">
        <f t="shared" ca="1" si="1"/>
        <v>266.75</v>
      </c>
    </row>
    <row r="11" spans="1:5" x14ac:dyDescent="0.25">
      <c r="A11">
        <v>110400</v>
      </c>
      <c r="B11" t="s">
        <v>13</v>
      </c>
      <c r="C11">
        <f>'[1]VENTAS CONSOLIDADA ANZOATEGUI'!C11</f>
        <v>16</v>
      </c>
      <c r="D11" s="5">
        <f t="shared" ca="1" si="0"/>
        <v>2</v>
      </c>
      <c r="E11" s="5">
        <f t="shared" ca="1" si="1"/>
        <v>44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0.625</v>
      </c>
      <c r="E12" s="5">
        <f t="shared" ca="1" si="1"/>
        <v>13.75</v>
      </c>
    </row>
    <row r="13" spans="1:5" x14ac:dyDescent="0.25">
      <c r="A13">
        <v>120130</v>
      </c>
      <c r="B13" t="s">
        <v>15</v>
      </c>
      <c r="C13">
        <f>'[1]VENTAS CONSOLIDADA ANZOATEGUI'!C13</f>
        <v>492</v>
      </c>
      <c r="D13" s="5">
        <f t="shared" ca="1" si="0"/>
        <v>61.5</v>
      </c>
      <c r="E13" s="5">
        <f t="shared" ca="1" si="1"/>
        <v>1353</v>
      </c>
    </row>
    <row r="14" spans="1:5" x14ac:dyDescent="0.25">
      <c r="A14">
        <v>120131</v>
      </c>
      <c r="B14" t="s">
        <v>23</v>
      </c>
      <c r="C14">
        <f>'[1]VENTAS CONSOLIDADA ANZOATEGUI'!C14</f>
        <v>20</v>
      </c>
      <c r="D14" s="5">
        <f t="shared" ca="1" si="0"/>
        <v>2.5</v>
      </c>
      <c r="E14" s="5">
        <f t="shared" ca="1" si="1"/>
        <v>55</v>
      </c>
    </row>
    <row r="15" spans="1:5" x14ac:dyDescent="0.25">
      <c r="A15">
        <v>120132</v>
      </c>
      <c r="B15" t="s">
        <v>21</v>
      </c>
      <c r="C15">
        <f>'[1]VENTAS CONSOLIDADA ANZOATEGUI'!C15</f>
        <v>53</v>
      </c>
      <c r="D15" s="5">
        <f t="shared" ca="1" si="0"/>
        <v>6.625</v>
      </c>
      <c r="E15" s="5">
        <f t="shared" ca="1" si="1"/>
        <v>145.75</v>
      </c>
    </row>
    <row r="16" spans="1:5" x14ac:dyDescent="0.25">
      <c r="A16">
        <v>130150</v>
      </c>
      <c r="B16" t="s">
        <v>0</v>
      </c>
      <c r="C16">
        <f>'[1]VENTAS CONSOLIDADA ANZOATEGUI'!C16</f>
        <v>157</v>
      </c>
      <c r="D16" s="5">
        <f t="shared" ca="1" si="0"/>
        <v>19.625</v>
      </c>
      <c r="E16" s="5">
        <f t="shared" ca="1" si="1"/>
        <v>431.75</v>
      </c>
    </row>
    <row r="17" spans="1:5" x14ac:dyDescent="0.25">
      <c r="A17">
        <v>130151</v>
      </c>
      <c r="B17" t="s">
        <v>4</v>
      </c>
      <c r="C17">
        <f>'[1]VENTAS CONSOLIDADA ANZOATEGUI'!C17</f>
        <v>37</v>
      </c>
      <c r="D17" s="5">
        <f t="shared" ca="1" si="0"/>
        <v>4.625</v>
      </c>
      <c r="E17" s="5">
        <f t="shared" ca="1" si="1"/>
        <v>101.75</v>
      </c>
    </row>
    <row r="18" spans="1:5" x14ac:dyDescent="0.25">
      <c r="A18">
        <v>130152</v>
      </c>
      <c r="B18" t="s">
        <v>51</v>
      </c>
      <c r="C18">
        <f>'[1]VENTAS CONSOLIDADA ANZOATEGUI'!C18</f>
        <v>1158</v>
      </c>
      <c r="D18" s="5">
        <f t="shared" ca="1" si="0"/>
        <v>144.75</v>
      </c>
      <c r="E18" s="5">
        <f t="shared" ca="1" si="1"/>
        <v>3184.5</v>
      </c>
    </row>
    <row r="19" spans="1:5" x14ac:dyDescent="0.25">
      <c r="A19">
        <v>130153</v>
      </c>
      <c r="B19" t="s">
        <v>52</v>
      </c>
      <c r="C19">
        <f>'[1]VENTAS CONSOLIDADA ANZOATEGUI'!C19</f>
        <v>675</v>
      </c>
      <c r="D19" s="5">
        <f t="shared" ca="1" si="0"/>
        <v>84.375</v>
      </c>
      <c r="E19" s="5">
        <f t="shared" ca="1" si="1"/>
        <v>1856.25</v>
      </c>
    </row>
    <row r="20" spans="1:5" x14ac:dyDescent="0.25">
      <c r="A20">
        <v>130154</v>
      </c>
      <c r="B20" t="s">
        <v>53</v>
      </c>
      <c r="C20">
        <f>'[1]VENTAS CONSOLIDADA ANZOATEGUI'!C20</f>
        <v>910</v>
      </c>
      <c r="D20" s="5">
        <f t="shared" ca="1" si="0"/>
        <v>113.75</v>
      </c>
      <c r="E20" s="5">
        <f t="shared" ca="1" si="1"/>
        <v>2502.5</v>
      </c>
    </row>
    <row r="21" spans="1:5" x14ac:dyDescent="0.25">
      <c r="A21">
        <v>130155</v>
      </c>
      <c r="B21" t="s">
        <v>16</v>
      </c>
      <c r="C21">
        <f>'[1]VENTAS CONSOLIDADA ANZOATEGUI'!C21</f>
        <v>675</v>
      </c>
      <c r="D21" s="5">
        <f t="shared" ca="1" si="0"/>
        <v>84.375</v>
      </c>
      <c r="E21" s="5">
        <f t="shared" ca="1" si="1"/>
        <v>1856.25</v>
      </c>
    </row>
    <row r="22" spans="1:5" x14ac:dyDescent="0.25">
      <c r="A22">
        <v>130157</v>
      </c>
      <c r="B22" t="s">
        <v>43</v>
      </c>
      <c r="C22">
        <f>'[1]VENTAS CONSOLIDADA ANZOATEGUI'!C22</f>
        <v>186</v>
      </c>
      <c r="D22" s="5">
        <f t="shared" ca="1" si="0"/>
        <v>23.25</v>
      </c>
      <c r="E22" s="5">
        <f t="shared" ca="1" si="1"/>
        <v>511.5</v>
      </c>
    </row>
    <row r="23" spans="1:5" x14ac:dyDescent="0.25">
      <c r="A23">
        <v>130158</v>
      </c>
      <c r="B23" t="s">
        <v>44</v>
      </c>
      <c r="C23">
        <f>'[1]VENTAS CONSOLIDADA ANZOATEGUI'!C23</f>
        <v>243</v>
      </c>
      <c r="D23" s="5">
        <f t="shared" ca="1" si="0"/>
        <v>30.375</v>
      </c>
      <c r="E23" s="5">
        <f t="shared" ca="1" si="1"/>
        <v>668.25</v>
      </c>
    </row>
    <row r="24" spans="1:5" x14ac:dyDescent="0.25">
      <c r="A24">
        <v>130159</v>
      </c>
      <c r="B24" t="s">
        <v>45</v>
      </c>
      <c r="C24">
        <f>'[1]VENTAS CONSOLIDADA ANZOATEGUI'!C24</f>
        <v>234</v>
      </c>
      <c r="D24" s="5">
        <f t="shared" ca="1" si="0"/>
        <v>29.25</v>
      </c>
      <c r="E24" s="5">
        <f t="shared" ca="1" si="1"/>
        <v>643.5</v>
      </c>
    </row>
    <row r="25" spans="1:5" x14ac:dyDescent="0.25">
      <c r="A25">
        <v>130700</v>
      </c>
      <c r="B25" t="s">
        <v>3</v>
      </c>
      <c r="C25">
        <f>'[1]VENTAS CONSOLIDADA ANZOATEGUI'!C25</f>
        <v>22</v>
      </c>
      <c r="D25" s="5">
        <f t="shared" ca="1" si="0"/>
        <v>2.75</v>
      </c>
      <c r="E25" s="5">
        <f t="shared" ca="1" si="1"/>
        <v>60.5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0.5</v>
      </c>
      <c r="E26" s="5">
        <f t="shared" ca="1" si="1"/>
        <v>11</v>
      </c>
    </row>
    <row r="27" spans="1:5" x14ac:dyDescent="0.25">
      <c r="A27">
        <v>130702</v>
      </c>
      <c r="B27" t="s">
        <v>12</v>
      </c>
      <c r="C27">
        <f>'[1]VENTAS CONSOLIDADA ANZOATEGUI'!C27</f>
        <v>67</v>
      </c>
      <c r="D27" s="5">
        <f t="shared" ca="1" si="0"/>
        <v>8.375</v>
      </c>
      <c r="E27" s="5">
        <f t="shared" ca="1" si="1"/>
        <v>184.25</v>
      </c>
    </row>
    <row r="28" spans="1:5" x14ac:dyDescent="0.25">
      <c r="A28">
        <v>130703</v>
      </c>
      <c r="B28" t="s">
        <v>17</v>
      </c>
      <c r="C28">
        <f>'[1]VENTAS CONSOLIDADA ANZOATEGUI'!C28</f>
        <v>122</v>
      </c>
      <c r="D28" s="5">
        <f t="shared" ca="1" si="0"/>
        <v>15.25</v>
      </c>
      <c r="E28" s="5">
        <f t="shared" ca="1" si="1"/>
        <v>335.5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242</v>
      </c>
      <c r="D30" s="5">
        <f t="shared" ca="1" si="0"/>
        <v>30.25</v>
      </c>
      <c r="E30" s="5">
        <f t="shared" ca="1" si="1"/>
        <v>665.5</v>
      </c>
    </row>
    <row r="31" spans="1:5" x14ac:dyDescent="0.25">
      <c r="A31">
        <v>131151</v>
      </c>
      <c r="B31" t="s">
        <v>19</v>
      </c>
      <c r="C31">
        <f>'[1]VENTAS CONSOLIDADA ANZOATEGUI'!C31</f>
        <v>686</v>
      </c>
      <c r="D31" s="5">
        <f t="shared" ca="1" si="0"/>
        <v>85.75</v>
      </c>
      <c r="E31" s="5">
        <f t="shared" ca="1" si="1"/>
        <v>1886.5</v>
      </c>
    </row>
    <row r="32" spans="1:5" x14ac:dyDescent="0.25">
      <c r="A32">
        <v>131152</v>
      </c>
      <c r="B32" t="s">
        <v>32</v>
      </c>
      <c r="C32">
        <f>'[1]VENTAS CONSOLIDADA ANZOATEGUI'!C32</f>
        <v>529</v>
      </c>
      <c r="D32" s="5">
        <f t="shared" ca="1" si="0"/>
        <v>66.125</v>
      </c>
      <c r="E32" s="5">
        <f t="shared" ca="1" si="1"/>
        <v>1454.75</v>
      </c>
    </row>
    <row r="33" spans="1:5" x14ac:dyDescent="0.25">
      <c r="A33">
        <v>131153</v>
      </c>
      <c r="B33" t="s">
        <v>11</v>
      </c>
      <c r="C33">
        <f>'[1]VENTAS CONSOLIDADA ANZOATEGUI'!C33</f>
        <v>147</v>
      </c>
      <c r="D33" s="5">
        <f t="shared" ca="1" si="0"/>
        <v>18.375</v>
      </c>
      <c r="E33" s="5">
        <f t="shared" ca="1" si="1"/>
        <v>404.25</v>
      </c>
    </row>
    <row r="34" spans="1:5" x14ac:dyDescent="0.25">
      <c r="A34">
        <v>131154</v>
      </c>
      <c r="B34" t="s">
        <v>48</v>
      </c>
      <c r="C34">
        <f>'[1]VENTAS CONSOLIDADA ANZOATEGUI'!C34</f>
        <v>192</v>
      </c>
      <c r="D34" s="5">
        <f t="shared" ca="1" si="0"/>
        <v>24</v>
      </c>
      <c r="E34" s="5">
        <f t="shared" ca="1" si="1"/>
        <v>528</v>
      </c>
    </row>
    <row r="35" spans="1:5" x14ac:dyDescent="0.25">
      <c r="A35">
        <v>131155</v>
      </c>
      <c r="B35" t="s">
        <v>57</v>
      </c>
      <c r="C35">
        <f>'[1]VENTAS CONSOLIDADA ANZOATEGUI'!C35</f>
        <v>244</v>
      </c>
      <c r="D35" s="5">
        <f t="shared" ca="1" si="0"/>
        <v>30.5</v>
      </c>
      <c r="E35" s="5">
        <f t="shared" ca="1" si="1"/>
        <v>671</v>
      </c>
    </row>
    <row r="36" spans="1:5" x14ac:dyDescent="0.25">
      <c r="A36">
        <v>131700</v>
      </c>
      <c r="B36" t="s">
        <v>20</v>
      </c>
      <c r="C36">
        <f>'[1]VENTAS CONSOLIDADA ANZOATEGUI'!C36</f>
        <v>29</v>
      </c>
      <c r="D36" s="5">
        <f t="shared" ca="1" si="0"/>
        <v>3.625</v>
      </c>
      <c r="E36" s="5">
        <f t="shared" ca="1" si="1"/>
        <v>79.75</v>
      </c>
    </row>
    <row r="37" spans="1:5" x14ac:dyDescent="0.25">
      <c r="A37">
        <v>131701</v>
      </c>
      <c r="B37" t="s">
        <v>24</v>
      </c>
      <c r="C37">
        <f>'[1]VENTAS CONSOLIDADA ANZOATEGUI'!C37</f>
        <v>62</v>
      </c>
      <c r="D37" s="5">
        <f t="shared" ca="1" si="0"/>
        <v>7.75</v>
      </c>
      <c r="E37" s="5">
        <f t="shared" ca="1" si="1"/>
        <v>170.5</v>
      </c>
    </row>
    <row r="38" spans="1:5" x14ac:dyDescent="0.25">
      <c r="A38">
        <v>132150</v>
      </c>
      <c r="B38" t="s">
        <v>25</v>
      </c>
      <c r="C38">
        <f>'[1]VENTAS CONSOLIDADA ANZOATEGUI'!C38</f>
        <v>315</v>
      </c>
      <c r="D38" s="5">
        <f t="shared" ca="1" si="0"/>
        <v>39.375</v>
      </c>
      <c r="E38" s="5">
        <f t="shared" ca="1" si="1"/>
        <v>866.25</v>
      </c>
    </row>
    <row r="39" spans="1:5" x14ac:dyDescent="0.25">
      <c r="A39">
        <v>132151</v>
      </c>
      <c r="B39" t="s">
        <v>26</v>
      </c>
      <c r="C39">
        <f>'[1]VENTAS CONSOLIDADA ANZOATEGUI'!C39</f>
        <v>209</v>
      </c>
      <c r="D39" s="5">
        <f t="shared" ca="1" si="0"/>
        <v>26.125</v>
      </c>
      <c r="E39" s="5">
        <f t="shared" ca="1" si="1"/>
        <v>574.75</v>
      </c>
    </row>
    <row r="40" spans="1:5" x14ac:dyDescent="0.25">
      <c r="A40">
        <v>132152</v>
      </c>
      <c r="B40" t="s">
        <v>27</v>
      </c>
      <c r="C40">
        <f>'[1]VENTAS CONSOLIDADA ANZOATEGUI'!C40</f>
        <v>209</v>
      </c>
      <c r="D40" s="5">
        <f t="shared" ca="1" si="0"/>
        <v>26.125</v>
      </c>
      <c r="E40" s="5">
        <f t="shared" ca="1" si="1"/>
        <v>574.75</v>
      </c>
    </row>
    <row r="41" spans="1:5" x14ac:dyDescent="0.25">
      <c r="A41">
        <v>132153</v>
      </c>
      <c r="B41" t="s">
        <v>40</v>
      </c>
      <c r="C41">
        <f>'[1]VENTAS CONSOLIDADA ANZOATEGUI'!C41</f>
        <v>90</v>
      </c>
      <c r="D41" s="5">
        <f t="shared" ca="1" si="0"/>
        <v>11.25</v>
      </c>
      <c r="E41" s="5">
        <f t="shared" ca="1" si="1"/>
        <v>247.5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52</v>
      </c>
      <c r="D44" s="5">
        <f t="shared" ca="1" si="0"/>
        <v>6.5</v>
      </c>
      <c r="E44" s="5">
        <f t="shared" ca="1" si="1"/>
        <v>143</v>
      </c>
    </row>
    <row r="45" spans="1:5" x14ac:dyDescent="0.25">
      <c r="A45">
        <v>140231</v>
      </c>
      <c r="B45" t="s">
        <v>10</v>
      </c>
      <c r="C45">
        <f>'[1]VENTAS CONSOLIDADA ANZOATEGUI'!C45</f>
        <v>347</v>
      </c>
      <c r="D45" s="5">
        <f t="shared" ca="1" si="0"/>
        <v>43.375</v>
      </c>
      <c r="E45" s="5">
        <f t="shared" ca="1" si="1"/>
        <v>954.25</v>
      </c>
    </row>
    <row r="46" spans="1:5" x14ac:dyDescent="0.25">
      <c r="A46">
        <v>140232</v>
      </c>
      <c r="B46" t="s">
        <v>9</v>
      </c>
      <c r="C46">
        <f>'[1]VENTAS CONSOLIDADA ANZOATEGUI'!C46</f>
        <v>38</v>
      </c>
      <c r="D46" s="5">
        <f t="shared" ca="1" si="0"/>
        <v>4.75</v>
      </c>
      <c r="E46" s="5">
        <f t="shared" ca="1" si="1"/>
        <v>104.5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7.125</v>
      </c>
      <c r="E47" s="5">
        <f t="shared" ca="1" si="1"/>
        <v>156.75</v>
      </c>
    </row>
    <row r="48" spans="1:5" x14ac:dyDescent="0.25">
      <c r="A48">
        <v>150361</v>
      </c>
      <c r="B48" t="s">
        <v>29</v>
      </c>
      <c r="C48">
        <f>'[1]VENTAS CONSOLIDADA ANZOATEGUI'!C48</f>
        <v>178</v>
      </c>
      <c r="D48" s="5">
        <f t="shared" ca="1" si="0"/>
        <v>22.25</v>
      </c>
      <c r="E48" s="5">
        <f t="shared" ca="1" si="1"/>
        <v>489.5</v>
      </c>
    </row>
    <row r="49" spans="1:5" x14ac:dyDescent="0.25">
      <c r="A49">
        <v>150362</v>
      </c>
      <c r="B49" t="s">
        <v>36</v>
      </c>
      <c r="C49">
        <f>'[1]VENTAS CONSOLIDADA ANZOATEGUI'!C49</f>
        <v>48</v>
      </c>
      <c r="D49" s="5">
        <f t="shared" ca="1" si="0"/>
        <v>6</v>
      </c>
      <c r="E49" s="5">
        <f t="shared" ca="1" si="1"/>
        <v>132</v>
      </c>
    </row>
    <row r="50" spans="1:5" x14ac:dyDescent="0.25">
      <c r="A50">
        <v>150363</v>
      </c>
      <c r="B50" t="s">
        <v>31</v>
      </c>
      <c r="C50">
        <f>'[1]VENTAS CONSOLIDADA ANZOATEGUI'!C50</f>
        <v>70</v>
      </c>
      <c r="D50" s="5">
        <f t="shared" ca="1" si="0"/>
        <v>8.75</v>
      </c>
      <c r="E50" s="5">
        <f t="shared" ca="1" si="1"/>
        <v>192.5</v>
      </c>
    </row>
    <row r="51" spans="1:5" x14ac:dyDescent="0.25">
      <c r="A51">
        <v>151500</v>
      </c>
      <c r="B51" t="s">
        <v>41</v>
      </c>
      <c r="C51">
        <f>'[1]VENTAS CONSOLIDADA ANZOATEGUI'!C51</f>
        <v>4</v>
      </c>
      <c r="D51" s="5">
        <f t="shared" ca="1" si="0"/>
        <v>0.5</v>
      </c>
      <c r="E51" s="5">
        <f t="shared" ca="1" si="1"/>
        <v>11</v>
      </c>
    </row>
    <row r="52" spans="1:5" x14ac:dyDescent="0.25">
      <c r="A52">
        <v>151501</v>
      </c>
      <c r="B52" t="s">
        <v>33</v>
      </c>
      <c r="C52">
        <f>'[1]VENTAS CONSOLIDADA ANZOATEGUI'!C52</f>
        <v>21</v>
      </c>
      <c r="D52" s="5">
        <f t="shared" ca="1" si="0"/>
        <v>2.625</v>
      </c>
      <c r="E52" s="5">
        <f t="shared" ca="1" si="1"/>
        <v>57.75</v>
      </c>
    </row>
    <row r="53" spans="1:5" x14ac:dyDescent="0.25">
      <c r="A53">
        <v>151502</v>
      </c>
      <c r="B53" t="s">
        <v>37</v>
      </c>
      <c r="C53">
        <f>'[1]VENTAS CONSOLIDADA ANZOATEGUI'!C53</f>
        <v>0</v>
      </c>
      <c r="D53" s="5">
        <f t="shared" ca="1" si="0"/>
        <v>0</v>
      </c>
      <c r="E53" s="5">
        <f t="shared" ca="1" si="1"/>
        <v>0</v>
      </c>
    </row>
    <row r="54" spans="1:5" x14ac:dyDescent="0.25">
      <c r="A54">
        <v>151503</v>
      </c>
      <c r="B54" t="s">
        <v>34</v>
      </c>
      <c r="C54">
        <f>'[1]VENTAS CONSOLIDADA ANZOATEGUI'!C54</f>
        <v>11</v>
      </c>
      <c r="D54" s="5">
        <f t="shared" ca="1" si="0"/>
        <v>1.375</v>
      </c>
      <c r="E54" s="5">
        <f t="shared" ca="1" si="1"/>
        <v>30.25</v>
      </c>
    </row>
    <row r="55" spans="1:5" x14ac:dyDescent="0.25">
      <c r="D55" s="7">
        <f ca="1">SUM(D8:D54)</f>
        <v>1166</v>
      </c>
      <c r="E55" s="7">
        <f ca="1">SUM(E8:E54)</f>
        <v>25652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J19" sqref="J19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46276</v>
      </c>
      <c r="E2" s="4">
        <f ca="1">'[1]VENTAS CONSOLIDADA 1,0'!E2</f>
        <v>8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14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9064</v>
      </c>
      <c r="D8" s="5">
        <f t="shared" ref="D8:D54" ca="1" si="0">C8/$E$2</f>
        <v>1133</v>
      </c>
      <c r="E8" s="5">
        <f ca="1">D8*($E$2+$E$3)</f>
        <v>24926</v>
      </c>
    </row>
    <row r="9" spans="1:5" x14ac:dyDescent="0.25">
      <c r="A9">
        <v>110151</v>
      </c>
      <c r="B9" t="s">
        <v>5</v>
      </c>
      <c r="C9">
        <f>'[1]VENTAS CONSOLIDADA 1,0'!C9</f>
        <v>677</v>
      </c>
      <c r="D9" s="5">
        <f t="shared" ca="1" si="0"/>
        <v>84.625</v>
      </c>
      <c r="E9" s="5">
        <f t="shared" ref="E9:E54" ca="1" si="1">D9*($E$2+$E$3)</f>
        <v>1861.75</v>
      </c>
    </row>
    <row r="10" spans="1:5" x14ac:dyDescent="0.25">
      <c r="A10">
        <v>110230</v>
      </c>
      <c r="B10" t="s">
        <v>1</v>
      </c>
      <c r="C10">
        <f>'[1]VENTAS CONSOLIDADA 1,0'!C10</f>
        <v>3432</v>
      </c>
      <c r="D10" s="5">
        <f t="shared" ca="1" si="0"/>
        <v>429</v>
      </c>
      <c r="E10" s="5">
        <f t="shared" ca="1" si="1"/>
        <v>9438</v>
      </c>
    </row>
    <row r="11" spans="1:5" x14ac:dyDescent="0.25">
      <c r="A11">
        <v>110400</v>
      </c>
      <c r="B11" t="s">
        <v>13</v>
      </c>
      <c r="C11">
        <f>'[1]VENTAS CONSOLIDADA 1,0'!C11</f>
        <v>840</v>
      </c>
      <c r="D11" s="5">
        <f t="shared" ca="1" si="0"/>
        <v>105</v>
      </c>
      <c r="E11" s="5">
        <f t="shared" ca="1" si="1"/>
        <v>2310</v>
      </c>
    </row>
    <row r="12" spans="1:5" x14ac:dyDescent="0.25">
      <c r="A12">
        <v>111000</v>
      </c>
      <c r="B12" t="s">
        <v>14</v>
      </c>
      <c r="C12">
        <f>'[1]VENTAS CONSOLIDADA 1,0'!C12</f>
        <v>112</v>
      </c>
      <c r="D12" s="5">
        <f t="shared" ca="1" si="0"/>
        <v>14</v>
      </c>
      <c r="E12" s="5">
        <f t="shared" ca="1" si="1"/>
        <v>308</v>
      </c>
    </row>
    <row r="13" spans="1:5" x14ac:dyDescent="0.25">
      <c r="A13">
        <v>120130</v>
      </c>
      <c r="B13" t="s">
        <v>15</v>
      </c>
      <c r="C13">
        <f>'[1]VENTAS CONSOLIDADA 1,0'!C13</f>
        <v>10701</v>
      </c>
      <c r="D13" s="5">
        <f t="shared" ca="1" si="0"/>
        <v>1337.625</v>
      </c>
      <c r="E13" s="5">
        <f t="shared" ca="1" si="1"/>
        <v>29427.75</v>
      </c>
    </row>
    <row r="14" spans="1:5" x14ac:dyDescent="0.25">
      <c r="A14">
        <v>120131</v>
      </c>
      <c r="B14" t="s">
        <v>23</v>
      </c>
      <c r="C14">
        <f>'[1]VENTAS CONSOLIDADA 1,0'!C14</f>
        <v>1082</v>
      </c>
      <c r="D14" s="5">
        <f t="shared" ca="1" si="0"/>
        <v>135.25</v>
      </c>
      <c r="E14" s="5">
        <f t="shared" ca="1" si="1"/>
        <v>2975.5</v>
      </c>
    </row>
    <row r="15" spans="1:5" x14ac:dyDescent="0.25">
      <c r="A15">
        <v>120132</v>
      </c>
      <c r="B15" t="s">
        <v>21</v>
      </c>
      <c r="C15">
        <f>'[1]VENTAS CONSOLIDADA 1,0'!C15</f>
        <v>2258</v>
      </c>
      <c r="D15" s="5">
        <f t="shared" ca="1" si="0"/>
        <v>282.25</v>
      </c>
      <c r="E15" s="5">
        <f t="shared" ca="1" si="1"/>
        <v>6209.5</v>
      </c>
    </row>
    <row r="16" spans="1:5" x14ac:dyDescent="0.25">
      <c r="A16">
        <v>130150</v>
      </c>
      <c r="B16" t="s">
        <v>0</v>
      </c>
      <c r="C16">
        <f>'[1]VENTAS CONSOLIDADA 1,0'!C16</f>
        <v>5774</v>
      </c>
      <c r="D16" s="5">
        <f t="shared" ca="1" si="0"/>
        <v>721.75</v>
      </c>
      <c r="E16" s="5">
        <f t="shared" ca="1" si="1"/>
        <v>15878.5</v>
      </c>
    </row>
    <row r="17" spans="1:5" x14ac:dyDescent="0.25">
      <c r="A17">
        <v>130151</v>
      </c>
      <c r="B17" t="s">
        <v>4</v>
      </c>
      <c r="C17">
        <f>'[1]VENTAS CONSOLIDADA 1,0'!C17</f>
        <v>2607</v>
      </c>
      <c r="D17" s="5">
        <f t="shared" ca="1" si="0"/>
        <v>325.875</v>
      </c>
      <c r="E17" s="5">
        <f t="shared" ca="1" si="1"/>
        <v>7169.25</v>
      </c>
    </row>
    <row r="18" spans="1:5" x14ac:dyDescent="0.25">
      <c r="A18">
        <v>130152</v>
      </c>
      <c r="B18" t="s">
        <v>51</v>
      </c>
      <c r="C18">
        <f>'[1]VENTAS CONSOLIDADA 1,0'!C18</f>
        <v>26908</v>
      </c>
      <c r="D18" s="5">
        <f t="shared" ca="1" si="0"/>
        <v>3363.5</v>
      </c>
      <c r="E18" s="5">
        <f t="shared" ca="1" si="1"/>
        <v>73997</v>
      </c>
    </row>
    <row r="19" spans="1:5" x14ac:dyDescent="0.25">
      <c r="A19">
        <v>130153</v>
      </c>
      <c r="B19" t="s">
        <v>52</v>
      </c>
      <c r="C19">
        <f>'[1]VENTAS CONSOLIDADA 1,0'!C19</f>
        <v>16353</v>
      </c>
      <c r="D19" s="5">
        <f t="shared" ca="1" si="0"/>
        <v>2044.125</v>
      </c>
      <c r="E19" s="5">
        <f t="shared" ca="1" si="1"/>
        <v>44970.75</v>
      </c>
    </row>
    <row r="20" spans="1:5" x14ac:dyDescent="0.25">
      <c r="A20">
        <v>130154</v>
      </c>
      <c r="B20" t="s">
        <v>53</v>
      </c>
      <c r="C20">
        <f>'[1]VENTAS CONSOLIDADA 1,0'!C20</f>
        <v>17448</v>
      </c>
      <c r="D20" s="5">
        <f t="shared" ca="1" si="0"/>
        <v>2181</v>
      </c>
      <c r="E20" s="5">
        <f t="shared" ca="1" si="1"/>
        <v>47982</v>
      </c>
    </row>
    <row r="21" spans="1:5" x14ac:dyDescent="0.25">
      <c r="A21">
        <v>130155</v>
      </c>
      <c r="B21" t="s">
        <v>16</v>
      </c>
      <c r="C21">
        <f>'[1]VENTAS CONSOLIDADA 1,0'!C21</f>
        <v>20714</v>
      </c>
      <c r="D21" s="5">
        <f t="shared" ca="1" si="0"/>
        <v>2589.25</v>
      </c>
      <c r="E21" s="5">
        <f t="shared" ca="1" si="1"/>
        <v>56963.5</v>
      </c>
    </row>
    <row r="22" spans="1:5" x14ac:dyDescent="0.25">
      <c r="A22">
        <v>130157</v>
      </c>
      <c r="B22" t="s">
        <v>43</v>
      </c>
      <c r="C22">
        <f>'[1]VENTAS CONSOLIDADA 1,0'!C22</f>
        <v>5529</v>
      </c>
      <c r="D22" s="5">
        <f t="shared" ca="1" si="0"/>
        <v>691.125</v>
      </c>
      <c r="E22" s="5">
        <f t="shared" ca="1" si="1"/>
        <v>15204.75</v>
      </c>
    </row>
    <row r="23" spans="1:5" x14ac:dyDescent="0.25">
      <c r="A23">
        <v>130158</v>
      </c>
      <c r="B23" t="s">
        <v>44</v>
      </c>
      <c r="C23">
        <f>'[1]VENTAS CONSOLIDADA 1,0'!C23</f>
        <v>6699</v>
      </c>
      <c r="D23" s="5">
        <f t="shared" ca="1" si="0"/>
        <v>837.375</v>
      </c>
      <c r="E23" s="5">
        <f t="shared" ca="1" si="1"/>
        <v>18422.25</v>
      </c>
    </row>
    <row r="24" spans="1:5" x14ac:dyDescent="0.25">
      <c r="A24">
        <v>130159</v>
      </c>
      <c r="B24" t="s">
        <v>45</v>
      </c>
      <c r="C24">
        <f>'[1]VENTAS CONSOLIDADA 1,0'!C24</f>
        <v>6582</v>
      </c>
      <c r="D24" s="5">
        <f t="shared" ca="1" si="0"/>
        <v>822.75</v>
      </c>
      <c r="E24" s="5">
        <f t="shared" ca="1" si="1"/>
        <v>18100.5</v>
      </c>
    </row>
    <row r="25" spans="1:5" x14ac:dyDescent="0.25">
      <c r="A25">
        <v>130700</v>
      </c>
      <c r="B25" t="s">
        <v>3</v>
      </c>
      <c r="C25">
        <f>'[1]VENTAS CONSOLIDADA 1,0'!C25</f>
        <v>2049</v>
      </c>
      <c r="D25" s="5">
        <f t="shared" ca="1" si="0"/>
        <v>256.125</v>
      </c>
      <c r="E25" s="5">
        <f t="shared" ca="1" si="1"/>
        <v>5634.75</v>
      </c>
    </row>
    <row r="26" spans="1:5" x14ac:dyDescent="0.25">
      <c r="A26">
        <v>130701</v>
      </c>
      <c r="B26" t="s">
        <v>30</v>
      </c>
      <c r="C26">
        <f>'[1]VENTAS CONSOLIDADA 1,0'!C26</f>
        <v>961</v>
      </c>
      <c r="D26" s="5">
        <f t="shared" ca="1" si="0"/>
        <v>120.125</v>
      </c>
      <c r="E26" s="5">
        <f t="shared" ca="1" si="1"/>
        <v>2642.75</v>
      </c>
    </row>
    <row r="27" spans="1:5" x14ac:dyDescent="0.25">
      <c r="A27">
        <v>130702</v>
      </c>
      <c r="B27" t="s">
        <v>12</v>
      </c>
      <c r="C27">
        <f>'[1]VENTAS CONSOLIDADA 1,0'!C27</f>
        <v>4233</v>
      </c>
      <c r="D27" s="5">
        <f t="shared" ca="1" si="0"/>
        <v>529.125</v>
      </c>
      <c r="E27" s="5">
        <f t="shared" ca="1" si="1"/>
        <v>11640.75</v>
      </c>
    </row>
    <row r="28" spans="1:5" x14ac:dyDescent="0.25">
      <c r="A28">
        <v>130703</v>
      </c>
      <c r="B28" t="s">
        <v>17</v>
      </c>
      <c r="C28">
        <f>'[1]VENTAS CONSOLIDADA 1,0'!C28</f>
        <v>6800</v>
      </c>
      <c r="D28" s="5">
        <f t="shared" ca="1" si="0"/>
        <v>850</v>
      </c>
      <c r="E28" s="5">
        <f t="shared" ca="1" si="1"/>
        <v>18700</v>
      </c>
    </row>
    <row r="29" spans="1:5" x14ac:dyDescent="0.25">
      <c r="A29">
        <v>130707</v>
      </c>
      <c r="B29" t="s">
        <v>42</v>
      </c>
      <c r="C29">
        <f>'[1]VENTAS CONSOLIDADA 1,0'!C29</f>
        <v>620</v>
      </c>
      <c r="D29" s="5">
        <f t="shared" ca="1" si="0"/>
        <v>77.5</v>
      </c>
      <c r="E29" s="5">
        <f t="shared" ca="1" si="1"/>
        <v>1705</v>
      </c>
    </row>
    <row r="30" spans="1:5" x14ac:dyDescent="0.25">
      <c r="A30">
        <v>131150</v>
      </c>
      <c r="B30" t="s">
        <v>22</v>
      </c>
      <c r="C30">
        <f>'[1]VENTAS CONSOLIDADA 1,0'!C30</f>
        <v>5247</v>
      </c>
      <c r="D30" s="5">
        <f t="shared" ca="1" si="0"/>
        <v>655.875</v>
      </c>
      <c r="E30" s="5">
        <f t="shared" ca="1" si="1"/>
        <v>14429.25</v>
      </c>
    </row>
    <row r="31" spans="1:5" x14ac:dyDescent="0.25">
      <c r="A31">
        <v>131151</v>
      </c>
      <c r="B31" t="s">
        <v>19</v>
      </c>
      <c r="C31">
        <f>'[1]VENTAS CONSOLIDADA 1,0'!C31</f>
        <v>7711</v>
      </c>
      <c r="D31" s="5">
        <f t="shared" ca="1" si="0"/>
        <v>963.875</v>
      </c>
      <c r="E31" s="5">
        <f t="shared" ca="1" si="1"/>
        <v>21205.25</v>
      </c>
    </row>
    <row r="32" spans="1:5" x14ac:dyDescent="0.25">
      <c r="A32">
        <v>131152</v>
      </c>
      <c r="B32" t="s">
        <v>32</v>
      </c>
      <c r="C32">
        <f>'[1]VENTAS CONSOLIDADA 1,0'!C32</f>
        <v>4104</v>
      </c>
      <c r="D32" s="5">
        <f t="shared" ca="1" si="0"/>
        <v>513</v>
      </c>
      <c r="E32" s="5">
        <f t="shared" ca="1" si="1"/>
        <v>11286</v>
      </c>
    </row>
    <row r="33" spans="1:5" x14ac:dyDescent="0.25">
      <c r="A33">
        <v>131153</v>
      </c>
      <c r="B33" t="s">
        <v>11</v>
      </c>
      <c r="C33">
        <f>'[1]VENTAS CONSOLIDADA 1,0'!C33</f>
        <v>2795</v>
      </c>
      <c r="D33" s="5">
        <f t="shared" ca="1" si="0"/>
        <v>349.375</v>
      </c>
      <c r="E33" s="5">
        <f t="shared" ca="1" si="1"/>
        <v>7686.25</v>
      </c>
    </row>
    <row r="34" spans="1:5" x14ac:dyDescent="0.25">
      <c r="A34">
        <v>131154</v>
      </c>
      <c r="B34" t="s">
        <v>48</v>
      </c>
      <c r="C34">
        <f>'[1]VENTAS CONSOLIDADA 1,0'!C34</f>
        <v>1717</v>
      </c>
      <c r="D34" s="5">
        <f t="shared" ca="1" si="0"/>
        <v>214.625</v>
      </c>
      <c r="E34" s="5">
        <f t="shared" ca="1" si="1"/>
        <v>4721.75</v>
      </c>
    </row>
    <row r="35" spans="1:5" x14ac:dyDescent="0.25">
      <c r="A35">
        <v>131155</v>
      </c>
      <c r="B35" t="s">
        <v>57</v>
      </c>
      <c r="C35">
        <f>'[1]VENTAS CONSOLIDADA 1,0'!C35</f>
        <v>2058</v>
      </c>
      <c r="D35" s="5">
        <f t="shared" ca="1" si="0"/>
        <v>257.25</v>
      </c>
      <c r="E35" s="5">
        <f t="shared" ca="1" si="1"/>
        <v>5659.5</v>
      </c>
    </row>
    <row r="36" spans="1:5" x14ac:dyDescent="0.25">
      <c r="A36">
        <v>131700</v>
      </c>
      <c r="B36" t="s">
        <v>20</v>
      </c>
      <c r="C36">
        <f>'[1]VENTAS CONSOLIDADA 1,0'!C36</f>
        <v>1025</v>
      </c>
      <c r="D36" s="5">
        <f t="shared" ca="1" si="0"/>
        <v>128.125</v>
      </c>
      <c r="E36" s="5">
        <f t="shared" ca="1" si="1"/>
        <v>2818.75</v>
      </c>
    </row>
    <row r="37" spans="1:5" x14ac:dyDescent="0.25">
      <c r="A37">
        <v>131701</v>
      </c>
      <c r="B37" t="s">
        <v>24</v>
      </c>
      <c r="C37">
        <f>'[1]VENTAS CONSOLIDADA 1,0'!C37</f>
        <v>1050</v>
      </c>
      <c r="D37" s="5">
        <f t="shared" ca="1" si="0"/>
        <v>131.25</v>
      </c>
      <c r="E37" s="5">
        <f t="shared" ca="1" si="1"/>
        <v>2887.5</v>
      </c>
    </row>
    <row r="38" spans="1:5" x14ac:dyDescent="0.25">
      <c r="A38">
        <v>132150</v>
      </c>
      <c r="B38" t="s">
        <v>25</v>
      </c>
      <c r="C38">
        <f>'[1]VENTAS CONSOLIDADA 1,0'!C38</f>
        <v>6142</v>
      </c>
      <c r="D38" s="5">
        <f t="shared" ca="1" si="0"/>
        <v>767.75</v>
      </c>
      <c r="E38" s="5">
        <f t="shared" ca="1" si="1"/>
        <v>16890.5</v>
      </c>
    </row>
    <row r="39" spans="1:5" x14ac:dyDescent="0.25">
      <c r="A39">
        <v>132151</v>
      </c>
      <c r="B39" t="s">
        <v>26</v>
      </c>
      <c r="C39">
        <f>'[1]VENTAS CONSOLIDADA 1,0'!C39</f>
        <v>4726</v>
      </c>
      <c r="D39" s="5">
        <f t="shared" ca="1" si="0"/>
        <v>590.75</v>
      </c>
      <c r="E39" s="5">
        <f t="shared" ca="1" si="1"/>
        <v>12996.5</v>
      </c>
    </row>
    <row r="40" spans="1:5" x14ac:dyDescent="0.25">
      <c r="A40">
        <v>132152</v>
      </c>
      <c r="B40" t="s">
        <v>27</v>
      </c>
      <c r="C40">
        <f>'[1]VENTAS CONSOLIDADA 1,0'!C40</f>
        <v>6389</v>
      </c>
      <c r="D40" s="5">
        <f t="shared" ca="1" si="0"/>
        <v>798.625</v>
      </c>
      <c r="E40" s="5">
        <f t="shared" ca="1" si="1"/>
        <v>17569.75</v>
      </c>
    </row>
    <row r="41" spans="1:5" x14ac:dyDescent="0.25">
      <c r="A41">
        <v>132153</v>
      </c>
      <c r="B41" t="s">
        <v>40</v>
      </c>
      <c r="C41">
        <f>'[1]VENTAS CONSOLIDADA 1,0'!C41</f>
        <v>3896</v>
      </c>
      <c r="D41" s="5">
        <f t="shared" ca="1" si="0"/>
        <v>487</v>
      </c>
      <c r="E41" s="5">
        <f t="shared" ca="1" si="1"/>
        <v>10714</v>
      </c>
    </row>
    <row r="42" spans="1:5" x14ac:dyDescent="0.25">
      <c r="A42">
        <v>134000</v>
      </c>
      <c r="B42" t="s">
        <v>35</v>
      </c>
      <c r="C42">
        <f>'[1]VENTAS CONSOLIDADA 1,0'!C42</f>
        <v>32</v>
      </c>
      <c r="D42" s="5">
        <f t="shared" ca="1" si="0"/>
        <v>4</v>
      </c>
      <c r="E42" s="5">
        <f t="shared" ca="1" si="1"/>
        <v>88</v>
      </c>
    </row>
    <row r="43" spans="1:5" x14ac:dyDescent="0.25">
      <c r="A43">
        <v>134001</v>
      </c>
      <c r="B43" t="s">
        <v>47</v>
      </c>
      <c r="C43">
        <f>'[1]VENTAS CONSOLIDADA 1,0'!C43</f>
        <v>6</v>
      </c>
      <c r="D43" s="5">
        <f t="shared" ca="1" si="0"/>
        <v>0.75</v>
      </c>
      <c r="E43" s="5">
        <f t="shared" ca="1" si="1"/>
        <v>16.5</v>
      </c>
    </row>
    <row r="44" spans="1:5" x14ac:dyDescent="0.25">
      <c r="A44">
        <v>140230</v>
      </c>
      <c r="B44" t="s">
        <v>18</v>
      </c>
      <c r="C44">
        <f>'[1]VENTAS CONSOLIDADA 1,0'!C44</f>
        <v>1140</v>
      </c>
      <c r="D44" s="5">
        <f t="shared" ca="1" si="0"/>
        <v>142.5</v>
      </c>
      <c r="E44" s="5">
        <f t="shared" ca="1" si="1"/>
        <v>3135</v>
      </c>
    </row>
    <row r="45" spans="1:5" x14ac:dyDescent="0.25">
      <c r="A45">
        <v>140231</v>
      </c>
      <c r="B45" t="s">
        <v>10</v>
      </c>
      <c r="C45">
        <f>'[1]VENTAS CONSOLIDADA 1,0'!C45</f>
        <v>4182</v>
      </c>
      <c r="D45" s="5">
        <f t="shared" ca="1" si="0"/>
        <v>522.75</v>
      </c>
      <c r="E45" s="5">
        <f t="shared" ca="1" si="1"/>
        <v>11500.5</v>
      </c>
    </row>
    <row r="46" spans="1:5" x14ac:dyDescent="0.25">
      <c r="A46">
        <v>140232</v>
      </c>
      <c r="B46" t="s">
        <v>9</v>
      </c>
      <c r="C46">
        <f>'[1]VENTAS CONSOLIDADA 1,0'!C46</f>
        <v>3404</v>
      </c>
      <c r="D46" s="5">
        <f t="shared" ca="1" si="0"/>
        <v>425.5</v>
      </c>
      <c r="E46" s="5">
        <f t="shared" ca="1" si="1"/>
        <v>9361</v>
      </c>
    </row>
    <row r="47" spans="1:5" x14ac:dyDescent="0.25">
      <c r="A47">
        <v>150360</v>
      </c>
      <c r="B47" t="s">
        <v>28</v>
      </c>
      <c r="C47">
        <f>'[1]VENTAS CONSOLIDADA 1,0'!C47</f>
        <v>1477</v>
      </c>
      <c r="D47" s="5">
        <f t="shared" ca="1" si="0"/>
        <v>184.625</v>
      </c>
      <c r="E47" s="5">
        <f t="shared" ca="1" si="1"/>
        <v>4061.75</v>
      </c>
    </row>
    <row r="48" spans="1:5" x14ac:dyDescent="0.25">
      <c r="A48">
        <v>150361</v>
      </c>
      <c r="B48" t="s">
        <v>29</v>
      </c>
      <c r="C48">
        <f>'[1]VENTAS CONSOLIDADA 1,0'!C48</f>
        <v>3785</v>
      </c>
      <c r="D48" s="5">
        <f t="shared" ca="1" si="0"/>
        <v>473.125</v>
      </c>
      <c r="E48" s="5">
        <f t="shared" ca="1" si="1"/>
        <v>10408.75</v>
      </c>
    </row>
    <row r="49" spans="1:5" x14ac:dyDescent="0.25">
      <c r="A49">
        <v>150362</v>
      </c>
      <c r="B49" t="s">
        <v>36</v>
      </c>
      <c r="C49">
        <f>'[1]VENTAS CONSOLIDADA 1,0'!C49</f>
        <v>2519</v>
      </c>
      <c r="D49" s="5">
        <f t="shared" ca="1" si="0"/>
        <v>314.875</v>
      </c>
      <c r="E49" s="5">
        <f t="shared" ca="1" si="1"/>
        <v>6927.25</v>
      </c>
    </row>
    <row r="50" spans="1:5" x14ac:dyDescent="0.25">
      <c r="A50">
        <v>150363</v>
      </c>
      <c r="B50" t="s">
        <v>31</v>
      </c>
      <c r="C50">
        <f>'[1]VENTAS CONSOLIDADA 1,0'!C50</f>
        <v>1785</v>
      </c>
      <c r="D50" s="5">
        <f t="shared" ca="1" si="0"/>
        <v>223.125</v>
      </c>
      <c r="E50" s="5">
        <f t="shared" ca="1" si="1"/>
        <v>4908.75</v>
      </c>
    </row>
    <row r="51" spans="1:5" x14ac:dyDescent="0.25">
      <c r="A51">
        <v>151500</v>
      </c>
      <c r="B51" t="s">
        <v>41</v>
      </c>
      <c r="C51">
        <f>'[1]VENTAS CONSOLIDADA 1,0'!C51</f>
        <v>241</v>
      </c>
      <c r="D51" s="5">
        <f t="shared" ca="1" si="0"/>
        <v>30.125</v>
      </c>
      <c r="E51" s="5">
        <f t="shared" ca="1" si="1"/>
        <v>662.75</v>
      </c>
    </row>
    <row r="52" spans="1:5" x14ac:dyDescent="0.25">
      <c r="A52">
        <v>151501</v>
      </c>
      <c r="B52" t="s">
        <v>33</v>
      </c>
      <c r="C52">
        <f>'[1]VENTAS CONSOLIDADA 1,0'!C52</f>
        <v>902</v>
      </c>
      <c r="D52" s="5">
        <f t="shared" ca="1" si="0"/>
        <v>112.75</v>
      </c>
      <c r="E52" s="5">
        <f t="shared" ca="1" si="1"/>
        <v>2480.5</v>
      </c>
    </row>
    <row r="53" spans="1:5" x14ac:dyDescent="0.25">
      <c r="A53">
        <v>151502</v>
      </c>
      <c r="B53" t="s">
        <v>37</v>
      </c>
      <c r="C53">
        <f>'[1]VENTAS CONSOLIDADA 1,0'!C53</f>
        <v>382</v>
      </c>
      <c r="D53" s="5">
        <f t="shared" ca="1" si="0"/>
        <v>47.75</v>
      </c>
      <c r="E53" s="5">
        <f t="shared" ca="1" si="1"/>
        <v>1050.5</v>
      </c>
    </row>
    <row r="54" spans="1:5" x14ac:dyDescent="0.25">
      <c r="A54">
        <v>151503</v>
      </c>
      <c r="B54" t="s">
        <v>34</v>
      </c>
      <c r="C54">
        <f>'[1]VENTAS CONSOLIDADA 1,0'!C54</f>
        <v>564</v>
      </c>
      <c r="D54" s="5">
        <f t="shared" ca="1" si="0"/>
        <v>70.5</v>
      </c>
      <c r="E54" s="5">
        <f t="shared" ca="1" si="1"/>
        <v>1551</v>
      </c>
    </row>
    <row r="55" spans="1:5" x14ac:dyDescent="0.25">
      <c r="C55">
        <f>SUM(C8:C54)</f>
        <v>218722</v>
      </c>
      <c r="D55" s="5">
        <f ca="1">SUM(D8:D54)</f>
        <v>27340.25</v>
      </c>
      <c r="E55" s="5">
        <f ca="1">SUM(E8:E54)</f>
        <v>601485.5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45B0CC-F2DA-4435-B3A8-0B67EEA59E3E}">
  <ds:schemaRefs/>
</ds:datastoreItem>
</file>

<file path=customXml/itemProps2.xml><?xml version="1.0" encoding="utf-8"?>
<ds:datastoreItem xmlns:ds="http://schemas.openxmlformats.org/officeDocument/2006/customXml" ds:itemID="{52FA8FE5-D878-4A8D-B664-9568032292DD}">
  <ds:schemaRefs/>
</ds:datastoreItem>
</file>

<file path=customXml/itemProps3.xml><?xml version="1.0" encoding="utf-8"?>
<ds:datastoreItem xmlns:ds="http://schemas.openxmlformats.org/officeDocument/2006/customXml" ds:itemID="{F5D7323A-644E-4D3D-8486-43C2FFAD8146}">
  <ds:schemaRefs/>
</ds:datastoreItem>
</file>

<file path=customXml/itemProps4.xml><?xml version="1.0" encoding="utf-8"?>
<ds:datastoreItem xmlns:ds="http://schemas.openxmlformats.org/officeDocument/2006/customXml" ds:itemID="{38DB5A37-2218-4EAC-B67D-146D68E76E36}">
  <ds:schemaRefs/>
</ds:datastoreItem>
</file>

<file path=customXml/itemProps5.xml><?xml version="1.0" encoding="utf-8"?>
<ds:datastoreItem xmlns:ds="http://schemas.openxmlformats.org/officeDocument/2006/customXml" ds:itemID="{AF2AF42B-D484-4F26-B929-D7FB2E56F71D}">
  <ds:schemaRefs/>
</ds:datastoreItem>
</file>

<file path=customXml/itemProps6.xml><?xml version="1.0" encoding="utf-8"?>
<ds:datastoreItem xmlns:ds="http://schemas.openxmlformats.org/officeDocument/2006/customXml" ds:itemID="{DB2ACCEB-6CC9-4D35-BDF4-AC9EF8C2F118}">
  <ds:schemaRefs/>
</ds:datastoreItem>
</file>

<file path=customXml/itemProps7.xml><?xml version="1.0" encoding="utf-8"?>
<ds:datastoreItem xmlns:ds="http://schemas.openxmlformats.org/officeDocument/2006/customXml" ds:itemID="{CC2043D8-989E-412C-8862-ACDB973E448B}">
  <ds:schemaRefs/>
</ds:datastoreItem>
</file>

<file path=customXml/itemProps8.xml><?xml version="1.0" encoding="utf-8"?>
<ds:datastoreItem xmlns:ds="http://schemas.openxmlformats.org/officeDocument/2006/customXml" ds:itemID="{8E0207D3-36B0-4047-99FA-B78F3EBADFAC}">
  <ds:schemaRefs/>
</ds:datastoreItem>
</file>

<file path=customXml/itemProps9.xml><?xml version="1.0" encoding="utf-8"?>
<ds:datastoreItem xmlns:ds="http://schemas.openxmlformats.org/officeDocument/2006/customXml" ds:itemID="{4DF253BA-E348-4CD2-AA4E-97FB2A32A7F0}">
  <ds:schemaRefs/>
</ds:datastoreItem>
</file>

<file path=customXml/itemProps10.xml><?xml version="1.0" encoding="utf-8"?>
<ds:datastoreItem xmlns:ds="http://schemas.openxmlformats.org/officeDocument/2006/customXml" ds:itemID="{7AE93A93-CA27-4BDA-AA62-2C35967BA493}">
  <ds:schemaRefs/>
</ds:datastoreItem>
</file>

<file path=customXml/itemProps11.xml><?xml version="1.0" encoding="utf-8"?>
<ds:datastoreItem xmlns:ds="http://schemas.openxmlformats.org/officeDocument/2006/customXml" ds:itemID="{084C0BCB-4732-44D2-A228-50E994334BF1}">
  <ds:schemaRefs/>
</ds:datastoreItem>
</file>

<file path=customXml/itemProps12.xml><?xml version="1.0" encoding="utf-8"?>
<ds:datastoreItem xmlns:ds="http://schemas.openxmlformats.org/officeDocument/2006/customXml" ds:itemID="{1624F75C-FD6B-41DE-81B8-76266AB6E660}">
  <ds:schemaRefs/>
</ds:datastoreItem>
</file>

<file path=customXml/itemProps13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CFB06E3D-1317-4F60-85DB-890000D02217}">
  <ds:schemaRefs/>
</ds:datastoreItem>
</file>

<file path=customXml/itemProps15.xml><?xml version="1.0" encoding="utf-8"?>
<ds:datastoreItem xmlns:ds="http://schemas.openxmlformats.org/officeDocument/2006/customXml" ds:itemID="{2FB7461A-5A6D-4ED3-B35C-48147355CFC0}">
  <ds:schemaRefs/>
</ds:datastoreItem>
</file>

<file path=customXml/itemProps16.xml><?xml version="1.0" encoding="utf-8"?>
<ds:datastoreItem xmlns:ds="http://schemas.openxmlformats.org/officeDocument/2006/customXml" ds:itemID="{DEFC51E7-3E67-4621-B139-07F56E3C51B6}">
  <ds:schemaRefs/>
</ds:datastoreItem>
</file>

<file path=customXml/itemProps17.xml><?xml version="1.0" encoding="utf-8"?>
<ds:datastoreItem xmlns:ds="http://schemas.openxmlformats.org/officeDocument/2006/customXml" ds:itemID="{B0CC2B14-7DD7-4033-8A48-822C26B12A45}">
  <ds:schemaRefs/>
</ds:datastoreItem>
</file>

<file path=customXml/itemProps18.xml><?xml version="1.0" encoding="utf-8"?>
<ds:datastoreItem xmlns:ds="http://schemas.openxmlformats.org/officeDocument/2006/customXml" ds:itemID="{CAB6C292-B853-467D-B711-6EBB7D36CC58}">
  <ds:schemaRefs/>
</ds:datastoreItem>
</file>

<file path=customXml/itemProps19.xml><?xml version="1.0" encoding="utf-8"?>
<ds:datastoreItem xmlns:ds="http://schemas.openxmlformats.org/officeDocument/2006/customXml" ds:itemID="{65BE5737-5D13-4B92-9A1E-66AAD091BECC}">
  <ds:schemaRefs/>
</ds:datastoreItem>
</file>

<file path=customXml/itemProps20.xml><?xml version="1.0" encoding="utf-8"?>
<ds:datastoreItem xmlns:ds="http://schemas.openxmlformats.org/officeDocument/2006/customXml" ds:itemID="{0AD6CB95-564A-49A8-92C3-BDDCD21D69F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2026-09-11T12:07:02Z</dcterms:modified>
</cp:coreProperties>
</file>