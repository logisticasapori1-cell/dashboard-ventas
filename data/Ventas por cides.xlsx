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rbit\Desktop\Almacén\Mi_Dashboard_Ventas\dashboard_supply_v.2.0\data\"/>
    </mc:Choice>
  </mc:AlternateContent>
  <xr:revisionPtr revIDLastSave="0" documentId="13_ncr:1_{60C2816D-6E01-49C7-85B4-DDEEB979221E}" xr6:coauthVersionLast="47" xr6:coauthVersionMax="47" xr10:uidLastSave="{00000000-0000-0000-0000-000000000000}"/>
  <bookViews>
    <workbookView xWindow="-120" yWindow="-120" windowWidth="29040" windowHeight="15720" tabRatio="679" firstSheet="3" activeTab="6" xr2:uid="{04ADC25A-627C-428D-B40C-57F51D50AFFA}"/>
  </bookViews>
  <sheets>
    <sheet name="Soporte" sheetId="46" state="hidden" r:id="rId1"/>
    <sheet name="VENTAS CONSOLIDADA ZULIA" sheetId="50" r:id="rId2"/>
    <sheet name="VENTAS CONSOLIDADA CARABOBO" sheetId="51" r:id="rId3"/>
    <sheet name="VENTAS CONSOLIDADA CARACAS" sheetId="52" r:id="rId4"/>
    <sheet name="VENTAS CONSOLIDADA LARA" sheetId="53" r:id="rId5"/>
    <sheet name="VENTAS CONSOLIDADA ORIENTE" sheetId="54" r:id="rId6"/>
    <sheet name="VENTAS CONSOLIDADA" sheetId="55" r:id="rId7"/>
  </sheets>
  <externalReferences>
    <externalReference r:id="rId8"/>
  </externalReferences>
  <calcPr calcId="191029"/>
  <pivotCaches>
    <pivotCache cacheId="3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55" l="1"/>
  <c r="D1" i="55"/>
  <c r="C2" i="55"/>
  <c r="C3" i="55"/>
  <c r="D3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50" i="55"/>
  <c r="C51" i="55"/>
  <c r="C52" i="55"/>
  <c r="C53" i="55"/>
  <c r="C54" i="55"/>
  <c r="C1" i="54"/>
  <c r="D1" i="54"/>
  <c r="C2" i="54"/>
  <c r="C3" i="54"/>
  <c r="D3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32" i="54"/>
  <c r="C33" i="54"/>
  <c r="C34" i="54"/>
  <c r="C35" i="54"/>
  <c r="C36" i="54"/>
  <c r="C37" i="54"/>
  <c r="C38" i="54"/>
  <c r="C39" i="54"/>
  <c r="C40" i="54"/>
  <c r="C41" i="54"/>
  <c r="C42" i="54"/>
  <c r="C43" i="54"/>
  <c r="C44" i="54"/>
  <c r="C45" i="54"/>
  <c r="C46" i="54"/>
  <c r="C47" i="54"/>
  <c r="C48" i="54"/>
  <c r="C49" i="54"/>
  <c r="C50" i="54"/>
  <c r="C51" i="54"/>
  <c r="C52" i="54"/>
  <c r="C53" i="54"/>
  <c r="C54" i="54"/>
  <c r="C1" i="53"/>
  <c r="D1" i="53"/>
  <c r="C2" i="53"/>
  <c r="C3" i="53"/>
  <c r="D3" i="53"/>
  <c r="C8" i="53"/>
  <c r="C9" i="53"/>
  <c r="C10" i="53"/>
  <c r="C11" i="53"/>
  <c r="C12" i="53"/>
  <c r="C13" i="53"/>
  <c r="C14" i="53"/>
  <c r="C15" i="53"/>
  <c r="C16" i="53"/>
  <c r="C17" i="53"/>
  <c r="C18" i="53"/>
  <c r="C19" i="53"/>
  <c r="C20" i="53"/>
  <c r="C21" i="53"/>
  <c r="C22" i="53"/>
  <c r="C23" i="53"/>
  <c r="C24" i="53"/>
  <c r="C25" i="53"/>
  <c r="C26" i="53"/>
  <c r="C27" i="53"/>
  <c r="C28" i="53"/>
  <c r="C29" i="53"/>
  <c r="C30" i="53"/>
  <c r="C31" i="53"/>
  <c r="C32" i="53"/>
  <c r="C33" i="53"/>
  <c r="C34" i="53"/>
  <c r="C35" i="53"/>
  <c r="C36" i="53"/>
  <c r="C37" i="53"/>
  <c r="C38" i="53"/>
  <c r="C39" i="53"/>
  <c r="C40" i="53"/>
  <c r="C41" i="53"/>
  <c r="C42" i="53"/>
  <c r="C43" i="53"/>
  <c r="C44" i="53"/>
  <c r="C45" i="53"/>
  <c r="C46" i="53"/>
  <c r="C47" i="53"/>
  <c r="C48" i="53"/>
  <c r="C49" i="53"/>
  <c r="C50" i="53"/>
  <c r="C51" i="53"/>
  <c r="C52" i="53"/>
  <c r="C53" i="53"/>
  <c r="C54" i="53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51" i="52"/>
  <c r="C52" i="52"/>
  <c r="C53" i="52"/>
  <c r="C54" i="52"/>
  <c r="C1" i="52"/>
  <c r="D1" i="52"/>
  <c r="C2" i="52"/>
  <c r="C3" i="52"/>
  <c r="D3" i="52"/>
  <c r="C8" i="51"/>
  <c r="C9" i="51"/>
  <c r="C10" i="51"/>
  <c r="C11" i="51"/>
  <c r="C12" i="51"/>
  <c r="C13" i="51"/>
  <c r="C14" i="51"/>
  <c r="C15" i="51"/>
  <c r="C16" i="51"/>
  <c r="C17" i="51"/>
  <c r="C18" i="51"/>
  <c r="C19" i="51"/>
  <c r="C20" i="51"/>
  <c r="C21" i="51"/>
  <c r="C22" i="51"/>
  <c r="C23" i="51"/>
  <c r="C24" i="51"/>
  <c r="C25" i="51"/>
  <c r="C26" i="51"/>
  <c r="C27" i="51"/>
  <c r="C28" i="51"/>
  <c r="C29" i="51"/>
  <c r="C30" i="51"/>
  <c r="C31" i="51"/>
  <c r="C32" i="51"/>
  <c r="C33" i="51"/>
  <c r="C34" i="51"/>
  <c r="C35" i="51"/>
  <c r="C36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C52" i="51"/>
  <c r="C53" i="51"/>
  <c r="C54" i="51"/>
  <c r="C1" i="51"/>
  <c r="D1" i="51"/>
  <c r="C2" i="51"/>
  <c r="C3" i="51"/>
  <c r="D3" i="51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33" i="50"/>
  <c r="C34" i="50"/>
  <c r="C35" i="50"/>
  <c r="C36" i="50"/>
  <c r="C37" i="50"/>
  <c r="C38" i="50"/>
  <c r="C39" i="50"/>
  <c r="C40" i="50"/>
  <c r="C41" i="50"/>
  <c r="C42" i="50"/>
  <c r="C43" i="50"/>
  <c r="C44" i="50"/>
  <c r="C45" i="50"/>
  <c r="C46" i="50"/>
  <c r="C47" i="50"/>
  <c r="C48" i="50"/>
  <c r="C49" i="50"/>
  <c r="C50" i="50"/>
  <c r="C51" i="50"/>
  <c r="C52" i="50"/>
  <c r="C53" i="50"/>
  <c r="C54" i="50"/>
  <c r="C1" i="50"/>
  <c r="D1" i="50"/>
  <c r="C2" i="50"/>
  <c r="C3" i="50"/>
  <c r="D3" i="50"/>
  <c r="D2" i="50"/>
  <c r="D2" i="54"/>
  <c r="D2" i="52"/>
  <c r="D2" i="51"/>
  <c r="D2" i="53"/>
  <c r="C55" i="55" l="1"/>
  <c r="D2" i="55"/>
  <c r="E3" i="55"/>
  <c r="E3" i="50"/>
  <c r="E2" i="50"/>
  <c r="D46" i="50" s="1"/>
  <c r="E3" i="51"/>
  <c r="E2" i="51"/>
  <c r="E3" i="52"/>
  <c r="E2" i="52"/>
  <c r="E2" i="54"/>
  <c r="E3" i="54"/>
  <c r="E3" i="53"/>
  <c r="E2" i="55" l="1"/>
  <c r="E2" i="53"/>
  <c r="E46" i="50"/>
  <c r="D43" i="52"/>
  <c r="E43" i="52" s="1"/>
  <c r="D8" i="52"/>
  <c r="D44" i="52"/>
  <c r="E44" i="52" s="1"/>
  <c r="D33" i="55"/>
  <c r="E33" i="55" s="1"/>
  <c r="D30" i="55"/>
  <c r="E30" i="55" s="1"/>
  <c r="D28" i="55"/>
  <c r="E28" i="55" s="1"/>
  <c r="D27" i="55"/>
  <c r="E27" i="55" s="1"/>
  <c r="D26" i="55"/>
  <c r="E26" i="55" s="1"/>
  <c r="D24" i="55"/>
  <c r="E24" i="55" s="1"/>
  <c r="D23" i="55"/>
  <c r="E23" i="55" s="1"/>
  <c r="D21" i="55"/>
  <c r="E21" i="55" s="1"/>
  <c r="D19" i="55"/>
  <c r="E19" i="55" s="1"/>
  <c r="D18" i="55"/>
  <c r="E18" i="55" s="1"/>
  <c r="D16" i="55"/>
  <c r="E16" i="55" s="1"/>
  <c r="D14" i="55"/>
  <c r="E14" i="55" s="1"/>
  <c r="D13" i="55"/>
  <c r="E13" i="55" s="1"/>
  <c r="D9" i="55"/>
  <c r="E9" i="55" s="1"/>
  <c r="D32" i="55"/>
  <c r="E32" i="55" s="1"/>
  <c r="D29" i="55"/>
  <c r="E29" i="55" s="1"/>
  <c r="D25" i="55"/>
  <c r="E25" i="55" s="1"/>
  <c r="D22" i="55"/>
  <c r="E22" i="55" s="1"/>
  <c r="D20" i="55"/>
  <c r="E20" i="55" s="1"/>
  <c r="D17" i="55"/>
  <c r="E17" i="55" s="1"/>
  <c r="D15" i="55"/>
  <c r="E15" i="55" s="1"/>
  <c r="D12" i="55"/>
  <c r="E12" i="55" s="1"/>
  <c r="D11" i="55"/>
  <c r="E11" i="55" s="1"/>
  <c r="D10" i="55"/>
  <c r="E10" i="55" s="1"/>
  <c r="D43" i="54"/>
  <c r="E43" i="54" s="1"/>
  <c r="D46" i="54"/>
  <c r="E46" i="54" s="1"/>
  <c r="D35" i="54"/>
  <c r="E35" i="54" s="1"/>
  <c r="D42" i="54"/>
  <c r="E42" i="54" s="1"/>
  <c r="D39" i="55"/>
  <c r="E39" i="55" s="1"/>
  <c r="D36" i="55"/>
  <c r="E36" i="55" s="1"/>
  <c r="D35" i="55"/>
  <c r="E35" i="55" s="1"/>
  <c r="D34" i="55"/>
  <c r="E34" i="55" s="1"/>
  <c r="D31" i="55"/>
  <c r="E31" i="55" s="1"/>
  <c r="D37" i="55"/>
  <c r="E37" i="55" s="1"/>
  <c r="D38" i="55"/>
  <c r="E38" i="55" s="1"/>
  <c r="D29" i="54"/>
  <c r="E29" i="54" s="1"/>
  <c r="D34" i="54"/>
  <c r="E34" i="54" s="1"/>
  <c r="D12" i="53"/>
  <c r="E12" i="53" s="1"/>
  <c r="D43" i="53"/>
  <c r="E43" i="53" s="1"/>
  <c r="D8" i="55"/>
  <c r="E8" i="55" s="1"/>
  <c r="D40" i="55"/>
  <c r="E40" i="55" s="1"/>
  <c r="D42" i="50"/>
  <c r="E42" i="50" s="1"/>
  <c r="D43" i="50"/>
  <c r="E43" i="50" s="1"/>
  <c r="D29" i="50"/>
  <c r="E29" i="50" s="1"/>
  <c r="D8" i="50"/>
  <c r="E8" i="50" s="1"/>
  <c r="D17" i="50"/>
  <c r="E17" i="50" s="1"/>
  <c r="D43" i="55"/>
  <c r="E43" i="55" s="1"/>
  <c r="D41" i="55"/>
  <c r="E41" i="55" s="1"/>
  <c r="D42" i="55"/>
  <c r="E42" i="55" s="1"/>
  <c r="D44" i="55"/>
  <c r="E44" i="55" s="1"/>
  <c r="D46" i="55"/>
  <c r="E46" i="55" s="1"/>
  <c r="D45" i="55"/>
  <c r="E45" i="55" s="1"/>
  <c r="D49" i="55"/>
  <c r="E49" i="55" s="1"/>
  <c r="D47" i="55"/>
  <c r="E47" i="55" s="1"/>
  <c r="D48" i="55"/>
  <c r="E48" i="55" s="1"/>
  <c r="D51" i="55"/>
  <c r="E51" i="55" s="1"/>
  <c r="D50" i="55"/>
  <c r="E50" i="55" s="1"/>
  <c r="D52" i="55"/>
  <c r="E52" i="55" s="1"/>
  <c r="D53" i="55"/>
  <c r="E53" i="55" s="1"/>
  <c r="D54" i="55"/>
  <c r="E54" i="55" s="1"/>
  <c r="D50" i="50"/>
  <c r="E50" i="50" s="1"/>
  <c r="D51" i="50"/>
  <c r="E51" i="50" s="1"/>
  <c r="D52" i="50"/>
  <c r="E52" i="50" s="1"/>
  <c r="D53" i="50"/>
  <c r="E53" i="50" s="1"/>
  <c r="D54" i="50"/>
  <c r="E54" i="50" s="1"/>
  <c r="D45" i="50"/>
  <c r="E45" i="50" s="1"/>
  <c r="D49" i="50"/>
  <c r="E49" i="50" s="1"/>
  <c r="D47" i="50"/>
  <c r="E47" i="50" s="1"/>
  <c r="D48" i="50"/>
  <c r="E48" i="50" s="1"/>
  <c r="D41" i="50"/>
  <c r="E41" i="50" s="1"/>
  <c r="D44" i="50"/>
  <c r="E44" i="50" s="1"/>
  <c r="D36" i="50"/>
  <c r="E36" i="50" s="1"/>
  <c r="D39" i="50"/>
  <c r="E39" i="50" s="1"/>
  <c r="D31" i="50"/>
  <c r="E31" i="50" s="1"/>
  <c r="D38" i="50"/>
  <c r="E38" i="50" s="1"/>
  <c r="D40" i="50"/>
  <c r="E40" i="50" s="1"/>
  <c r="D37" i="50"/>
  <c r="E37" i="50" s="1"/>
  <c r="D34" i="50"/>
  <c r="E34" i="50" s="1"/>
  <c r="D33" i="50"/>
  <c r="E33" i="50" s="1"/>
  <c r="D32" i="50"/>
  <c r="E32" i="50" s="1"/>
  <c r="D35" i="50"/>
  <c r="E35" i="50" s="1"/>
  <c r="D9" i="50"/>
  <c r="E9" i="50" s="1"/>
  <c r="D11" i="50"/>
  <c r="E11" i="50" s="1"/>
  <c r="D15" i="50"/>
  <c r="E15" i="50" s="1"/>
  <c r="D18" i="50"/>
  <c r="E18" i="50" s="1"/>
  <c r="D23" i="50"/>
  <c r="E23" i="50" s="1"/>
  <c r="D26" i="50"/>
  <c r="E26" i="50" s="1"/>
  <c r="D30" i="50"/>
  <c r="E30" i="50" s="1"/>
  <c r="D10" i="50"/>
  <c r="E10" i="50" s="1"/>
  <c r="D13" i="50"/>
  <c r="E13" i="50" s="1"/>
  <c r="D14" i="50"/>
  <c r="E14" i="50" s="1"/>
  <c r="D16" i="50"/>
  <c r="E16" i="50" s="1"/>
  <c r="D19" i="50"/>
  <c r="E19" i="50" s="1"/>
  <c r="D21" i="50"/>
  <c r="E21" i="50" s="1"/>
  <c r="D25" i="50"/>
  <c r="E25" i="50" s="1"/>
  <c r="D28" i="50"/>
  <c r="E28" i="50" s="1"/>
  <c r="D12" i="50"/>
  <c r="E12" i="50" s="1"/>
  <c r="D20" i="50"/>
  <c r="E20" i="50" s="1"/>
  <c r="D22" i="50"/>
  <c r="E22" i="50" s="1"/>
  <c r="D24" i="50"/>
  <c r="E24" i="50" s="1"/>
  <c r="D27" i="50"/>
  <c r="E27" i="50" s="1"/>
  <c r="D8" i="51"/>
  <c r="D51" i="51"/>
  <c r="E51" i="51" s="1"/>
  <c r="D53" i="51"/>
  <c r="E53" i="51" s="1"/>
  <c r="D50" i="51"/>
  <c r="E50" i="51" s="1"/>
  <c r="D52" i="51"/>
  <c r="E52" i="51" s="1"/>
  <c r="D54" i="51"/>
  <c r="E54" i="51" s="1"/>
  <c r="D45" i="51"/>
  <c r="E45" i="51" s="1"/>
  <c r="D46" i="51"/>
  <c r="E46" i="51" s="1"/>
  <c r="D47" i="51"/>
  <c r="E47" i="51" s="1"/>
  <c r="D49" i="51"/>
  <c r="E49" i="51" s="1"/>
  <c r="D48" i="51"/>
  <c r="E48" i="51" s="1"/>
  <c r="D42" i="51"/>
  <c r="E42" i="51" s="1"/>
  <c r="D44" i="51"/>
  <c r="E44" i="51" s="1"/>
  <c r="D43" i="51"/>
  <c r="E43" i="51" s="1"/>
  <c r="D11" i="51"/>
  <c r="E11" i="51" s="1"/>
  <c r="D16" i="51"/>
  <c r="E16" i="51" s="1"/>
  <c r="D20" i="51"/>
  <c r="E20" i="51" s="1"/>
  <c r="D22" i="51"/>
  <c r="E22" i="51" s="1"/>
  <c r="D25" i="51"/>
  <c r="E25" i="51" s="1"/>
  <c r="D29" i="51"/>
  <c r="E29" i="51" s="1"/>
  <c r="D34" i="51"/>
  <c r="E34" i="51" s="1"/>
  <c r="D39" i="51"/>
  <c r="E39" i="51" s="1"/>
  <c r="D41" i="51"/>
  <c r="E41" i="51" s="1"/>
  <c r="D12" i="51"/>
  <c r="E12" i="51" s="1"/>
  <c r="D13" i="51"/>
  <c r="E13" i="51" s="1"/>
  <c r="D18" i="51"/>
  <c r="E18" i="51" s="1"/>
  <c r="D21" i="51"/>
  <c r="E21" i="51" s="1"/>
  <c r="D24" i="51"/>
  <c r="E24" i="51" s="1"/>
  <c r="D26" i="51"/>
  <c r="E26" i="51" s="1"/>
  <c r="D32" i="51"/>
  <c r="E32" i="51" s="1"/>
  <c r="D37" i="51"/>
  <c r="E37" i="51" s="1"/>
  <c r="D9" i="51"/>
  <c r="E9" i="51" s="1"/>
  <c r="D14" i="51"/>
  <c r="E14" i="51" s="1"/>
  <c r="D19" i="51"/>
  <c r="E19" i="51" s="1"/>
  <c r="D23" i="51"/>
  <c r="E23" i="51" s="1"/>
  <c r="D27" i="51"/>
  <c r="E27" i="51" s="1"/>
  <c r="D31" i="51"/>
  <c r="E31" i="51" s="1"/>
  <c r="D35" i="51"/>
  <c r="E35" i="51" s="1"/>
  <c r="D38" i="51"/>
  <c r="E38" i="51" s="1"/>
  <c r="D10" i="51"/>
  <c r="E10" i="51" s="1"/>
  <c r="D15" i="51"/>
  <c r="E15" i="51" s="1"/>
  <c r="D17" i="51"/>
  <c r="E17" i="51" s="1"/>
  <c r="D28" i="51"/>
  <c r="E28" i="51" s="1"/>
  <c r="D30" i="51"/>
  <c r="E30" i="51" s="1"/>
  <c r="D33" i="51"/>
  <c r="E33" i="51" s="1"/>
  <c r="D36" i="51"/>
  <c r="E36" i="51" s="1"/>
  <c r="D40" i="51"/>
  <c r="E40" i="51" s="1"/>
  <c r="D9" i="52"/>
  <c r="E9" i="52" s="1"/>
  <c r="D10" i="52"/>
  <c r="E10" i="52" s="1"/>
  <c r="D11" i="52"/>
  <c r="E11" i="52" s="1"/>
  <c r="D12" i="52"/>
  <c r="E12" i="52" s="1"/>
  <c r="D13" i="52"/>
  <c r="E13" i="52" s="1"/>
  <c r="D14" i="52"/>
  <c r="E14" i="52" s="1"/>
  <c r="D15" i="52"/>
  <c r="E15" i="52" s="1"/>
  <c r="D16" i="52"/>
  <c r="E16" i="52" s="1"/>
  <c r="D17" i="52"/>
  <c r="E17" i="52" s="1"/>
  <c r="D18" i="52"/>
  <c r="E18" i="52" s="1"/>
  <c r="D19" i="52"/>
  <c r="E19" i="52" s="1"/>
  <c r="D20" i="52"/>
  <c r="E20" i="52" s="1"/>
  <c r="D21" i="52"/>
  <c r="E21" i="52" s="1"/>
  <c r="D22" i="52"/>
  <c r="E22" i="52" s="1"/>
  <c r="D23" i="52"/>
  <c r="E23" i="52" s="1"/>
  <c r="D24" i="52"/>
  <c r="E24" i="52" s="1"/>
  <c r="D25" i="52"/>
  <c r="E25" i="52" s="1"/>
  <c r="D26" i="52"/>
  <c r="E26" i="52" s="1"/>
  <c r="D27" i="52"/>
  <c r="E27" i="52" s="1"/>
  <c r="D28" i="52"/>
  <c r="E28" i="52" s="1"/>
  <c r="D29" i="52"/>
  <c r="E29" i="52" s="1"/>
  <c r="D30" i="52"/>
  <c r="E30" i="52" s="1"/>
  <c r="D31" i="52"/>
  <c r="E31" i="52" s="1"/>
  <c r="D32" i="52"/>
  <c r="E32" i="52" s="1"/>
  <c r="D33" i="52"/>
  <c r="E33" i="52" s="1"/>
  <c r="D34" i="52"/>
  <c r="E34" i="52" s="1"/>
  <c r="D35" i="52"/>
  <c r="E35" i="52" s="1"/>
  <c r="D36" i="52"/>
  <c r="E36" i="52" s="1"/>
  <c r="D37" i="52"/>
  <c r="E37" i="52" s="1"/>
  <c r="D38" i="52"/>
  <c r="E38" i="52" s="1"/>
  <c r="D39" i="52"/>
  <c r="E39" i="52" s="1"/>
  <c r="D40" i="52"/>
  <c r="E40" i="52" s="1"/>
  <c r="D41" i="52"/>
  <c r="E41" i="52" s="1"/>
  <c r="D42" i="52"/>
  <c r="E42" i="52" s="1"/>
  <c r="D45" i="52"/>
  <c r="E45" i="52" s="1"/>
  <c r="D46" i="52"/>
  <c r="E46" i="52" s="1"/>
  <c r="D47" i="52"/>
  <c r="E47" i="52" s="1"/>
  <c r="D48" i="52"/>
  <c r="E48" i="52" s="1"/>
  <c r="D49" i="52"/>
  <c r="E49" i="52" s="1"/>
  <c r="D50" i="52"/>
  <c r="E50" i="52" s="1"/>
  <c r="D51" i="52"/>
  <c r="E51" i="52" s="1"/>
  <c r="D52" i="52"/>
  <c r="E52" i="52" s="1"/>
  <c r="D53" i="52"/>
  <c r="E53" i="52" s="1"/>
  <c r="D54" i="52"/>
  <c r="E54" i="52" s="1"/>
  <c r="D18" i="54"/>
  <c r="E18" i="54" s="1"/>
  <c r="D9" i="54"/>
  <c r="E9" i="54" s="1"/>
  <c r="D10" i="54"/>
  <c r="E10" i="54" s="1"/>
  <c r="D19" i="54"/>
  <c r="E19" i="54" s="1"/>
  <c r="D16" i="54"/>
  <c r="E16" i="54" s="1"/>
  <c r="D11" i="54"/>
  <c r="E11" i="54" s="1"/>
  <c r="D22" i="54"/>
  <c r="E22" i="54" s="1"/>
  <c r="D17" i="54"/>
  <c r="E17" i="54" s="1"/>
  <c r="D14" i="54"/>
  <c r="E14" i="54" s="1"/>
  <c r="D13" i="54"/>
  <c r="E13" i="54" s="1"/>
  <c r="D15" i="54"/>
  <c r="E15" i="54" s="1"/>
  <c r="D12" i="54"/>
  <c r="E12" i="54" s="1"/>
  <c r="D53" i="54"/>
  <c r="E53" i="54" s="1"/>
  <c r="D23" i="54"/>
  <c r="E23" i="54" s="1"/>
  <c r="D45" i="54"/>
  <c r="E45" i="54" s="1"/>
  <c r="D48" i="54"/>
  <c r="E48" i="54" s="1"/>
  <c r="D41" i="54"/>
  <c r="E41" i="54" s="1"/>
  <c r="D50" i="54"/>
  <c r="E50" i="54" s="1"/>
  <c r="D33" i="54"/>
  <c r="E33" i="54" s="1"/>
  <c r="D37" i="54"/>
  <c r="E37" i="54" s="1"/>
  <c r="D31" i="54"/>
  <c r="E31" i="54" s="1"/>
  <c r="D27" i="54"/>
  <c r="E27" i="54" s="1"/>
  <c r="D54" i="54"/>
  <c r="E54" i="54" s="1"/>
  <c r="D21" i="54"/>
  <c r="E21" i="54" s="1"/>
  <c r="D39" i="54"/>
  <c r="E39" i="54" s="1"/>
  <c r="D24" i="54"/>
  <c r="E24" i="54" s="1"/>
  <c r="D51" i="54"/>
  <c r="E51" i="54" s="1"/>
  <c r="D47" i="54"/>
  <c r="E47" i="54" s="1"/>
  <c r="D44" i="54"/>
  <c r="E44" i="54" s="1"/>
  <c r="D49" i="54"/>
  <c r="E49" i="54" s="1"/>
  <c r="D52" i="54"/>
  <c r="E52" i="54" s="1"/>
  <c r="D36" i="54"/>
  <c r="E36" i="54" s="1"/>
  <c r="D32" i="54"/>
  <c r="E32" i="54" s="1"/>
  <c r="D38" i="54"/>
  <c r="E38" i="54" s="1"/>
  <c r="D40" i="54"/>
  <c r="E40" i="54" s="1"/>
  <c r="D28" i="54"/>
  <c r="E28" i="54" s="1"/>
  <c r="D30" i="54"/>
  <c r="E30" i="54" s="1"/>
  <c r="D8" i="54"/>
  <c r="D20" i="54"/>
  <c r="E20" i="54" s="1"/>
  <c r="D25" i="54"/>
  <c r="E25" i="54" s="1"/>
  <c r="D26" i="54"/>
  <c r="E26" i="54" s="1"/>
  <c r="E8" i="54" l="1"/>
  <c r="E55" i="54" s="1"/>
  <c r="D55" i="54"/>
  <c r="D23" i="53"/>
  <c r="E23" i="53" s="1"/>
  <c r="D24" i="53"/>
  <c r="E24" i="53" s="1"/>
  <c r="D25" i="53"/>
  <c r="E25" i="53" s="1"/>
  <c r="D26" i="53"/>
  <c r="E26" i="53" s="1"/>
  <c r="D27" i="53"/>
  <c r="E27" i="53" s="1"/>
  <c r="D28" i="53"/>
  <c r="E28" i="53" s="1"/>
  <c r="D29" i="53"/>
  <c r="E29" i="53" s="1"/>
  <c r="D30" i="53"/>
  <c r="E30" i="53" s="1"/>
  <c r="D31" i="53"/>
  <c r="E31" i="53" s="1"/>
  <c r="D32" i="53"/>
  <c r="E32" i="53" s="1"/>
  <c r="D19" i="53"/>
  <c r="E19" i="53" s="1"/>
  <c r="D17" i="53"/>
  <c r="E17" i="53" s="1"/>
  <c r="D16" i="53"/>
  <c r="E16" i="53" s="1"/>
  <c r="D14" i="53"/>
  <c r="E14" i="53" s="1"/>
  <c r="D15" i="53"/>
  <c r="E15" i="53" s="1"/>
  <c r="D13" i="53"/>
  <c r="E13" i="53" s="1"/>
  <c r="D9" i="53"/>
  <c r="E9" i="53" s="1"/>
  <c r="D11" i="53"/>
  <c r="E11" i="53" s="1"/>
  <c r="D10" i="53"/>
  <c r="E10" i="53" s="1"/>
  <c r="D8" i="53"/>
  <c r="E8" i="53" s="1"/>
  <c r="D34" i="53"/>
  <c r="E34" i="53" s="1"/>
  <c r="D36" i="53"/>
  <c r="E36" i="53" s="1"/>
  <c r="D37" i="53"/>
  <c r="E37" i="53" s="1"/>
  <c r="D38" i="53"/>
  <c r="E38" i="53" s="1"/>
  <c r="D39" i="53"/>
  <c r="D41" i="53"/>
  <c r="E41" i="53" s="1"/>
  <c r="D44" i="53"/>
  <c r="E44" i="53" s="1"/>
  <c r="D46" i="53"/>
  <c r="E46" i="53" s="1"/>
  <c r="D49" i="53"/>
  <c r="E49" i="53" s="1"/>
  <c r="D52" i="53"/>
  <c r="E52" i="53" s="1"/>
  <c r="D33" i="53"/>
  <c r="E33" i="53" s="1"/>
  <c r="D42" i="53"/>
  <c r="E42" i="53" s="1"/>
  <c r="D47" i="53"/>
  <c r="E47" i="53" s="1"/>
  <c r="D50" i="53"/>
  <c r="E50" i="53" s="1"/>
  <c r="D53" i="53"/>
  <c r="E53" i="53" s="1"/>
  <c r="D35" i="53"/>
  <c r="E35" i="53" s="1"/>
  <c r="D40" i="53"/>
  <c r="E40" i="53" s="1"/>
  <c r="D45" i="53"/>
  <c r="E45" i="53" s="1"/>
  <c r="D48" i="53"/>
  <c r="E48" i="53" s="1"/>
  <c r="D51" i="53"/>
  <c r="E51" i="53" s="1"/>
  <c r="D54" i="53"/>
  <c r="E54" i="53" s="1"/>
  <c r="D18" i="53"/>
  <c r="E18" i="53" s="1"/>
  <c r="D20" i="53"/>
  <c r="E20" i="53" s="1"/>
  <c r="D21" i="53"/>
  <c r="E21" i="53" s="1"/>
  <c r="D22" i="53"/>
  <c r="E22" i="53" s="1"/>
  <c r="E55" i="50"/>
  <c r="E8" i="51"/>
  <c r="D55" i="51"/>
  <c r="E8" i="52"/>
  <c r="E55" i="52" s="1"/>
  <c r="D55" i="52"/>
  <c r="E55" i="51"/>
  <c r="E55" i="55"/>
  <c r="D55" i="55"/>
  <c r="D55" i="50"/>
  <c r="E39" i="53" l="1"/>
  <c r="D55" i="53"/>
  <c r="E55" i="5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B775EA-1C1A-4311-B0F1-CC20599B7A50}" keepAlive="1" name="Consulta - BDVentas_BLA" description="Conexión a la consulta 'BDVentas_BLA' en el libro." type="5" refreshedVersion="8" background="1" saveData="1">
    <dbPr connection="Provider=Microsoft.Mashup.OleDb.1;Data Source=$Workbook$;Location=BDVentas_BLA;Extended Properties=&quot;&quot;" command="SELECT * FROM [BDVentas_BLA]"/>
  </connection>
  <connection id="2" xr16:uid="{6A7B569B-0EAB-42FE-ABE6-570F4D8C3282}" keepAlive="1" name="Consulta - BDVentas_BQMTO" description="Conexión a la consulta 'BDVentas_BQMTO' en el libro." type="5" refreshedVersion="8" background="1" saveData="1">
    <dbPr connection="Provider=Microsoft.Mashup.OleDb.1;Data Source=$Workbook$;Location=BDVentas_BQMTO;Extended Properties=&quot;&quot;" command="SELECT * FROM [BDVentas_BQMTO]"/>
  </connection>
  <connection id="3" xr16:uid="{9CDB0130-5E6A-4A25-B6FA-048852DAC59D}" keepAlive="1" name="Consulta - BDVentas_CCS" description="Conexión a la consulta 'BDVentas_CCS' en el libro." type="5" refreshedVersion="8" background="1" saveData="1">
    <dbPr connection="Provider=Microsoft.Mashup.OleDb.1;Data Source=$Workbook$;Location=BDVentas_CCS;Extended Properties=&quot;&quot;" command="SELECT * FROM [BDVentas_CCS]"/>
  </connection>
  <connection id="4" xr16:uid="{6B30F862-6B42-42F8-9D63-44BC03EB64E1}" keepAlive="1" name="Consulta - BDVentas_Odoo" description="Conexión a la consulta 'BDVentas_Odoo' en el libro." type="5" refreshedVersion="8" background="1" saveData="1">
    <dbPr connection="Provider=Microsoft.Mashup.OleDb.1;Data Source=$Workbook$;Location=BDVentas_Odoo;Extended Properties=&quot;&quot;" command="SELECT * FROM [BDVentas_Odoo]"/>
  </connection>
  <connection id="5" xr16:uid="{71C06CFE-1422-4A48-892E-A2ABB10384AE}" keepAlive="1" name="Consulta - BDVentas_VLN" description="Conexión a la consulta 'BDVentas_VLN' en el libro." type="5" refreshedVersion="8" background="1" saveData="1">
    <dbPr connection="Provider=Microsoft.Mashup.OleDb.1;Data Source=$Workbook$;Location=BDVentas_VLN;Extended Properties=&quot;&quot;" command="SELECT * FROM [BDVentas_VLN]"/>
  </connection>
  <connection id="6" xr16:uid="{D5E28EDC-F6D6-4069-8D79-ABF53E1E60BF}" keepAlive="1" name="Consulta - consolidado_SaporiCloud" description="Conexión a la consulta 'consolidado_SaporiCloud' en el libro." type="5" refreshedVersion="8" background="1" saveData="1">
    <dbPr connection="Provider=Microsoft.Mashup.OleDb.1;Data Source=$Workbook$;Location=consolidado_SaporiCloud;Extended Properties=&quot;&quot;" command="SELECT * FROM [consolidado_SaporiCloud]"/>
  </connection>
  <connection id="7" xr16:uid="{0202FA2B-CAB8-4F99-8C2A-72B4D93B4EA7}" keepAlive="1" name="Consulta - Consolidado_Ventas" description="Conexión a la consulta 'Consolidado_Ventas' en el libro." type="5" refreshedVersion="8" background="1" saveData="1">
    <dbPr connection="Provider=Microsoft.Mashup.OleDb.1;Data Source=$Workbook$;Location=Consolidado_Ventas;Extended Properties=&quot;&quot;" command="SELECT * FROM [Consolidado_Ventas]"/>
  </connection>
  <connection id="8" xr16:uid="{CF60929C-30A0-4FB3-8900-3989A53A78D2}" keepAlive="1" name="Consulta - Resumen_Consolidado" description="Conexión a la consulta 'Resumen_Consolidado' en el libro." type="5" refreshedVersion="8" background="1" saveData="1">
    <dbPr connection="Provider=Microsoft.Mashup.OleDb.1;Data Source=$Workbook$;Location=Resumen_Consolidado;Extended Properties=&quot;&quot;" command="SELECT * FROM [Resumen_Consolidado]"/>
  </connection>
</connections>
</file>

<file path=xl/sharedStrings.xml><?xml version="1.0" encoding="utf-8"?>
<sst xmlns="http://schemas.openxmlformats.org/spreadsheetml/2006/main" count="320" uniqueCount="62">
  <si>
    <t>Cremigurt Natural 150g</t>
  </si>
  <si>
    <t>Cremosillo Tradicional 230g</t>
  </si>
  <si>
    <t>Cremosillo Tradicional 150g</t>
  </si>
  <si>
    <t>Cremigurt Natural 700g</t>
  </si>
  <si>
    <t>Cremigurt Dulce 150g</t>
  </si>
  <si>
    <t>Cremosillo Coco 150g</t>
  </si>
  <si>
    <t>Total general</t>
  </si>
  <si>
    <t>Suma de Cantidad</t>
  </si>
  <si>
    <t>Suma de PrecioTotal</t>
  </si>
  <si>
    <t>Cremigurt Líquido Durazno 230g</t>
  </si>
  <si>
    <t>Cremigurt Líquido Fresa 230g</t>
  </si>
  <si>
    <t>Cremigurt Power Cookies and Cream 150g</t>
  </si>
  <si>
    <t>Cremigurt Griego Fresa 700g</t>
  </si>
  <si>
    <t>Cremosillo Tradicional 400g</t>
  </si>
  <si>
    <t>Cremosillo Tradicional 1000g</t>
  </si>
  <si>
    <t>Gelatina Saltarina Fresa 130g</t>
  </si>
  <si>
    <t>Cremigurt Griego 150g</t>
  </si>
  <si>
    <t>Cremigurt Griego 700g</t>
  </si>
  <si>
    <t>Cremigurt Líquido Dulce 230g</t>
  </si>
  <si>
    <t>Cremigurt Power Mantecado 150g</t>
  </si>
  <si>
    <t>Cremigurt Power Natural 700g</t>
  </si>
  <si>
    <t>Gelatina Saltarina Kolita 130g</t>
  </si>
  <si>
    <t>Cremigurt Power Natural 150g</t>
  </si>
  <si>
    <t>Gelatina Saltarina Chicle 130g</t>
  </si>
  <si>
    <t>Cremigurt Power Mantecado 700g</t>
  </si>
  <si>
    <t>Cremigurt Griego Fresa S/A 150g</t>
  </si>
  <si>
    <t>Cremigurt Griego Coco Vainilla S/A 150g</t>
  </si>
  <si>
    <t>Cremigurt Griego Pie de Limón S/A 150g</t>
  </si>
  <si>
    <t>Tevia Limon 360ml</t>
  </si>
  <si>
    <t>Tevia Durazno 360ml</t>
  </si>
  <si>
    <t>Cremigurt Dulce 700g</t>
  </si>
  <si>
    <t>Tevia Tropical Punch 360ml</t>
  </si>
  <si>
    <t>Cremigurt Power CheesseCake Fresa 150g</t>
  </si>
  <si>
    <t>Tevia Durazno 1.5 L</t>
  </si>
  <si>
    <t>Tevia Tropical Punch 1.5 L</t>
  </si>
  <si>
    <t>Cremigurt Griego Natural 4 Kg</t>
  </si>
  <si>
    <t>Tevia Blueberry 360ml</t>
  </si>
  <si>
    <t>Tevia Blueberry 1.5 L</t>
  </si>
  <si>
    <t>Etiquetas de columna</t>
  </si>
  <si>
    <t>Total 2026</t>
  </si>
  <si>
    <t>Cremigurt Griego Caramelo Salado S/A 150g</t>
  </si>
  <si>
    <t>Tevia Limon 1.5L</t>
  </si>
  <si>
    <t>Griego Mykonos 700g</t>
  </si>
  <si>
    <t>Cremigurt Griego Mango 150g</t>
  </si>
  <si>
    <t>Cremigurt Griego Ciruela 150g</t>
  </si>
  <si>
    <t>Cremigurt Griego Mora 150g</t>
  </si>
  <si>
    <t>CARABOBO</t>
  </si>
  <si>
    <t>Cremigurt Griego Dulce 4 Kg</t>
  </si>
  <si>
    <t>Cremigurt Power Piña Colada 150g</t>
  </si>
  <si>
    <t>VENTAS DIARIAS</t>
  </si>
  <si>
    <t>VENTAS MES</t>
  </si>
  <si>
    <t>Cremigurt Fresa 150g</t>
  </si>
  <si>
    <t>Cremigurt Durazno 150g</t>
  </si>
  <si>
    <t>Cremigurt Piña 150g</t>
  </si>
  <si>
    <t>ORIENTE</t>
  </si>
  <si>
    <t>SALES</t>
  </si>
  <si>
    <t>VENTA BRUTA</t>
  </si>
  <si>
    <t>Cremigurt Power Dulce de Leche 150g</t>
  </si>
  <si>
    <t>CARACAS</t>
  </si>
  <si>
    <t>LARA</t>
  </si>
  <si>
    <t>ZULIA</t>
  </si>
  <si>
    <t>CONSOLIDADA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</si>
</sst>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3" fillId="0" borderId="0" xfId="0" applyFont="1"/>
    <xf numFmtId="14" fontId="3" fillId="0" borderId="0" xfId="0" applyNumberFormat="1" applyFont="1"/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0" borderId="0" xfId="0" applyFont="1" applyAlignment="1">
      <alignment horizontal="center"/>
    </xf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SUPPLY%20CHAIN\Sales\Ventas%20por%20cides%20SEPTIEMBRE.xlsx" TargetMode="External"/><Relationship Id="rId1" Type="http://schemas.openxmlformats.org/officeDocument/2006/relationships/externalLinkPath" Target="file:///R:\SUPPLY%20CHAIN\Sales\Ventas%20por%20cides%20SEPT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orte"/>
      <sheetName val="VENTAS CONSOLIDADA ANZOATEGUI"/>
      <sheetName val="VENTAS CONSOLIDADA LARA"/>
      <sheetName val="VENTAS CONSOLIDADA CARACAS"/>
      <sheetName val="VENTAS CONSOLIDADA VALENCIA"/>
      <sheetName val="VENTAS CONSOLIDADA ZULIA"/>
      <sheetName val="VENTAS CONSOLIDADA 1,0"/>
    </sheetNames>
    <sheetDataSet>
      <sheetData sheetId="0"/>
      <sheetData sheetId="1">
        <row r="1">
          <cell r="C1" t="str">
            <v>INICIO VENTAS</v>
          </cell>
          <cell r="D1">
            <v>46266</v>
          </cell>
        </row>
        <row r="2">
          <cell r="C2" t="str">
            <v>TRASCURSO VENTAS</v>
          </cell>
          <cell r="D2">
            <v>46295</v>
          </cell>
          <cell r="E2">
            <v>21</v>
          </cell>
        </row>
        <row r="3">
          <cell r="C3" t="str">
            <v>FINAL VENTAS</v>
          </cell>
          <cell r="D3">
            <v>46295</v>
          </cell>
          <cell r="E3">
            <v>1</v>
          </cell>
        </row>
        <row r="8">
          <cell r="C8">
            <v>895</v>
          </cell>
        </row>
        <row r="9">
          <cell r="C9">
            <v>104</v>
          </cell>
        </row>
        <row r="10">
          <cell r="C10">
            <v>239</v>
          </cell>
        </row>
        <row r="11">
          <cell r="C11">
            <v>52</v>
          </cell>
        </row>
        <row r="12">
          <cell r="C12">
            <v>11</v>
          </cell>
        </row>
        <row r="13">
          <cell r="C13">
            <v>1208</v>
          </cell>
        </row>
        <row r="14">
          <cell r="C14">
            <v>98</v>
          </cell>
        </row>
        <row r="15">
          <cell r="C15">
            <v>195</v>
          </cell>
        </row>
        <row r="16">
          <cell r="C16">
            <v>574</v>
          </cell>
        </row>
        <row r="17">
          <cell r="C17">
            <v>151</v>
          </cell>
        </row>
        <row r="18">
          <cell r="C18">
            <v>3131</v>
          </cell>
        </row>
        <row r="19">
          <cell r="C19">
            <v>1825</v>
          </cell>
        </row>
        <row r="20">
          <cell r="C20">
            <v>2240</v>
          </cell>
        </row>
        <row r="21">
          <cell r="C21">
            <v>1788</v>
          </cell>
        </row>
        <row r="22">
          <cell r="C22">
            <v>596</v>
          </cell>
        </row>
        <row r="23">
          <cell r="C23">
            <v>860</v>
          </cell>
        </row>
        <row r="24">
          <cell r="C24">
            <v>878</v>
          </cell>
        </row>
        <row r="25">
          <cell r="C25">
            <v>125</v>
          </cell>
        </row>
        <row r="26">
          <cell r="C26">
            <v>18</v>
          </cell>
        </row>
        <row r="27">
          <cell r="C27">
            <v>289</v>
          </cell>
        </row>
        <row r="28">
          <cell r="C28">
            <v>401</v>
          </cell>
        </row>
        <row r="29">
          <cell r="C29">
            <v>80</v>
          </cell>
        </row>
        <row r="30">
          <cell r="C30">
            <v>743</v>
          </cell>
        </row>
        <row r="31">
          <cell r="C31">
            <v>1865</v>
          </cell>
        </row>
        <row r="32">
          <cell r="C32">
            <v>1200</v>
          </cell>
        </row>
        <row r="33">
          <cell r="C33">
            <v>786</v>
          </cell>
        </row>
        <row r="34">
          <cell r="C34">
            <v>573</v>
          </cell>
        </row>
        <row r="35">
          <cell r="C35">
            <v>726</v>
          </cell>
        </row>
        <row r="36">
          <cell r="C36">
            <v>95</v>
          </cell>
        </row>
        <row r="37">
          <cell r="C37">
            <v>140</v>
          </cell>
        </row>
        <row r="38">
          <cell r="C38">
            <v>967</v>
          </cell>
        </row>
        <row r="39">
          <cell r="C39">
            <v>554</v>
          </cell>
        </row>
        <row r="40">
          <cell r="C40">
            <v>907</v>
          </cell>
        </row>
        <row r="41">
          <cell r="C41">
            <v>541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157</v>
          </cell>
        </row>
        <row r="45">
          <cell r="C45">
            <v>883</v>
          </cell>
        </row>
        <row r="46">
          <cell r="C46">
            <v>274</v>
          </cell>
        </row>
        <row r="47">
          <cell r="C47">
            <v>251</v>
          </cell>
        </row>
        <row r="48">
          <cell r="C48">
            <v>650</v>
          </cell>
        </row>
        <row r="49">
          <cell r="C49">
            <v>262</v>
          </cell>
        </row>
        <row r="50">
          <cell r="C50">
            <v>359</v>
          </cell>
        </row>
        <row r="51">
          <cell r="C51">
            <v>60</v>
          </cell>
        </row>
        <row r="52">
          <cell r="C52">
            <v>146</v>
          </cell>
        </row>
        <row r="53">
          <cell r="C53">
            <v>32</v>
          </cell>
        </row>
        <row r="54">
          <cell r="C54">
            <v>69</v>
          </cell>
        </row>
      </sheetData>
      <sheetData sheetId="2">
        <row r="1">
          <cell r="C1" t="str">
            <v>INICIO VENTAS</v>
          </cell>
          <cell r="D1">
            <v>46266</v>
          </cell>
        </row>
        <row r="2">
          <cell r="C2" t="str">
            <v>TRASCURSO VENTAS</v>
          </cell>
          <cell r="D2">
            <v>46295</v>
          </cell>
          <cell r="E2">
            <v>21</v>
          </cell>
        </row>
        <row r="3">
          <cell r="C3" t="str">
            <v>FINAL VENTAS</v>
          </cell>
          <cell r="D3">
            <v>46295</v>
          </cell>
          <cell r="E3">
            <v>1</v>
          </cell>
        </row>
        <row r="8">
          <cell r="C8">
            <v>1020</v>
          </cell>
        </row>
        <row r="9">
          <cell r="C9">
            <v>27</v>
          </cell>
        </row>
        <row r="10">
          <cell r="C10">
            <v>342</v>
          </cell>
        </row>
        <row r="11">
          <cell r="C11">
            <v>21</v>
          </cell>
        </row>
        <row r="12">
          <cell r="C12">
            <v>0</v>
          </cell>
        </row>
        <row r="13">
          <cell r="C13">
            <v>3317</v>
          </cell>
        </row>
        <row r="14">
          <cell r="C14">
            <v>283</v>
          </cell>
        </row>
        <row r="15">
          <cell r="C15">
            <v>660</v>
          </cell>
        </row>
        <row r="16">
          <cell r="C16">
            <v>1806</v>
          </cell>
        </row>
        <row r="17">
          <cell r="C17">
            <v>539</v>
          </cell>
        </row>
        <row r="18">
          <cell r="C18">
            <v>11691</v>
          </cell>
        </row>
        <row r="19">
          <cell r="C19">
            <v>6207</v>
          </cell>
        </row>
        <row r="20">
          <cell r="C20">
            <v>6331</v>
          </cell>
        </row>
        <row r="21">
          <cell r="C21">
            <v>7980</v>
          </cell>
        </row>
        <row r="22">
          <cell r="C22">
            <v>2514</v>
          </cell>
        </row>
        <row r="23">
          <cell r="C23">
            <v>3074</v>
          </cell>
        </row>
        <row r="24">
          <cell r="C24">
            <v>3076</v>
          </cell>
        </row>
        <row r="25">
          <cell r="C25">
            <v>609</v>
          </cell>
        </row>
        <row r="26">
          <cell r="C26">
            <v>212</v>
          </cell>
        </row>
        <row r="27">
          <cell r="C27">
            <v>1811</v>
          </cell>
        </row>
        <row r="28">
          <cell r="C28">
            <v>2280</v>
          </cell>
        </row>
        <row r="29">
          <cell r="C29">
            <v>150</v>
          </cell>
        </row>
        <row r="30">
          <cell r="C30">
            <v>988</v>
          </cell>
        </row>
        <row r="31">
          <cell r="C31">
            <v>2204</v>
          </cell>
        </row>
        <row r="32">
          <cell r="C32">
            <v>1168</v>
          </cell>
        </row>
        <row r="33">
          <cell r="C33">
            <v>782</v>
          </cell>
        </row>
        <row r="34">
          <cell r="C34">
            <v>1146</v>
          </cell>
        </row>
        <row r="35">
          <cell r="C35">
            <v>1330</v>
          </cell>
        </row>
        <row r="36">
          <cell r="C36">
            <v>260</v>
          </cell>
        </row>
        <row r="37">
          <cell r="C37">
            <v>362</v>
          </cell>
        </row>
        <row r="38">
          <cell r="C38">
            <v>2509</v>
          </cell>
        </row>
        <row r="39">
          <cell r="C39">
            <v>1373</v>
          </cell>
        </row>
        <row r="40">
          <cell r="C40">
            <v>1991</v>
          </cell>
        </row>
        <row r="41">
          <cell r="C41">
            <v>812</v>
          </cell>
        </row>
        <row r="42">
          <cell r="C42">
            <v>20</v>
          </cell>
        </row>
        <row r="43">
          <cell r="C43">
            <v>0</v>
          </cell>
        </row>
        <row r="44">
          <cell r="C44">
            <v>234</v>
          </cell>
        </row>
        <row r="45">
          <cell r="C45">
            <v>840</v>
          </cell>
        </row>
        <row r="46">
          <cell r="C46">
            <v>721</v>
          </cell>
        </row>
        <row r="47">
          <cell r="C47">
            <v>522</v>
          </cell>
        </row>
        <row r="48">
          <cell r="C48">
            <v>1172</v>
          </cell>
        </row>
        <row r="49">
          <cell r="C49">
            <v>469</v>
          </cell>
        </row>
        <row r="50">
          <cell r="C50">
            <v>529</v>
          </cell>
        </row>
        <row r="51">
          <cell r="C51">
            <v>147</v>
          </cell>
        </row>
        <row r="52">
          <cell r="C52">
            <v>422</v>
          </cell>
        </row>
        <row r="53">
          <cell r="C53">
            <v>105</v>
          </cell>
        </row>
        <row r="54">
          <cell r="C54">
            <v>123</v>
          </cell>
        </row>
      </sheetData>
      <sheetData sheetId="3">
        <row r="1">
          <cell r="C1" t="str">
            <v>INICIO VENTAS</v>
          </cell>
          <cell r="D1">
            <v>46266</v>
          </cell>
        </row>
        <row r="2">
          <cell r="C2" t="str">
            <v>TRASCURSO VENTAS</v>
          </cell>
          <cell r="D2">
            <v>46295</v>
          </cell>
          <cell r="E2">
            <v>21</v>
          </cell>
        </row>
        <row r="3">
          <cell r="C3" t="str">
            <v>FINAL VENTAS</v>
          </cell>
          <cell r="D3">
            <v>46295</v>
          </cell>
          <cell r="E3">
            <v>1</v>
          </cell>
        </row>
        <row r="8">
          <cell r="C8">
            <v>16513</v>
          </cell>
        </row>
        <row r="9">
          <cell r="C9">
            <v>470</v>
          </cell>
        </row>
        <row r="10">
          <cell r="C10">
            <v>7059</v>
          </cell>
        </row>
        <row r="11">
          <cell r="C11">
            <v>1561</v>
          </cell>
        </row>
        <row r="12">
          <cell r="C12">
            <v>240</v>
          </cell>
        </row>
        <row r="13">
          <cell r="C13">
            <v>17083</v>
          </cell>
        </row>
        <row r="14">
          <cell r="C14">
            <v>1355</v>
          </cell>
        </row>
        <row r="15">
          <cell r="C15">
            <v>2834</v>
          </cell>
        </row>
        <row r="16">
          <cell r="C16">
            <v>6306</v>
          </cell>
        </row>
        <row r="17">
          <cell r="C17">
            <v>3932</v>
          </cell>
        </row>
        <row r="18">
          <cell r="C18">
            <v>33982</v>
          </cell>
        </row>
        <row r="19">
          <cell r="C19">
            <v>22935</v>
          </cell>
        </row>
        <row r="20">
          <cell r="C20">
            <v>22096</v>
          </cell>
        </row>
        <row r="21">
          <cell r="C21">
            <v>28627</v>
          </cell>
        </row>
        <row r="22">
          <cell r="C22">
            <v>7465</v>
          </cell>
        </row>
        <row r="23">
          <cell r="C23">
            <v>7605</v>
          </cell>
        </row>
        <row r="24">
          <cell r="C24">
            <v>8134</v>
          </cell>
        </row>
        <row r="25">
          <cell r="C25">
            <v>2267</v>
          </cell>
        </row>
        <row r="26">
          <cell r="C26">
            <v>1090</v>
          </cell>
        </row>
        <row r="27">
          <cell r="C27">
            <v>4710</v>
          </cell>
        </row>
        <row r="28">
          <cell r="C28">
            <v>9308</v>
          </cell>
        </row>
        <row r="29">
          <cell r="C29">
            <v>1210</v>
          </cell>
        </row>
        <row r="30">
          <cell r="C30">
            <v>8988</v>
          </cell>
        </row>
        <row r="31">
          <cell r="C31">
            <v>13142</v>
          </cell>
        </row>
        <row r="32">
          <cell r="C32">
            <v>6127</v>
          </cell>
        </row>
        <row r="33">
          <cell r="C33">
            <v>4422</v>
          </cell>
        </row>
        <row r="34">
          <cell r="C34">
            <v>2141</v>
          </cell>
        </row>
        <row r="35">
          <cell r="C35">
            <v>2779</v>
          </cell>
        </row>
        <row r="36">
          <cell r="C36">
            <v>1495</v>
          </cell>
        </row>
        <row r="37">
          <cell r="C37">
            <v>1614</v>
          </cell>
        </row>
        <row r="38">
          <cell r="C38">
            <v>7106</v>
          </cell>
        </row>
        <row r="39">
          <cell r="C39">
            <v>6041</v>
          </cell>
        </row>
        <row r="40">
          <cell r="C40">
            <v>8049</v>
          </cell>
        </row>
        <row r="41">
          <cell r="C41">
            <v>5976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1050</v>
          </cell>
        </row>
        <row r="45">
          <cell r="C45">
            <v>6128</v>
          </cell>
        </row>
        <row r="46">
          <cell r="C46">
            <v>4123</v>
          </cell>
        </row>
        <row r="47">
          <cell r="C47">
            <v>3287</v>
          </cell>
        </row>
        <row r="48">
          <cell r="C48">
            <v>5695</v>
          </cell>
        </row>
        <row r="49">
          <cell r="C49">
            <v>3909</v>
          </cell>
        </row>
        <row r="50">
          <cell r="C50">
            <v>3430</v>
          </cell>
        </row>
        <row r="51">
          <cell r="C51">
            <v>606</v>
          </cell>
        </row>
        <row r="52">
          <cell r="C52">
            <v>1310</v>
          </cell>
        </row>
        <row r="53">
          <cell r="C53">
            <v>494</v>
          </cell>
        </row>
        <row r="54">
          <cell r="C54">
            <v>621</v>
          </cell>
        </row>
      </sheetData>
      <sheetData sheetId="4">
        <row r="1">
          <cell r="C1" t="str">
            <v>INICIO VENTAS</v>
          </cell>
          <cell r="D1">
            <v>46266</v>
          </cell>
        </row>
        <row r="2">
          <cell r="C2" t="str">
            <v>TRASCURSO VENTAS</v>
          </cell>
          <cell r="D2">
            <v>46295</v>
          </cell>
          <cell r="E2">
            <v>21</v>
          </cell>
        </row>
        <row r="3">
          <cell r="C3" t="str">
            <v>FINAL VENTAS</v>
          </cell>
          <cell r="D3">
            <v>46295</v>
          </cell>
          <cell r="E3">
            <v>1</v>
          </cell>
        </row>
        <row r="8">
          <cell r="C8">
            <v>4790</v>
          </cell>
        </row>
        <row r="9">
          <cell r="C9">
            <v>249</v>
          </cell>
        </row>
        <row r="10">
          <cell r="C10">
            <v>2357</v>
          </cell>
        </row>
        <row r="11">
          <cell r="C11">
            <v>545</v>
          </cell>
        </row>
        <row r="12">
          <cell r="C12">
            <v>40</v>
          </cell>
        </row>
        <row r="13">
          <cell r="C13">
            <v>7080</v>
          </cell>
        </row>
        <row r="14">
          <cell r="C14">
            <v>1156</v>
          </cell>
        </row>
        <row r="15">
          <cell r="C15">
            <v>2682</v>
          </cell>
        </row>
        <row r="16">
          <cell r="C16">
            <v>7244</v>
          </cell>
        </row>
        <row r="17">
          <cell r="C17">
            <v>3228</v>
          </cell>
        </row>
        <row r="18">
          <cell r="C18">
            <v>20431</v>
          </cell>
        </row>
        <row r="19">
          <cell r="C19">
            <v>12406</v>
          </cell>
        </row>
        <row r="20">
          <cell r="C20">
            <v>13054</v>
          </cell>
        </row>
        <row r="21">
          <cell r="C21">
            <v>15424</v>
          </cell>
        </row>
        <row r="22">
          <cell r="C22">
            <v>4016</v>
          </cell>
        </row>
        <row r="23">
          <cell r="C23">
            <v>5845</v>
          </cell>
        </row>
        <row r="24">
          <cell r="C24">
            <v>5393</v>
          </cell>
        </row>
        <row r="25">
          <cell r="C25">
            <v>2588</v>
          </cell>
        </row>
        <row r="26">
          <cell r="C26">
            <v>1496</v>
          </cell>
        </row>
        <row r="27">
          <cell r="C27">
            <v>3857</v>
          </cell>
        </row>
        <row r="28">
          <cell r="C28">
            <v>5859</v>
          </cell>
        </row>
        <row r="29">
          <cell r="C29">
            <v>0</v>
          </cell>
        </row>
        <row r="30">
          <cell r="C30">
            <v>3539</v>
          </cell>
        </row>
        <row r="31">
          <cell r="C31">
            <v>4884</v>
          </cell>
        </row>
        <row r="32">
          <cell r="C32">
            <v>2955</v>
          </cell>
        </row>
        <row r="33">
          <cell r="C33">
            <v>2501</v>
          </cell>
        </row>
        <row r="34">
          <cell r="C34">
            <v>1196</v>
          </cell>
        </row>
        <row r="35">
          <cell r="C35">
            <v>1434</v>
          </cell>
        </row>
        <row r="36">
          <cell r="C36">
            <v>802</v>
          </cell>
        </row>
        <row r="37">
          <cell r="C37">
            <v>877</v>
          </cell>
        </row>
        <row r="38">
          <cell r="C38">
            <v>5250</v>
          </cell>
        </row>
        <row r="39">
          <cell r="C39">
            <v>4051</v>
          </cell>
        </row>
        <row r="40">
          <cell r="C40">
            <v>5355</v>
          </cell>
        </row>
        <row r="41">
          <cell r="C41">
            <v>3412</v>
          </cell>
        </row>
        <row r="42">
          <cell r="C42">
            <v>60</v>
          </cell>
        </row>
        <row r="43">
          <cell r="C43">
            <v>11</v>
          </cell>
        </row>
        <row r="44">
          <cell r="C44">
            <v>1126</v>
          </cell>
        </row>
        <row r="45">
          <cell r="C45">
            <v>4093</v>
          </cell>
        </row>
        <row r="46">
          <cell r="C46">
            <v>3461</v>
          </cell>
        </row>
        <row r="47">
          <cell r="C47">
            <v>1137</v>
          </cell>
        </row>
        <row r="48">
          <cell r="C48">
            <v>2595</v>
          </cell>
        </row>
        <row r="49">
          <cell r="C49">
            <v>1287</v>
          </cell>
        </row>
        <row r="50">
          <cell r="C50">
            <v>1539</v>
          </cell>
        </row>
        <row r="51">
          <cell r="C51">
            <v>296</v>
          </cell>
        </row>
        <row r="52">
          <cell r="C52">
            <v>563</v>
          </cell>
        </row>
        <row r="53">
          <cell r="C53">
            <v>204</v>
          </cell>
        </row>
        <row r="54">
          <cell r="C54">
            <v>228</v>
          </cell>
        </row>
      </sheetData>
      <sheetData sheetId="5">
        <row r="1">
          <cell r="C1" t="str">
            <v>INICIO VENTAS</v>
          </cell>
          <cell r="D1">
            <v>46266</v>
          </cell>
        </row>
        <row r="2">
          <cell r="C2" t="str">
            <v>TRASCURSO VENTAS</v>
          </cell>
          <cell r="D2">
            <v>46295</v>
          </cell>
          <cell r="E2">
            <v>21</v>
          </cell>
        </row>
        <row r="3">
          <cell r="C3" t="str">
            <v>FINAL VENTAS</v>
          </cell>
          <cell r="D3">
            <v>46295</v>
          </cell>
          <cell r="E3">
            <v>1</v>
          </cell>
        </row>
        <row r="8">
          <cell r="C8">
            <v>628</v>
          </cell>
        </row>
        <row r="9">
          <cell r="C9">
            <v>84</v>
          </cell>
        </row>
        <row r="10">
          <cell r="C10">
            <v>193</v>
          </cell>
        </row>
        <row r="11">
          <cell r="C11">
            <v>65</v>
          </cell>
        </row>
        <row r="12">
          <cell r="C12">
            <v>9</v>
          </cell>
        </row>
        <row r="13">
          <cell r="C13">
            <v>365</v>
          </cell>
        </row>
        <row r="14">
          <cell r="C14">
            <v>200</v>
          </cell>
        </row>
        <row r="15">
          <cell r="C15">
            <v>333</v>
          </cell>
        </row>
        <row r="16">
          <cell r="C16">
            <v>446</v>
          </cell>
        </row>
        <row r="17">
          <cell r="C17">
            <v>177</v>
          </cell>
        </row>
        <row r="18">
          <cell r="C18">
            <v>1037</v>
          </cell>
        </row>
        <row r="19">
          <cell r="C19">
            <v>851</v>
          </cell>
        </row>
        <row r="20">
          <cell r="C20">
            <v>623</v>
          </cell>
        </row>
        <row r="21">
          <cell r="C21">
            <v>950</v>
          </cell>
        </row>
        <row r="22">
          <cell r="C22">
            <v>286</v>
          </cell>
        </row>
        <row r="23">
          <cell r="C23">
            <v>394</v>
          </cell>
        </row>
        <row r="24">
          <cell r="C24">
            <v>376</v>
          </cell>
        </row>
        <row r="25">
          <cell r="C25">
            <v>116</v>
          </cell>
        </row>
        <row r="26">
          <cell r="C26">
            <v>27</v>
          </cell>
        </row>
        <row r="27">
          <cell r="C27">
            <v>98</v>
          </cell>
        </row>
        <row r="28">
          <cell r="C28">
            <v>307</v>
          </cell>
        </row>
        <row r="29">
          <cell r="C29">
            <v>0</v>
          </cell>
        </row>
        <row r="30">
          <cell r="C30">
            <v>316</v>
          </cell>
        </row>
        <row r="31">
          <cell r="C31">
            <v>566</v>
          </cell>
        </row>
        <row r="32">
          <cell r="C32">
            <v>306</v>
          </cell>
        </row>
        <row r="33">
          <cell r="C33">
            <v>609</v>
          </cell>
        </row>
        <row r="34">
          <cell r="C34">
            <v>125</v>
          </cell>
        </row>
        <row r="35">
          <cell r="C35">
            <v>119</v>
          </cell>
        </row>
        <row r="36">
          <cell r="C36">
            <v>95</v>
          </cell>
        </row>
        <row r="37">
          <cell r="C37">
            <v>68</v>
          </cell>
        </row>
        <row r="38">
          <cell r="C38">
            <v>662</v>
          </cell>
        </row>
        <row r="39">
          <cell r="C39">
            <v>644</v>
          </cell>
        </row>
        <row r="40">
          <cell r="C40">
            <v>618</v>
          </cell>
        </row>
        <row r="41">
          <cell r="C41">
            <v>469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101</v>
          </cell>
        </row>
        <row r="45">
          <cell r="C45">
            <v>240</v>
          </cell>
        </row>
        <row r="46">
          <cell r="C46">
            <v>111</v>
          </cell>
        </row>
        <row r="47">
          <cell r="C47">
            <v>51</v>
          </cell>
        </row>
        <row r="48">
          <cell r="C48">
            <v>152</v>
          </cell>
        </row>
        <row r="49">
          <cell r="C49">
            <v>191</v>
          </cell>
        </row>
        <row r="50">
          <cell r="C50">
            <v>192</v>
          </cell>
        </row>
        <row r="51">
          <cell r="C51">
            <v>37</v>
          </cell>
        </row>
        <row r="52">
          <cell r="C52">
            <v>38</v>
          </cell>
        </row>
        <row r="53">
          <cell r="C53">
            <v>33</v>
          </cell>
        </row>
        <row r="54">
          <cell r="C54">
            <v>21</v>
          </cell>
        </row>
      </sheetData>
      <sheetData sheetId="6">
        <row r="1">
          <cell r="C1" t="str">
            <v>INICIO VENTAS</v>
          </cell>
          <cell r="D1">
            <v>46266</v>
          </cell>
        </row>
        <row r="2">
          <cell r="C2" t="str">
            <v>TRASCURSO VENTAS</v>
          </cell>
          <cell r="D2">
            <v>46295</v>
          </cell>
          <cell r="E2">
            <v>21</v>
          </cell>
        </row>
        <row r="3">
          <cell r="C3" t="str">
            <v>FINAL VENTAS</v>
          </cell>
          <cell r="D3">
            <v>46295</v>
          </cell>
          <cell r="E3">
            <v>1</v>
          </cell>
        </row>
        <row r="8">
          <cell r="C8">
            <v>24787</v>
          </cell>
        </row>
        <row r="9">
          <cell r="C9">
            <v>937</v>
          </cell>
        </row>
        <row r="10">
          <cell r="C10">
            <v>10278</v>
          </cell>
        </row>
        <row r="11">
          <cell r="C11">
            <v>2257</v>
          </cell>
        </row>
        <row r="12">
          <cell r="C12">
            <v>306</v>
          </cell>
        </row>
        <row r="13">
          <cell r="C13">
            <v>29227</v>
          </cell>
        </row>
        <row r="14">
          <cell r="C14">
            <v>3113</v>
          </cell>
        </row>
        <row r="15">
          <cell r="C15">
            <v>6747</v>
          </cell>
        </row>
        <row r="16">
          <cell r="C16">
            <v>16541</v>
          </cell>
        </row>
        <row r="17">
          <cell r="C17">
            <v>8151</v>
          </cell>
        </row>
        <row r="18">
          <cell r="C18">
            <v>70692</v>
          </cell>
        </row>
        <row r="19">
          <cell r="C19">
            <v>44499</v>
          </cell>
        </row>
        <row r="20">
          <cell r="C20">
            <v>44630</v>
          </cell>
        </row>
        <row r="21">
          <cell r="C21">
            <v>55127</v>
          </cell>
        </row>
        <row r="22">
          <cell r="C22">
            <v>14905</v>
          </cell>
        </row>
        <row r="23">
          <cell r="C23">
            <v>17819</v>
          </cell>
        </row>
        <row r="24">
          <cell r="C24">
            <v>17897</v>
          </cell>
        </row>
        <row r="25">
          <cell r="C25">
            <v>5809</v>
          </cell>
        </row>
        <row r="26">
          <cell r="C26">
            <v>2873</v>
          </cell>
        </row>
        <row r="27">
          <cell r="C27">
            <v>10830</v>
          </cell>
        </row>
        <row r="28">
          <cell r="C28">
            <v>18374</v>
          </cell>
        </row>
        <row r="29">
          <cell r="C29">
            <v>1440</v>
          </cell>
        </row>
        <row r="30">
          <cell r="C30">
            <v>14758</v>
          </cell>
        </row>
        <row r="31">
          <cell r="C31">
            <v>22794</v>
          </cell>
        </row>
        <row r="32">
          <cell r="C32">
            <v>11895</v>
          </cell>
        </row>
        <row r="33">
          <cell r="C33">
            <v>9458</v>
          </cell>
        </row>
        <row r="34">
          <cell r="C34">
            <v>5248</v>
          </cell>
        </row>
        <row r="35">
          <cell r="C35">
            <v>6416</v>
          </cell>
        </row>
        <row r="36">
          <cell r="C36">
            <v>2790</v>
          </cell>
        </row>
        <row r="37">
          <cell r="C37">
            <v>3099</v>
          </cell>
        </row>
        <row r="38">
          <cell r="C38">
            <v>16707</v>
          </cell>
        </row>
        <row r="39">
          <cell r="C39">
            <v>12836</v>
          </cell>
        </row>
        <row r="40">
          <cell r="C40">
            <v>17012</v>
          </cell>
        </row>
        <row r="41">
          <cell r="C41">
            <v>11324</v>
          </cell>
        </row>
        <row r="42">
          <cell r="C42">
            <v>80</v>
          </cell>
        </row>
        <row r="43">
          <cell r="C43">
            <v>11</v>
          </cell>
        </row>
        <row r="44">
          <cell r="C44">
            <v>2705</v>
          </cell>
        </row>
        <row r="45">
          <cell r="C45">
            <v>12255</v>
          </cell>
        </row>
        <row r="46">
          <cell r="C46">
            <v>8738</v>
          </cell>
        </row>
        <row r="47">
          <cell r="C47">
            <v>5325</v>
          </cell>
        </row>
        <row r="48">
          <cell r="C48">
            <v>10342</v>
          </cell>
        </row>
        <row r="49">
          <cell r="C49">
            <v>6148</v>
          </cell>
        </row>
        <row r="50">
          <cell r="C50">
            <v>6035</v>
          </cell>
        </row>
        <row r="51">
          <cell r="C51">
            <v>1124</v>
          </cell>
        </row>
        <row r="52">
          <cell r="C52">
            <v>2523</v>
          </cell>
        </row>
        <row r="53">
          <cell r="C53">
            <v>872</v>
          </cell>
        </row>
        <row r="54">
          <cell r="C54">
            <v>1066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Alfredo" refreshedDate="46251.683596296294" createdVersion="8" refreshedVersion="8" minRefreshableVersion="3" recordCount="368244" xr:uid="{EF9C26AF-C803-4603-867B-A1F4414FD8F5}">
  <cacheSource type="worksheet">
    <worksheetSource name="Consolidado_Ventas"/>
  </cacheSource>
  <cacheFields count="21">
    <cacheField name="Origen" numFmtId="0">
      <sharedItems count="4">
        <s v="D"/>
        <s v="Odoo"/>
        <s v="﻿D" u="1"/>
        <s v="SC" u="1"/>
      </sharedItems>
    </cacheField>
    <cacheField name="Site" numFmtId="0">
      <sharedItems count="5">
        <s v="VLN"/>
        <s v="BQMTO"/>
        <s v="BLA"/>
        <s v="CCS"/>
        <s v="MCBO"/>
      </sharedItems>
    </cacheField>
    <cacheField name="TipoFac" numFmtId="0">
      <sharedItems count="3">
        <s v="DEV"/>
        <s v="FAC"/>
        <s v="NC" u="1"/>
      </sharedItems>
    </cacheField>
    <cacheField name="NumeroD" numFmtId="0">
      <sharedItems/>
    </cacheField>
    <cacheField name="CodClie" numFmtId="0">
      <sharedItems containsBlank="1"/>
    </cacheField>
    <cacheField name="Cliente" numFmtId="0">
      <sharedItems count="3406">
        <s v="EL CHAKAL, C.A"/>
        <s v="HYPERMERCADO ECOMAS, C.A"/>
        <s v="NOVO MARKET 25, C.A."/>
        <s v="TU ZONA MARKET, C.A."/>
        <s v="ORIANA MARKET 2, C.A"/>
        <s v="EL BODEGON FAMILIAR 1, C.A"/>
        <s v="VICTORY TODAY, C.A."/>
        <s v="COMERCIALIZADORA ALIMENT 2020, C.A"/>
        <s v="JOSE FELIX BENITEZ CORTEZ"/>
        <s v="ANGERBER JOSE CASTILLO BELLO"/>
        <s v="BARAKI BODEGON VALENCIA, .C.A"/>
        <s v="INVERSIONES MAÑONGO 2024, C.A."/>
        <s v="AUTOMERCADO LAS CHIMENEAS"/>
        <s v="COMEVAL NAGUANAGUA, C.A"/>
        <s v="NUTRI SABORES DELI, C.A."/>
        <s v="COMERCIAL MEGA TRIUNFO C.A."/>
        <s v="CESTA MERCADO, C.A"/>
        <s v="Domicilio entrega"/>
        <s v="COMERCIALIZADORA COMEVAL, C.A."/>
        <s v="MAXI MERCADO PERIFERICO, C.A."/>
        <s v="ASHLY ANDREINA FREITES PAEZ"/>
        <s v="JOSE MIGUEL ABREU SULBARAN"/>
        <s v="INVERSIONES SAMAER, C.A."/>
        <s v="LUIS  ALBERTO ARAQUE SOTO"/>
        <s v="MAXI MERCADO LOMAS DE FUNVAL, C.A."/>
        <s v="ANDREA GABRIELA ESPINOZA NARVAEZ"/>
        <s v="ANDREINA DEL VALLE ALCALA GUAIMARATA (ADM)"/>
        <s v="VALERIA CEBALLO (CONTABILIDAD)"/>
        <s v="MAXI MERCADO ARANZAZU, C.A."/>
        <s v="LA MARQUESA DEL PAN I, C.A."/>
        <s v="SUPERMERCADO MEGASUR, C.A."/>
        <s v="INVERSIONES FERIA 2014, C.A"/>
        <s v="KOZMOS 2023, C.A."/>
        <s v="ZOILA VIOLETA RODRIGUEZ"/>
        <s v="MEGA MARKET JEREMIAS 33-3, C.A"/>
        <s v="LA MINA MARKET 1688, C.A."/>
        <s v="AUTOMERCADO MONTESERINO, C.A."/>
        <s v="EMILY FRUTAS Y HORTALIZAS, C.A."/>
        <s v="CARNICERIA EL CHACAL, C.A"/>
        <s v="MINIMARKET Q´BARATO 2023, C.A"/>
        <s v="EMPRENDIMIENTO SUSEJ REA"/>
        <s v="AVIKEL, C.A."/>
        <s v="PANADERIA CAROL , C.A"/>
        <s v="INVERSIONES JM 2020, C.A"/>
        <s v="FRIGO DISTRIBUIDORA Y AGROPECUARIA DON FRANCISCO II, C.A."/>
        <s v="VARIEDADES PERIFERICO 2 , C.A"/>
        <s v="AUTOMERCADO FRESH, C.A."/>
        <s v="DISTIRBUIDORA PLAZA VALENCIA,  20 C.A"/>
        <s v="AUTOMERCADO MERCAPLAZA, C.A."/>
        <s v="HIPERMERCADO LA FLORIDA, C.A"/>
        <s v="DELICATESES LA VIÑA, C.A"/>
        <s v="28 PANADERIA TOVAR &amp; FREITAS, C.A."/>
        <s v="FARMACIA LA SORPRESA 2024, C.A."/>
        <s v="PANADERIA SANTA CRUZ 2024, C.A."/>
        <s v="CONFEX PC, C.A."/>
        <s v="VILLA AZUL23, C.A"/>
        <s v="FRIGORIFICO SU CARNE, C.A."/>
        <s v="TROPIPIZZA FAST-FOOD, C.A"/>
        <s v="TODO EN UNO , C.A ZONA SUR"/>
        <s v="ABASTO Y CHARCUTERIA LOS TOVAR Y MARTINEZ C.A"/>
        <s v="TODO EN UNO, C,A LOS COLORADOS"/>
        <s v="INVERSIONES LA FELICIDAD 2022, C.A"/>
        <s v="FAUNA SILVESTRE, C.A."/>
        <s v="CARNICERIA Y CHARCUTERIA LAS CHIMENEAS, C.A."/>
        <s v="LIDER GYM EVOLUTION, C.A"/>
        <s v="DISTRIBUIDORA LA GRAN PARADA 2017"/>
        <s v="TODO EN UNO, C.A. FLOR AMARILLO"/>
        <s v="COMERCIALIZADORA ALIANZA 2024, C.A."/>
        <s v="TODO EN UNO, C.A. LOS GUAYOS"/>
        <s v="Ital Marine Puerto Cabello C.A."/>
        <s v="COMERCIALIZADORA DIOS PROVERA"/>
        <s v="FARMACIA PEPEFARMA, C.A"/>
        <s v="VITTORIA FASANELLI"/>
        <s v="PANADERIA ANA PAULA, C.A."/>
        <s v="RESTAURANTE EL DIAMANTE, C.A."/>
        <s v="MAYULIS JOSEFINA PEREZ ALVAREZ"/>
        <s v="INVERSIONES HESCO 2024, C.A"/>
        <s v="COMERCIALIZADORA GAMAN 2024, C.A."/>
        <s v="PROMO C.A. (JOSE)"/>
        <s v="JORGE LUIS OMAÑA RODRIGUEZ"/>
        <s v="DANIEL ANTONIO MORENO ANDRADE"/>
        <s v="DEYSY MORENO"/>
        <s v="PANADERIA PASTELERIA EL SOLAR DEL PAN, C.A."/>
        <s v="PASTELERIA GUAPARO, C.A."/>
        <s v="FRUTERIA NATUFRESH, C.A."/>
        <s v="ALFAPAN, C.A."/>
        <s v="INVERSIONES REM 2025, C.A"/>
        <s v="BAR RESTAURANT MARCHICA, C.A."/>
        <s v="COMERCIALIZADORA JANKOS, C.A"/>
        <s v="BARAKI VIÑEDO, C.A"/>
        <s v="YLSIA NOVELI PRADA MARQUEZ"/>
        <s v="INVERSIONES MORENO B C.A."/>
        <s v="PANDERIA Y CHARCUTERIA LA NUEVA 190, C.A."/>
        <s v="PRIMO EXPRESS NAGUANAGUA C.A"/>
        <s v="FARMACIA LA TRIGALEÑA, C.A"/>
        <s v="JOSE GREGORIO GARCIA RODRIGUEZ"/>
        <s v="CORPORACION PROINVEN ETC, C.A."/>
        <s v="YAHIR COLMENARES (CONTABILIDAD)"/>
        <s v="EMPRENDIMIENTO MARIA FLOREZ 110, C.A."/>
        <s v="ORIANA SANCHEZ (FACTURACION)"/>
        <s v="ELIZABETH DEL VALLE CAZORLA CASTRO"/>
        <s v="YERALDIN PEREZ ARAQUE"/>
        <s v="PANADERIA ,PASTELERIA CHARCUTERIA F.G.R BOM PAN"/>
        <s v="FRIGORIFICO ARAVIC, C.A."/>
        <s v="MARIA YANELY CONTRERAS"/>
        <s v="INVERSIONES PIEDRA PINTADA 2024, C.A. (EL CHACAL)"/>
        <s v="ESPECIARIAS E  NOZESC, A"/>
        <s v="DISTRIBUIDORA SARDICA, C.A"/>
        <s v="COMERCIAL 7-17 , C.A."/>
        <s v="MARIA ALEJANDRA ESCORCHA ANGULO"/>
        <s v="FARMACIA DEL PUEBLO, C.A"/>
        <s v="DELIPLAZA LA VICTORIA 1, C.A."/>
        <s v="DELIPLAZA LA VICTORIA 2, C.A."/>
        <s v="MAXI MARKET EL BOSQUE, C.A."/>
        <s v="PANADERIA PASTELERIA Y DELICATESES LA PROVIDENCIA, C.A."/>
        <s v="COMERCIALIZADORA CAMPO LLANO, C.A"/>
        <s v="COMERCIALIZADORA CAMPO LLANO II, C.A"/>
        <s v="ANTONIO GONCALVES ( FRUTERIA LA FINCA DE MARACAY)"/>
        <s v="AUTOMERCADO JOSE FELIX RIVAS, C.A"/>
        <s v="PANADERIA PASTELERIA LONCHERIA MARIN PAN 1 C.A"/>
        <s v="MAPKET, C.A"/>
        <s v="AMARELO CAFE, C.A."/>
        <s v="LA FORTALEZA CANTINA &amp; CAFE, C.A"/>
        <s v="CLARITZ GOMEZ (PRODUCCION)"/>
        <s v="PANIFICADORA ANTAÑO, C.A"/>
        <s v="FERNANDO JOSE CORREDOR MOTA"/>
        <s v="PAULA ANDREINA JOTA RAMOS"/>
        <s v="ROMULO PORFIRIO MUÑOZ GARCIA"/>
        <s v="PANADERIA Y PANIFICADORA EL HORNO ANDINO, C.A"/>
        <s v="PANADERIA PASTELERIA CHARCUTERIA MARAPAN 85, C.A."/>
        <s v="COMERCIAL FUNDAL 2029, C.A"/>
        <s v="Rafael Antonio Espinosa Caldera"/>
        <s v="Bar restaurante los miñotos"/>
        <s v="EL MUNDO DE LA CONFITERIA, C.A."/>
        <s v="INVERSIONES J.A MARQUEZ, C.A"/>
        <s v="INVERSIONES JELBER &amp; JEIKER, C.A."/>
        <s v="INVERSORA DIVINO NIÑO, C.A."/>
        <s v="COMERCIALIZADORA ARAQUE SOTO, C.A."/>
        <s v="BUCARES'S MARKET, C.A."/>
        <s v="MINI MARKET J.J.D., C.A"/>
        <s v="LUISA CAROLINA PACHECO OJEDA"/>
        <s v="YEIMI ANA ANTICONA SOLORZANO"/>
        <s v="AUTOMERCADO MERCALEGRIA, C.A."/>
        <s v="PANADERIA LA QUINCEAÑERA MI, C.A."/>
        <s v="PULCINI EXPRESS, C.A."/>
        <s v="MAULER  INVRSIONES , CA."/>
        <s v="ELOAH LA GRAN VICTORIA, C.A."/>
        <s v="EMPRENDIMIENTO CLAUDIA MARTINEZ 6, C.A."/>
        <s v="JOSE RAFAEL MENDOZA GALINDEZ"/>
        <s v="ALBA SUSANA CABRERA MENDOZA"/>
        <s v="EMPRENDIMIENTO ALEXANDER MENCIA, C.A."/>
        <s v="INVERSIONES ISABELICA MULTI-FOOD, C.A."/>
        <s v="POLO Y RIVAS C.A"/>
        <s v="KOZMOS 2023, C.A"/>
        <s v="HIPERMERCADO LA HONDA, C.A."/>
        <s v="MAXI MERCADO TINAQUILLO, C.A"/>
        <s v="MAXI MERCADO CAMPO CARABOBO, C.A"/>
        <s v="Le Gouter C.A."/>
        <s v="MAXI MERCADO TINAQUILLO 2, C.A"/>
        <s v="PANADERIA Y PASTELERIA LAS TEJAS 2000, C.A"/>
        <s v="ALOHA MARKET TAZAJAL, C.A."/>
        <s v="PANADERIA Y PAST LA MANSION DE LUIS IV, C.A"/>
        <s v="EMPRENDIMIENTO YESSY OSORIO"/>
        <s v="JUAN EVANGELISTA TINEDA TOVAR"/>
        <s v="SUPERMERCADO Y BODEGON LA GITANA, C.A"/>
        <s v="TODOFARMA 25, C.A"/>
        <s v="NATALY'S BAKERY 2, C.A"/>
        <s v="DISTRIBUIDORA DE ALINMENTOS CENTRO VAL, C.A"/>
        <s v="SUPERMERCADO GALAXY"/>
        <s v="INVERSIONES CLAVELINA, C.A."/>
        <s v="SUPERMERCADO BELLA FLORIDA , C.A"/>
        <s v="JAIME ANTONIO RUIZ DIAZ"/>
        <s v="INVERSIONES DIAR 2024  C.A"/>
        <s v="TODO EN UNO, C.A. LOS CAOBOS"/>
        <s v="TODO EN UNO, C.A TOCUYITO"/>
        <s v="PANIFICADORA Y PASTELERIA CENTRAL PAN 89, C.A."/>
        <s v="PANADERIA FLOR DE MADEIRA, C.A."/>
        <s v="PANADERIA MILLENIUM PAN, C.A."/>
        <s v="INVERSIONES M Y C 1701, C.A."/>
        <s v="CAROLINA ANTONIA MIQUILENA LEAL"/>
        <s v="YURUANY CRISTINA TOVAR GUZMAN (ADM)"/>
        <s v="CHARCUTERIA Y DELICATECES JOSUE 1.8, C.A."/>
        <s v="MAYOR DE VIVERES Y CONFITERIA EL PADROTE DEL QUESO, C.A"/>
        <s v="SUPER MARKET UN GRANITO DE MOSTAZA, C.A."/>
        <s v="QUINCALLERIA FAMILIA WU , C.A"/>
        <s v="MARIA MASAVE (ENFERMERIA)"/>
        <s v="FARMACIA LA ENTRADA RIO ARRIBA, C.A"/>
        <s v="SUPERMARKET EL POBLADO, C.A."/>
        <s v="DOUGLAS ROMERO (PRODUCCION)"/>
        <s v="FRUTMARKET, C.A."/>
        <s v="MINI MARKET 3000"/>
        <s v="CAFETERIA LAS JARALES , C.A"/>
        <s v="AUTOMERCADO LA ESMERALDA, S.A."/>
        <s v="SAN DIEGO NORTE MARKET Y BODEGON, C.A"/>
        <s v="JUAN SANTOS  LOPEZ BENITES"/>
        <s v="ABASTO VIRGEN DEL VALLE J.B 2023, C.A"/>
        <s v="FARMACIA EL MORRO, C.A"/>
        <s v="FARMACIA LOS JARALES, C.A."/>
        <s v="COMERCIALIZADORA SANDIEGANA, C.A"/>
        <s v="Neslara Snack Shop, C.A."/>
        <s v="CHARCUTERIA LA NONNA,C.A"/>
        <s v="DISTRIBUIDORA CIUDAD DE DIOS 2020, C.A"/>
        <s v="VIVERES Y CHARCUTERIA SABOR DEL LLANO, C.A."/>
        <s v="INV., DIST. Y SERVICIOS C.J.C.H.C.A., C.A."/>
        <s v="COMERCIAL VILMA 2013, C.A."/>
        <s v="MARLIUS ADRIANA MORENO VILLAMIZAR"/>
        <s v="DEBORA KHATERINE DE AGUIAR MENDES"/>
        <s v="WILMER JOSE ARTEAGA JIMENEZ"/>
        <s v="INVERSIONES FOOD MARKET PLACE, C.A."/>
        <s v="FARMACIA LA CORINA 2, C.A."/>
        <s v="EL BODEGON DE CARNE EXPRESS, C.A"/>
        <s v="A DONDE JESUS"/>
        <s v="CARNICERIA Y CHARCUTERIA LA GRAN AVENIDA 2014, C.A"/>
        <s v="PLAZA TRAINING CENTER, CA"/>
        <s v="AUTOMERCADO EUROPA, C.A."/>
        <s v="MARCOS EDUARDO CENTOFANTESARMIENTO"/>
        <s v="MEGA-ELECTRONIC"/>
        <s v="AGUAS TERMALES HOTEL &amp; SPA, S.A"/>
        <s v="BODEGON &amp; DELICATESES 24/15, C.A."/>
        <s v="COMERCIAL TIGALATE, C.A"/>
        <s v="JACKSON JOHAN MENDEZ REBOLLEDO"/>
        <s v="MINI MERCADO 688, C.A."/>
        <s v="COMERCIALIZADORA LA ISABELICA , COMEVAL"/>
        <s v="EMPRENDIMIENTO ALEXANDER COLMENARES 6."/>
        <s v="MINIMERCADO LA BENDICION DE DIOS, C.A."/>
        <s v="MARBELIS CAROLINA CHIRINOS VELASQUEZ"/>
        <s v="DISTRIBUIDORA BARBIDIEGO, C.A"/>
        <s v="ABASTO Y BODEGON EL LITORAL, C.A."/>
        <s v="PANADERIA, PASTELERIA Y CHARCUTERIA ROSA CAFE I, C.A."/>
        <s v="COMERCIALIZAORA JEDIM, C.A"/>
        <s v="PAND PASTELERIA T CHART ESPERANZA 2011, C.A"/>
        <s v="ZONA FITNESS BEJUMA 2024, C.A."/>
        <s v="INVERSIONES LUISA RUIZ"/>
        <s v="ASU MARKET MAI HU, F.P"/>
        <s v="JIEPENG CEN"/>
        <s v="BODEGON, CONDIMENTOS Y ESPECIES LA TIMBA, C.A"/>
        <s v="DISTRIBUIDORA FRAYMAR, C.A"/>
        <s v="MULTTIENDA LA MONCHITA"/>
        <s v="LUIS DANIEL CASTILLO AGUILAR"/>
        <s v="YUSLEIDY TIRADO"/>
        <s v="MEGA MERCADO CANAIMA, C.A"/>
        <s v="EMILY MESA"/>
        <s v="EL PUNTO NARANJA, C.A"/>
        <s v="SUPER MARKET EL SAMAN DE LAS CARNES, C.A."/>
        <s v="MIGUEL ANGEL SIRIA ALVARADO"/>
        <s v="PANADERIA LA PANAMERICANA, C.A."/>
        <s v="PANADERIA, PASTELERIA Y CHARCUTERIA LISAPAN, C.A."/>
        <s v="PAND PASTELERIA Y CHART JOSE Y MARIA , C.A"/>
        <s v="CARLOS ANDRES MARTINEZ"/>
        <s v="BAGUETERIA BERE´S CAFE , C.A"/>
        <s v="Todo en Uno C.A. BEJUMA"/>
        <s v="MANUEL PESTAÑA"/>
        <s v="VALLE MARKET, C.A."/>
        <s v="HUOPING ZHENG"/>
        <s v="TAOMY ALBERTO HOFFMANN RESTREPO"/>
        <s v="DIMONCA DISTRIBUIDORA MONTALBAN, C.A."/>
        <s v="INVERSIONES JRDT 2024, C.A."/>
        <s v="FABIAN ENRIQUE GUERRERO AMAYA"/>
        <s v="INVERSIONES CORAM DEO 777, C.A"/>
        <s v="MEGA MARKET VENEZUELA , C.A"/>
        <s v="ALIS CRUCES (DOMICILIO)"/>
        <s v="COMERCIALIZADORA SOL DE LAMAZONIA 2023, C.A."/>
        <s v="DANIEL ANTONIO SANCHEZ JIMENEZ"/>
        <s v="INVERSIONES L &amp; L  2116"/>
        <s v="JOSE CHOURIO (PRODUCCION)"/>
        <s v="IVAN MONSALVE (PRODUCCION)"/>
        <s v="INVERSIONES MIRANDA PLAZA"/>
        <s v="COMERCIAL DEL CENTRO D.A 2024, C.A"/>
        <s v="AUTOMERCADO FONG BEJUMA, C.A."/>
        <s v="ERWIN ZARRAGA (PRODUCCION)"/>
        <s v="KEVIN GONZALEZ (PRODUCCION)"/>
        <s v="EROS FLORES (PRODUCCION)"/>
        <s v="EMPRENDIMIENTO YAMILA REQUENA"/>
        <s v="PANADERIA Y CHARCUTERIA KAKAU, C.A."/>
        <s v="JEIMY CAROLINA PITA ROJAS"/>
        <s v="TODO EN UNO, C.A. MARIARA"/>
        <s v="INVERSIONES ALANNA, C .A."/>
        <s v="EMPRENDIMIENTO DOUGLAS MONTESINOS"/>
        <s v="FARMAVENTURA,C.A"/>
        <s v="MINI MARKET DANIEL 060104, C.A."/>
        <s v="COMERCIALIZADORA GRAM  MARK 23, C.A."/>
        <s v="PANINI CAFE, C.A"/>
        <s v="SUPER TODO AMARI CENTER, C.A"/>
        <s v="FARMACIA LOS AVIADORES, C.A."/>
        <s v="FERIA CAMPESINA LAS DELICIAS, C.A."/>
        <s v="CROII CAFE, C.A"/>
        <s v="INVERSIONES ALEMMAR23, C.A."/>
        <s v="DELIPLAZA LAS DELICIAS, C.A."/>
        <s v="BLAHIRYS GUTIERREZ"/>
        <s v="COMERCIALIZADORA AGUAS DE JESUS, CA."/>
        <s v="TIENDAS BROÀS, C.A"/>
        <s v="LUIS ALFREDO CARREÑO (LITHO ALIMENTOS LUIS CARREÑO, F.P)"/>
        <s v="MAURA JOSEFINA ESCALANTE(GYM SPECTRUM)"/>
        <s v="BOTTEGA GOURMET, C.A"/>
        <s v="MEAL 4FIT, C.A."/>
        <s v="DISTRIBUIDORA DE ALIMENTOS TUTTO BUONO 2020, C.A."/>
        <s v="MI PEQUEÑA MANSION, C.A."/>
        <s v="PANADERIA CASCADA DE PREBO, C.A."/>
        <s v="PANCOMIDO ,2024"/>
        <s v="INVERSORA MARVI 2022, C.A."/>
        <s v="INVERSIONES ANTOFA, C.A"/>
        <s v="INVERSIONES MAXI MUNDO, C.A."/>
        <s v="COMERCIALIZADORA LOS PROCERES, C.A."/>
        <s v="MEGA MARKET RAUMAR L  2021 , C.A"/>
        <s v="DARIO ANTONIO PEREIRA PEREZ"/>
        <s v="PANADERIA Y PASTELERIA LA NUEVA ESTRELLA, C.A"/>
        <s v="ABASTO,FRUTERIA Y LICORERIA LA FLOR DE LA VICTORIA C.A"/>
        <s v="BOM BOM CAFE RESTAURANT, C.A"/>
        <s v="FARMAVIDA LA FONTANA, C.A."/>
        <s v="INVERSIONES MUNDO ECONOMICO JL, C.A"/>
        <s v="INVERSIONES EXPRESS GO, C.A"/>
        <s v="NUTRISPORT CENTER GLEON, C.A."/>
        <s v="MINI MARKET MAXXI BELLA, C.A."/>
        <s v="GRAN PAPAYA, C.A."/>
        <s v="LA MANSION DE TIQUIRE, C.A"/>
        <s v="FRIGOCARNES AQUI ME QUEDO, C.A."/>
        <s v="PANADERIA PASTELERIA Y CHARCT BOLIVAR PAN, C.A."/>
        <s v="AUTOMERCADO AFAN , C.A"/>
        <s v="PANADERIA PLAZA PAN 2000, C.A."/>
        <s v="NOVACENTER 888, C.A"/>
        <s v="ABASTO SANYOR, C.A."/>
        <s v="SUPER MARKET JUSTO, C.A."/>
        <s v="EIDIS DEL CARMEN RODRIGUEZ GUILLEN"/>
        <s v="KIN PAN , C.A"/>
        <s v="EMERLY CAMPOS (ADM)"/>
        <s v="PANADERIA VALLE PAN, C.A"/>
        <s v="STRONG AND FITNESS, C.A."/>
        <s v="MINIMARKET C, C.A."/>
        <s v="SUPERMERCADO VILLA MARYLU CA"/>
        <s v="SUZAN PAN, C.A."/>
        <s v="GENESIS MONTES (RRHH)"/>
        <s v="NAIN TERAN"/>
        <s v="INVERSIONES WINGS, C.A."/>
        <s v="MEGA MARKET LA FAMILIA FELICES, C.A."/>
        <s v="FRIGORIFICO SERRANO'S, C.A."/>
        <s v="ANGEL RODOLFO INOJOSA PINTO"/>
        <s v="INVERSIONES GK EXPRESS, C.A"/>
        <s v="MARIALESBIA RODRIGUEZ"/>
        <s v="RAFAELA ALFONSINA DAVILA RAGGIO"/>
        <s v="DISTRIBUIDORA DE LACTEOS Y CHARCUTEIA TITOM C,A"/>
        <s v="LA RIVATTA. C.A."/>
        <s v="PANADERIA PASTELERIA PASEO LA GRANJA C.A."/>
        <s v="EMPRENDIMIENTO EDDWIN PEREZ, C.A."/>
        <s v="PANADERIA HIPER PAN,C.A"/>
        <s v="HIPER MARKET EXPRESS, C.A"/>
        <s v="PANIFICADORA PASTELERIA Y CHARCUTERIA MARIA VICTORIA, C.A"/>
        <s v="JOHANNA ALISBET ZAPATA RODRIGUEZ"/>
        <s v="CHARIS, C.A"/>
        <s v="BLUE MARKET , C.A"/>
        <s v="BODEGON DRINKS &amp; FOOD, C.A."/>
        <s v="COVAPAN, C.A"/>
        <s v="NUEVA RICAURTE, C.A."/>
        <s v="FARMAVISTA, C.A"/>
        <s v="DON PAN V, C.A."/>
        <s v="LAR DE FATIMA, C.A."/>
        <s v="ARAGUA MARKET, C.A"/>
        <s v="MC' TIME FARMACIA, C.A."/>
        <s v="MARIA SAMBRANO"/>
        <s v="JOSE LUIS CALLEJA MARTINEZ"/>
        <s v="NOVO MARKETM C.A."/>
        <s v="KARELYS OLIVAR"/>
        <s v="INVERSIONES PLUS XPRESS, C.A."/>
        <s v="COMERCIALIZADORA AKA, C.A"/>
        <s v="FARMACIA COTOPERI"/>
        <s v="DISTRIBUIDORA H.S , 2000  C.A"/>
        <s v="LA FRUTERIA KIWI LIMON, C.A."/>
        <s v="PANADERIA, PASTELERIA Y CHARCUTERIA LA MANSION DEL PAN, C.A."/>
        <s v="FARMAVIDA INTERCOMUNAL, C.A"/>
        <s v="COMERCIAL LA GRAN SANTA RITA , C.A"/>
        <s v="HIPERMERCADO METRO, C.A."/>
        <s v="ROSIMAR PEREZ (ADM)"/>
        <s v="FARMACIA BOULERVARD PAEZ, C.A"/>
        <s v="COCOMANIA 6682, C.A."/>
        <s v="LUIS ALBERTO COLMENAREZ"/>
        <s v="EIDY VALENTINA LINARES ACOSTA"/>
        <s v="JHOSTIN SALAS (PRODUCCION)"/>
        <s v="YOMAIRA VELOZ (PRODUCCION)"/>
        <s v="YULIANNY LINARES (PRODUCCION)"/>
        <s v="PEDRO CASTILLO (PRODUCCION)"/>
        <s v="GIOSEPH MONTELEONE"/>
        <s v="SUMINISTROS FJS 47, C.A."/>
        <s v="FD. FULL DONUTS, C.A."/>
        <s v="TERRAZAS MARKET 2018, C.A."/>
        <s v="La Fruteria FL 15, C.A."/>
        <s v="DAYANA FLOREZ (VENTAS)"/>
        <s v="MINIMARKET GRUPO SANTA MARTA, C.A."/>
        <s v="WEI 68, C.A."/>
        <s v="COMERCIALIZADORA ALL MARKET 21, C.A."/>
        <s v="MISKA FOOD, C.A."/>
        <s v="FRIGORIFICO EL ORIGEN, C.A."/>
        <s v="VERDURAS IBEROMARKET 89 , C.A"/>
        <s v="FARMA LIFE CENTRAL LBA , C.A"/>
        <s v="PANADERIA Y PASTELERIA LA BENDICION DE DIOS , C.A"/>
        <s v="KATIUSKA DEL VALLE JIMENEZ MARCANO"/>
        <s v="INVERSIONES ADRIANFRED, C.A"/>
        <s v="ANGEL FONG ZHENG"/>
        <s v="ANYORME JOSE ACOSTA  RICARDO"/>
        <s v="INVERSIONES YOEMMA LA BENDICION DE DIOS, C.A."/>
        <s v="COMERCIAL SHAMUEL XXI , C.A"/>
        <s v="LA MAESTRANZA DEL PAN, C.A"/>
        <s v="SUPER CENTER HERMANAS, C.A"/>
        <s v="DISTRIBUIDORA RUILA CENTER, C.A"/>
        <s v="PANADERIA Y CHARCUTERIA LA EXCELENCIA DEL PAN ,C.A"/>
        <s v="MARKET BURGUER ALBORAL C.A"/>
        <s v="JIA FENG MO ZHENG, C.A."/>
        <s v="PANADERIA Y PASTELERIA LAS TRES L , C.A"/>
        <s v="LA TIENDA DEL PLASTICO Y REPOSTERIA, C.A"/>
        <s v="YENDI MILEIDYS SEQUERA GONZALEZ"/>
        <s v="INVERSIONES DOÑA ZULY, C.A."/>
        <s v="HOJALDRE LUNCH &amp; COFFE, C.A"/>
        <s v="FUENTE DE SODA AMERASIA C.A"/>
        <s v="CAFE &amp; PASTELERIA CARABOBO, C.A."/>
        <s v="VIVA SIEIRA 2019, C.A"/>
        <s v="Sardua Cafe, C.A."/>
        <s v="MANANTIAL MARKET, C.A"/>
        <s v="INVERSIONES ALE Y YALY, C.A."/>
        <s v="COMERCIALIZADORA GUTIRAM, C.A"/>
        <s v="LIRIO  CENTRO ESTETICO INTEGRAL, C.A"/>
        <s v="INVERSONES RIBALDRY , C.A"/>
        <s v="JOSE A MONTILLA"/>
        <s v="GEORGIA GEORGAKOPULOS"/>
        <s v="SERVICIOS SELVA NEGRA, C.A"/>
        <s v="TIENDAS METRO CANDY MARKET, C.A"/>
        <s v="BODEGUITA ITALIANA, C.A."/>
        <s v="GRAN MARKET EL GRANJERO, C.A.,, C.A"/>
        <s v="OLAM CAFE, C.A"/>
        <s v="GOLDEN PAN V.I.P, C.A"/>
        <s v="J &amp; Y CORPORATIONS, C.A."/>
        <s v="GLOBAL HIPER MARKET, C.A"/>
        <s v="PANADERIA Y PASTELERIA NUEVA ESPERANZA, C.A."/>
        <s v="MIRLIZA YARIBEL SANCHEZ SANCHEZ"/>
        <s v="INVERSIONES ARTMARI, C.A."/>
        <s v="ALIMENTOS GRAN DIEGO MARKET, C.A."/>
        <s v="ONIGIRI, C.A"/>
        <s v="MAXI MERCADO BELLA FLORIDA, CA."/>
        <s v="PANADERIA Y CHARCUTERIA ANDRES PAN"/>
        <s v="DISTROBUIDORA  EL VARON"/>
        <s v="MINIMERCADO MOYI. C.A"/>
        <s v="CAMPO VERDE 1329, C.A"/>
        <s v="FARMACIA FARMABIG PLUS, C.A"/>
        <s v="DISTRIBUIDORA S.G. 2020 C.A."/>
        <s v="EFRAIN A. GONZALEZ C."/>
        <s v="INVERSIONES MIKE MYERS 2019, C.A."/>
        <s v="INVERSIONES M.A.G.Y  8587, C.A"/>
        <s v="ALBERTINA DE JESUS GOMEZ"/>
        <s v="COMERCIAL SAL &amp; PIMIENTA, C.A"/>
        <s v="PAND Y PASTELERIA CHARCUTERIA EL REMANSO"/>
        <s v="FRANGERBERTH PETIT (PRODUCCION)"/>
        <s v="NISSIA AUTOMERCADO, C.A."/>
        <s v="JOSE VASCONCELOS DE GOUVEIA"/>
        <s v="INVERSIONES JAHLEEL, C.A"/>
        <s v="PANADERIA PASTELERIA Y CHARCUTERIA TULIPAN 85, C.A."/>
        <s v="MAXI MERCADO LOS GOAJIROS, C.A."/>
        <s v="COMERCIALIZADORA SANDIEGANA, C.A."/>
        <s v="COMERCIALIZADORA BAHIA MARKET, C.A"/>
        <s v="INVERSIONES SUHAIL 2024 ,C.A"/>
        <s v="INVERSIONES EL TURISTA 2025, C.A."/>
        <s v="VERHELSTGYM C.A"/>
        <s v="INVERSIONES LAS TRINCHERAS, C.A"/>
        <s v="POTABILIZADORA Y MINI MARKERT B &amp; Y, C.A."/>
        <s v="INVERSIONES REINA DEL CAMPO MML. C,A."/>
        <s v="YEVAL AL ARAB, C.A"/>
        <s v="ANDREA CAROLINA GOMEZ PAUL"/>
        <s v="BARAKI MULTITIENDA, C.A."/>
        <s v="SUPERMERCADO SOROCAIMA 868, C.A."/>
        <s v="SUPERMERCADO UMI CENTER, C.A."/>
        <s v="BRILLITH COROMOTO RAMIREZ RUMBO"/>
        <s v="ELIEZER DAVID CASTILLO CACERES"/>
        <s v="MARIA ALEJANDRA MARQUEZ"/>
        <s v="COMERCIALIZADORA DANJO C.A"/>
        <s v="COMERCIALIZADORA DON ALFREDO S,C.A"/>
        <s v="COMERCIAL SUPER DIAMANTE , C.A"/>
        <s v="COMERCIAL LA ESQUINA DEL SABOR, C.A"/>
        <s v="COMERCIAL 365, C.A."/>
        <s v="GIMNASIO PERFORMANCE, C.A"/>
        <s v="WILLIAM PORTILLO (PRODUCCION)"/>
        <s v="DIEGO FERNANDEZ (ALMACEN)"/>
        <s v="FARMACIA LOS CERRITOS 2022, C.A."/>
        <s v="FARMAPARAPARAL, C.A"/>
        <s v="MINI MARKET EL ROBLE,C.A"/>
        <s v="GUAYABAL MARKET, C.A."/>
        <s v="SUPERMARKET EL SOL DE PARAPARAL, C.A"/>
        <s v="EL BODEGON DE TITO, C.A"/>
        <s v="SUPERMERCADO SCALA, C.A."/>
        <s v="INVERSIONES Y SUMINISTROS ANTONELLA , C.A"/>
        <s v="MUNDO MARKET, C.A"/>
        <s v="LUIS ENRIQUE GONZALEZ"/>
        <s v="COOPERATIVA MANANTIAL DE GIRASOL, R.L"/>
        <s v="SUPERMERCADO FONG II C.A"/>
        <s v="Miguel Angel Martinez Fasanelli"/>
        <s v="ANGEL SABAS ANDAZORA RIVAS"/>
        <s v="VARIEDADES PILI, C.A."/>
        <s v="PANADERIA SUR AMERICA, C.A."/>
        <s v="TEXAS CITY, CA"/>
        <s v="CAFE DRAMA, C.A"/>
        <s v="SULUMERIA IL CONTADINO, C.A."/>
        <s v="PAN. PAST Y LUNCHERIA EL GRAN SERVICIO_x000d__x000a_, C.A"/>
        <s v="Ahmad Rachid Viveres Sol"/>
        <s v="FUENTE DE SODA SAN FRANCISCO, C.A."/>
        <s v="SHALOM COMERCIALIZADORA, C.A PYMES"/>
        <s v="DISTRIBUIDORA HERMANOS MENDEZ 2013, C.A"/>
        <s v="PANADERIA PASTELERIA Y CHART LA COROMOTANA, C.A"/>
        <s v="DERIO 23, C.A"/>
        <s v="EMPRENDIMIENTO LEIDY DE, C.A."/>
        <s v="PANADERIA Y PASTELERIA KANAWET C.A."/>
        <s v="FRIGORIFICO GONDOMAR, C.A"/>
        <s v="NATALY'S BAKERY, C.A"/>
        <s v="VIDA NUEVA INTERNACIONAL"/>
        <s v="JAKELINE DEL VALLE. SANABRIA HERRERA"/>
        <s v="LA MORDIDA"/>
        <s v="DISTRIBUIDORA ROLDAN"/>
        <s v="DISTRIBUIDORA LOS QUESOS DE JOSE , C.A"/>
        <s v="JEQUE MARKET 2019, C.A."/>
        <s v="DISTRIBUIDORA BOGO, C.A."/>
        <s v="ANTONIO UZCATEGUI ALARCON"/>
        <s v="COMERCIALIZADORA LEOE 2000, C.A"/>
        <s v="NILDA NORBELIA ZERPA DIAZ"/>
        <s v="MARLIVEHT CASIQUE"/>
        <s v="Padilla´s C.A."/>
        <s v="MARYURY BARILLA ROJAS (BARILLAS PARQUE)"/>
        <s v="GRUPO GIA 2025, C.A."/>
        <s v="INVERSIONES COME Y VIVE FOOD, C.A"/>
        <s v="AUTOMERCADO NUEVA ARMONIA, C.A."/>
        <s v="MINI-MARKET SAR 190, C.A."/>
        <s v="INVERSIONES CHARVIVERES 2019, C,A."/>
        <s v="PANADERIA Y PASTELERIA EL MEJOR PAN ANDINO, C.A."/>
        <s v="INVERSIONES H.R.V.D , C.A"/>
        <s v="CARNICERIA  CHARCUTERIA Y VIVERES LOS GORDOS 2018, C.A."/>
        <s v="Mahmod asaad chalid"/>
        <s v="MINI MERCADO MANZANA A 1, C.A."/>
        <s v="BOTANA'S Y DELICATECES, C.A."/>
        <s v="D'Carnes El Viñedo, C.A."/>
        <s v="PANADERIA Y PASTELERIA LA ESTACION DEL PAN, C.A."/>
        <s v="COMERCIAL FU 2021 , CA."/>
        <s v="PANADERIA Y PASTELERIA LAS DELICIAS, C.A."/>
        <s v="PANADERIA Y PASTELERIA PREBO PAN , C.A"/>
        <s v="PANADERIA Y PASTELERIA LA FLOR DE LA QUIZANDA, C.A,"/>
        <s v="INVERSIONES AXII 0615, C.A."/>
        <s v="ADRIANA VILLEGAS"/>
        <s v="DISTRIBUIDORA Y CHARCUTERIA KAREL, C.A"/>
        <s v="GENESIS ADRIANA RODRIGUEZ FAJARDO"/>
        <s v="HOTMAN RODRIGUEZ"/>
        <s v="SYLAS RESTAURANT, C.A"/>
        <s v="PANADERIA Y PASTELERIA RIO PAN, C.A."/>
        <s v="INVERSIONES EL GRAN ESPIRITU SANTO J, C.A"/>
        <s v="FAMILY SUPERMARKET, C.A"/>
        <s v="EMELI DAYANA ROMERO SANCHEZ"/>
        <s v="COMERCIALIZADORA EL TRICOLOR, C.A"/>
        <s v="Panaderia Cafe Aveiro"/>
        <s v="FRIGORIFICO LA PUNTA 2016, C.A"/>
        <s v="ALOHA MARKET, C.A."/>
        <s v="FERNANDOI JESUS PLASENCIA"/>
        <s v="DISTRIBUIDORA INCA MARTEL, C,A"/>
        <s v="FARMAMARKET, C.A"/>
        <s v="FARMACIA LA CORINA,  PC C.A"/>
        <s v="PANADERIA ORQUIDEA 99, C.A"/>
        <s v="BODEGON NUEVO AMANECER, C.A"/>
        <s v="HIPERMERCADO ESPLENDEDOR, C.A"/>
        <s v="RESTAURANTE LA FLOR DE TURMERO, C.A"/>
        <s v="ALCIRA  MAIRIA CONTRERAS"/>
        <s v="PANADERIA LO MEJOR DEL TRIGO, C.A"/>
        <s v="MANUEL ALFREDO ARNAO (PRODUCCION)"/>
        <s v="FARMACIA GALERIA PLAZA, C.A"/>
        <s v="UNIMARKET 2023, C.A."/>
        <s v="SUPERMERCADO EL BOSQUE, C.A"/>
        <s v="PANADERIA EL RICON DEL TRIGO, C.A."/>
        <s v="CHARCUTERIA EL 6 , C.A"/>
        <s v="BODEGA EL BOSQUE, C.A"/>
        <s v="PANADERIA PASTELERIA Y CHARCUTERIA BOSQUE LINDO, C.A"/>
        <s v="GIANELLI VILCHEZ C/DE CALIDAD"/>
        <s v="DISTRIBUIDORA GAISACA, C.A."/>
        <s v="BODEGA SHALOM , C.A"/>
        <s v="PIZZERIA, PASTELERIAN PANADERIA DULCE BEGOÑA, C.A.."/>
        <s v="FRIGORIFICO TUCACAS MAÑONGO, S.A."/>
        <s v="DENNY MORILLO (PRODUCCION)"/>
        <s v="Mary Carmen Chirinos Almar"/>
        <s v="ANTONIO CASTILLO"/>
        <s v="PANADERIA, PASTELERIA, CHARCUETERIA Y MAS TOVAR D, C.A."/>
        <s v="GILBERTO CHACON (MANTENIMIENTO M)"/>
        <s v="ARIANNA COLMENAREZ (VENDEDORA)"/>
        <s v="OSCAR ZAMBRANO (VENDEDOR)"/>
        <s v="MARIA GUEVARA (PRODUCCION)"/>
        <s v="KATHYUSKA PADRINO (ADM)"/>
        <s v="SUPERMERCADO CITY MARKET, C.A."/>
        <s v="DISTRIBUIDORA HERMANOS PERNIA, C.A"/>
        <s v="GRUPO FARRERA 76, C.A"/>
        <s v="INVERSIONES ROBEIKERT KRA, C.A"/>
        <s v="REBELLION BOX, C.A."/>
        <s v="LEYDY CAROLINA MALDONADO GALENO"/>
        <s v="PANADERIA MI VIEJO PAN , C.A"/>
        <s v="INVERSIONES GAEL M.C, C.A."/>
        <s v="JEAN CARLOS GUEDEZ MONTERO"/>
        <s v="U E INSTITUTO JOSE M VARGAS"/>
        <s v="ANYI JOSEFINA SANCHEZ LINARES"/>
        <s v="MARIA ALEJANDRA QUINTERO LOPEZ"/>
        <s v="EMPRENDIMIENTO AIDA PIÑA"/>
        <s v="FRIGOCARNES RIMARQUEZ, C.A"/>
        <s v="JONNATHAN JOSE PERAZA RODRIGUEZ"/>
        <s v="GIL ALFREDO MARINEZ"/>
        <s v="DISTRIBUIDORA Y CHARCUTERIA EL IDEAL, C.A"/>
        <s v="INVERSIONES CANALETTO"/>
        <s v="FRUTERIA JUGOS NATURALES Y DELICATESES CALICANTO III"/>
        <s v="TEQUEÑOS MARACAY, C.A"/>
        <s v="MAXI DELICIASS TURMERO, C.A"/>
        <s v="MINI ABASTO LOS PAISAS, C.A."/>
        <s v="TIO POLLO, C.A."/>
        <s v="COMERCIALIZADORA VALENCIA SUR, C.A."/>
        <s v="LA ESQUINA DEL BUEN GUSTO DE LOS GOMEZ, C.A."/>
        <s v="DISJOONYES, C.A."/>
        <s v="ZAHORI MORALES"/>
        <s v="BUENAVENTURA COMERCIAL, C.A."/>
        <s v="INVERSIONES SOJA G.M, C.A."/>
        <s v="NEW PLASTIC, C.A."/>
        <s v="PANADERIA CASA BLANCA SAN DIEGO, C.A."/>
        <s v="BARAKA'S FOOD 2024, C.A."/>
        <s v="PANADERIA PASTELERIA Y CHARCUTERIA LA MANSION DEL SUR, C.A."/>
        <s v="PABLO QUINTANA (DESPACHO)"/>
        <s v="CARNICERIA Y CHARCUTERIA LOS TRES LUIS, C.A"/>
        <s v="MINIMARKET MI CASA, 168, C.A"/>
        <s v="INVERSIONES AMERICA, C.A"/>
        <s v="KARAMELO CAFE, CA."/>
        <s v="JUAN CARLOS SUAREZ APONTE"/>
        <s v="FERREIRA Y FERREIRA S.N.C."/>
        <s v="COMERCIALIZADORA R 24, C.A"/>
        <s v="FENG CHUNHUA"/>
        <s v="COCO MARKET 1708, C.A."/>
        <s v="HIPER EXITO 2023, C.A"/>
        <s v="RAQUEL GUTIERREZ"/>
        <s v="MENTA 24, C.A."/>
        <s v="YOHANNA GUTIERREZ"/>
        <s v="ROUSEEL ROMAN URBINA GONZALEZ"/>
        <s v="HEALTHY_FOOD VM, C.A"/>
        <s v="HIPER VERDURAS CONTINENTE C.A"/>
        <s v="YELITZA ALEYMAR REVERON ACUÑA"/>
        <s v="HIPER VEERDURAS CONTINENTE, C.A"/>
        <s v="COMERCIALIZADORA LA PRINCIPAL ROZO, C.A"/>
        <s v="ANALY DANIELA PAZ DE ZAVALA"/>
        <s v="CARLOS ENRIQUE BRICEÑO RODRIGUEZ"/>
        <s v="LA PUNTA STEAK, C.A."/>
        <s v="ISAIAS PINTO"/>
        <s v="Comercializadora y Frigorifico la Tejera, C.A."/>
        <s v="RICHARD JOSE GALVIS OJEDA"/>
        <s v="PANADERIA PAST Y CHART EL SABOR  DEL PAN , C.A"/>
        <s v="LEG GYM, C.A."/>
        <s v="LUIS GERARDO LARA ARMAS (PRODUCCION)"/>
        <s v="OVIN MALQUIDEZ ARROYO CHIRINOS"/>
        <s v="DELICIAS NEROALEX, C.A."/>
        <s v="PANIFICADORA Y VIVERES EL TURCO, C.A."/>
        <s v="JOSE ABEL DA SILVA MENDEZ"/>
        <s v="ANTONIO RAMON FLORES ROSALES"/>
        <s v="FABIO GRATEROL (PRODUCCION)"/>
        <s v="PANIFICADORA ARAGUA 2021, C.A"/>
        <s v="BODEGON HERMANOS MENDEZ, C.A"/>
        <s v="KEILY ANDREA OVALLOS ANGARITA"/>
        <s v="MARIBI JOSEFINA LOPEZ MUNDO"/>
        <s v="SUPERMARKET ALKOMPRAR, C.A"/>
        <s v="MALGGY ESPINOZA"/>
        <s v="MULTIMERCADO NUEVO CAOBO, C.A."/>
        <s v="PANADERIA BODEGON COFFE &amp; BREAD POCATERRA, C.A."/>
        <s v="PANADERIA FLOR DE TINAQUILLO, C.A."/>
        <s v="EMPRENDIMIENTO ANA MUJICA 5"/>
        <s v="COMERCIALIZADORA TODO ALBA, C.A"/>
        <s v="SIMON HUMBERTO ARRAYAGO MARTINEZ"/>
        <s v="FOMG 888, C.A."/>
        <s v="PANADERIA Y PASTELRIA ANTNEPAN, C.A"/>
        <s v="TODO PARA TI EDELKIS &amp; EDELIS SWEET LIFE, C.A"/>
        <s v="PANADERIA PASTELERIA Y CHARCUTERIA MEDITERRANEAN PLAZA, C.A."/>
        <s v="ESTEFANI ANDREINA CEDEÑO BENITEZ"/>
        <s v="ROMIR GERALDINA  HERNANDEZ PINTO"/>
        <s v="RASHEL CAFÉ 4, C.A."/>
        <s v="PANADERIA PASTELERIA Y CHARCUTERIA LA ESMERALDA, C.A."/>
        <s v="ABASTO AMER BM, C.A."/>
        <s v="FERRE AVICOLA SAN DIEGO MI RANCHITO, C.A"/>
        <s v="PANADERIA Y PASTELERIA MAÑONGO, C.A"/>
        <s v="PANA  PAST Y CHARC LA POSADA, C.A"/>
        <s v="MINIMARKET LA VALENCIANA, C,A"/>
        <s v="FONTELA BAKERY, C.A"/>
        <s v="LAS ALITAS 21, C.A."/>
        <s v="EMPRENDIMIENTO ILSE RAMIREZ, C.A."/>
        <s v="ARMANDO ARTURO MARQUEZ MARQUEZ"/>
        <s v="DELICATESES &amp; EMBUTIDOS LAS CAROLINAS 2016, C.A."/>
        <s v="LA TRINIDAD 2000, C.A."/>
        <s v="ANNY ALIOSKAR GOMEZ RODRIGUEZ"/>
        <s v="CHARCUTERIA DARLEAN, C.A"/>
        <s v="ARTHUR RONNY GIL"/>
        <s v="DISTRIBUIDORA Y CHARCUTERIA Q'SOS 2021, C.A"/>
        <s v="ANDRES DAVID FREITES PAEZ"/>
        <s v="HUMBERTO JOSE MORALES"/>
        <s v="PANIFICADORA, PASTELERIA Y CHARCUTERIA FLOR DE BELLA VISTA"/>
        <s v="PAND ,PASTELERIA Y CHART FERREIRA  PAN, C.A"/>
        <s v="CHARCUTERIA PALADAR GOURMET C.A"/>
        <s v="MAYERLYN OSLANDA DE NOBGREGA"/>
        <s v="YUSMARY DAYANA TORIBE GOMEZ"/>
        <s v="PATRICIO ANDRES NEIRA"/>
        <s v="ARABITO MARKET, C.A (II)"/>
        <s v="ARABITO MARKET, C.A (III)"/>
        <s v="ARABITO MARKET, C.A  (VI)"/>
        <s v="ARABITO MARKET, C.A  (V)"/>
        <s v="PANADERIA DORA PAN 2023, C.A"/>
        <s v="INVERMARKET A1, C.A"/>
        <s v="PAN TERRAZA`S, C.A"/>
        <s v="MANUEL ACOSTINHO MARTINS"/>
        <s v="NEW PACIFICO, C.A"/>
        <s v="SERGIO TORTOLERO (PRODUCCION)"/>
        <s v="OSCAR VASQUEZ (PRODUCCION)"/>
        <s v="JUAN  MARTINEZ  (SEGURIDAD)"/>
        <s v="JORGE ORJUELA COORDINADOR MARACAY"/>
        <s v="FLOR DEL ARANZAZU, C.A."/>
        <s v="GLADYS MARIA GOMEZ CARVAJAL"/>
        <s v="DAVARGAS FOOD, C.A."/>
        <s v="GRAMOS 2023, C.A."/>
        <s v="Distribuidora y Comercializadora Divino Niño 2020, C.A."/>
        <s v="INVERSIONES LORENZO 2022, C.A"/>
        <s v="EMPRENDIMIENTO ROSMERY PAEZ 2"/>
        <s v="JESUS CANTOR SUPER PRODUCCION"/>
        <s v="MIGUEL ANGEL GRATEROL"/>
        <s v="PROA RESTOBAR, C.A."/>
        <s v="INVERSIONES MEETING PLACE COFFE, C.A"/>
        <s v="BODEGON TY 2107, C.A."/>
        <s v="MIRANDA LUISIANNY AGUILERA SAAVEDRA"/>
        <s v="MADELEYNE GUEVARA (MARKETING)"/>
        <s v="INVERSIONES PIN PIN 2022, C.A."/>
        <s v="BODEGON FLORES PINTO"/>
        <s v="PANIFICADORA ITALIANA NONNO PINNO 2022, C.A."/>
        <s v="COMERCIALIZADORA DULCENANA 2001, C.A"/>
        <s v="MIL SABORES EXPRESS, C.A."/>
        <s v="CHOW-COLATE, C.A"/>
        <s v="MARIA FERNANDA CASTRO"/>
        <s v="ABASTO Y CHARCUTERIA LA PROVISION DE DIOS, C.A."/>
        <s v="PUNTO MARKET, C.A."/>
        <s v="PRETA JIU JITSU, C.A."/>
        <s v="PANDERIA RESTAURANT REINA DE MORROCOY 22, C.A"/>
        <s v="KING MARKET TUCACAS, C.A"/>
        <s v="AUTOMERCADO IDEA HM, C.A"/>
        <s v="MERCADO EL GRAN BIENESTAR, C.A"/>
        <s v="COMERCIAL RS 2023, C.A"/>
        <s v="MONICA BEATRIZ CARDENAS ALVAREZ"/>
        <s v="MARKET AWADA EXPRESS CORP, C.A."/>
        <s v="FRUTISECOS &amp; MAS, C.A."/>
        <s v="SERGIO JOSUE MARTINEZ REY"/>
        <s v="GERMAN ANTONIO SEIJAS ALVAREZ"/>
        <s v="AGROPIARA, C.A"/>
        <s v="EMERSON MALPICA (PRODUCCION)"/>
        <s v="FRIGORIFICO BETTOLI, C.A."/>
        <s v="INVERSIONES OH KARAMBA, C.A."/>
        <s v="BODEGAS 888, C.A."/>
        <s v="FUENTE DE SODA ONASSIS, C.A"/>
        <s v="DISTRIBUIDORA JEHOVA DE LOS EJERCITOS 2025, C.A."/>
        <s v="MINIMARKET EL REMANSO, C.A"/>
        <s v="GRAN DANUBIO, C.A."/>
        <s v="PALMITA FOOD, C.A"/>
        <s v="RICARDO SEBASTIAN OBALLOS NUÑEZ"/>
        <s v="BELKYS ALVARADO"/>
        <s v="ARC DISTRIBUIDORA  Y COMERCIALIZADORA , C.A"/>
        <s v="KOKESHI SUSHI RESTAURANTE, C.A."/>
        <s v="SERMANTEPIN GUCARA, C.A"/>
        <s v="RAFAEL MORENO (MKT)"/>
        <s v="INVERSIONES SHOPPING PAN H.A"/>
        <s v="INVERSIONES YEILUZ, C.A"/>
        <s v="NATALY S  BAKERY  3, C.A"/>
        <s v="MANSION DE VICTOR , CA"/>
        <s v="FARMACIA SANAB, C.A."/>
        <s v="JERRY URRUTIA (PRODUCCION)"/>
        <s v="COMERCIAL LA DIVINA MISERICORDIA, C.A."/>
        <s v="INVERSIONES LUDYS MODAS, C.A."/>
        <s v="DISTRIBUIDORA Y BODEGON COSTA NORTE, C.A"/>
        <s v="MUNDO SHOP DEL ACCESORIO, C.A."/>
        <s v="HIULIA DIAMANTIS"/>
        <s v="ROSA MARGARITA GUEVARA (MANT)"/>
        <s v="DAVID CRESPO (PRODUCCION)"/>
        <s v="JENNI MILDRED SUAREZ ACOSTA"/>
        <s v="DELICIAS  A  GRANEL"/>
        <s v="LA MARINA II, C.A"/>
        <s v="FARMACIA LA GRAN AVENIDA, C.A"/>
        <s v="DISTRIBUIDORA PARAMAKY, C.A"/>
        <s v="TOTAL ALIMENTOS MM, C.A"/>
        <s v="DEGUSTOSYCOMBOS, C.A."/>
        <s v="PANADERIA Y PASTELERIA LOS CAOBOS, C.A"/>
        <s v="JOSE LUGO (PRODUCCION)"/>
        <s v="COMERCIAL URIEL 2022, C.A."/>
        <s v="URBAN FITNESS, C.A."/>
        <s v="BLANCA-PAN, C.A"/>
        <s v="GUAICA ESTRELLA , C.A"/>
        <s v="NORLEANY ORTEGA (PROD.)"/>
        <s v="FRANGHELO PETIT (PRODUCCION)"/>
        <s v="MI COCINA NATURAL , C.A"/>
        <s v="HEALTHYTATII, C.A"/>
        <s v="ADELA DEL CARMEN"/>
        <s v="LG DANCE ACADEMY AND FITNEES ,C.A"/>
        <s v="EMPRENDIMIENTO EVELYN DOS"/>
        <s v="LISSETH DA ROCHA (VENDEDORA)"/>
        <s v="FARMACIA GUATAPARO EXPRESS, C.A"/>
        <s v="GREYS NAILETH QUEVEDO PIÑA"/>
        <s v="MARIA ISABEL ACOSTA DURAN"/>
        <s v="INVERSIONES CIPRIANOS C, C.A."/>
        <s v="YERIANI PEREZ (PRODUCCION)"/>
        <s v="PANADERIA Y PASTELERIA VENEPAN DE TURMERO, C.A."/>
        <s v="SUPERMERCADO TE GUSTA, C.A"/>
        <s v="AUTOMERCADO PIEDRAS NEGRAS, C.A."/>
        <s v="ROJHER, C.A."/>
        <s v="YANELY MONTESINOS ( FACTURACION)"/>
        <s v="INVERSIONES POSADA Y FESTEJOS LA LOBERA, C.A"/>
        <s v="DANIEL LIZARDO (DESPACHO)"/>
        <s v="PEDRO MILANO (PRODUCCION)"/>
        <s v="LOS LLANOS 2020, C.A"/>
        <s v="MAXI DELICIASS 2, C.A"/>
        <s v="FRIGORIFICO VALECARNE"/>
        <s v="SUPLIDORA EMPORIO FOOD, C.A."/>
        <s v="JAIR ORLANDO RAMOS TRIA"/>
        <s v="YHULIA DIAMANTIS"/>
        <s v="PASTELERIA &amp; PANADERIA ESPIGA DE ORO, C.A."/>
        <s v="PAND.PAST.Y CHARC. RINCON DEL PAN, C.A."/>
        <s v="PANADERIA LOS CHAGUARAMOS 0006, C.A."/>
        <s v="INVERSIONES LOS LUISES THE FAMILY, C.A."/>
        <s v="LA DULCERIA M , C.A"/>
        <s v="SWET AROMA"/>
        <s v="ENGELBERT JOSE OLIVARES FERNANDEZ"/>
        <s v="yosbelis mariana angulo mora"/>
        <s v="YENIFLER DEL VALLE BORREGALES PEREZ"/>
        <s v="IVAN PUERTA ( VIGILANTE)"/>
        <s v="RESTAURANT LA NVA CENTRAL CA"/>
        <s v="LIMILMARKET, C.A"/>
        <s v="PANADERIA PASTELERIA LOS MAGALLANES , C.A"/>
        <s v="YECSON MENDOZA (DESPACHO)"/>
        <s v="ANTONIO (VEND) RAFAEL ROSAS"/>
        <s v="DELIALIMENTOS EXPRESS, C.A."/>
        <s v="HUMBERTO DE JESUS SANTAMARIA GARCIA"/>
        <s v="SHALOM ESTETICA INTEGRAL, C.A"/>
        <s v="COMERCIAL SABAS 2024, C.A."/>
        <s v="INVERSIONES KLES 2020 ,C.A"/>
        <s v="MARICARMEN CALDERON SANCHEZ"/>
        <s v="PUNTO NARANJA, C.A."/>
        <s v="MIGUEL MAGDALENO (ALMACEN)"/>
        <s v="DISTRIBUIDORA SUTERA, C.A."/>
        <s v="JOSE ALBERTO LOPEZ (PRODUCCION)"/>
        <s v="FARMACIA LOS JARALES 2024, C.A"/>
        <s v="ANA MARIA NOGUERA VIVAS"/>
        <s v="ZONA CENTRAL 2503,C.A"/>
        <s v="CHARCUTERIA EL MUSICO CAROREÑO, C.A"/>
        <s v="MACARENA GRILL, C.A."/>
        <s v="CAPOCHI, C.A."/>
        <s v="LA 5TA FIT, C.A."/>
        <s v="DELICATESES ALESSA, C.A."/>
        <s v="MARIA FERNANDA RODRIGUEZ HERNANDEZ"/>
        <s v="PANADERIA Y PAST LA FLOR DE LOS MAGALLANES, C.A."/>
        <s v="EMPRENDIMIENTO NAIROBY HERNANDEZ 3"/>
        <s v="MULTIMARKET LUNASHEBA TARTOS, C.A"/>
        <s v="EMPRENDIMIENTO MIGUEL CAMPO 10"/>
        <s v="CORNER, C.A"/>
        <s v="PANADERIA LA NUEVA ATENEO, C.A."/>
        <s v="FRUT MARKET LA HONDA, C.A."/>
        <s v="HAYNEL GONZALEZ MORA"/>
        <s v="PANADERIA Y PASTELERIA EL PAISA, C.A."/>
        <s v="ABASTO Y FRUTERIA ARAJACKO'S, C.A"/>
        <s v="ALDRIN JAVIER BERROTERAN COLINA"/>
        <s v="ENFOQUE TRAINIG BOX, C.A."/>
        <s v="INVERSIONES DIOS PROVEERA VDLV , C.A"/>
        <s v="BRANDOR ANDRES SANCHEZ WITKOWSKI"/>
        <s v="PANADERIA Y CHARCUTERIA LA FLOR DE AGUA BLANCA, C.A."/>
        <s v="EMPRENDIMIENTO MARLENIS GONZALEZ 3, C.A."/>
        <s v="GENESIS ALEJANDRA LAMEDA PUYOSA"/>
        <s v="INVERSIONES J 2022, C.A."/>
        <s v="ANGELA FERNANDEZ"/>
        <s v="RAMIRO ACOSTA AMAYA"/>
        <s v="REINA JOSEFINA DIAZ JIMENEZ"/>
        <s v="PANADERIA Y EXQUISITECES MILENARIA, C.A"/>
        <s v="MAYELA DEL ROSARIO PULIDO ROA"/>
        <s v="JHOAN DELGADO (PRODUCCION)"/>
        <s v="EVEREST COMPANY, C.A."/>
        <s v="PAND. PASTELERIA Y CHARCUTERIA MALAGON"/>
        <s v="PANADERIA GOURMET KING, C.A"/>
        <s v="INVERSIONES BODEGON PUERTA DEL SOL , C.A"/>
        <s v="NOVO MARKET 25,C.A. (COMEVAL)"/>
        <s v="ANGEL MANUEL ARCILA ORTEGA"/>
        <s v="JOSE DANIEL GARCIA"/>
        <s v="CRISTHIAN RIVERA (MANTENIMIENTO)"/>
        <s v="SAUL RAFAEL FERNANDEZ RIOS"/>
        <s v="DISTRIBUIDORA VICTORIA CENTER 2107, C.A."/>
        <s v="NOVO MARKET 25, C.A. (COMEVAL)"/>
        <s v="DAMARYS CASTILLO"/>
        <s v="DISTRIBUIDORA OLAM EL JIRETH 2026"/>
        <s v="LOSMAR DORELYS MENDOZA CARABALLO"/>
        <s v="OMAR LEONARDO PEREZ GARCIA"/>
        <s v="IVAN RODRIGUE"/>
        <s v="TASCA RESTAURANT EL TURISTA, C.A."/>
        <s v="DISTRIBUIDORA LOS 3 COCHINITOS, C.A"/>
        <s v="D H A DISTRIBUIDORA HERMANOS ARAQUE, C.A"/>
        <s v="DULCE CAFE &amp; GOURMET, C.A."/>
        <s v="BEAUTY EXPRESS BY MAFER, C.A."/>
        <s v="MARYURIS BENITEZ (PRODUCCION)"/>
        <s v="MARKET AWADA EXPRESS, C.A"/>
        <s v="PAOLA DE LOS ANGELES IDROBO PEREZ"/>
        <s v="MENTAS DELICATESES, C.A."/>
        <s v="ANGEL ARCILLEGAS (PRODUCCION)"/>
        <s v="JESUS RANGEL CAMACHO (PRODUCCION)"/>
        <s v="SKRUPULOS AGENCIA DE FESTEJOS"/>
        <s v="RICARDO GALINDO (DESPACHADOR)"/>
        <s v="AUTOMERCADO 4X4, C.A."/>
        <s v="DICK RONDON (VENTAS)"/>
        <s v="ENRIQUE MOLERO (MANTENIMIENTO)"/>
        <s v="WAHARI.VE, C.A."/>
        <s v="GYM ABAGADS, C.A."/>
        <s v="FRUTDIANA 2024, C.A."/>
        <s v="EMPRENDIMIENTO DEISY CONTRERAS,C.A."/>
        <s v="JUAN CARLOS CASTILLO BALZA"/>
        <s v="NELLY JOSEFINA ARID DE NIEVES"/>
        <s v="LUIS(ASADOS VENEZOLANOS)"/>
        <s v="FRANK ALFARO (VENDEDOR )"/>
        <s v="JESUS CASTRO (VENTA)"/>
        <s v="David Colmenares"/>
        <s v="INVERSIONES GUTIOCA, C.A."/>
        <s v="SHAC SOLUTIONS CORP.C,A"/>
        <s v="MOISES ROMERO"/>
        <s v="BENNU180, C.A."/>
        <s v="KENNY SEVILLA (MANTEMIENTO)"/>
        <s v="PANADERIA Y PASTELERIA LA NACIONAL DE CAGUA, C.A"/>
        <s v="JOHNNXI TABARES ANDUEZA"/>
        <s v="INVERSIONES JOANCHE A.G. 10, C.A."/>
        <s v="PANADERIA 5 COLOR, C.A"/>
        <s v="ENMANUEL ANTONIO RIVERO TORRES"/>
        <s v="VALERIE CECILIA FERNANDEZ CARRASQUERO"/>
        <s v="INVERSIONES AMAYNON , C.A"/>
        <s v="RICHARD SANZONETTI"/>
        <s v="RUBEN ALVARADO (TRANSPORTISTA)"/>
        <s v="LEONARDO MALDONADO (DESPACHO)"/>
        <s v="FITNESS CENTER  SPY GYM ,C.A"/>
        <s v="AXEL RANGEL (ALMACEN)"/>
        <s v="VC POWER GYM 2025, C.A."/>
        <s v="PROFESOR COROMOTO SAER"/>
        <s v="FABIAN SOUSA (PRODUCCION )"/>
        <s v="Frutería, jugos naturales y víveres Calicanto II C.A"/>
        <s v="HENKO MV C.A."/>
        <s v="INDIRA FALCON (ABOGADA)"/>
        <s v="CACHAPERA ESTEFANA, C.A."/>
        <s v="FUENTE DE SODA TOLIO, C.A."/>
        <s v="LORENA GUADALUPE SIVIRA HERNANDEZ"/>
        <s v="EL CAFE 2018, C.A."/>
        <s v="DAMIAN VALLE"/>
        <s v="HEIDY LANDAETA (PRODUCCION)"/>
        <s v="COMERCIAL C.W 2021, C.A."/>
        <s v="MAXI MERCADO PARAPARAL, C.A."/>
        <s v="HECMAR COMERCIALIZADORA, C.A. (HECMARCA)"/>
        <s v="ANA NAIYELIZ ARTEAGA ESCALONA"/>
        <s v="MARIANGELICA MARCHENA COLMENARE"/>
        <s v="COMERCIAL MEGA AHORRO, C.A."/>
        <s v="ABASTO Y DISTRIBUIDORA RAPALU, C.A."/>
        <s v="FUTIN IMPORT, C.A."/>
        <s v="DISTRIBUIDORA GRAN MARKET, C.A"/>
        <s v="CARNICERIA EL SEÑOR DE LA CARNE, C.A."/>
        <s v="PANAD PASTELERIA Y CHARCUTERIA SAO MIGUEL, C.A"/>
        <s v="MINIMARKET MY STAR, C.A."/>
        <s v="CRISTIALYS RAMOS (PRODUCCION )"/>
        <s v="PANADERIA Y PASTELERIA EL MANJAR ANDINO 2020, C.A."/>
        <s v="RENNY QUINTERO (PRODUCCION)"/>
        <s v="NESTO NUÑEZ (PRODUCCION )"/>
        <s v="KOZMOS 2023, C.A.  (GUACARA)"/>
        <s v="EMPRENDIMIENTO SAMI HAMCHOU, C.A."/>
        <s v="LA VALERIA VICTORIA, C.A."/>
        <s v="KOZMOS 2023, C.A.  (NISPEROS)"/>
        <s v="EL PALACIO DEL PAN, C.A."/>
        <s v="KOZMOS 2023, C.A   (FLOR AMARILLO)"/>
        <s v="ANA CAROLINA IBARRA MUÑOZ"/>
        <s v="KOZMOS 2023, C.A.  (CENTRO)"/>
        <s v="ANA VICTORIA CORREA (FINANZAS)"/>
        <s v="EIXON MOLINA (PRODUCCION)"/>
        <s v="KOZMOS 2023, C.A.  (PARRAL)"/>
        <s v="RAMON DONATO ARNONE"/>
        <s v="PEDRO RIVAS (PRODUCCION)"/>
        <s v="JOSE OJEDA ( PRODUCCION )"/>
        <s v="DAIRON IDALGO (PRODUCCION)"/>
        <s v="LUIS FLORES (PRODUCCION)"/>
        <s v="ANGELYS BERROTERAN (ENFERMERA )"/>
        <s v="FARIPAN, C.A."/>
        <s v="RODRIGO TERAN (PRODUCCION )"/>
        <s v="EMPRENDIMIENTO JOSE GONCALVES 13"/>
        <s v="ISBEL LEAL ALVARADO PRODUCCION"/>
        <s v="LIZ YANITZA AGUILAR DE BOLIVAR"/>
        <s v="GILBERTO ENRIQUE OJEDA"/>
        <s v="ROUNI MUÑOZ ( PRODUCCIÓN)"/>
        <s v="ANDRES VELIZ (PRODUCCION)"/>
        <s v="ROGELIO GONZALEZ (PRODUCCION)"/>
        <s v="CARLOS MONTOLLA (JEFE DE PRODUCION)"/>
        <s v="JESUS RIVERO (ELECTROMECANICO)"/>
        <s v="LE SIROP, C.A."/>
        <s v="INVERSIONES PATILLA MARKET, C.A."/>
        <s v="YENNIFER RODRIGUEZ (ENFERMERA)"/>
        <s v="VICTOR ANDRE LAMAS VALERO"/>
        <s v="LOLI PERREGIL HOTAL"/>
        <s v="JIMMY HERNANDEZ (PRODUCCION)"/>
        <s v="EMILIO ORLANDO BETANCOURTH  LOPEZ"/>
        <s v="KATHERINE CASTILLO (ADM)"/>
        <s v="SHOP MARKET, C.A."/>
        <s v="MERKAFUR, C.A"/>
        <s v="SUPERMERCADO ALMARIERA CA"/>
        <s v="SUPER MAXI MARKET, C.A"/>
        <s v="GRAN ABASTO GIRASOL, C.A."/>
        <s v="EMPRENDIMIENTO ELSA PIEMONTE"/>
        <s v="INVERSIONES MERCANTIL 888, C.A"/>
        <s v="MINI MARKET MORENOLEON 22, C.A"/>
        <s v="CARLOS EDUARDO TORREALBA PEREZ (BODEGON TORREALBA, F.P.)"/>
        <s v="EMPRENDIMIENTO FRANCIS PINTO 5"/>
        <s v="JOSELEN CECILIA CASTILLO LINAREZ (CASTILLO LA PECERA, F.P)"/>
        <s v="GUIMEI WU (COMERCIAL GUIMEI)"/>
        <s v="COMERCIAL GRAN VARGAS C.A."/>
        <s v="MAS Q' POLLO, C.A."/>
        <s v="COMERCIALIZADORA Y DISTRIB, M C.A"/>
        <s v="MARIANNY COROMOTO URRIETA MENDEZ"/>
        <s v="AUTOMERCADO LA 9, C.A."/>
        <s v="SOLO PARA CARNIVOROS,C.A."/>
        <s v="SUPER MERCADO PLAZA CHINA 2028, C.A"/>
        <s v="INVERSIONES MILENIUM, C.A."/>
        <s v="SUPERMERCADO MEGA LUCKY C.A."/>
        <s v="BODEGON ARTESANAL EL CHILE C.A."/>
        <s v="EMPRENDIMIENTO HUOLIN FENG"/>
        <s v="MARKET ALBRIHI, C.A."/>
        <s v="TRIBU FITNESS, C.A."/>
        <s v="JHONNATAN JESUS BERRIOS MANZANILLA (EL OFERTON BERRIOS, F.P)"/>
        <s v="COMERCIAL OFERTA C.A."/>
        <s v="CIUDAD CARLISS, CA"/>
        <s v="JINGYAN LI (SUPERMERCADO OFERTON LA 31)"/>
        <s v="ZI CHENG ZHENG ZHENG (ZHENG 99 SUPERMERCADO)"/>
        <s v="INVERSIONES OTK, C.A"/>
        <s v="STRONG FITNESS GYM, C.A"/>
        <s v="INVERSIONES LAS CHINITAS J Y Y C.A."/>
        <s v="COMERCIAL MAKSIM C.A"/>
        <s v="ZHEN WANG (WANG DING DANG LUKY 33)"/>
        <s v="SUPERMERCADO DRAGON DE SUCRE C.A."/>
        <s v="MARIA GABRIELA VALERA DE CARRILLO (INV. VALERA 0518, F.P.)"/>
        <s v="ISRAEL DAVID RIVAS M (CAFE EL MORICHAL DE ISRAEL RIVAS, FP)"/>
        <s v="DERWIN JOSE TORRES"/>
        <s v="MULTICENTER LA CASA C.A"/>
        <s v="SUPERMERCADO EL SUPREMO C.A."/>
        <s v="SUPERMERCADO TORRE FUERTE, C.A."/>
        <s v="KRISMARY MARIA VISCAYA PEÑA"/>
        <s v="JUANA MARIA VERGEL (INVERSIONES MIGO#CHA VERGEL, F.P)"/>
        <s v="SUPERMERCADO CERRAJONES, C.A."/>
        <s v="SUPERMERCADO ATLANTIC 2008, C.A."/>
        <s v="INVERSIONES CASA VIEJA 2028, C.A."/>
        <s v="EL MOLINO DEL TRIGO, C.A."/>
        <s v="PANADERIA Y PASTELERIA CHALET C.A"/>
        <s v="LA DESPENSA GP C.A."/>
        <s v="LE CHATEAU BODEGON C.A"/>
        <s v="ABASTO FRUTERIA HERMANOS, C.A."/>
        <s v="TORITO EXPRESS C.A"/>
        <s v="BULL MARKET, C.A."/>
        <s v="FRIGORIFICO NUEVA SANTA ELENA C.A."/>
        <s v="SUPER 29, C.A"/>
        <s v="PANADERIA, PAST, PIZZ, LUNCH Y CHARC TULIPAN C.A."/>
        <s v="ELITE PRO GYM,C.A."/>
        <s v="TULIO JOSE VELIZ RAMOS"/>
        <s v="TIENDA MUSCLE &amp; FITNESS, C.A"/>
        <s v="MERCANTIL PERFECTO, C.A."/>
        <s v="COMERCIAL DRAGON DE ORO C.A."/>
        <s v="SURMOK 24 C.A."/>
        <s v="GRUPO RORAIMA, C.A."/>
        <s v="SUPERMERCADO LA 55, C.A."/>
        <s v="PALADAR BODEGON &amp; RESTAURANT, C.A."/>
        <s v="SUPERMERCADO EL GRAN PUNTO C.A."/>
        <s v="INVERSIONES CANAIMA, C.A."/>
        <s v="AUTOMERCADO VENTURA LIANG, C.A."/>
        <s v="CHARCUTERIA Y BODEGON LOS TONINOS C.A."/>
        <s v="SUPER ANGEL 88, C.A"/>
        <s v="SUPERMERCADO XINGZI, C.A."/>
        <s v="PANADERIA PASTELERIA CHARCUTERIA FLOR DE ARAURE, C.A."/>
        <s v="VIVA LOUNGE, C.A."/>
        <s v="FRIGORIFICO III MILENIO, C.A."/>
        <s v="INVERSIONES LA GRAN FAMILIA 2025, C.A"/>
        <s v="EL BODEGON DEL CONDE, C.A."/>
        <s v="PANADERIA, PASTELERIA Y CHARCUTERIA SUSANA, C.A."/>
        <s v="COMERCIAL MEGA VISTOSA, C.A"/>
        <s v="HI COFFEE, BAKERY AND RESTAURANT, C.A."/>
        <s v="D'LICORS HOUSE, C.A."/>
        <s v="SOCIEDAD CIVIL PANIFICADORA RANCHO GRANDE"/>
        <s v="INVERSIONES LA FIRMEZA J, C.A."/>
        <s v="PANADERIA Y DELICATESES LA CASCADA DE CARORA, C.A."/>
        <s v="KEILY COROMOTO PEROZO BRICEÑO (BODEGON PEROZO KIWI, F.P)"/>
        <s v="RESTAURANT BRASAS DE ARENALES, C.A"/>
        <s v="ABASTOS E INVERSIONES SAN MIGUEL, C.A."/>
        <s v="MULTI TIENDA PASEO C.A."/>
        <s v="COMERCIAL MEGA POPULAR C.A."/>
        <s v="PANADERIA, PASTELERIA Y CHARCUTERIA EL RETRUQUE, C.A."/>
        <s v="CACAO 2013, C.A."/>
        <s v="AURA MARINA CASTRO DE ALVAREZ"/>
        <s v="GENESIS VIOLEMAR RAMOS GALLARDO"/>
        <s v="BAKERY LA ESTRELLA DORADA, C. A."/>
        <s v="RITO ANTONIO ACOSTA MONTOYA"/>
        <s v="SAMUEL ELIAS VIERA APONTE"/>
        <s v="MARKET LAS DELICIAS JK, C.A"/>
        <s v="JOSE MARTIN BAPTISTA HERRERA (AUTO ACCESORIOS J.M.B.)"/>
        <s v="COMERCIALIZADORA Y DISTRIBUIDORA KP, C.A."/>
        <s v="CARLOS ELIAS MENDOZA YEPEZ (CARLOS E. MENDOZA FITNESS)"/>
        <s v="VIC MAD BURGUER 1. CA"/>
        <s v="FARMACIA ARCA C.A."/>
        <s v="COMERCIAL NUEVO ORIENTE C.A."/>
        <s v="BODEGON LA NUEVA FAVORITA, C.A"/>
        <s v="OLGA YASMIN PEREIRA ROJAS (PEREIRA PALMASOLA)"/>
        <s v="MERWINSON RAMON CUAMO PEÑA (COMERCIAL CUAMO)"/>
        <s v="JOSE GREGORIO VALERA SEGOVIA"/>
        <s v="DELSY MARIA RAMONES ORELLANA"/>
        <s v="INVERSIONES PELLIN DE NOBREGA, C.A."/>
        <s v="COMERCIALIZADORA VENEZ 19 C.A"/>
        <s v="EL PALACIO DEL BURGUER 2023, C.A"/>
        <s v="ROTARIA DELICATESES C.A."/>
        <s v="EMPRENDIMIENTO LENIN SILVA"/>
        <s v="DISTRIBUIDORA FABUCENTER, C.A."/>
        <s v="COMERCIALIZADORA LA 60 I, C.A"/>
        <s v="FUXION FITNESS 0223"/>
        <s v="INVERSIONES EL MARACUCHO JP, C.A"/>
        <s v="MINIMARKET DG DEL CENTRO C.A"/>
        <s v="TUCHARCU2024, C.A"/>
        <s v="ASOCIACION COOPERATIVA EL VALLE, R.L."/>
        <s v="PANADERIA, PASTELERIA Y CHARCUTERIA MARGARITA, C.A."/>
        <s v="PANADERIA, PAST Y CHARC SAN BLAS, C.A."/>
        <s v="DELICATE CAMILA C.A"/>
        <s v="KURVAN TEQUEÑOS, C.A."/>
        <s v="SUPER PLAZA, C.A."/>
        <s v="COMERCIAL EL GRAN XIN XIN C.A"/>
        <s v="AUTO MERCADO CALIFORNIA FENG, C.A."/>
        <s v="SUPER MARKET VIP, C.A."/>
        <s v="FARMACIA LA ECONOMIA, C.A."/>
        <s v="LACTEOS CHIVACOA, C.A."/>
        <s v="TIENDA NATURISTA PUNTO INTEGRAL, C.A."/>
        <s v="COMERCIAL ZHIHUA 2019 C.A"/>
        <s v="PANADERÍA, PASTELERÍA Y CHARCUTERÍA TRIGO PAN 96, C.A."/>
        <s v="PANADERIA PASTELERIA Y CHARCUTERIA GIRA PAN 2022, C.A."/>
        <s v="PANADERIA PASTELERIA Y CHARCUTERIA GIRAMUNDO, C.A."/>
        <s v="BAZAR UNICO LFYC, C.A"/>
        <s v="FARMACIA EXCELSA PASTORA, C.A."/>
        <s v="SULAN HE (COMERCIAL SULAN HE)"/>
        <s v="JUAN PABLO ROMERO M (INVERSIONES EL ROMERILLO ROMERO, F.P)"/>
        <s v="ALIMENTOS NACIMIENTO 2011, C.A."/>
        <s v="FISIOAVENSA, C.A"/>
        <s v="DIONI HANSUBERTH LOPEZ DI MARCELLO (DIOPLASTC, LOPEZ )"/>
        <s v="INVERSIONES TECHO AZUL DE JOANFA, C.A"/>
        <s v="VALERA IMPORT, C.A"/>
        <s v="SUPERMERCADO LA GRAN 16, C.A"/>
        <s v="VARIEDADES EL PALACIO LA 18, C.A"/>
        <s v="HIPERMERCADO ELITE, C.A."/>
        <s v="SUPERMARKET LARENSE, C.A"/>
        <s v="BIOCUIDADOS AL NATURAL, C.A."/>
        <s v="INVERSIONES VICTORY TIME, C.A"/>
        <s v="ELIAS ENRIQUE OLARTE PEREZ"/>
        <s v="NESTOR GERARDO TORRES ORTIZ"/>
        <s v="EL BODEGON DE AMANDA, C.A"/>
        <s v="PANADERIA PASTELERIA Y CHARCUTERIA DILPAN , C.A"/>
        <s v="MASSIEL KARINA MENDOZA MENDOZA (MENDOZA MASSIEL)"/>
        <s v="EDGAR JOSE FIGUEROA AVILA (INVERSIONES MANITO)"/>
        <s v="SHUENXING, C.A"/>
        <s v="CARLOS ALBERTO NAVARRO GOMEZ"/>
        <s v="PANADERIA Y PASTELERIA DEYVID PAN CA"/>
        <s v="BAI LIN CHEN (COMERCIAL SUN FA)"/>
        <s v="SUPERMARKET LA GRAN MURALLA S &amp; S C.A"/>
        <s v="MARLIN KARINA LORENZO SILVA"/>
        <s v="LOS ESTADIUMS C.A."/>
        <s v="PANADERIA PASTELERIA Y CHARC. EL CASTILLO DEL PAN C.A."/>
        <s v="JENNY JOSEFINA MILLA"/>
        <s v="HAIPING ZHENG (INVERSIONES GRAN EXITO ZHENG, F.P.)"/>
        <s v="AUTOMERCADO EL FUTURO C.A."/>
        <s v="DANIEL ENRIQUE LA MARCA GRATEROL"/>
        <s v="ANTHONY DANIEL VARGAS GUILLEN"/>
        <s v="CHARCUTERIA &amp; MARKET KATHY´S 2024, C.A"/>
        <s v="SUPER MAYORISTA GOURMET, C.A"/>
        <s v="JHOAN ALEJANDRO ZAMBRANO OTTAMENDY"/>
        <s v="CHARCU MARKET M, C.A"/>
        <s v="EMPRENDIMIENTO ELVIMAR ALVAREZ"/>
        <s v="SUPER OLIMPICO, C.A."/>
        <s v="PANADERIA LAS MERCEDES 2017, C.A"/>
        <s v="EMILYANTH DEL ROSARIO SILVA"/>
        <s v="BODEGON Y PANADERIA SAN BENITO, C.A."/>
        <s v="PANADERIA KATHY PAN 2010 C.A"/>
        <s v="INVERSIONES URIEL DG 2024, C.A."/>
        <s v="ABOURASS ABOURAS, C.A"/>
        <s v="JIANYA WU (SUPERTIENDA 18 WU)"/>
        <s v="CECIA PAYARES (CANTINA SAN PEDRO)"/>
        <s v="BODEGON MARKET EL CONFIANZA DE LA 37, C.A"/>
        <s v="FERIA LA VALERANA I C.A."/>
        <s v="FRIGORIFICO HATO ARRIBA, C.A."/>
        <s v="AUGUSTO ANTONIO D`ALESSANDRO AGUILAR"/>
        <s v="ABASTO Y ALGO MAS EL ORIENTAL C.A."/>
        <s v="PANADERIA PASTELERIA PERLA DO ATLANTICO, C.A."/>
        <s v="MONIFABY CENTER, C.A"/>
        <s v="INVERSIONES GABRIEL 1991, C.A."/>
        <s v="REDNAXELA AKSONIN LEON PINEDA"/>
        <s v="ADRIANA ALEXANDRA CARREÑO V (INVERSION ALEXANDRA 2018, F.P)"/>
        <s v="PANIFICADORA Y DISTRIBUIDORA LA MANSION DEL PANADERO2013 C.A"/>
        <s v="NELSON GEREMIAS CARREÑO BARON"/>
        <s v="LUDI MARITZA CALIXTO SILVA"/>
        <s v="INVERSIONES Y 2020, C.A"/>
        <s v="GYM FITNESS CENTER, C.A"/>
        <s v="COMERCIAL LUREMM, C.A."/>
        <s v="EMPRENDIMIENTO ANTONIO CARPENTIERI (LA CELESTE)"/>
        <s v="INVERSIONES JJR 2022, C.A"/>
        <s v="HOME RUN RESTAURANT, C.A."/>
        <s v="PANADERIA Y PASTELERIA ALIANZA C.A."/>
        <s v="LIRIO DORADO 2024, C.A"/>
        <s v="EMPRENDIMIENTO YINESKA AGUERO (SOIS CAFE)"/>
        <s v="DISTRIBURGUER DEL OESTE C.A."/>
        <s v="ANTHONY DANIEL GUILLEN VARGAS"/>
        <s v="ANA YESENIA URDANETA ROJAS"/>
        <s v="CRISTOBAL RAMON GALLARDO CARUCI"/>
        <s v="JOSE IGNACIO ANDRADE CARDOZA"/>
        <s v="DISTRIBUIDORA GRAN MUNDO 2022, C.A"/>
        <s v="INVERSIONES SK 2016, C.A"/>
        <s v="HECTOR JOEL ALVAREZ M (ALVAREZ FRIGOPOLLO INVERSIONES, F.P.)"/>
        <s v="COMERCIALIZADORA PA´ QUE RAFA C.A."/>
        <s v="PANAD PASTELERIA CHARCUT VIVERES PRINCESINHA C.A."/>
        <s v="DISTRIBUIDORA DON LOLO C.A."/>
        <s v="KARLYN VILLASMIN SALAZAR LEON"/>
        <s v="ISABEL DEL CARMEN YANEZ PEREZ"/>
        <s v="EDGAR JESUS BARROETA GUILLEN (ARMOR SECURITY SYSTEMS)"/>
        <s v="LOS RICOS DULCES DE MI ABUELA C.A."/>
        <s v="EDITZA CASTILLO (INVERSIONES LA NEGRITA CASTILLO E.Y,F.P)"/>
        <s v="VICKY LA 22, C.A."/>
        <s v="LA BODEGUITA YOUMI, C.A"/>
        <s v="SUPERMERCADOS DIANE, C.A"/>
        <s v="SUPERMERCADOS DIANE, C.A."/>
        <s v="JOSE A MARTINEZ (MARTINEZ CHARCUTERIA Y VIVERES NAPOLES F.P)"/>
        <s v="SUPERMERCADO CARORITA 17, C.A"/>
        <s v="ANTOJITOS TASTY C.A."/>
        <s v="BODEGON LA SUCRE 2023, C.A"/>
        <s v="INVERSIONES X &amp; L C.A"/>
        <s v="SUGGAR SMOOTHIES &amp; SNACKS,C.A"/>
        <s v="PANADERIA FATTY, C.A."/>
        <s v="INVERSIÓN LA DULCE VIDA C.A."/>
        <s v="SUPERMERCADO MEN C.A."/>
        <s v="BODEGON Y DELICATESES MEDIA NARANJA, C.A."/>
        <s v="SUPER ALIANZA, C.A"/>
        <s v="PANADERIA Y PASTELERIA REAL PAN, C.A."/>
        <s v="FV GRUPO EMPRESARIAL, C.A."/>
        <s v="INVERSIONES 7 STAR C.A."/>
        <s v="COMERCIAL SUPER TODO C.A."/>
        <s v="LA MEGA TIENDA TUREN, C.A."/>
        <s v="CONFITERIA YUWU, C.A."/>
        <s v="COMERCIAL 88 C.A."/>
        <s v="JINFU YU (COMERCIAL CENTRO YARITAGUA YU, F.P)"/>
        <s v="DISTRIBUIDOR MUNDO MAGICO C.A."/>
        <s v="QUESERA Y CHARCUTERIA BRISAS DE GUASARE C.A."/>
        <s v="MAYOR HERMANOS DAZA C.A."/>
        <s v="MAYORISTA LA FORTALEZA, C.A."/>
        <s v="ALIMENTOS DAYKARI, COMPAÑIA ANONIMA"/>
        <s v="SAMBECA, C.A."/>
        <s v="COMERCIALIZADORA TODO MARKET 10, C.A."/>
        <s v="EDUARDO ERNESTO SIERRA (BODEGA LA 5 EDUARDO SIERRA)"/>
        <s v="EMPRENDIMIENTO NAUDYS CORDERO"/>
        <s v="COMERCIAL WEI SHENG, C.A."/>
        <s v="JOSE MANUEL SANCHEZ"/>
        <s v="MANUEL ENRIQUE PEREZ DURAN"/>
        <s v="SUPERMERCADO CARORITA 16, C.A"/>
        <s v="MOTO SOHI, C.A"/>
        <s v="FRIGORIFICO HERMANOS CASTRO 2019, CA"/>
        <s v="SUMINISTRO DE ALIMENTOS CASTRO, C.A."/>
        <s v="HIOLEN COROMOTO VALERA (VALERA HIOLEN MI FE, F.P)"/>
        <s v="MARIA J CABRERA H (COMERCIAL, CHARC Y LACTEOS CABRERA FP)"/>
        <s v="SYLVAIN L LOTTIER (SYLVAIN LOTTIER CARNICERIA Y CHARCUTERIA)"/>
        <s v="ASOCIACION COOP. DE SERVICIOS MULTIPLES VIRGEN DEL CARMEN RL"/>
        <s v="PANIFICADORA EL PAN NEW C.A."/>
        <s v="INVERSIONES DOBLE KK2021 C.A."/>
        <s v="COMERCIALIZADORA EL ARABE J S, C.A"/>
        <s v="WILBER JOSUE MEDINA ALVARADO"/>
        <s v="CARLOS JESUS ANTIQUE MENDOZA"/>
        <s v="FRANCELYS CAROLINA ALVARADO MENDOZA"/>
        <s v="HIPERMERCADO RIO CLARO, C.A"/>
        <s v="ASOCIACION COOPERATIVA RIO CLARO RL"/>
        <s v="EMPRENDIMIENTO JHOSEMAR REYES"/>
        <s v="JOSE FELIX MARTINEZ GARCIA"/>
        <s v="ALI JOSE PEREZ FUENTES (VAMOS PA QUE ALI)"/>
        <s v="ROLANDO ALBERTO ARAUJO ALVARADO"/>
        <s v="SUPERMERCADO Y COMERCIALIZADORA LA CEIBA, C.A"/>
        <s v="DISTRIBUIDORA EL PIOLIN I, C.A."/>
        <s v="COMERCIAL LA VILLA 08, C.A."/>
        <s v="CAKE MARKET 2021, C.A."/>
        <s v="COMERCIAL ZHANG 2016, C.A"/>
        <s v="EMPRENDIMIENTO FREDDERY LINARES"/>
        <s v="MARBELLYS JOSEFINA FERNANDEZ RODRIGUEZ"/>
        <s v="DISTRIBUIDORA Y COMERCIALIZADORA AR, C.A."/>
        <s v="INVERSIONES GT 9.2, C.A"/>
        <s v="GALA GYM, C.A"/>
        <s v="INVERSIONES LAS TRES FUERZAS C.A."/>
        <s v="BODEGON GRANJA, C,A"/>
        <s v="EMPRENDIMIENTO ROLANDO PEÑA 3"/>
        <s v="PABLO JOSE GARRIDO VASQUEZ"/>
        <s v="EMPRENDIMIENTO JORGE CASTAÑEDA 2"/>
        <s v="EL BODEGON DE ANTONELLA, C.A"/>
        <s v="S &amp; S INVERSIONES 2023, C.A"/>
        <s v="LA NUEVA EURO LATINA, C.A."/>
        <s v="PANADERIA Y PASTELERIA LOS LIRIOS 2024 ,C.A"/>
        <s v="BODEGÓN FRUTICARNE DEL OESTE, C.A"/>
        <s v="FOOD SERVICE OCCIDENTE, C.A"/>
        <s v="TODO BARATO 2023, C.A"/>
        <s v="DISTRIBUIDORA ASA BOLIVAR, C.A"/>
        <s v="CARLA ANDREINA MONTES PEROZO"/>
        <s v="PANADERIA PASTELERIA CHARCUTERIA SAN JOSE DEL ESTE, C.A."/>
        <s v="BIG MARKET 2022, C.A."/>
        <s v="PANADERIA FOCACCIA, C.A."/>
        <s v="COMERCIAL GRAN VILLA 2020, C.A."/>
        <s v="DARIELIS ZENAHIR GUTIERREZ RANGEL"/>
        <s v="FARMACIAS MED-CLICK, C.A"/>
        <s v="PANIFICADORA LA AMAPOLA C.A"/>
        <s v="LEE CHIANG FEI LUNG (INVERSIONES CASA IDEAS LEE)"/>
        <s v="THIAGO VENTAS, C.A."/>
        <s v="OFERTAZO 2024, C.A"/>
        <s v="INVERSIONES T 2011, C.A."/>
        <s v="LUJAN FITNESS, C.A"/>
        <s v="KATERIN KARINA MONTILLA VARGAS"/>
        <s v="CHARCUTERIA Y FRUTERIA PATARATA C. A"/>
        <s v="DISTRIBUIDORA Y COMERCIALIZADORA LUCKY STAR, C.A"/>
        <s v="INVERSIONES SOPHIA 2019, CA"/>
        <s v="EMPRENDIMIENTO MAGYOIRE VILORIA"/>
        <s v="YUSMARY JOSEFINA MORILLO MUJICA"/>
        <s v="COMERCIAL CARORITA, C.A."/>
        <s v="PANADERIA, PASTELERIA Y BODEGON MONACO, C.A"/>
        <s v="CHARCUTERIA, VIVERES Y OTROS LA BEBA 28, C.A"/>
        <s v="INVERSIONES DANICORD 520, C.A"/>
        <s v="OCEANX MARKET, C.A"/>
        <s v="ESTRELLA DORADA 75, C.A"/>
        <s v="PANADERIA, ABASTOS Y CHARCUTERIA ANGIPAN C.A."/>
        <s v="DISTRIBUIDORA Y COMERCIALIZADORA CAUTIVANTE C.A"/>
        <s v="FUNG CENTER, C.A."/>
        <s v="IRAIDA JOSEFINA CAMACARO DE"/>
        <s v="INVERSIONES EL PROFE 2006, C.A"/>
        <s v="MIGAS GRILL C. A"/>
        <s v="SEVI IMPORT, C.A"/>
        <s v="TU ZONA MARKET, C.A"/>
        <s v="BODEGÓN Y PANADERÍA LAS VEGAS DEL ESTE, C.A"/>
        <s v="MARKET HW C.A"/>
        <s v="YURIMAWA YAURI CASTILLO S (VARIEDADES CASTILLO SEGOVIA)"/>
        <s v="HENRY GUSTAVO HERNANDEZ GARCIA"/>
        <s v="MARIA DE LOS ANGELES TORREALBA BARRETO"/>
        <s v="COMERCIALIZADORA EL PIBITO, C. A."/>
        <s v="PANADERIA PASTELERIA CHARCUTERIA MANSION YARACUYANA C.A."/>
        <s v="WEI-KOA EL SUPER LIDER, C.A."/>
        <s v="EMPRENDIMIENTO AUDRY ARTEAGA"/>
        <s v="EMPRENDIMIENTO GABRIEL GARCIA 16"/>
        <s v="EDWAR JOSE COLINA SANCHEZ"/>
        <s v="ROSALINDA MUJICA RODRIGUEZ"/>
        <s v="LOS OLIVOS CAFE MARKET, C.A."/>
        <s v="INVERSIONES CEBAS, C.A"/>
        <s v="KLEIVER JOSE PEREZ OROPEZA (PEREZ DISTRIBUIDORA PEREZ)"/>
        <s v="TEODULO ANTONIO MELENDEZ YSEA (INVERSIONES MELÉNDEZ Y.72)"/>
        <s v="SUPERMERCADO PEDREGAL C.A"/>
        <s v="MARCEPOLLO, C.A"/>
        <s v="AUTOMERCADO VEN MART C.A."/>
        <s v="FERNANDO ARTURO HURTADO RODRIGUEZ"/>
        <s v="EMPRENDIMIENTO MIGUEL SELVI"/>
        <s v="RICARDO ALBERTO ANAYA HERNANDEZ"/>
        <s v="ESPORBIKE, C.A"/>
        <s v="DISTRIBUIDORA DE ALIMENTOS Y LACTEOS SANTA FE, C.A"/>
        <s v="JOSE RAMON TORREALBA OROPEZA(TORREALBA AZUCAR MORENA GOURMET"/>
        <s v="SUPERMERCADO PREMIUM C.A."/>
        <s v="NEVADOS REPOSTERIA, C.A."/>
        <s v="CARLOS LUIS GUERRA MELENDEZ (GUERRA EL RETRUQUE 2021)"/>
        <s v="IMPERIO MUJICA, C.A"/>
        <s v="DIVER JOSE PEREZ (PEREZ BODEGON PEREZ, F.P.)"/>
        <s v="INVERSIONES DOS REIS, C.A."/>
        <s v="NESTOR J GOMEZ (GOMEZ BODEGA VIRGEN DE LA CHIQUINQUIRA, F.P)"/>
        <s v="NOVA MARKET, C.A."/>
        <s v="RAIRIMAR ESTEFANIA RODRIGUEZ RODRIGUEZ"/>
        <s v="PANADERIA CORAZON DE JESUS C.A."/>
        <s v="EL BODEGON DE LAS NIEVES 2020, C.A"/>
        <s v="NAIDE COROMOTO PAIVA DE CACERES"/>
        <s v="COMERCIALIZADORA DIVINA PASTORA_1406, C.A"/>
        <s v="HECTOR JOSE MUJICA P (MUJICA SUMINISTROS ALIMENTICIOS 2014)"/>
        <s v="LA ANDINA 2025, C.A"/>
        <s v="COMERCIALIZADORA LAS VIRTUDES DE CARORA C.A"/>
        <s v="BODEGON K365/24H, C.A."/>
        <s v="BAGUETTE CARORA 2023, C.A"/>
        <s v="CHARCUTERIA VICTORIA Y ALGO MAS, C.A."/>
        <s v="YOHELYS JOSEFINA VENTO VISCAYA"/>
        <s v="INTEROLIMPICSPORT CARORA 1, C.A."/>
        <s v="BODEGON Y FESTEJOS DOÑA NENA 2018, C.A"/>
        <s v="PANADERIA PASTELERIA Y CHARCUTERIA DALIPAN, C.A."/>
        <s v="PANADERIA LA DINASTIA, C.A."/>
        <s v="BODEGON LAS VILLAS 7, C.A"/>
        <s v="CASAPAN C.A"/>
        <s v="BODEGA D TORO 2023 C.A"/>
        <s v="DISTRIBUIDORA DELI MARKET C.A."/>
        <s v="COMERCIAL MIS ANGELITOS 168, C.A"/>
        <s v="ABASTO Y LICORERIA QUERER ES PODER, C.A"/>
        <s v="SANTY ROLANDO MOGOLLON CASTILLO"/>
        <s v="YUSLENNY MORAN (COMERCIALIZADORA MORAN 2019, F.P. )"/>
        <s v="LUISANNY RAMIREZ GONZALEZ"/>
        <s v="GUSTAVO RAMIRO DE LA GALA SUAREZ"/>
        <s v="DISTRIBUIDORA VILLARREAL SANCHEZ, C.A"/>
        <s v="QUALITY MARKET 2020, CA"/>
        <s v="PRESTO MERCADO, C.A"/>
        <s v="TODO MARKET BIAN, C.A"/>
        <s v="AN  2022, C.A"/>
        <s v="MAS INFLATABLE PARK, C.A"/>
        <s v="FARMACIAS DASA, C.A"/>
        <s v="FARMACIA PLAZA BRUZUAL, C.A"/>
        <s v="RAUL ARTURO MARTINEZ GARCIA"/>
        <s v="ESTEFANIA ESMERALDA ALVAREZ GUARDAZACA"/>
        <s v="PANIFICADORA NUEVO PAN C.A."/>
        <s v="AMOR Y CAFEINA 2025, C.A"/>
        <s v="BASTIMENTO MARKET COMPAÑIA ANONIMA"/>
        <s v="PANADERIA PERLA PRINCE, C.A."/>
        <s v="MARIA ZULAY PEREZ (PEREZ LA GOCHITA ZULAY)"/>
        <s v="EDGAR DE JESUS VILLARREAL"/>
        <s v="SUPERMERCADO CENTRAL LARENSE C.A"/>
        <s v="PASAPALOS NEFERTITIS, C.A"/>
        <s v="ISRAINEL ADRIAN PEREZ GARCES (INVERSIONES ISRAINEL PEREZ)"/>
        <s v="COMERCIAL HOUSTO C.A."/>
        <s v="INVERSIONES REN - IDRI, C.A."/>
        <s v="PANADERIA MAIL DE JESUS, C.A"/>
        <s v="DISTRIBUIDORA M33 LARA, C.A"/>
        <s v="BODEGON 2023, C.A"/>
        <s v="COMERCIAL BELLA FAMILIA, C.A."/>
        <s v="INVERSIONES LOS ANGELES 2025, C.A."/>
        <s v="TIKIO´S GYM POWER, C.A"/>
        <s v="ADRIANA´S BODEGON YARACUY, C.A"/>
        <s v="BODEGON EL PAVITO, C.A."/>
        <s v="LATIN MARKET RM, C.A"/>
        <s v="RAMON ALEXANDER PADRON S (NIRGUA BURGUER PADRON)"/>
        <s v="MAXI PANDA 168, C.A."/>
        <s v="YOENDER JOSE MENDOZA MELO"/>
        <s v="EGLIS YOSMARI SANCHEZ (LA TRADICION DEL DULCE SANCHEZ)"/>
        <s v="SUPERMARKET 2024, C.A."/>
        <s v="PLANET GYM RT. C.A"/>
        <s v="FARMA DUBAI, C.A."/>
        <s v="WUILINGER JOSE VASQUEZ PEREZ (VASQUEZ DISTRIBUIDORA)"/>
        <s v="CORIANNYS JOSEFINA LOPEZ COLINA"/>
        <s v="DISTRIBUIDORA OROPEZA 2024, C.A."/>
        <s v="EMPRENDIMIENTO MARILIN CHAVEZ"/>
        <s v="PANADERIA LA MURALLA BOULEVARD C.A."/>
        <s v="TIENDA MABRUK, C.A"/>
        <s v="BUONE MARKET EXPRESS, C.A"/>
        <s v="LA GEORGIA 2022, C.A (LA GEORGIA 2022, C.A)"/>
        <s v="JOSE ANTONIO RODRIGUEZ GUEDEZ (CENTRO DE APUESTAS RAY II)"/>
        <s v="INVERSIONES UNION CENTER, C.A."/>
        <s v="AMBAR SUPERMARKET C.A"/>
        <s v="EMPRENDIMIENTO JUNIOR DUQUE"/>
        <s v="INVERSIONES GRAN VARGAS 22 , C.A"/>
        <s v="COMERCIALIZADORA Y DISTR, M C.A"/>
        <s v="INVERSIONES MATHIAS 2019, C.A"/>
        <s v="HANI YARAMANI ABOUL FADEL (H. Y. VERTIGO YARAMANI)"/>
        <s v="LEIVI YOSELIN SANCHEZ AGUILAR, F.P."/>
        <s v="PADELHOUSE, C.A"/>
        <s v="DIEGO FERNANDO ADAN BUTTO"/>
        <s v="PANADERIA Y CHARCUTERIA FLOR DE CALICANTO C.A."/>
        <s v="INVERSIONES KATIMAR 2020, C.A."/>
        <s v="ROSANGELA GABRIELA RODRIGUEZ GONZALEZ"/>
        <s v="ROMAN J COLMENAREZ S (ROMAN COLMENAREZ DISTRIBUIDORA, F.P.)"/>
        <s v="WILLIANS DAVID SILVA GONZALEZ"/>
        <s v="JORGE ARMANDO PARRA LUQUE"/>
        <s v="JOSE ANGEL CASTILLO ALVARADO (JACA INVERSIONES)"/>
        <s v="RAMON JOSE VILLEGAS TOLEDO"/>
        <s v="PANETTERIA PLAZA, C.A."/>
        <s v="LAUREL 2021, C.A"/>
        <s v="ELITE PADEL CENTER, C.A"/>
        <s v="EDGAR ANTONIO RODRIGUEZ (INVERSIONES DON RODRIGUEZ E, F.P)"/>
        <s v="JEFERSON FELIPE ESCALONA MACHADO"/>
        <s v="PANADERIA LIRIO DE LOS VALLES C.A."/>
        <s v="COMERCIAL LUCKY PANDA C.A"/>
        <s v="STRONG PLAYERS, C.A."/>
        <s v="WALMART VENEZUELA, C.A."/>
        <s v="YANLANG WU (UNIMERCADO'S WU)"/>
        <s v="EMPRENDIMIENTO ELIZABETH PARRA"/>
        <s v="COMERCIAL BLUE MARKET, C.A."/>
        <s v="BAOHONG ZHENG (SUPERMERCADO QUINTA CRESPO)"/>
        <s v="LA NUEVA NEFERTITIS, C.A."/>
        <s v="RAELMAR JOMARYS PULIDO MARTINEZ"/>
        <s v="ANA KARINA CONTRERAS LOPEZ"/>
        <s v="ASPARMON 20 C.A."/>
        <s v="COMERCIAL COLOR STAR C.A."/>
        <s v="COMERCIAL MEGA EXITO 88, C.A"/>
        <s v="YAMILA TRINIDAD JUAREZ SAVARCE"/>
        <s v="EMPRENDIMIENTO ANA BENITEZ 8"/>
        <s v="PANADERÍA Y PASTELERÍA MOSAICO, C.A"/>
        <s v="EMPRENDIMIENTO YARAMI KUNKEL"/>
        <s v="BODEGON PEROZO K, C.A"/>
        <s v="CARLOS EDUARDO SUAREZ GARCIA (QUESERA EDUARDO)"/>
        <s v="HIPERMERCADO KRISTAL, C.A"/>
        <s v="KAROL PAN C.A."/>
        <s v="TODO MARKET EXPRESS QUIBOR, C.A"/>
        <s v="SAN MIGUEL (SAMICA) C.A."/>
        <s v="RHAIZA YUBISAY QUIÑONES"/>
        <s v="ZANDRA YANECXIC JIMENEZ RODRIGUEZ"/>
        <s v="BODEGON D'AMIGOS, C.A."/>
        <s v="SUPERMERCADO LA 47, C.A"/>
        <s v="MANANTIAL EXPRESS, CA"/>
        <s v="LIN JIELING (LIN SUPERMERCADO BARATON)"/>
        <s v="MARITZA COROMOTO CASTILLO REYES (PELUQUERIA MARYANNY)"/>
        <s v="WEIJUN ZOU (FRUTERIA HERMANO ZOU)"/>
        <s v="NINOSKA MARTIN (QUESERA Y CHARCUTERIA GUATEQUE II, F.P.)"/>
        <s v="AUTOMERCADO DON CAMALEON, C.A"/>
        <s v="POLLERA QUE DELICIAS J.F, C.A."/>
        <s v="COMERCIAL UR 2016, C.A."/>
        <s v="MARKET EXPRESS J.D, C.A."/>
        <s v="SUPERMERCADO LA POPULAR, C.A"/>
        <s v="COMERCIAL PLAZA CENTER I C.A."/>
        <s v="PAN MARANATHA COL-VEN, C.A"/>
        <s v="COMERCIALIZADORA LECHE Y MIEL C.A."/>
        <s v="PANADERIA Y CHARCUTERIA DEL GRANDIOSO, C.A"/>
        <s v="AUTOMERCADO NUEVA LUNA, C.A."/>
        <s v="FIRE-CAU, CA"/>
        <s v="JOSE MIGUEL SOTO FLORES"/>
        <s v="ITADAKIMASU C.A."/>
        <s v="DISTRIBUCIONES LOS ALPES 2023 C.A."/>
        <s v="ELITE CARORA C.A"/>
        <s v="DELIA LISBETH SUAREZ (CLUB SOCIAL Y DEP LA PLAYA CANTACLARO)"/>
        <s v="INVERSIONES ANASO 1922., C.A"/>
        <s v="FARMACIA FUL C.A."/>
        <s v="FABIOLA ELENA MELGAREJO CORREDOR"/>
        <s v="ELIO JOSE GONZALEZ ARAQUE"/>
        <s v="DON JESUS, C.A."/>
        <s v="COMERCIAL TODOCONFI, C.A"/>
        <s v="COMERCIALIZADORA ALL PLUS, C.A"/>
        <s v="MIGUEL WU ZENG (COMERCIAL MEGA SUERTE WU,F.P)"/>
        <s v="XIAOFU WU (COMERCIAL CENTRO COCOROTE WU)"/>
        <s v="PANADERIA GRAN PAN AMIR SUJAA, C.A"/>
        <s v="LA TIENDITA 888 JN, C.A."/>
        <s v="DISTRIBUIDORA LA NUEVA PROSPERIDAD 168, C.A."/>
        <s v="COMERCIALIZADORA DE ALIMENTOS LA OCCIDENTAL MP, C.A."/>
        <s v="INVERSION LA DULCE VIDA C.A."/>
        <s v="EMPRENDIMIENTO ALEXANDER ALCON"/>
        <s v="INVERSIONES ANTOJITOS J 2021, C.A"/>
        <s v="INVERSIONES EDMED 2021, C.A"/>
        <s v="EMPRENDIMIENTO CHRISTIANS GIL"/>
        <s v="DONDE LA OTRA FAST FOOD, C.A"/>
        <s v="FRANCISCO GERARDO DE ANDRADE GARCIA"/>
        <s v="JEAN CARLOS DURAN MUJICA"/>
        <s v="PANADERIA, PASTELERIA Y CHARCUTERIA LA ZONA COLONIAL C.A."/>
        <s v="COMERCIO LUCKY 138, C.A"/>
        <s v="MULTICENTER MIRAFLORES C.A."/>
        <s v="FREDDY EL DE LA CALLE 4, C.A."/>
        <s v="CHARCUTERIA Y DELICATESES SALTO ANGEL, C.A."/>
        <s v="COMERCIALIZADORA VALLE GRANDE R.A, C.A"/>
        <s v="PANADERIA DIVINA PASTORA CABUDARE, C.A"/>
        <s v="MULTITIENDA ORQUÍDEA, C.A"/>
        <s v="REBECA ANDREINA JIMENEZ (DISTRIBUIDORA JIMENEZ 2020, F.P.)"/>
        <s v="INVERSIONES LAS DOS EE, C.A"/>
        <s v="EMPRENDIMIENTO HAROLDS GALLARDO"/>
        <s v="JORHANA PAOLA PEÑA CHIRINOS"/>
        <s v="LA GEORGIA 2022, C.A"/>
        <s v="MULTITIENDA ORQUIDEA, C.A"/>
        <s v="SUPERMERCADO NUEVO MUNDO, C.A."/>
        <s v="PANIFICADORA EL BUEN PASTOR C.A."/>
        <s v="EMPRENDIMIENTO JOSE GALVAO"/>
        <s v="UNION FITNESS, C.A"/>
        <s v="COMERCIALIZADORA Q' BODEGON, C.A."/>
        <s v="LUIS JOSE GIMENEZ OROZCO"/>
        <s v="DISTRIBUIDORA VEGO A.V, C,A."/>
        <s v="EMPRENDEDIMIENTO NELSON RIVERO 3"/>
        <s v="CONFITERIA 1688 C.A."/>
        <s v="JESUS RAMON CASTAÑEDA SILVA"/>
        <s v="AGUSTINA ROSA MORALES DE GARCIA"/>
        <s v="OPERADORA PAG CANTA CLARO, C.A."/>
        <s v="ALKOSTO DONDE COMPRAR ES GANAR, C.A. (ALKOSTO)"/>
        <s v="FAMILIA CENTER, C.A."/>
        <s v="INVERSIONES RANSESTH, C.A"/>
        <s v="INVERSIONES W.E.L.H CA"/>
        <s v="NOLBIS ROBERTO ALVAREZ PAREDES"/>
        <s v="SUPER MARKET CARNIARTE, C.A"/>
        <s v="DISTRIBUIDORA FUNG CARORA, C.A."/>
        <s v="SUPERMERCADO REY, C.A"/>
        <s v="GRANITO REAL, C.A."/>
        <s v="RENG ZHUO LIANG (AUTOMERCADO EXCELENTE)"/>
        <s v="LICORERIA &amp; ABASTO DIANA, C.A."/>
        <s v="HIPER FUTURO, C.A"/>
        <s v="DISTRIBUIDORA MEKYVEN 311, C.A"/>
        <s v="MERCANTIL TODOLANDIA IMPORT, C.A."/>
        <s v="JENNY LISSETTE SUAREZ DE SALCEDO"/>
        <s v="INVERSIONES MAUCA 2023, C.A"/>
        <s v="ALMAO PAEZ ENDRY JOSUE"/>
        <s v="MI BODEGUITA LAS MERCEDES, C.A"/>
        <s v="OSCAR ENRIQUE ZERPA PIRE (ZERPA OSCAR CARNICERIA F.P)"/>
        <s v="EMPRENDIMIENTO ZULMA GONZALEZ"/>
        <s v="JOSE MIGUEL SIVIRA LOPEZ"/>
        <s v="PANADERIA, PASTELERÍA Y CHARCUTERIA LA MANSION DE PIOLIN, CA"/>
        <s v="ARELIS DEL CARMEN ROSSELL BARCO"/>
        <s v="UTELANDIA, C.A."/>
        <s v="COMERCIALIZADORA TODOPOLLO´S 2609, C.A"/>
        <s v="MARIA Y RIVERO DE ROSENDO (PANAD Y PAST Y CHARC. LAS 4.J)"/>
        <s v="COMERCIAL SOLMIPLAST C.A."/>
        <s v="COMERCIALIZADORA VALDY, C.A"/>
        <s v="MAYORISTA YI HONG, C.A"/>
        <s v="MAYOR HERMANOS DAZA C.A"/>
        <s v="ADRIANA LISSETH BARRIOS VALERA"/>
        <s v="FRANCISCO J ROSENDO R (INVERSION ROSENDO F.J. 2027)"/>
        <s v="EMBUTIDOS CASA ITALIA, C.A."/>
        <s v="ASOCIACION CIVIL CLUB TORRES"/>
        <s v="NORIMAR CAROLINA SANCHEZ PAEZ"/>
        <s v="JOSE RAFAEL PARISI BERTI"/>
        <s v="JESUS COLMENARES (INVERSIONES COLMENARES JESUS FP)"/>
        <s v="COMERCIALIZADORA Y DISTRIBUIDORA LOS PALMA´S 2019 C.A."/>
        <s v="FARMACIA FARMA AMERICA C.A. (FARMA AMERICA C.A.)"/>
        <s v="PANADERÍA Y PASTELERIA GRAN FUNDACION, C.A."/>
        <s v="MULTITIENDA FAMILIA, C.A"/>
        <s v="SUPERMERCADO LA FORTUNA 2021 CA"/>
        <s v="INVERSIONES JOHEIMA,C.A"/>
        <s v="MOTOS PISTOLACHO, C.A"/>
        <s v="CARNICERIA Y CHARCUTERIA LOS BUENOS HERMANOS,C.A"/>
        <s v="GENESIS CAROLINA MUÑOZ BADELL"/>
        <s v="PANADERIA Y DELICATESES PAN DE VIDA, C.A"/>
        <s v="VIVERES Y CHARCUTERIA PORLAMAR, C.A."/>
        <s v="INVERSIONES CARZAI, C.A."/>
        <s v="MEGA 72, C.A."/>
        <s v="ADONIS ALBERTO TORRES OROZCO (MINIMARKET A TORRES)"/>
        <s v="SUPERMERCADO CORAZON DEL PAN, C.A"/>
        <s v="ALFREDO J PERDOMO FUENMAYOR (RECICLAJES PERDOMO FUENMAYOR)"/>
        <s v="EMPRENDIMIENTO LENDRY ARAUJO"/>
        <s v="YOQU SUPER MARKET, C.A"/>
        <s v="MAJED JERUSALEN, C.A"/>
        <s v="FRUTAS EL GORDO,C.A."/>
        <s v="SUPER PANADERIA MAS KE PAN, C.A."/>
        <s v="D´ORIENTE B1, CA"/>
        <s v="PA QUE TERO C.A. (TORTISIMAS &amp; ALGO MAS C.A.)"/>
        <s v="MEGA MARKET CENTRO DEL SOL, C.A"/>
        <s v="CADA DIA TU PAN, C.A."/>
        <s v="COMERCIALIZADORA MIS ABUELOS 2021, C.A."/>
        <s v="SUPER MARKET ARCE 2025, C.A"/>
        <s v="EMPRENDIMIENTO JOSE LEAL 37"/>
        <s v="MIRIAN MELISA MOGOLLON PAEZ (INVERSIONES MOGOLLON 84, F.P)"/>
        <s v="MAIKOL RAFAEL INOJOSA SULBARAN"/>
        <s v="COMERCIAL GRAN MARKET, CA"/>
        <s v="DISTRIBUIDORA Y COMERCIALIZADORA LARENSE, C.A."/>
        <s v="EMPRENDIMIENTO NICOLAS DURAN"/>
        <s v="SUPERMERCADO CASA MARKET 25, C.A"/>
        <s v="LEONEL JOSE GIL RAMOS (INVERSIONES GIL 2022)"/>
        <s v="INVERSIONES RUIZ MARIN, C.A"/>
        <s v="INVERSIONES GRAN BAKKAR, C.A"/>
        <s v="ZHANG UNIMERCADO SOL DE ASIA 2021, FP"/>
        <s v="BODEGON LA LINEA F, C.A"/>
        <s v="SUPERMERCADOS MEGA 2025, C.A"/>
        <s v="MIRIAN MARYORIES REYES CORDERO"/>
        <s v="MERCADO LA FINCA, C.A"/>
        <s v="JOSE RAFAEL ZERPA RANGEL"/>
        <s v="WILKHA ALINEL VELAZQUEZ HERNANDEZ"/>
        <s v="LION GYM LECHERIA,C A"/>
        <s v="FENG MINIMARKET GUAMACHITO, F.P"/>
        <s v="ROMY MULTI MARKETS, C.A"/>
        <s v="LUCIANO AUGUSTO RODRIGUEZ CURCIO"/>
        <s v="COMERCIAL ANUEL NUÑEZ, C.A"/>
        <s v="JESUS ALEXANDER GUEVARA VELAZQUEZ"/>
        <s v="CONEXION NATURAL C A"/>
        <s v="MINI MARKET SUPERGANGA, C.A"/>
        <s v="LA REINA DEL FARO 2023 C.A"/>
        <s v="FANG. COMERCIAL BRISAS DEL MAR, F.P."/>
        <s v="TODO MARKET, C.A."/>
        <s v="ABASTOS CRIS AZOCAR F.P"/>
        <s v="CASA MONICA HE PLC, F.P"/>
        <s v="HECTOR JOSE BETANCOURT MAITA"/>
        <s v="ABASTO Y CONFITERIA CENTURION"/>
        <s v="EMPRENDIMIENTO PEDRO SUAREZ 20"/>
        <s v="SUPERMERCADO LISSAFANG, C.A."/>
        <s v="FRESH MARKET, C.A"/>
        <s v="VENTA DIRECTA"/>
        <s v="JV TRAINING &amp; FITNESS, C.A"/>
        <s v="SHUZHEN LI"/>
        <s v="MINI SUPER CHOW 888, C.A"/>
        <s v="LIU UNIMERCADO VICTORIA 2023 F.P"/>
        <s v="PANADERIA PAN Y POSTRES, C.A."/>
        <s v="BAODING WU - WU MINIMARKET GRAN LATINO BOYACA F.P"/>
        <s v="SUPERMERCADO FABULOSO"/>
        <s v="EMPRENDIMIENTO ENDRINA CENTENO (COSTAMOTOS)"/>
        <s v="FERIA DE HORTALIZAS Y FRUTAS JULIANNY, C.A"/>
        <s v="YUEZAN HE - ABASTO LUNA F.P"/>
        <s v="COMERCIAL NIHAO ZHOU, F.P"/>
        <s v="EXQUISITECES EL COUNTRY, C.A"/>
        <s v="COMERCIAL NUEVO MUNDO ORIENTAL, F.P"/>
        <s v="VIVERES 101, C.A"/>
        <s v="HILLARY PINTO - GYM EL MORO"/>
        <s v="MARKET LUIS-AR,C.A"/>
        <s v="EXQUISITECES ARRECIFE, C.A"/>
        <s v="SUPERMERCADO FOOD C A"/>
        <s v="RICARDO ALBERTO SILVA RODRIGUEZ"/>
        <s v="ENDERSON JESUS MARTINEZ HERNANDEZ"/>
        <s v="ALBERTO FONG UNG - MARKET BODEGON SU AMIGO"/>
        <s v="C4-BOX, C.A"/>
        <s v="YUNEIRYS ORENSE-CAFETIN COLEGIO NUESTRA SRA DE LA PAZ"/>
        <s v="MINIMARKET MAXI 2022, C.A"/>
        <s v="FARMACIA LA GALENICA AMF, C.A"/>
        <s v="SUPERMERCADO EL ORIENTE DORADO, C.A."/>
        <s v="EMPRENDIMIENTO MARIA ESPITIA 3."/>
        <s v="PREMIUN CAFE, C.A"/>
        <s v="SUPERMERCADO ANCIN"/>
        <s v="INVERSIONES NARVAEZ VELASQUEZ"/>
        <s v="PANADERIA PAN Y POSTRES PLC, C.A."/>
        <s v="PANADERIA Y EXQUISITECES PAN COMIDO, C.A"/>
        <s v="ASTRID CAROLINA DE LOS ANGELES RIVAS"/>
        <s v="LIANG SUPERMERCADO CHAO 88 F.P"/>
        <s v="FRICABOYN, C.A"/>
        <s v="RINCONMANIA, C.A"/>
        <s v="WU SUPERMERCADO MAX 2023 F.P"/>
        <s v="EMPRENDIMIENTO IRAIDA AROSTEGUI"/>
        <s v="SUPERMERCADO MAXIFAVORITO, C.A"/>
        <s v="POW FITNESS, C.A."/>
        <s v="MINI ABASTO MANÁ"/>
        <s v="BODEGON LA ANDRADE, F.P"/>
        <s v="ZHENG SUPERMARKET SANDY 888, F.P"/>
        <s v="LA CASA DEL PERRERO 2024, C.A."/>
        <s v="SUPERMERCADO MAS 2011, F.P"/>
        <s v="COMERCIALIZADORA ABASTOS Y CHARCUTERIA TE LO TENGO, C.A"/>
        <s v="LA VITUALLA EXPRESS, C.A"/>
        <s v="DAMIAN LEANDRO MARTINEZ - GIMNASIO PERFECT GYM"/>
        <s v="TARIK ALEJANDRO SAAB GORROCHOTEGUI"/>
        <s v="ZEYUAN WU - UNIMERCADO FAVORITO"/>
        <s v="PREMIUN CAFE II, C.A"/>
        <s v="EXTRA MARKET, C.A."/>
        <s v="EXQUISITECES CASA GRANDE CA"/>
        <s v="AUTOMERCADO CITY LIDER, C.A"/>
        <s v="FITNESS GYM &amp; SPINNING, CA"/>
        <s v="EMPRENDIMIENTO DIANEZKA ARRIAGA"/>
        <s v="MINI MARKET MONARCA, C.A."/>
        <s v="FENG UNIMARKET 2025, F.P"/>
        <s v="SAN TIAGO PAN, C.A"/>
        <s v="SAMIA, C.A"/>
        <s v="UNIMERCADO BARRIO SUCRE"/>
        <s v="WEICHANG LU - LU COMERCIAL GRAN CASITA ,F.P"/>
        <s v="PANADERIA LO NUESTRO, C.A"/>
        <s v="D´PASO MINIMARKET &amp; BODEGON, C.A."/>
        <s v="PANADERIA PUNTA LA CRUZ 2007 C A"/>
        <s v="SUPERMERCADO ULTIMA PARADA"/>
        <s v="YUSANNY COROMOTO TORRES GONZALEZ"/>
        <s v="PARAISO 128 C.A"/>
        <s v="WU, SUPERMERCADO EL RINCON"/>
        <s v="SIMON ANTONIO CAIBE BRAVO"/>
        <s v="AG SPORT FITNESS, C.A"/>
        <s v="EMPRENDIMIENTO LAURA GUZMAN 2"/>
        <s v="MILLAN JJ INVERSIONES, F.P"/>
        <s v="AUTOMERCADO LOS AMIGOS C.A"/>
        <s v="JOSE JAVIER LANZA VILORIA"/>
        <s v="JOSEPH ARMANDO RAMOS VALDEZ"/>
        <s v="EMPRENDIMIENTO RAMI EL JAOUHARI"/>
        <s v="CAROLINA DE LOS ANGELES BASTIDAS"/>
        <s v="POWERHOUSE FITNESS, C.A"/>
        <s v="EMPRENDIMIENTO CARLOS HERNANDEZ 30"/>
        <s v="MAIKO CEN FENG (CEN SUPERMARKET)"/>
        <s v="ALFREDO ALEJANDRO CANTILLO HERNANDEZ"/>
        <s v="FABIOLA'S ART, C.A."/>
        <s v="FARMACIA J.G.H 2020, C.A"/>
        <s v="EXQUISITECES PÃO DE DEUS, C.A"/>
        <s v="AMANDA CAROLINA BRITO DE NUÑEZ"/>
        <s v="YONARDO JOSÉ RUIZ GONZALEZ"/>
        <s v="EMPRENDIMIENTO WUILMER RONDON"/>
        <s v="V194956270 SUYIN JOHANA REYES RIVAS"/>
        <s v="HUANG COMERCIAL LUCKY HACIENDA 88, F.P."/>
        <s v="MINIMARKET ALE 2023, C.A"/>
        <s v="PANADERIA &amp; EXQUISITECES DULCE BENDICION C.A"/>
        <s v="INVERSIONES NUEVA ESTRELLA ORIENTE C.A"/>
        <s v="BRACHO BRISAS MARKET, F.P."/>
        <s v="EMPRENDIMIENTO JOHAN CALVIN"/>
        <s v="SUPERMERCADO FAN 88, C.A."/>
        <s v="DELI CAFE ORIENTAL, C.A"/>
        <s v="FRANMARY DEL VALLE DIAZ SALAZAR"/>
        <s v="ASIA ORIENTAL HOGAR PLC MIRANDA, C.A."/>
        <s v="EXQUISITECES DELEITE, C.A"/>
        <s v="MANICERIA DARO, C.A"/>
        <s v="ACKERMANN MINIMARKET, F.P"/>
        <s v="EMPRENDIMIENTO SHADI HAMAD - PANADERIA EL REY DEL PAN"/>
        <s v="DE TODO MARKET EL PUENTE, C.A"/>
        <s v="FARMAPIRITU, C.A"/>
        <s v="EMPRENDIMIENTO QUNYING LIANG - SUPERMERCADO SHUNJING"/>
        <s v="EMPRENDIMIENTO RAIZA DIAZ 4."/>
        <s v="PANADERIA, PASTELERIA Y EXQUISITECES LA CARIBEÑA, C.A"/>
        <s v="BELLA MARKET ANZOATEGUI, C.A"/>
        <s v="PEREIRA COMERCIAL LISTO, F,P"/>
        <s v="ISBELIA DEL VALLE ROJAS"/>
        <s v="PAOLA CHIQUINQUIRA VILLAVICENCION MARIN - TOP FIT GYM"/>
        <s v="EXQUISITECES VALLES DE GUANTAR C.A"/>
        <s v="FARMAYUPPI, C.A"/>
        <s v="CONFI LUNCH, C.A."/>
        <s v="PANADERIA Y PASTELERIA LOS COCOS, C.A"/>
        <s v="EMPRENDIMIENTO MARÍA RÉQUEZ"/>
        <s v="FERIA DE HORTALIZAS FRUVER´S / SONIA CHACON, F.P"/>
        <s v="SUPER MARKET ALISITO C.A"/>
        <s v="AUTOMERCADO MI PUEBLO, C.A"/>
        <s v="INVERSIONES SUPERFARMA, C.A."/>
        <s v="PRINCIPAL BAKERY, C.A"/>
        <s v="PANETTERIA IL POMODORO, C.A."/>
        <s v="CREA SOLUCION VE, C.A."/>
        <s v="PANIMARKET ALISITO BURGER, C.A"/>
        <s v="ABASTO NUEVO ESTILO 168 C.A"/>
        <s v="FRIGORÍFICO EL PADROTE DE LA CUMANAGOTO, C.A"/>
        <s v="AUTOMERCADO GRAN MUNDIAL C A"/>
        <s v="ROMERO 8 8, C.A."/>
        <s v="HUIXIONG WU - WU COMERCIAL D1, F.P"/>
        <s v="LOS CISNE´S, C.A."/>
        <s v="JENIFER DANIELA PEDROZA RODRIGUEZ"/>
        <s v="EURO TOTAL ÚNICO, C.A"/>
        <s v="PERFORMANCE GYM, C.A."/>
        <s v="MARIELYS YAMILET WILLIAMS RODRIGUEZ - GYM AA"/>
        <s v="ANA YSABEL LUGO SUBERO"/>
        <s v="EL MARASH II C.A"/>
        <s v="PANADERIA Y EXQUISITECES DORAL, C.A"/>
        <s v="SUPER MARKET ZHENGS, C.A"/>
        <s v="NUTRIFIT"/>
        <s v="ROSA ANA NUÑEZ ROJAS"/>
        <s v="TASCA RESTAURANT FEBRAS C A"/>
        <s v="BODEGON &amp; EXQUISITECES JA GARCIA, FP"/>
        <s v="LA FARMACIA EL TIGRE, C.A"/>
        <s v="PANADERIA LA SIRENA DE EL TIGRE C.A"/>
        <s v="AMERICA BOX &amp; TRAINING CENTER, C.A"/>
        <s v="NATIVA CARBON Y LEÑA MADRID, FP"/>
        <s v="EMPRENDIMIENTO ALFREDO BARRIOS 6"/>
        <s v="COMERCIAL SOL BRILLANTE FENG, F.P"/>
        <s v="CARNICERIA, CHARCUTERIA Y VIVERES EL MERECURE, C.A"/>
        <s v="SUPERIN MARKET, C.A."/>
        <s v="SUPERMARKET LIANG 2025, F.P"/>
        <s v="PANADERIA KAIROS,C.A"/>
        <s v="COMERCIAL OASIS HE, F.P"/>
        <s v="INVERSIONES MAXI MUNDO, C.A"/>
        <s v="COMERCIAL LA SUERTE CBO, C.A"/>
        <s v="LEWIS JAVIER BRACHO MOORE"/>
        <s v="EMPRENDIMIENTO JOHANA DIAZ 4"/>
        <s v="COMERCIAL KAJUL, C.A."/>
        <s v="CASA VRINDA C.A."/>
        <s v="ABASTO JIREH 2020, C.A."/>
        <s v="FOTO RELAMPAGO C.A."/>
        <s v="JESUS Y HERMOGENES, C.A."/>
        <s v="JOAO JACO RODRIGUEZ CORREIA"/>
        <s v="INVERSIONES LUNA CHICHI, C.A."/>
        <s v="LEYDIMAR QUINTERO QUINTERO"/>
        <s v="SUPERMERCADO VAR-SOT, C.A."/>
        <s v="CORPORACION NANOTEC, C.A."/>
        <s v="EMPRENDIMIENTO YOVANNY CHACON"/>
        <s v="COMERCIAL MILLENIUM, C.A."/>
        <s v="CARLOS PALMA"/>
        <s v="GIMNASIO E.G.F.Y 208 C.A."/>
        <s v="PANADERIA Y PASTELERIA DANNY`S PAN I, C.A."/>
        <s v="PROVEEDURIA AH LUSITANO, C.A"/>
        <s v="RESTAURANT Y BODEGON CASA MIA 1810 C.A"/>
        <s v="COMERCIAL YIN ZUO, C.A."/>
        <s v="COMERCIAL YIN HONG, C.A."/>
        <s v="COMERCIALIZADORA GRAN OFERTA, C.A."/>
        <s v="SUPERMARKET MEGA 93, C.A."/>
        <s v="SUPERMARKET MEGA VIDA C.A."/>
        <s v="PANADERIA Y PASTELERIA MEGA PAN DA, C.A."/>
        <s v="ASHLEY GABRIELA CONTRERAS RODRIGUEZ"/>
        <s v="DISTRIBUIDORA RW 86, C.A."/>
        <s v="MI DESPENSA EL PARAISO, C.A."/>
        <s v="JOSE MAZZEO"/>
        <s v="RAFAEL A VILLAROEL D"/>
        <s v="SUPERMERCADO ARCO TRIUNFO C.A."/>
        <s v="SUPERMERCADO PALO VERDE, C.A."/>
        <s v="INVERSIONES ROMANOS 12-19, C.A."/>
        <s v="CHARCUTERIA Y FRUTERIA PARAMO DE PETARE, C.A."/>
        <s v="MH MULTICENTER C.A."/>
        <s v="INVERSIONES GRANLIANG 1988, C.A."/>
        <s v="CORPORACION MUNDO SALIFLO, C.A."/>
        <s v="DISTRIBUIDORA PAN VIDA IV, C.A."/>
        <s v="INVERSIONES FERRER.16 2023, C.A."/>
        <s v="BAR RESTAURANT VICTORIA SRL"/>
        <s v="PEDRO JOSE CORREA QUINTERO"/>
        <s v="COMERCIAL LA DELICIA CHINA C.A."/>
        <s v="COMERCIAL SIEMPRE FULL MARKET, C.A."/>
        <s v="VANESSA ALEJANDRA YEPEZ VARGAS"/>
        <s v="SUPREMO Y NATURAL H. H, CA."/>
        <s v="COMERCIALIZADORA 520, C.A."/>
        <s v="BAZAR Y CONFITERIA ALEJANDRA XL, C.A."/>
        <s v="INVERSIONES 27 LA BANDERA, C.A."/>
        <s v="JOSELYN RAMOS"/>
        <s v="CARLOS LUIS MARKET, C.A."/>
        <s v="INVERSIONES BARALT J.J., C.A."/>
        <s v="MULTIMERCADO QUINTA CRESPO C.A."/>
        <s v="COMERCIAL SUPER MARKET 888, C.A."/>
        <s v="COMERCIALIZADORA NEW MADEIRA 2024, C.A."/>
        <s v="BODEGON LOS HERMANOS 2023, C.A."/>
        <s v="JOHANNA MARIA MORALES HERRERA"/>
        <s v="COMERCIAL SONRISA 168, CA."/>
        <s v="CHARCUTERIA, VIVERES Y ALGO MAS &quot;TONI&quot;, C.A."/>
        <s v="LUNCHERIA LOS HEREDEROS DEL CHINO WI, C.A."/>
        <s v="SUPERMARKET CHAGEE, C.A."/>
        <s v="TOPPING TOP COFFEE, C.A."/>
        <s v="INVERSIONES HERMANOS JOSE DIAZ, C.A."/>
        <s v="CERVECERIA SABROSO POLLO, C.A."/>
        <s v="INVERSIONES ENMANUEL 2108, C.A."/>
        <s v="1 TO ONE SUPPLEMENTS"/>
        <s v="ROCK AND ROLLS FIT CANDELARIA, C.A."/>
        <s v="BEBERLIN CASTILLO"/>
        <s v="CHARCUTERIA CHEESE Y HAM, C.A."/>
        <s v="BI WORLD, C.A."/>
        <s v="STEFIFRUT, C.A."/>
        <s v="BODEGON PUMA ROSA C.A"/>
        <s v="PANADERIA LA TRINIDAD, C.A."/>
        <s v="JOSE MENDOZA"/>
        <s v="MARIA LOURDES GONZALEZ SEGARRA"/>
        <s v="CORPORACION SOL RADIANTE 15 C.A."/>
        <s v="COMERCIAL SOL E.A. 97, C.A."/>
        <s v="PANADERIA Y PASTELERIA OPERA DELI V C.A."/>
        <s v="INVERSIONES EDUARNAT 2021, C.A."/>
        <s v="DISTRIBUIDORA YOSAMAR, C.A."/>
        <s v="KUAN KONG 77, C.A."/>
        <s v="AUTOMERCADO AVILANES, C.A."/>
        <s v="BAZAR Y PERFUMERIA PRADO Y AMELIA C.A."/>
        <s v="COMERCIAL GIRASOL M.Y.R, C.A."/>
        <s v="LA PENINSULA, C.A."/>
        <s v="SUPERMERCADO NEW FUNG C.A."/>
        <s v="ARTURO BLADIMIR FLORES"/>
        <s v="SUPERMERCADO Y CARNICERIA MIRIAFLOR, S.R.L."/>
        <s v="INVERSIONES MOLISE BISTRO, C.A."/>
        <s v="ARAGON &amp; GONZALES ARAGON, S.N.C."/>
        <s v="YUSELYS PINTO"/>
        <s v="LUIS ERNESTO LABRADOR VIVAS"/>
        <s v="PANADERIA HERMANOS DE GOUVEIRA, C.A."/>
        <s v="FARMACIA ARTESALUD I, C.A."/>
        <s v="PANADERIA Y PASTELERIA DANA DELI, C.A."/>
        <s v="MARKET-TREE ONE 2030, C.A."/>
        <s v="JACKELINE MARINA TERAN DE"/>
        <s v="CHARCUTERIA Y DELICT. SANTIAGO DE COMPOSTELA, C.A."/>
        <s v="INVERSIONES ROISWIN, C.A."/>
        <s v="ELENA ALVAREZ YEPES"/>
        <s v="FARMACIA FARMA NILAN, C.A"/>
        <s v="CONOS GELATO, C.A."/>
        <s v="MELVIS ANTONIO MEDINA SALAZAR"/>
        <s v="21 GRAMOS, C.A."/>
        <s v="COMERCIAL JORMANO C.A."/>
        <s v="HECTOR RIVAS"/>
        <s v="MANUEL GERARDO GONZALEZ PINEDA"/>
        <s v="WILLIAM VARGAS MEDEROS"/>
        <s v="ROSE MARKET 2021, C.A."/>
        <s v="ALEUZENEV STEPHANY TAMAYO MARTINEZ"/>
        <s v="BAZAR MERCHY, C.A."/>
        <s v="INVERSIONES ISGLOVI MARKET, C.A."/>
        <s v="BODEGON YA TU SABES, DIOS, C.A."/>
        <s v="LINDA KATHERINE YNFANTE CUSBA"/>
        <s v="COMERCIALIZADORA MONSERRAT 1496,C.A."/>
        <s v="FARMABOX, C.A."/>
        <s v="DISTRIBUIDORA AV 668, C.A."/>
        <s v="INVERSIONES NUEVO MUNDO 2022, C.A."/>
        <s v="FUENTE DE SODA SPRINGS, C.A."/>
        <s v="INVERSIONES MIS TRES HERMANAS,284,C.A."/>
        <s v="MARY'S SWEET 1973, C.A."/>
        <s v="PANADERIA LOS TRES ANDINOS 2024, C.A."/>
        <s v="MINIMARKET EXPRESS 2018 C.A."/>
        <s v="INVERSIONES NIUR-STEV 1803, C.A."/>
        <s v="EMPRENDIMIENTO JESSICA CAMPOS 4"/>
        <s v="BODEGA EL VIEJO HUGO &amp; H C.A."/>
        <s v="COMERCIAL COKIADO'S, C.A."/>
        <s v="CARLOS MANUEL CATAPANO LEDESMA"/>
        <s v="ABASTO EL PLACER DE BARUTA, C.A."/>
        <s v="PANIFICADORA RAJMIEL, C.A"/>
        <s v="BODEGON MINIMARKET, C.A."/>
        <s v="INVERSIONES NW 2019 C.A"/>
        <s v="EMPAKT 2701 C.A."/>
        <s v="INVERSIONES CARAPAL XXI C.A."/>
        <s v="INVERSIONES LORETO'S, C.A."/>
        <s v="ARMANDO GABRIEL CARRILLO LOPEZ"/>
        <s v="CROSSFIT 58, C.A."/>
        <s v="HUGO ALVIS RUJANO QUINTERO"/>
        <s v="RAHIL ABDALLAH DAOUD"/>
        <s v="MARKET CARICUAO, C.A."/>
        <s v="LUNCHERIA LUNA CLARA, C.A."/>
        <s v="INVERSIONES DR 168, C.A."/>
        <s v="INVERSIONES LUSITANA TE LO TENGO, C.A."/>
        <s v="ROSELYS DEL VALLE LUGO"/>
        <s v="SUPERMERCADO FFJJ, C.A."/>
        <s v="REPRESENTACIONES LA OMERTA 2020 C.A"/>
        <s v="COMERCIALIZADORA VALERO'S VARIEDADES 2021, C.A."/>
        <s v="SHAMS GLOBAL, C.A."/>
        <s v="GYM WEST F.C., C.A."/>
        <s v="POLLOS FAJADA AREIA C.A."/>
        <s v="INVERSIONES REILAR A17, C.A."/>
        <s v="PANADERIA LAS DELICIAS JLA, C.A."/>
        <s v="BAZAR Y PERFUMERIA EL RINCON CALIENTE DE MANOLO C.A"/>
        <s v="COMERCIALIZADORA YUNDERF, C.A."/>
        <s v="COMERCIALIZADORA CAMANAY 2112, C.A."/>
        <s v="FARAMACIA NUEVA CASARAPA, C.A."/>
        <s v="FARMACIA KARLEMAR, C.A."/>
        <s v="INVERSIONES JOSE Y ANTONI 375, C.A."/>
        <s v="GOAT LIFE FITNESS, C.A."/>
        <s v="INVERSIONES MAGASADE 2007, C.A."/>
        <s v="PANADERIA Y PASTELERIA ST. DENIS C.A."/>
        <s v="JOHANNA DAMARIS MONTES GARCIA"/>
        <s v="PANADERIA Y PASTELERIA DAYMAR, C.A."/>
        <s v="FREDDY JAYARO"/>
        <s v="KOWASKY ALFONZO RIVAS MONTILLA"/>
        <s v="IRON FITNESS CENTER, C.A."/>
        <s v="CARMEN YANIN ARAUJO ARAUJO"/>
        <s v="BEARS BOX, C.A."/>
        <s v="INVERSIONES A SAXA 2005, C..A"/>
        <s v="COMERCIAL SASOSI 03, C.A."/>
        <s v="JALEO DE MORENO VAAC, C.A."/>
        <s v="CHARCUTERIA FINA, C.A."/>
        <s v="OPERADORA JLA, C.A."/>
        <s v="SUPERMERCADO LAS MINAS DE BARUTA 2000, C.A."/>
        <s v="INVERSIONES GIDA, C.A."/>
        <s v="EDGAR GUERRA"/>
        <s v="MARKET FAVORITA 666 C.A"/>
        <s v="SANDRA CAICEDO"/>
        <s v="INVERSIONES EL BUDA 888, C.A."/>
        <s v="PANIFICADORA JOSJOSEF II C.A."/>
        <s v="CONFITERIA EL REY LEON II, C.A"/>
        <s v="SUPERMARKET MEGA88, C.A."/>
        <s v="FUENTE DE SODA CARACAS PUERTA DEL SOL, C.A."/>
        <s v="DISTRIBUIDORA ROBLES 2010, C.A."/>
        <s v="BAMBU DELICIAS CAFE 2025, C.A."/>
        <s v="MAYBELIN ADRIANA FERNANDEZ RODRIGUEZ"/>
        <s v="INVERSIONES MADVEN, C.A"/>
        <s v="DISTRIBUIDORA LA GRITA 2125, C.A."/>
        <s v="SUPERMERCADO HERMANOS VALERO 2019 C.A."/>
        <s v="HIPERMERCADO CASABERA, C.A."/>
        <s v="LISBETH JOSEGRY IZEA BOHORQUEZ"/>
        <s v="AVELINO DE ABREU &amp; PEREIRA DE ABREU, C.A."/>
        <s v="F.J.J.J., C.A."/>
        <s v="FELICITA DEL VALLE AZOCAR DE RAMIREZ"/>
        <s v="HIPERMERCADO FINO, C.A."/>
        <s v="EL RINCON DEL PALADAR DM &amp; JP C.A"/>
        <s v="INVERSIONES LAS BIS, C.A."/>
        <s v="KIOSKO HOBAICA, C.A."/>
        <s v="YUSBELY SIKIU SEIJAS GUEDEZ"/>
        <s v="LEIDY JAQUELINNE PINEDA RODRIGUEZ"/>
        <s v="ROBERTO SPINOSA CANCELLIERE"/>
        <s v="A &amp; C GRUPO EMPRESARIAL, C.A."/>
        <s v="PANADERIA Y PASTELERIA NUEVA CALIFORNIA, C.A."/>
        <s v="ALIMENTOS FENDIO, C.A."/>
        <s v="SUPERMERCADO ALEGRIA, C.A"/>
        <s v="LOREDANA CLEMENTE MEDINA"/>
        <s v="BAGELS BAKERY, C.A."/>
        <s v="JOSE LUIS ABELLO PEREZ"/>
        <s v="BODEGON LUSO HATILLANO, C.A."/>
        <s v="VANESSA KATHERINE CABRERA ESTUPIÑAN"/>
        <s v="PANADERIA Y PASTELERIA LOS GERANIOS C.A."/>
        <s v="AUTOMERCADO EL BARQUERO, C.A."/>
        <s v="PARAISO FITNESS, C.A."/>
        <s v="PALO GRANDE SUPERMARKET, C.A."/>
        <s v="COMERCIAL C.P, S.R.L."/>
        <s v="SUPERMERCADO RIO MAR, C.A."/>
        <s v="INVERSIONES SUPER MARKET 168, C.A."/>
        <s v="VANESSA ANAIS HIDALGO RODRIGUEZ"/>
        <s v="ALIMENTOS MARIANA C.A."/>
        <s v="PANADERIA Y PASTELERIA PAVESINA, C.A."/>
        <s v="INVERSIONES FOOD MARKET 2019, C.A."/>
        <s v="PANADERIA Y PASTELERIA NINA C.A."/>
        <s v="INVERSIONES DAP 0919, C.A."/>
        <s v="ELITE FITNESS, C.A."/>
        <s v="COMERCIALIZADORA 140359, C.A."/>
        <s v="INVERSIONES JIREH AH 1203, C.A."/>
        <s v="INVERSIONES FABIOMAR VILLARROEL, C.A."/>
        <s v="THE OFFICE ZONA E-23, C.A."/>
        <s v="&quot;INVERSIONES BENELI 2020&quot; C.A."/>
        <s v="BARTODEGON, C.A."/>
        <s v="GIMNASIO CUATRO ESTRELLAS 47, C.A."/>
        <s v="FUENTE DE SODA DAYTONA, C.A."/>
        <s v="USADITOS CARS AG, C.A."/>
        <s v="LUNCHERIA AVILA ESTRELLA, C.A."/>
        <s v="INVERSIONES NAYRI 110814 C.A."/>
        <s v="ALEXANDRA CENTENO BOLIVAR"/>
        <s v="YVANS LUIS CAMARGO RAMIREZ"/>
        <s v="COMERCIAL SERVINFRUTAS, C.A."/>
        <s v="PANADERIA PASTELERIA LOS ROSALES C.A."/>
        <s v="ABASTO Y CHARCUTERIA PARRINO GUZMAN, C.A."/>
        <s v="CONFITERIA EL REY LEON C.A."/>
        <s v="BIG BANG IMPORT, C.A."/>
        <s v="YUMMY YUMS, C.A."/>
        <s v="PERFERRA C.A."/>
        <s v="EMPRENDIMIENTO YUMBERT CANELON 2"/>
        <s v="FANNY DAYANA CABELLO DELGADO"/>
        <s v="FRIGORIFICO LOS LLANOS MB, C.A."/>
        <s v="SIN LIMITE SPORT CENTER C.A."/>
        <s v="COMERCIALIZADORA CHOCOMAX CENTER, C.A."/>
        <s v="COMERCIALIZADORA LAS FUENTES, C.A"/>
        <s v="INVERSIONES MAJUAN 2109, C.A"/>
        <s v="IZCALAGO 2021, C.A."/>
        <s v="BODEGON LOS NEGRITOS 2023, C.A."/>
        <s v="PANADERIA AVENTURA ZINC, S.R.L."/>
        <s v="SUPERMERCADO ZIBO, C.A."/>
        <s v="INVERSIONES DON JULIAN C.A"/>
        <s v="KIOSKO ANAMAR, C.A."/>
        <s v="INVERSIONES AMCATI C.A."/>
        <s v="SABORES Y ESPECIAS NINA, C.A."/>
        <s v="TETE CAFE' 23, C.A."/>
        <s v="INVERSIONES EN PING 2019, C.A."/>
        <s v="EL TREN DE ANTIMANO C.A"/>
        <s v="ESTHER MERCEDES MARQUEZ SANCHEZ"/>
        <s v="SUPERMERCADO MINGXING 2015, C.A."/>
        <s v="JOHAN ENRIQUE MONSALVE GUTIERREZ"/>
        <s v="DISTRIBUIDORA LA PARADA DEL CHOCOLATE C.A."/>
        <s v="PASTELERIA EL PADRINO, C.A."/>
        <s v="INVERSIONES DULCE PECADO 09, C.A."/>
        <s v="GRUPO AQUILES 20, C.A."/>
        <s v="FREND CHIKEN STADIUM, C.A."/>
        <s v="PANADERIA MANSION DO AVOS, C.A."/>
        <s v="VIVANA BEATRIZ MERIDA PAREDES"/>
        <s v="VIVERES JULIAN BLANCO, C.A."/>
        <s v="PANADERIA Y PASTELERIA VICTORINO, C.A."/>
        <s v="GRIZVANY NAZARED ACEVEDO ROQUE"/>
        <s v="KEVIN STEEV CENTENO CARRILLO"/>
        <s v="PANAD Y PASTELERIA LA BARCA C.A."/>
        <s v="CARLOS ALBERTO RAMIREZ RODRIGUEZ"/>
        <s v="INVERSIONES PELO A PELO 2013, C.A."/>
        <s v="SUPERMERCADO UNION Z.G. C.A."/>
        <s v="PANADERIA Y PASTELERIA CUARTA AVENIDA, C.A."/>
        <s v="PANADERIA Y PASTELERIA EL HATILLO, C.A."/>
        <s v="INVERSIONES TEQUEXPRESS 30-08, C.A."/>
        <s v="ROSA VIRGINIA SILVA SILVA"/>
        <s v="PETERSON AUTO GROUP, C.A."/>
        <s v="ROGER AGRO"/>
        <s v="CORPORACION SANBENTO C.A"/>
        <s v="COMERCIALIZADORA LA CALIFORNIA GOLDEN MARKET C,A"/>
        <s v="ZULEYDY DESSIRE ROJAS VIVAS"/>
        <s v="INVERSIONES RLCA 7782, C.A."/>
        <s v="JEFERSON ALFONSO PABON CARDENAS"/>
        <s v="PANADERIA LA CANCHA DEL PAN C.A."/>
        <s v="PANADERIA Y PASTELERIA LA VUELTA, SRL"/>
        <s v="EDILSO JAVIER DIAZ MATOS"/>
        <s v="REPRESENTACIONES PALIX, C.A."/>
        <s v="EL BODEGON DE WILSON, C.A."/>
        <s v="MANICERIA SAN CHARBEL 1 C.A."/>
        <s v="FRANCIS YONIRKA SARRIA VILLAREAL"/>
        <s v="ZULMIRETH DEL CARMEN AGUILERA REINA"/>
        <s v="PANADERIA Y PASTELERIA LA CONDESA II, C.A."/>
        <s v="FRANZ ANTHONI LUNA AGUILERA"/>
        <s v="PANADERIA LA BISCOTTI"/>
        <s v="AUTOMERCADO SOL CARIOCA III C.A."/>
        <s v="LILIA CRISTINA GUTIERREZ BETANCOURT"/>
        <s v="ABASTO OASIS 2024 C.A."/>
        <s v="DISTRIBUIDORA LAS 3000 Y 1 PIEDRA, C.A."/>
        <s v="INVERSIONES LA CANCHITA DORADA, C.A."/>
        <s v="SUPER AVILA TRECE, C.A."/>
        <s v="LUIS ALEXANDER GODOY KEY"/>
        <s v="INVERSIONES MEGA 71, C.A."/>
        <s v="MARIA TAHIRE RODRIGUEZ GOMEZ"/>
        <s v="ANA RAMIREZ"/>
        <s v="AMERICO FERNANDES DE"/>
        <s v="PANADERIA Y PASTELERIA SAFARI BAKERY C.A."/>
        <s v="XIOMARA OSPINO VILLARRIAL"/>
        <s v="FARMACIA EL MARQUES, C.A."/>
        <s v="JOSE ABEL BONILLA RODRIGUEZ"/>
        <s v="ASIA TROPICAL, C.A."/>
        <s v="PANADERIA PAN BARUTA 2010, C.A."/>
        <s v="ABASTO Y FRUTERIA JM 2013, C.A."/>
        <s v="INVERSIONES EA 2010, C.A."/>
        <s v="ARMANDO MARTIN HOYOS VALDIVIEZO"/>
        <s v="PANADERIA Y PASTELERIA PLAZA CARACAS, C.A."/>
        <s v="COMERCIALIZADORA GRAN CAPITOLIO, C.A."/>
        <s v="CONFITERIA KOMBI C.A."/>
        <s v="PAYBOX MIRANDA, C.A."/>
        <s v="PEDRO MENA"/>
        <s v="293 SHEKINAH, C.A."/>
        <s v="ABASTO LA CASA DEL RUISEÑOR C.A."/>
        <s v="PANDERIA PANITRIGO 971, C.A."/>
        <s v="INVERSIONES CANTILLO M C.A."/>
        <s v="LAURY DANIELA LOPEZ LOPEZ"/>
        <s v="EMPRENDIMIENTO YOLEIDA MORENO"/>
        <s v="ESMERALDA GYM, C.A."/>
        <s v="PANADERIA MORENO III, C.A."/>
        <s v="COMACA COMERCIALIZADORA MARGARITA, C.A."/>
        <s v="MARITZA CORREA TORRES"/>
        <s v="INVERSIONES YANIRE, C.A."/>
        <s v="DISTRIBUIDORA DORADO 668, C.A."/>
        <s v="INOCENCIO LABBATE"/>
        <s v="HIPERMERCADO HAPPYMARKET, C.A."/>
        <s v="GIMNASIO IRON BODIES, C.A."/>
        <s v="SUGAREXPRESS, C.A."/>
        <s v="INVERSIONES POR-VEN C.A"/>
        <s v="AUTOMERCADO EL TRUCO EXPRESS, C.A."/>
        <s v="DANIEL'S CENTER FITNESS, C.A."/>
        <s v="BODYBUILDING FITNESS SHOP, C.A."/>
        <s v="JENILET DE SOUSA"/>
        <s v="INVERSIONES MI PUNTO NCJ, C.A."/>
        <s v="JOSE LUIS GONZALEZ MARQUEZ"/>
        <s v="ANTONINA RITA RIZZO PASCUAL"/>
        <s v="AUTOMERCADO CENTRAL LAS MINAS C.A"/>
        <s v="INVERSIONES SATELITE 2010 C.A."/>
        <s v="PANADERIA Y PASTELERIA MICHEL-M 2030, C.A."/>
        <s v="DEIKER MADRID"/>
        <s v="URSULA DE JESUS MONTENEGRO"/>
        <s v="ENERGYM FITNESS CENTER, C.A."/>
        <s v="PANADERIA Y PASTELERIA LA CRIOLLA C.A."/>
        <s v="PANADERIA RITZ 72, C.A"/>
        <s v="CORPORACION TEHP JE, C.A."/>
        <s v="CAFETINES ESCOLARES MERIANDES, C.A."/>
        <s v="INVERSIONES FRUTERIA JUVENAL 2014, C.A."/>
        <s v="CERVECERIA MOLINERO C.A."/>
        <s v="CITY DAY INVERSIONES, C.A."/>
        <s v="LUNCHERIA CACHAPAS MAITA C.A."/>
        <s v="INVERSIONES GALAXY ZG, C.A."/>
        <s v="MANICERIA PARQUE CARACAS C.A"/>
        <s v="BAR RESTAURANT LA QUINTA DEL POLLO C.A"/>
        <s v="TIENDAS PUM, C.A."/>
        <s v="PANADERIA PASTELERIA Y DELICATESES ARES, C.A."/>
        <s v="CAFETIN LA CHURUATA EXPRESS 18, C.A."/>
        <s v="INVERSIONES RASER 2035 C.A"/>
        <s v="GABRIEL ALEXANDER SOTO GARCIA"/>
        <s v="EMAILYN JOSE FARIAS GUZMAN"/>
        <s v="PANADERIA Y PASTELERIA CRISTALPAN, C.A."/>
        <s v="INVERSIONES VALENGIL,2812 C.A."/>
        <s v="ANIBAL JOSE MOYA PORRAS"/>
        <s v="INVERSIONES Y SUMINISTROS VIA APIA, C.A."/>
        <s v="YESENIA CAROLINA ACEVEDO DIAZ"/>
        <s v="INVERSIONES QUINTERO UTRERA C.A"/>
        <s v="FARMACIA Y LABORATORIO TIUNA GLOBAL, C.A."/>
        <s v="MARIAN JULIETA AMARO PALOMO"/>
        <s v="DIFRAJOCA, C.A."/>
        <s v="BODEGON MIXTOS 2025 C.A."/>
        <s v="ALIMENTOS SARAGUI, C.A."/>
        <s v="INVERSIONES NANCY JANGEL J.E.M. 16 C.A."/>
        <s v="FARMACIA AHINOA 2010, C.A."/>
        <s v="PANADERIA LA POSADA DE VALLE FRESCO C.A."/>
        <s v="PUNTOFRESCO SUPER, C.A."/>
        <s v="MONICA MATILDE VALENZUELA QUISPETERA"/>
        <s v="KEINER DAVID PEÑA ROBLES"/>
        <s v="EMPRENDIMIENTO JHONATAN PRIETO"/>
        <s v="INVERSIONES EL FAMOSO L Y R C.A."/>
        <s v="RIBERA DEL ORBIGO IX, C.A."/>
        <s v="EDINSON ROBERT ZERPA PACHECO"/>
        <s v="GRUPO PLUS MAEKET, C.A."/>
        <s v="XPRESS KAIZA 29 C.A"/>
        <s v="COMERCIAL VIDAFRA C.A."/>
        <s v="ABASTO MANUEL FIGUEIRA DE JESUS Y SUCESORES, C.A."/>
        <s v="PANADERIA ESPIGA DELI C.A."/>
        <s v="MI CASA III 2023, C.A."/>
        <s v="INVERSIONES SANTONI 2021, C.A."/>
        <s v="HENRY JOSE RAMIREZ FERNANDEZ"/>
        <s v="TIENDA EXPRESS VISTALAGO, C.A."/>
        <s v="PANADERIA Y PASTELERIA PLAZA GUARENAS, C.A."/>
        <s v="LA GALAXIA DEL PAN, C.A."/>
        <s v="INVERSIONES MUNCHIS 33.3, C.A"/>
        <s v="INVERSIONES FREITAS SANTAELLA, 22 C.A."/>
        <s v="PANIFICADORA SORRENTO, C.A."/>
        <s v="COMERCIAL PRIMAVERA 2024 C.A."/>
        <s v="COMERCIAL CINCO 2020, C.A."/>
        <s v="COMERCIALIZADORA RUMBA-23, C.A."/>
        <s v="DELICATESES LA MILAGROSA, C.A."/>
        <s v="COMERCIALIZADORA LOS BATISTAS, C.A."/>
        <s v="`PASTELERIA CONCOR DELI C.A."/>
        <s v="SUPERMERCADO FULL MARKET, C.A."/>
        <s v="INVERSIONES ALMAC 1325, C.A."/>
        <s v="ISABEL QUINTERO MARA"/>
        <s v="INVERSIONES GRAN SHADDAY ADJ 2022, C.A."/>
        <s v="TERESA MARIA GONCALVES GONCALVES"/>
        <s v="ANDREA FIRENZE CAMACARO SAEZ"/>
        <s v="FARMACIA LA CARIDAD DEL COBRE GPC, C.A."/>
        <s v="VICTOR QUIÑONES"/>
        <s v="EDUARDO FUENMAYOR"/>
        <s v="RESTAURANT RADHE GOVINDA 108, C.A."/>
        <s v="LUIS RAI RODRIGUEZ PEREIRA"/>
        <s v="FABRICA DE AREPAS Y EMPANADAS APOLO VIII C.A."/>
        <s v="INVERSIONES MARGRE 2022, C.A."/>
        <s v="AUTOMERCADO AVILA, C.A"/>
        <s v="PELUQUERIA SOLO ADI 30, C.A."/>
        <s v="LA ORGANIZACION SOCIO PRODUCTIVA&quot;LA ESPIGA DEL PAN&quot;"/>
        <s v="ASTRID IVANOVA MEJIAS RODRIGUEZ"/>
        <s v="JOSELIN JOAANA MARTINEZ PALACIO"/>
        <s v="INVERSIONES EL GRAN SHADDAY DF 2013, C.A."/>
        <s v="JOSE LUIS BRITO FERNANDES"/>
        <s v="SUGARLAND CARACAS, C.A."/>
        <s v="HECTOR JOSE MARIN MODESTO"/>
        <s v="ABASTO Y BOTELLERIA EL SOCORRO C.A."/>
        <s v="HECTOR JAVIER BRITO MOLINA"/>
        <s v="SANTIPAOWIL, C.A."/>
        <s v="COMERCIAL PLAST CITY 2010, C.A."/>
        <s v="ARSPORT C.A."/>
        <s v="FRANK PAREDES PUERTA"/>
        <s v="INVERSIONES MERIGALI, C.A"/>
        <s v="ANTHONY MENDOZA"/>
        <s v="BODEGON FLOR DE LAS MINAS C.A."/>
        <s v="FARMACIA LAS MINITAS, C.A."/>
        <s v="CRISTIAN FRANKLIN CROES CUELLA"/>
        <s v="INVERSIONES FRAGA BENTO, C.A."/>
        <s v="YOUSEF ABDOU EL HADDAD"/>
        <s v="INVERSIONES RAMON ALBERTO PERNIA, C.A."/>
        <s v="PANADERIA PASTELERIA SOL DE GUARENAS P.P.S.G. CA"/>
        <s v="CELIA SUSANA ANGARITA REY"/>
        <s v="COMERCIAL BENDECIDOS POR DIOS 88, C.A."/>
        <s v="YERITZA JHOANA CARRERA SAAVEDRA"/>
        <s v="DISTRIBUIDORA DOÑA JUANA 2050, C.A."/>
        <s v="COMERCIAL OLAYS, C.A."/>
        <s v="COMERCIAL PORTIMOU, C.A."/>
        <s v="INVERSIONES FRANCISCO 1986, C.A."/>
        <s v="MARIA DOLORES VASQUEZ DE"/>
        <s v="PLACERE`S, C.A."/>
        <s v="BELKYS METANIA OLIVERO CABRILES"/>
        <s v="GABRIEL LEON"/>
        <s v="JHONIEL ANTONIO HORTUA CASTRO"/>
        <s v="COMERCIALIZADORA MARE RM, C.A."/>
        <s v="HAMBURGUESERIA AL AIRE LIBRE, C.A."/>
        <s v="PANADERIA EL CAMEL 1, C.A."/>
        <s v="INVERSIONES CAFFEARTE 2015, C.A."/>
        <s v="INVERSIONES LA PREFERIDA G.P.C., C.A."/>
        <s v="ABASTOS Y FRUTERIA MARISOL, C.A."/>
        <s v="VICTOR MANUEL CABRERA CASTAÑEDA"/>
        <s v="INVERSIONES MC 2018, C.A."/>
        <s v="INVERSIONES SOMOS LICORES LC, C.A."/>
        <s v="CLAUDIA PATRICIA GARCIA RODRIGUEZ"/>
        <s v="PORTAL LA URBINA, C.A."/>
        <s v="ANDREA CATHERYN ASCANIO OSPINO"/>
        <s v="INVERSIONES HALUS GOURMET, C.A."/>
        <s v="EL AMANECER DEL AGUILA C.A."/>
        <s v="FARMANATURAL LOS PROCERES, C.A."/>
        <s v="JHON ANDRES MILLAN AGUILERA"/>
        <s v="AILYN CAROLINA MARQUEZ VELIZ"/>
        <s v="EURODISEÑOS 2003, C.A."/>
        <s v="INVERSIONES 16 12 2010, C.A."/>
        <s v="FRIGORIFICO FAMA RANCH, C.A"/>
        <s v="STEFFANY EILEEN DE BRIGARD"/>
        <s v="EL PALACIO DE LA REPOSTERIA C.A"/>
        <s v="MARYURI KEILA MONTILVA SALAYA"/>
        <s v="PANADERIA Y PASTELERIA LLANURA'S ANDINA'S GRILL, C.A."/>
        <s v="VIVIANA ELIZABETH ZEBALLOS LARRAIN"/>
        <s v="COMERCIAL PAVO REAL C.A"/>
        <s v="DIBOCCA CAFFE, C.A."/>
        <s v="INVERSIONES DON DHEIVI, C.A."/>
        <s v="ROSIRIS OREANNA CARRERA FERNANDEZ"/>
        <s v="PAULA MERCEDES HERRERA SALCEDO"/>
        <s v="PIZZELADA C.A."/>
        <s v="CAFE LUNCH SAHARA SRL"/>
        <s v="INVERSIONES 807, C.A."/>
        <s v="CHARCUTERIA VILLA REAL, C.A."/>
        <s v="J.A DOS REIS-ABASTOS PAR VEN C.A."/>
        <s v="PANADERIA Y PASTELERIA VALLE ARRIBA GUATIRE, C.A."/>
        <s v="CENTRO DE ESTETICA INTEGRAL SHALOM ORANY, C.A."/>
        <s v="FARMADG CATIA, C.A."/>
        <s v="YENIFER DEL VALLE SEPULVEDA"/>
        <s v="EMILY YUSMARI VEGAS ALIZONDO"/>
        <s v="LUIS QUERRA"/>
        <s v="CAFETERIA Y FRUTERIA LOS POCITOS C.A."/>
        <s v="CONTENEDOR PARAISO, C.A."/>
        <s v="PANADERIA Y PASTELERIA ESTRELLA DE SANTA MARTA, C.A."/>
        <s v="GRUPO MDS, C.A."/>
        <s v="FRIGORIFICO EL PAISA DEL PORTUGAL, C.A."/>
        <s v="JOSE PETER PESTANA MENDES"/>
        <s v="EMV2 INVERSIONES, C.A."/>
        <s v="ENMANUEL LOPEZ"/>
        <s v="INVERSIONES NEPEK, C.A."/>
        <s v="CENTRO NATURISTA PARAISO 85, C.A."/>
        <s v="LUIS ALBERTO MEDINA GUILLEN"/>
        <s v="INVERSIONES ORINOCO DE CABRUTA, C.A."/>
        <s v="LA COMPAÑIA BISTRO, C.A."/>
        <s v="INV.3MV, C.A."/>
        <s v="DISTRIBUIDORA DE ALIMENTOS CIEN POR CIENTO VENEZUELA, C.A."/>
        <s v="CENTRO ESTETICO PS, C.A."/>
        <s v="INVERSIONES NUEVO MUNDO 2019, C.A."/>
        <s v="PANADERIA Y PASTELERIA DALLAS, S.R.L."/>
        <s v="WILFREDO MEDRANO"/>
        <s v="INVERSIONES FOOD SERVICE 1126, C.A."/>
        <s v="CONSTRUCCIONES ELANTOR C.A."/>
        <s v="INVERSIONES LAGO ROQUE, C.A."/>
        <s v="PARADOR TURISTICO Y POSADA IL PREZZANO C.A."/>
        <s v="ENDERSON SALAZAR"/>
        <s v="ABASTOS LA TRINIDAD C.A."/>
        <s v="COMERCIAL MANTA 1996, C.A."/>
        <s v="FARMACIA NUEVA CASARAPA, C.A."/>
        <s v="CUBO COFFEE SHOP, C.A."/>
        <s v="REPOSTERIA HNAS, SUAREZ, C.A."/>
        <s v="DYLAN JESUS SANELLA DE SOUSA"/>
        <s v="PANADERIA RESTAURANT LISBOA NUEVA, C.A."/>
        <s v="GRUPO PLUS MARKET, C.A."/>
        <s v="COMERCIAL GRAN PROMOCION ARIES, C.A."/>
        <s v="ALBERTO RIOS"/>
        <s v="ALBANIS ROSIBEL NIÑO NAVA"/>
        <s v="REPRESENTACIONES ODYSEUS 3010, C.A."/>
        <s v="DARLIN ARIAM MANZANO GUZMAN"/>
        <s v="COMERCIAL MEGA ESTRELLA 128 C.A."/>
        <s v="FELIX ANTONIO CHACIN"/>
        <s v="INVERSIONES DLD OCHUNADDE, C.A."/>
        <s v="INVERSIONES LAS DELICIAS DEL PARAISO C.A"/>
        <s v="MIRMEL &amp; ASOCIADOS C.A."/>
        <s v="SUPERMERCADO TOLEDO C.A."/>
        <s v="YUSLEIDI ANDRADE"/>
        <s v="SUPERMERCADO PIEDRA AZUL C.A."/>
        <s v="PANADERIA LA CONDESA C.A."/>
        <s v="EL BAZAR DE SAMI C.A."/>
        <s v="MELITZA COROMOTO RODRIGUEZ LOPEZ"/>
        <s v="LA TIENDITA CENTER C.A."/>
        <s v="GRANJA SAN LUIS, C.A."/>
        <s v="ONCE 11 FOOD 11 11, C.A."/>
        <s v="RA MINIMARKET, C.A."/>
        <s v="LA ESQUINA DEL AHORRO 91, C.A."/>
        <s v="JUANA INES MEZA DE HENRIQUEZ"/>
        <s v="ALIMENTOS GOURMET CCC, C.A."/>
        <s v="FRIGORIFICO ARCO IRIS DE CARACAS C.A."/>
        <s v="EHYLING PACHECO"/>
        <s v="ANYELA VILLARREAL"/>
        <s v="GLORIA ANGELICA MARTINEZ"/>
        <s v="LEIDYMAR SOLEDAD GONZALEZ"/>
        <s v="JOAO MANUEL FERNANDEZ DA SILVA"/>
        <s v="PANADERIA Y PASTELERIA EL PLANETA, C.A."/>
        <s v="PANADERIA Y PASTELERIA CONCHA DULCE, C.A."/>
        <s v="PANADERIA Y PASTELERIA ROCKXANA C.A."/>
        <s v="PANADERIA PASTELERIA CHARCUTERIA EL TERMINALC.A"/>
        <s v="INVERSIONES NOVA LIMPIEZA, C.A."/>
        <s v="BIANCA JAIMES BUSTAMANTE"/>
        <s v="CENTRO VFP VI, C.A."/>
        <s v="INDUSTRIAS CARVAJAL, C.A."/>
        <s v="LA DESPENSA HEALTHY FOODS, C.A."/>
        <s v="OLIVEIRA Y DA VOLTA C.A"/>
        <s v="SUPER ECONOMIKA C.A."/>
        <s v="BODEGON FARMALICOR 2024, C.A."/>
        <s v="ALEIDA MORENO RAMIREZ"/>
        <s v="INVERSIONES MARPINHO, C.A."/>
        <s v="ANGEL JOSSUET RAMIREZ CONTRERAS"/>
        <s v="INVERSIONES BORRGUA C.A."/>
        <s v="INVERSIONES TENIS FOOD C.A."/>
        <s v="JHONNY RAMON BERMUDEZ FARIAS"/>
        <s v="FRANCISCO ALFONSO NIÑO YELAMO"/>
        <s v="MI FINCA AQUI, C.A."/>
        <s v="KEIVER JESUS ZAMBRANO MORALES"/>
        <s v="YENIFFER CAROLINA BASSA FERRER"/>
        <s v="INVERSIONES SD 2022 C.A"/>
        <s v="GRUPO ACADEMICO GASTRONOMICO JSCR, C.A."/>
        <s v="DIGNO ALEJANDRO CABRERA CASTAÑEDA"/>
        <s v="SUPERMERCADO FORTUNA 2027, C.A."/>
        <s v="PANADERIA Y CHARCUTERIA LINORAMI 2017, C.A."/>
        <s v="PANADERIA, PASTELERIA Y DELICATESES AVINTES, C.A."/>
        <s v="DISTRIBUIDORA THEO, C.A."/>
        <s v="1 TO ONESUPPLEMENTS"/>
        <s v="INVERSIONES XTREM BIKE CENTER, C.A."/>
        <s v="LA TRATTORIA DE LINO C.A"/>
        <s v="EASY WAY COFFE, C.A"/>
        <s v="ABASTOS GOMES Y GUERRERO 2001, C.A."/>
        <s v="INVERSIONES MEGA ADJUNTAS C.A."/>
        <s v="SUPER PANDA MARKET 1610, C.A"/>
        <s v="JESUS PIÑA"/>
        <s v="ARIAL PAPELERIA, C.A."/>
        <s v="AROMA DI CAFFE 1583 C.A."/>
        <s v="ANA GABRIELA LARES TORRES"/>
        <s v="HIPER PLATA, C.A."/>
        <s v="INVERSIONES MIRACIES, C.A."/>
        <s v="ROXANA EDANIS DUARTE LANDAETA"/>
        <s v="CHARCUTERIA ESTACION ZOOLOGICO, C.A."/>
        <s v="CIRO LOPEZ"/>
        <s v="EDGAR JOSE MARTINEZ PATETI"/>
        <s v="ELDA LOZANO APARICIO"/>
        <s v="COMERCIALIZADORA BARUTITO 3000, C.A."/>
        <s v="ALEX OCHOA"/>
        <s v="SCARLES VANESSA PALACIOS GOMEZ"/>
        <s v="MICHAEL EDUARDO CEQUEA MARQUINA"/>
        <s v="YSLEVER HERNANDEZ VARGAS"/>
        <s v="ANGIE LARA"/>
        <s v="DIANA CLARET YANEZ DE ISTURIZ"/>
        <s v="READY BIKE YAO, C.A."/>
        <s v="MARIA LOURDES PERNIA ESCALANTE"/>
        <s v="JOSE BONILLA"/>
        <s v="MANICERIA SAN CHARBEL 2, C.A"/>
        <s v="INVERSIONES COFFEE CMD, C.A."/>
        <s v="DANIEL ALEXANDER MEDINA LA CRUZ"/>
        <s v="INVERSIONES AMENDOA S.R.L"/>
        <s v="RESTAURANT ANIELLO C.A"/>
        <s v="GYM FZB, C.A."/>
        <s v="RINA STORMY ALVAREZ SARDON"/>
        <s v="MARIA ALEJANDRA COLMENARES RIVERA"/>
        <s v="SERVICIOS LIGHT FOOD 2012, C.A."/>
        <s v="CAPUCCINOWEB, C.A."/>
        <s v="INVERSIONES SUPERMARKET ALGIO 9400, C.A."/>
        <s v="MANUEL GOMES DE FARIA"/>
        <s v="D.Y.M. 1963, C.A."/>
        <s v="CALIFORNIA CAFE, C.A."/>
        <s v="STEFANI CHIRINOS"/>
        <s v="INVERSIONES EL MEGAGIGANTISIMO DE LA HOYADA 2040, C.A."/>
        <s v="CHARCUTERIA Y ABASTOS LA 14, C.A."/>
        <s v="MUNDO REPOSTERO SANTA MONICA, C.A."/>
        <s v="URIEL QUIJADA"/>
        <s v="RAUL ALEXANDER CONTRERAS URBINA"/>
        <s v="OREANA CAROLINA GOITIA URBINA"/>
        <s v="KENETT ALEJANDRO AGAR RODRIGUEZ"/>
        <s v="CENTRAL MADEIRENSE, C.A"/>
        <s v="MANUEL GOMES DE"/>
        <s v="EULIS WILLIAM RAMIREZ FLORES"/>
        <s v="LEIDY YOHANA FREITES BRICEÑO"/>
        <s v="INVERSIONES CAFE TIO PONCHO 2021, C.A."/>
        <s v="A.C.COLEGIO LA CONCEPCION DE MONTALBAN-CARACAS"/>
        <s v="EL RINCON DE LA PATRONA E.N., C.A."/>
        <s v="IGNACIO STHORY"/>
        <s v="COMPAÑIA OPERATIVA DE ALIMENTOS CORCA"/>
        <s v="ALEJANDRO JOSE BAPTISTA ARIZA"/>
        <s v="DIANA CLARET YANEZ DE"/>
        <s v="INFINITY GYM SPORTS C.A."/>
        <s v="AVOCADO`S GRILL, C.A."/>
        <s v="INVERSIONES ANIMADOS 2012 XXI, C.A"/>
        <s v="JESUS BARRETO"/>
        <s v="DISTRIBUIDORA PRIMAVERA, C.A."/>
        <s v="LICORES DE FREITAS PARRAGA, C.A."/>
        <s v="MARIA JOHANNA FERRER FUENTES"/>
        <s v="JINDY MAGILIA ANTON RODRIGUEZ"/>
        <s v="SARA DANIELA TORRES VILLAFRADE"/>
        <s v="RESTAURANT Y LICORES DEJAVU, C.A."/>
        <s v="NEGRITAS CAFE, C.A."/>
        <s v="JOHANNA DE FREITAS"/>
        <s v="INVERSIONES HERMANAS BLANCO, C.A."/>
        <s v="JOSTEEN BARON"/>
        <s v="INVERSIONES BUDA MARKET 888, C.A."/>
        <s v="COMERCIALIZADORA BENEVENTO C.A."/>
        <s v="CESAR ANTONIO PONCE LA CRUZ"/>
        <s v="@MUNDO REPOSTERO SANTA MONICA, C.A."/>
        <s v="SUPERMERCADO CENTRO AMIGOS C.A."/>
        <s v="RICOS Y ALIMENTOS BEBIDAS Y ALGO MAS C.A."/>
        <s v="SOL PRODUCCTION'S MILENIO, C.A."/>
        <s v="PANADERIA Y PASTELERIA BARCELENCE, C.A."/>
        <s v="BODEGON JOSELINA, C.A."/>
        <s v="INVERSIONES SAMY 24-16, C.A."/>
        <s v="EMPRENDIMIENTO JHAIMMARTH AULAR"/>
        <s v="DISTRIBUIDORA FLYFOOD 2025, C.A."/>
        <s v="HIPERMERCADO LOS TEQUES, C.A."/>
        <s v="LA HOJALDRINA, C.A."/>
        <s v="GERARDO JOSE QUINTERO ANAYA"/>
        <s v="PIERINA ANGELA MATTAR PANTOJA"/>
        <s v="BODEGON JOSELINA, C.A"/>
        <s v="DISTRIBUIDORA ATLANTIS 3000 C.A."/>
        <s v="INVERSIONES BUFALAC 2023, C.A."/>
        <s v="@MUNDOREPOSTERO LA TRINIDAD, C.A."/>
        <s v="IL NONNO CAFFE, C.A."/>
        <s v="AUDREY ESTEFANIA GONZALEZ OJEDA"/>
        <s v="ROSIER BELLO"/>
        <s v="CARLOS VERA"/>
        <s v="GRUPO GLOBAL GAIN, C.A."/>
        <s v="WELKYS MARIUCI BELANDRIA VARELA"/>
        <s v="PANADERIA PASTELERIA CHARCUTERIA EL TERMINAL C.A."/>
        <s v="SAN PATRICIO SUPER MARKET, C.A."/>
        <s v="ELSY MARIA HERNANDEZ ARAUJO"/>
        <s v="ANGIE ALEJANDRA VELASQUEZ TRIVIÑO"/>
        <s v="CAPITAL GRILLS CCS, C.A."/>
        <s v="JOAO MANUEL FERNANDEZ DA"/>
        <s v="GRUPO SAN BENTO C.A"/>
        <s v="LEO GIUSEPPE DEL ROSSO BARRETO"/>
        <s v="CHARCUTERIA BALLESTEROS FJ 20 C.A"/>
        <s v="INVERSIONES LA VELA DE DUBAI, C.A."/>
        <s v="MELITZA SOFIA LOPEZ MARQUEZ"/>
        <s v="INVERSIONES D.A.R. 2512, C.A."/>
        <s v="SERVICIOS BONALTECK, C.A."/>
        <s v="RASTA BURGER 2 C.A."/>
        <s v="RIKY'S PIZZA Y DELICATESES ,C.A"/>
        <s v="INVERSIONES ROA V.I.P, C.A."/>
        <s v="UN HUEQUITO PARA EL POSTRE, C.A."/>
        <s v="LA LLAVE DE LAS MEZCLAS C.A."/>
        <s v="MERCADITO DE LAS DOÑAS, C.A."/>
        <s v="BELKIS BRACHO"/>
        <s v="PANIFICADORA ESPELTA,C.A."/>
        <s v="DYLAN JESUS SANELLA DE"/>
        <s v="IRON BODY FITNESS, C.A"/>
        <s v="BUENA VIBRA SALVY SPORT, C.A."/>
        <s v="DAYANESKY DANIELA PEREZ DELGADO"/>
        <s v="YANETH MARIA JARDIM DE ABREU"/>
        <s v="G DELICATESES Y ALGO MAS, C.A."/>
        <s v="INVERSIONES BIENVENIDO KEYSPOL PD, C.A"/>
        <s v="CARLOS MARCANO"/>
        <s v="JEFRY PUENTE"/>
        <s v="IBET MARQUEZ"/>
        <s v="EL SUPER DE LA SILSA. C.A."/>
        <s v="JOSE DELGADO"/>
        <s v="INVERSIONES ROBERT GUZMAN, C.A."/>
        <s v="CHARCUTERIA Y DELICATESES NUEVA ERA SJT, C.A."/>
        <s v="DANKA PEREZ"/>
        <s v="MAYRA BASTIDAS"/>
        <s v="COMERCIAL NOVAIRES C.A."/>
        <s v="ONCE 4X4, C.A"/>
        <s v="DISTRIBUIDORA PENG CHENG 168, C.A"/>
        <s v="INVERSIONES MYA 2023 C.A"/>
        <s v="GEIDERSON SALAZAR"/>
        <s v="DIEGO ALVAREZ"/>
        <s v="H2O PINOR, C.A."/>
        <s v="DISTRIBUIDORA ALMACENADORA DEL REINO C.A"/>
        <s v="INVERSIONES JOSELINA 340, C.A."/>
        <s v="KATY CAROLINA GOATACHE GARCIA"/>
        <s v="RESTAURANTE MAGNATE DEL POLLO 21, C.A."/>
        <s v="ABASTOS Y LICORES EL OSO 3000, C.A"/>
        <s v="INVERSIONES DETODITO CEM C.A."/>
        <s v="DISTRIBUIDORA RIOS MARQUEZ 17, C.A."/>
        <s v="CIREA GONZALEZ"/>
        <s v="MUNDOREPOSTERO LA TRINIDAD, C.A."/>
        <s v="YAMILEX REYES HIDALGO"/>
        <s v="NORKIS ANDRIMAR CAMACHO CAMACHO"/>
        <s v="ANDRY RODRIGUEZ"/>
        <s v="INVERSIONES BETANIA J.R. &amp; T.R, C.A"/>
        <s v="MULTISABORES ELIAS DAVID, C.A."/>
        <s v="AVEIRO PAN, 2002, C.A."/>
        <s v="INVERSIONES YOUYU, C.A."/>
        <s v="SAMUEL ACEVEDO"/>
        <s v="SUPERMERCADO SUPERNOVA, C.A."/>
        <s v="INVERSIONES ESHU IRAWO, C.A."/>
        <s v="BENJAMIN DURAN"/>
        <s v="VALERIA ISABEL PONCE GÒMEZ"/>
        <s v="ZIBO SAMAN PLAZA, C.A."/>
        <s v="CORPORACION  MANGO  VERDE, C.A"/>
        <s v="WAHARI.VE C.A."/>
        <s v="FRANKLIN SANCHEZ"/>
        <s v="FRANKLIN OSTOS"/>
        <s v="BODEGON Y CHARCUTERIA FRUTISIMA, C.A."/>
        <s v="MOSTAFA ALI EL MAJZOUB PEREZ"/>
        <s v="DISTRIBUIDORA DE QUESOS LOS MOTOLITOS 1, C.A."/>
        <s v="OANADERIA Y PASTELERIA MILAGRO 2001 C.A."/>
        <s v="BELKY SALAZAR"/>
        <s v="INVERSIONES SERVIMAX 3L, C.A."/>
        <s v="ANDREA MARTINEZ"/>
        <s v="PANADERIA LA REINA DE CATIA, C.A."/>
        <s v="SUMINISTROS OMEGA MEDIC, C.A"/>
        <s v="JANETXY LOPEZ"/>
        <s v="EYDANIS ALEXANDRA MAICAN IRAUSQUIN"/>
        <s v="REDVITAL COMERCIALIZADORA, C.A."/>
        <s v="MULTITIENDA FARMA SERVICIOS LA COROMOTO, COMPAÑIA ANONIMA"/>
        <s v="MULTITIENDA FARMA SERVICIOS BELLA VISTA COMPAÑIA ANONIMA"/>
        <s v="FRIGORIFICO LA POLLERA C.A."/>
        <s v="FARMATODO, C.A."/>
        <s v="AGROPIARA, C.A."/>
        <s v="ALIMENTOS EL TEQUEÑON, C.A."/>
        <s v="FARMACIA LOS CERRAJONES F.T, C.A"/>
        <s v="ANGIOLOGIA, C.A."/>
        <s v="ATLANTICO IMPERIAL, C.A"/>
        <s v="HERESMARKET, C.A."/>
        <s v="SUPERMERCADO EL DIAMANTE, C.A"/>
        <s v="SUPERMARKET ECOVIDA NIE, F.P"/>
        <s v="AUTOMERCADO GUACARA CENTER, C.A."/>
        <s v="AUTOMERCADO LA MURALLA 1061 C.A."/>
        <s v="SUPER TIENDA LATINO CIUDAD BOLIVAR C.A"/>
        <s v="AUTOMERCADO LA MURALLA, C.A."/>
        <s v="AUTOMERCADO LUZ, C.A."/>
        <s v="CHILDRENS, C.A"/>
        <s v="AUTOMERCADO SANTA ROSA DE LIMA, C.A."/>
        <s v="AUTOMERCADOS FRESCO MARKET AFN, C.A."/>
        <s v="SUPERMERCADO COLORIDO WU, F.P"/>
        <s v="LA PECANA, C.A"/>
        <s v="EXQUISITECES PÃO DE DEUS, C.A."/>
        <s v="MI BODEGA EXPRESS, C.A."/>
        <s v="CATANIA HIPERMERCADO, C.A."/>
        <s v="FOGON FOOD &amp; DRINK, C.A."/>
        <s v="BELLA MARKET ANZOATEGUI, C.A."/>
        <s v="BLACK ROCK EXPRESS, C.A."/>
        <s v="GRUPO FRIDA, C.A."/>
        <s v="PASTA FATTA IN CASA, C.A."/>
        <s v="COMERCIALIZADORA KROMI MARKET, C.A."/>
        <s v="CENTRAL MADEIRENSE, C.A."/>
        <s v="OPERADORA DHO 22, C.A."/>
        <s v="PANADERIA LA MACARENA 21, C.A."/>
        <s v="PANADERIA PASTELERIA Y CARTERIA SAO MIGUEL, C.A"/>
        <s v="PANADERIA PASTELERIA Y CHARCUTERIA DINASTIA, C.A."/>
        <s v="CENTRO DE CARNES CARLISS, C.A."/>
        <s v="CENTRO MEDICO LOIRA, C. A."/>
        <s v="DIMASSI, C.A."/>
        <s v="DISTRIBUIDORA PLATINO 2000, C.A."/>
        <s v="FARMACIA GADSA 44, C.A."/>
        <s v="CORPORACION EL POINT MK C.A."/>
        <s v="INVERSIONES ROCA FIRME, C.A."/>
        <s v="FACTORY FROZEN, C.A."/>
        <s v="MI NEGOCIO SUPERMERCADOS, C.A."/>
        <s v="COMERCIALIZADORA CENTRO GUARENAS, C.A."/>
        <s v="COMERCIALIZADORA DE ALIMENTOS EBENEZER, C.A."/>
        <s v="COMERCIALIZADORA EBEN-EZER, C.A."/>
        <s v="COMERCIALIZADORA GLOBAL C Y D, C.A."/>
        <s v="DE CAMPO AUTOMERCADOS, C.A"/>
        <s v="CORPORACION CHALLENGER 360, C.A."/>
        <s v="CREA - DESARROLLOS,SOCIEDAD ANONIMA (CREDESA) (SUPERMERCADO MERCASA )"/>
        <s v="HIPERMERCADO PARAMO, C.A."/>
        <s v="HIPER NEWTONS C.A."/>
        <s v="DAVIDE SILVERIO DE JESUS TERRA B (M/A FRUT Y LIC LA ESPIGA)"/>
        <s v="SER SUPERMERCADO, C.A"/>
        <s v="GRUPO ANANAS, C.A."/>
        <s v="LOMA CADENA DE TIENDAS, C.A."/>
        <s v="FARMACIA MIGUEL NIEVES, C.A."/>
        <s v="INVERSIONES LUVEBRAS, C.A."/>
        <s v="N2, C.A."/>
        <s v="LA PARADA POP, C.A."/>
        <s v="ECO MARKET ARAURE, C.A."/>
        <s v="PANADERIA, PASTELERIA CHARCUTERIA LA MAYER DEL PAN, C.A."/>
        <s v="EL IMPERIO DEL PAN FAD, C.A."/>
        <s v="INVERSIONES JYN 19, C.A."/>
        <s v="FRIGORIFICO DELICATESES LOIRO PARAISO, C.A."/>
        <s v="EXCELSIOR GAMA SUPERMERCADOS, C.A."/>
        <s v="EXCELSIOR MARKET, C.A"/>
        <s v="FARMA DON ORIENTE, C.A."/>
        <s v="FARMA SERVICIOS CIUDAD OJEDA INTERCOMUNAL, C.A"/>
        <s v="FARMA SERVICIOS CUMBRES, C.A"/>
        <s v="FARMA TINA, C.A."/>
        <s v="FARMACIA BARRIO UNION, C.A"/>
        <s v="FARMACIA CLINIFARMA, C.A"/>
        <s v="FARMACIA DANFRA 2301, C.A."/>
        <s v="FARMACIA FARMA SERVICIOS LA FLORIDA, C.A."/>
        <s v="FARMACIA FARMAVERO, C.A."/>
        <s v="FARMACIA GUACARA WPM, C.A."/>
        <s v="FARMACIA LA ORQUIDEA, C.A."/>
        <s v="FARMACIA LA PICA, C.A."/>
        <s v="GRUPO ARANGO 2014, C.A."/>
        <s v="FARMACIA SAN MIGUEL DE CARORA, C.A."/>
        <s v="FARMACIA Y MULTITIENDAS LAS RUBIO C.A."/>
        <s v="FARMACIA YEMAYA, C.A."/>
        <s v="FARMAIGNACIO BARARIDA C.A."/>
        <s v="INVERSIONES SUPERDIETA 2009, C.A."/>
        <s v="PYME PANADERIA ZONA RENTAL 19-80 C.A."/>
        <s v="RIDE A BIKE STUDIO, C.A."/>
        <s v="INSIDE MARKET SUPERMERCADO RIO, C.A."/>
        <s v="INVERSIONES COLD 2024, C.A."/>
        <s v="SUPERMERCADO RIO VIDA, C.A."/>
        <s v="MULTITIENDA FARMA SERVICIOS NORTE COMPAÑIA ANONIMA"/>
        <s v="GLOBAL MMA DISTRIBUIDORA, C.A."/>
        <s v="GRUPO AROA BAKERY, C.A"/>
        <s v="MULTITIENDA FARMA SERVICIOS LA LIMPIA, COMPAÑIA ANONIMA"/>
        <s v="GYM RABBAT, C.A."/>
        <s v="MULTITIENDA FARMA SERVICIOS LOS COCHES COMPAÑIA ANONIMA"/>
        <s v="MULTITIENDA FARMA SERVICIOS INDIO MARA,C.A"/>
        <s v="HIPER LIDER SAN FELIPE, C.A"/>
        <s v="HIPER MERCADO COSTCO, C.A."/>
        <s v="MULTITIENDA FARMA SERVICIOS LAS MERCEDES, C.A"/>
        <s v="HIPERMERCADO KARI C.A"/>
        <s v="SUPERMERCADO Y FRUTERIA CALIFORNIA, C.A."/>
        <s v="I SAPORI DI 3, C.A."/>
        <s v="INSIEME, S.A."/>
        <s v="LLANERO MARKET, C.A."/>
        <s v="ORGANISMO DE INTEGRACION COOPERATIVA CECOSESOLA, R.L."/>
        <s v="INVERSIONES RETAIL TURMERO 2025, C.A."/>
        <s v="MERCATODOS ANZOATEGUI, C.A."/>
        <s v="POWERHOUSE FITNESS BARCELONA, C.A"/>
        <s v="MERCA CHEVERE, C.A"/>
        <s v="SHION ONSEN, C.A."/>
        <s v="SUPERMERCADO UNICASA, C.A."/>
        <s v="LA WAWA, C.A."/>
        <s v="LABORATORIO FOTOGRÁFICO FERRERO, C.A."/>
        <s v="SUMINISTROS SG 2023, C.A."/>
        <s v="MAXI DELICIASS TURMERO, C.A."/>
        <s v="PLANSUAREZ, C.A."/>
        <s v="NUEVO SIGLO, C.A."/>
        <s v="SUMINISTROS GLOBAL J2, C.A."/>
        <s v="PANADERIA PAST Y CHARC. LA MANSION DE DOÑA HIPOLITA C.A."/>
        <s v="VIVERES DE CANDIDO, C.A (VIDECA)"/>
        <s v="PANADERIA Y EXQUISITECES MISS ORIENTAL, C.A."/>
        <s v="PANADERIA Y PASTELERIA VASCO DA GAMA, C.A."/>
        <s v="SUPERMERCADOS LUXOR, C.A."/>
        <s v="URBAN MARKET PLUS, CA"/>
        <s v="TINGTING LI"/>
        <s v="SUPERMARKET BOGET, C.A."/>
        <s v="STELLA MARKET DELIVERY, C.A."/>
        <s v="TODOHOGAR VISTAMAR, C.A."/>
        <s v="DISTRIBUIDORA JAE 123, C.A."/>
        <s v="INVERSIONES MI FRESITA 1, C.A."/>
        <s v="HIPERMERCADO LA REDOMA, C.A."/>
        <s v="GRUPO EMPRESARIAL TIERRA SANTA, C.A."/>
        <s v="INVERSIONES GASTROBAR CAFE, C.A."/>
        <s v="SUPERMERCADO ROCA AZUL, C.A."/>
        <s v="PANADERIA Y PASTELERIA STADIUM, C.A."/>
        <s v="PANADERIA Y PASTELERIA LA ESTRELLA DE ORO, C.A."/>
        <s v="PANADERIA Y PASTELERIA ROOSEVELT DELI, C.A."/>
        <s v="INVERSIONES FARMAZITA ALTAGRACIA, C.A."/>
        <s v="HIPER FARMAZ C.A."/>
        <s v="INVERSIONES MERCEBAR, C.A."/>
        <s v="AUTOMERCADO LICARCH C.A."/>
        <s v="@MUNDOREPOSTERO11, C.A."/>
        <s v="MERCANOVA 22, C.A."/>
        <s v="EXPRESS MARKET, C.A."/>
        <s v="FARMAIGNACIO BEATRIZ TRISTANCHO, C.A."/>
        <s v="FARMAIGNACIO TINAQUILLO, C.A."/>
        <s v="EURO MARKET, C.A."/>
        <s v="EUROMERCADO, C.A."/>
        <s v="FARMACIA FARMA SERVICIO LA CANDELARIA EXPRESS, C.A."/>
        <s v="FARMACIA FARMA SERVICIOS LOS RUICES, C.A."/>
        <s v="FARMACIA FARMA SERVICIOS LA CASTELLANA, C.A."/>
        <s v="SUPERMERCADO FRAVERES II, C.A."/>
        <s v="PANADERIA Y PASTELERIA PIU DOLCE, C.A."/>
        <s v="SUPERMERCADO SLEDO, C.A."/>
        <s v="FARMA MEDICA SP, S.A."/>
        <s v="MI SUPER, C.A"/>
        <s v="ASOCIACION COOPERATIVA SERVICIOS MULTIPLES SANTA CRUZ, R.L"/>
        <s v="CENTRAL SANTO TOME I, C.A."/>
        <s v="CENTRAL SANTO TOME II, C. A."/>
        <s v="CENTRAL SANTO TOME III, C. A."/>
        <s v="EXQUISITECES EL SAMAN, C.A."/>
        <s v="FARMACIA LAS BALLENAS 2020, C.A."/>
        <s v="SUPERMERCADO CASA SAN JUAN, C. A."/>
        <s v="CORPORACION MAXI DELICIASS, C.A."/>
        <s v="FACIL COMPRA LAS AVIADORES, C.A."/>
        <s v="FRUTERIA LA NACIONAL DE PUNTO FRESCO, C.A."/>
        <s v="FARMACIA BOSQUESERINO, C.A."/>
        <s v="OMELETTE, C.A."/>
        <s v="EL FIESTON, C.A."/>
        <s v="INVERSORA SUPER LIDER, C.A."/>
        <s v="HYPER MERCADO MODELO, C.A."/>
        <s v="FRIGORIFICO LA VICTORIANA MAÑONGO, C.A."/>
        <s v="HYPER LIDER LA MORITA, C.A."/>
        <s v="FARMACIA LAS BALLENAS TURMERO, C.A."/>
        <s v="DULKAFFE, C.A."/>
        <s v="PANADERIA, PAST. Y CHARC. LATIN PAN DELI, C.A."/>
        <s v="COMERCIAL GRAN PROMOCION ARIES, C.A"/>
        <s v="PANADERIA LA ORQUIDEA DE LOS CHORROS C.A."/>
        <s v="SUPERMERCADO ALEGRIA, C.A."/>
        <s v="PANADERIA Y PASTELERIA VANESSA 21, C.A."/>
        <s v="WECONNECT VENEZUELA C.A"/>
        <s v="PANADERIA Y PASTELERIA PALO ALTO, C.A."/>
        <s v="BY GENESIS GARCIA, C.A"/>
        <s v="FARMACIA FARMAGO, C.A."/>
        <s v="TORITO EXPRESS C.A."/>
        <s v="HIPER LIDER CERRO VERDE, C.A."/>
        <s v="TODOHOGAR, C.A."/>
        <s v="THE HAO SUPERMARKET, C.A."/>
        <s v="AUTOMERCADO MIXMARKET, C.A."/>
        <s v="LA LEGENDARIA DEL PAN, C.A"/>
        <s v="HIPER LIDER BARCELONA, C.A."/>
        <s v="FARMACIA BIENESTAR 33, C.A."/>
        <s v="TOTAL ALIMENTOS MM, C.A."/>
        <s v="FRIGORIFICO LA VICTORIANA, C.A."/>
        <s v="EL MANJAR DEL POLLO, C.A."/>
        <s v="AUTOMERCADO MARKET CENTER II, C.A."/>
        <s v="FARMACIA SANTA EDUVIGIS 2025, C.A."/>
        <s v="RESTOVEN DE VENEZUELA, C.A."/>
        <s v="AUTOMERCADO SUPER ECONOMICO 23,  C.A"/>
        <s v="LICORERIA CONTROL UNO, C.A."/>
        <s v="COMERCIAL PINGO DOCE, C.A."/>
        <s v="SUPERMERCADO NUSI, C.A."/>
        <s v="PANADERIA Y PASTELERIA FLORENCIA XXI, C.A."/>
        <s v="ENERVIT GYM, C.A"/>
        <s v="HERMANOS VAZQUEZ TATO, C.A."/>
        <s v="FARMACIA FARMARKET CHACAITO, C.A."/>
        <s v="INVERSIONES LA TAZITA 66 C.A."/>
        <s v="FROZEN GREEK, C.A"/>
        <s v="FROZEN DELIGHTS, C.A"/>
        <s v="FARMACIA SANTA ROSA LARA, CA"/>
        <s v="VARIEDADES EL PALACIO LA 18, C.A."/>
        <s v="INVERSIONES DELEITE CAFÉ MERCADO, C.A."/>
        <s v="EL MERCADITO DE LAS FRUTAS, C.A"/>
        <s v="HIPERMERCADO FAMOSO, C.A."/>
        <s v="FRUTERIA JUGOS NATURALES Y VIVERES CALICANTO, C.A"/>
        <s v="FRUTERIA IMPERIAL SAN JACINTO, C.A."/>
        <s v="LIRIO CENTRO ESTETICO INTEGRAL, C.A."/>
        <s v="DISTRIBUDORA CENTRAL DE ALIMENTOS FALCON, C.A."/>
        <s v="INVERSIONES PUNTOPLUS 2013, C.A"/>
        <s v="DANIEL'S CENTER FITNESS, C.A"/>
        <s v="MANICERIA AVILA DOLCE, C.A"/>
        <s v="HIPER LIDER SAN MARTIN, C.A."/>
        <s v="MYKOPORTUGUESA, C.A."/>
        <s v="AUTOMERCADO LOS MOLINOS C.A."/>
        <s v="LA CAVA, S.A."/>
        <s v="CASA DANA LECHERIA, C.A"/>
        <s v="SUPER LIDER LOS SAMANES, C.A."/>
        <s v="SUPER LIDER CAGUA, C.A."/>
        <s v="SUPER LIDER PALO NEGRO, C.A."/>
        <s v="LUNCHERIA Y CAFETIN LA PAZ, C.A."/>
        <s v="COMERCIAL YAGUA FR, C.A."/>
        <s v="CACHAPERA ESTEFANA C.A"/>
        <s v="INVERSIONES JIMENEZ 77, C.A."/>
        <s v="FRUTICARNES ELITE, C.A."/>
        <s v="PANIFICADORA ESPELTA, C.A."/>
        <s v="SPA HAIR CENTER, C.A."/>
        <s v="SOUL BIKE 2024, C.A."/>
        <s v="INVERSIONES PANCADA, C.A."/>
        <s v="CANTINA SAN LUIS 24, C.A."/>
        <s v="INVERSIONES ANTIMANO FJJ, C.A."/>
        <s v="J.A DOS REIS-ABASTOS PAR VEN, C.A."/>
        <s v="DISTRIBUIDORA DIANELA 2806 C.A."/>
        <s v="PINTO'S PAN DELY, C.A."/>
        <s v="PANADERIA PASTELERIA LOS ROSALES C A"/>
        <s v="INVERSIONES ORION 88, C.A."/>
        <s v="KEPEN 2024, C.A."/>
        <s v="FARMACIA SALOMON DAVID, C.A."/>
        <s v="GRUPO PAN DE YUCA CCS, C.A."/>
        <s v="PIMA TPT SERVICE, C.A."/>
        <s v="CHIA´S MARKET, C.A"/>
        <s v="ECOFARMA, C.A."/>
        <s v="VERFRUT´S R.J, C.A"/>
        <s v="BODEGON SUKY PAN C.A"/>
        <s v="FARMACIA HOSPI-SALUD EL TIGRE, C.A"/>
        <s v="BRIO CORP. 2022, C.A."/>
        <s v="PANADERIA MARA PAN 85 C.A."/>
        <s v="PANADERIA PASTELERIA LA GRACIA DE DIOS, C.A."/>
        <s v="PAN. PAST. CHANC. Y AREPERA ITAL-PAN 90, C.A."/>
        <s v="FRUTERÍA, JUGOS NATURALES Y VÍVERES CALICANTO II, C.A."/>
        <s v="EMPRENDIMIENTO EDGAR DIAZ 13"/>
        <s v="FARMACIA DESCUENTO A SU SALUD 3, C.A."/>
        <s v="EUROMAXX PLUS, C.A."/>
        <s v="PAN FACTORY, C.A."/>
        <s v="AUTOMERCADO CENTRAL MARIÑO, C.A."/>
        <s v="PANADERIA Y PASTELERIA DIMARY TURMERO, C.A."/>
        <s v="ELITE IMPORTS 2024, C.A."/>
        <s v="FARMACIA SAN JUAN PABLO SEGUNDO, C.A."/>
        <s v="PANADERIA, PASTELERIA Y CHARCUTERIA NUEVA GRANADA, C.A."/>
        <s v="4D FRANCHISE, C.A."/>
        <s v="4D CARACAS, C.A."/>
        <s v="FARMACIA FARMADENTRO, C.A"/>
        <s v="MAGNUM MINI MARKET 88, C.A."/>
        <s v="DOLLY PLAST I, C.A."/>
        <s v="FARMACIA FARMA SERVICIO LA CANDELARIA, C.A."/>
        <s v="PANADERIA Y PASTELERIA COIMBRA, C.A."/>
        <s v="RESTAURANT MAJOS TAPAS Y CAÑAS, C.A."/>
        <s v="TIENDA BOXXY 2025, C.A"/>
        <s v="CHARCUTERIA Y DELICATESES LA NUEVA ERA SJT, C.A."/>
        <s v="LABORATORIOS LA SANTÉ, C.A."/>
        <s v="LOS CAMPITOS III AUTOMERCADOS, C.A."/>
        <s v="FARMACIA ALIANZA 2020, C.A."/>
        <s v="FARMACIA LA MILAGROSA 2019, C.A"/>
        <s v="SUPERFERIA LA MERIDEÑA II, C.A"/>
        <s v="LUJAN FITNESS, C.A."/>
        <s v="GREEK FROZEN YOGURT LARA, C.A"/>
        <s v="MANICERIA Y EXQUISITECES DANA, C.A."/>
        <s v="COCOA MARKET, C.A."/>
        <s v="ALIMENTOS VIRGEN DE FATIMA, C.A."/>
        <s v="INVERSIONES ORIENTE 20.24, C.A"/>
        <s v="BREAD AND BUTTER, C.A."/>
        <s v="FRANK S CAFE, C.A."/>
        <s v="FARMACIA CM CAGUA, C.A"/>
        <s v="BODEGON EL AZAFRAN, C.A."/>
        <s v="FRUTERIA EL PASEO , C.A."/>
        <s v="INVERSIONES MAXI DELICIASS, C.A."/>
        <s v="CAFE METRO PLAZA, C.A."/>
        <s v="PANADERIA Y PASTELERIA EL REMANSO, C.A."/>
        <s v="COFFEE MARKET, C.A."/>
        <s v="FERRETERIA MATERIALES PUERTO FEMAPUERTO, C.A."/>
        <s v="PANADERIA Y DELICATESES LA NUEVA ROSCIO, C.A"/>
        <s v="PAN PASTELES COLONIAL, C.A."/>
        <s v="INVERSIONES LA PEQUEÑA VALENCIA, C.A."/>
        <s v="NOLA GOURMET BAKERY, C.A."/>
        <s v="TU KIOSKITO CONFITERO 2024, C.A."/>
        <s v="INVERSIONES NINJA PARK LA CANDELARIA, C.A."/>
        <s v="CORPORACION MEGACENTRO VENEZUELA, C.A."/>
        <s v="NOYER DELY, C.A."/>
        <s v="RIDE A BIKE 2. C.A."/>
        <s v="LIVRE NATURAL 2024, C.A."/>
        <s v="INVERSIONES BARCELONA ORIENTE 20.21, C.A"/>
        <s v="INVERSIONES ORIENTE 20.21, HAD, C.A"/>
        <s v="INVERSIONES BARCELONA ORIENTE COMPAÑIA ANONIMA"/>
        <s v="PANADERÍA DORADO`S PALACE, C.A."/>
        <s v="CENTRO MERCADO NEO TRIGAL, C.A."/>
        <s v="INVERSIONES CORAM DEO 777, C.A."/>
        <s v="PANADERIA PAN CUMBRES, C.A."/>
        <s v="COMERCIAL BULULU 2022, C.A."/>
        <s v="TIENDA EXPRESS EL LLANITO, C.A."/>
        <s v="PANADERIA Y PASTELERIA VALLE REAL G.R., C.A."/>
        <s v="DISTRIBUIDORA Y PROCESADORA DE ALIMENTOS EL TRIUNFO, C.A. (DISPROALTRICA)"/>
        <s v="FRIGORIFICO SPORTING, S.R.L."/>
        <s v="DISTRIBUIDORA DEL VALLE, C.A."/>
        <s v="INVERSIONES HERNANDEZ HURTADO, C.A."/>
        <s v="MOLIENDA FINA C.A."/>
        <s v="SUPERMERCADO UNICASA, C.A.."/>
        <s v="FRUTERIA LOS POMELOS, C.A."/>
        <s v="FRIGORÍFICO RK, C.A."/>
        <s v="LA PANAMERICANA NIRGUA C A"/>
        <s v="FARMACIA CARORA LA 14, C.A."/>
        <s v="FARMACIA EL ROSARIO C.A."/>
        <s v="PA' TI ORMARY EXPRESS, C.A."/>
        <s v="FARMAIGNACIO LA 19, C.A."/>
        <s v="VICT-LEAND MARKET, C.A"/>
        <s v="EXQUISITECES AUTOMERCADO LA CASCADA DEL PAN, C.A."/>
        <s v="ECONOQUESOS, C.A"/>
        <s v="SUPER MARKET ORIENTE C.A"/>
        <s v="ECONOQUESOS PLAZA, C.A"/>
        <s v="FRUTERIA DON JESUS, C.A"/>
        <s v="EKONOMAR,C.A."/>
        <s v="NEWMARKET, C.A."/>
        <s v="ROYAL AUTO MARKET C.A"/>
        <s v="SUPERMERCADO HATO GRILL LICO, C.A."/>
        <s v="MERCANOVA EXPRESS, C.A."/>
        <s v="PASTA NENETTA C.A"/>
        <s v="BARS CALISTENIA, C.A"/>
        <s v="KING FISH, C.A."/>
        <s v="FARMACIA PTO CABELLO, C.A."/>
        <s v="FRUTERIA BELLO HORIZONTE, C.A."/>
        <s v="LATINA'S BAKERY, C.A."/>
        <s v="NURJAN IMPORT, C.A."/>
        <s v="AUTOMERCADO LAS AMAPOLAS 2021 C.A."/>
        <s v="FARMA GRANDE PIÑONAL, C.A"/>
        <s v="OPERADORA H.C.L VALENCIA, C.A."/>
        <s v="RESTAURANTE ESCUELA VERDE  Y NATURAL, C.A."/>
        <s v="LA MONA C.A"/>
        <s v="WAHARI VE, C.A."/>
        <s v="AUTOMERCADO LICARCH II, C.A."/>
        <s v="PANADERIA MIMOSPAN 123, C.A."/>
        <s v="ALIMENTOS NUTRIGOODS, C.A."/>
        <s v="FRIGORIFICO SAN DIEGO 2017, C.A"/>
        <s v="RESTAURANT ONLY FISH, C.A."/>
        <s v="MARKET CENTER, C.A."/>
        <s v="PANADERIA PASTELERIA DELICATESES LOIRA DE PARIS, C.A."/>
        <s v="ABASTOS FAIAL, C.A."/>
        <s v="PASTELERIA EMPERATRIZ BAKERY DELY, C.A."/>
        <s v="DISTRIBUIDORA AGUA VIVA 2020, C.A."/>
        <s v="PANADERIA VILLAS PARK C.A"/>
        <s v="ESPORBIKE, C.A."/>
        <s v="MEGA MERCADO EXITO MMXIX C.A."/>
        <s v="ASADOS QUINTA GRANDE"/>
        <s v="AUTOMERCADO LA CIMA, C.A."/>
        <s v="PANADERIA PASTELERIA Y CHART SINAMAICA, C.A"/>
        <s v="FRUTISECOS &amp; MÁS"/>
        <s v="RESTAURANT NOVO 111, C.A."/>
        <s v="HANGAR 51, C.A."/>
        <s v="AUTOMERCADOS PLAZA'S, C.A."/>
        <s v="PANADERIA Y PASTELERIA  SOL DE ORELLE, C.A."/>
        <s v="HYPER LIDER YARITAGUA, C.A"/>
        <s v="LA DESPENSA GP C.A"/>
        <s v="FARMACIA MALL SALUD, C.A"/>
        <s v="FARMACIA COLINA, C.A."/>
        <s v="COMPLEJO TURISTICO DON JULIÁN, C.A."/>
        <s v="SUPERMERCADO CANDELARIA, C.A."/>
        <s v="FRIGORIFICO SERRANO`S, C.A."/>
        <s v="INVERSIONES EL RINCON DEL BUEN SABOR, C.A."/>
        <s v="CUI LIZALINA LIANG LIANG"/>
        <s v="FRIGORIFICOS LA FORTUNA XXI, C.A."/>
        <s v="FRIGORÍFICO SE LA CANTO, C.A."/>
        <s v="INVERSIONES LA MAXIMA 3000, C.A."/>
        <s v="CENTAUROS TRAINING CENTER 2023, C.A"/>
        <s v="PADEL PARK COUNTRY, C.A"/>
        <s v="PANIFICADORA Y DISTRIBUIDORA LA MANSION DEL PANADERO2013,C.A"/>
        <s v="COMERCIAL ZAFIRO EXPRESS I, C.A."/>
        <s v="COMERCIAL ROMAR C.A"/>
        <s v="EMPRENDIMIENTO SHADI HAMAD"/>
        <s v="FARMACIA VIRGEN DE FATIMA PALMA, C.A."/>
        <s v="MAXI DELICIASS 2, C.A."/>
        <s v="BAR Y RESTAURANT LA MUNDIAL, C.A."/>
        <s v="MERCANTIL MARE, C.A."/>
        <s v="POWERHOUSE FITNESS, CA"/>
        <s v="FARMAIGNACIO LA SALUD, C.A."/>
        <s v="CAROL CAKE, C.A."/>
        <s v="FARMAREVENGA, C.A."/>
        <s v="FRAGOLA MARKET, C.A."/>
        <s v="COMERCIALIZADORA BULL KING 2023, C.A."/>
        <s v="ROCK AND ROLLS FIT, C.A"/>
        <s v="MINIMARKET HOLA"/>
        <s v="PANIFICADORA LISBOA, C.A."/>
        <s v="ASADOS GUACARA, C.A."/>
        <s v="B' GALO RESTAURANT, C.A."/>
        <s v="LUSO MARKET, C.A."/>
        <s v="CAFE BILLARES NICO, S.R.L."/>
        <s v="COMERCIAL V DEL V, C.A."/>
        <s v="FARMACIA ANGELY, C.A."/>
        <s v="FARMACIA CARLOS PEREZ, C.A"/>
        <s v="FARMACIA FARMA ASISTENCIA C.A"/>
        <s v="AUTOMERCADO JUMBO TIGRE, C.A"/>
        <s v="HIPERMERCADO MAXI HOGAR CA"/>
        <s v="PANADERIA YULIANA 2006, C.A."/>
        <s v="MULTIMARKET ORIENTAL, C.A."/>
        <s v="INVERSIONES TENIS FOOD C.A"/>
        <s v="PANADERIA Y PASTELERIA AIDA, C.A."/>
        <s v="ASOCIACION COOPERATIVA DE SERVICIOS MULTIPLES STA.GEMA"/>
        <s v="SOLO PARA CARNIVOROS, C.A."/>
        <s v="DISTRIBUIDORA JSANZ, C.A."/>
        <s v="GALERIA HIPERMARKET, C.A."/>
        <s v="PANADERIA Y PASTELERIA ROYAL II, C.A."/>
        <s v="PIACERE 2024, C.A."/>
        <s v="INVERSIONES EL GRAN BAZAR 27, C.A."/>
        <s v="SUPER BLU-RAY HOUSE, C.A."/>
        <s v="PANADERIA Y PASTELERIA CARIBBEAN BAKERY, C.A."/>
        <s v="TIENDA NATURISTA MARINA 2007, C.A."/>
        <s v="AVEIRO PAN, 2202, C.A."/>
        <s v="PANADERIA PAN Y POSTRES 3, C.A."/>
        <s v="ASCON TRADING S.A."/>
        <s v="ALIMENTOS Y BEBIDAS THE MARKET, C.A."/>
        <s v="INVERSIONES ENMANUELLE GESU, C.A"/>
        <s v="PANADERIA Y PASTELERIA CONTINENTAL, C.A."/>
        <s v="FARMACIA SAN VALENTIN ACARIGUA CENTRO, C.A."/>
        <s v="PANADERIA Y PASTELERIA DIGA PAN, C.A."/>
        <s v="COMERCIAL CIENTO ONCE, C.A."/>
        <s v="FABRICA NACIONAL DE PRODUCTOS LACTEOS AURORA, C.A."/>
        <s v="CHICHO'S BAKERY-INTERNACIONAL, C.A."/>
        <s v="PANADERIA PASTELERIA ROCARENA, C.A."/>
        <s v="LICORERIA MENDI EDER C.A."/>
        <s v="ENTREN QUE CABEN CIEN, C.A."/>
        <s v="INVERSIONES VIADESTRANS, C.A."/>
        <s v="PANADERIA Y PASTELERIA ROSALBA, C.A."/>
        <s v="PANADERIA COUNTRY CLUB, C.A."/>
        <s v="ABAST Y FRUT. STA. MARGARITA, C.A."/>
        <s v="PANADERIA Y PASTELERIA DULCE TENTACION, C.A."/>
        <s v="PANIFICADORA Y PASTELERIA FLOR DE ALTAMIRA, C.A."/>
        <s v="FARMAOFERTA TINAQUILLO, C.A."/>
        <s v="PANIFICADORA ROSITA, C.A."/>
        <s v="INVERSIONES PC DVD Y JUEGOS, C.A."/>
        <s v="FARMAVALOR, C.A."/>
        <s v="HOTEL RESIDENCIAS SOL Y MAR, C.A"/>
        <s v="PANADERIA PASTELERIA Y CHARCUTERIA FLOR DE CARORA C.A."/>
        <s v="GRUPO PLATAFORMA, C.A."/>
        <s v="GALERIA HIPERMARKET 1,C.A"/>
        <s v="FARMACIA MEGA CENTER, C.A"/>
        <s v="INVERSIONES BERPO, C.A"/>
        <s v="LA CASONA, C.A."/>
        <s v="PANADERIA LOS MAGALLANES NAGUANAGUA, C.A."/>
        <s v="ABASTO Y LICORERIA MIÑO, C.A."/>
        <s v="PANADERIA PASTELERIA CHARCUTERIA Y DELICATESE DULCE DELI, C.A."/>
        <s v="FARMACIA INVERSIONES MACUVET, C.A."/>
        <s v="FARMACIA RR22, C.A."/>
        <s v="INVERSIONES ALERUAN, C.A."/>
        <s v="INSIDE MARKET SUPERMERCADO RIO, C.A.."/>
        <s v="4D MERCEDES, C.A."/>
        <s v="AMARANTO CAFE BISTRO, C.A."/>
        <s v="CENTRO DE ENTRETENIMIENTO DEPORTIVO NEXFIT (NEXFIT), C.A."/>
        <s v="INVERSIONES VENEGAS 19 12, C.A."/>
        <s v="EMPRENDIMIENTO QUNYING LIANG"/>
        <s v="MARKET PETITE, C.A."/>
        <s v="PANADERIA Y PASTELERIA FRESITA, C.A."/>
        <s v="DELTA CAFE INVERSIONES C.A"/>
        <s v="FARMACIA CENTRO PLAZA C.A"/>
        <s v="FARMAPAZ LAS COCUIZAS, C.A."/>
        <s v="PANADERIA Y PASTELERIA PLAZA ORO, C.A."/>
        <s v="JJ AMANECER 5860, C.A."/>
        <s v="EXQUISITECES Y FRUTERIA GUANTAR, C.A."/>
        <s v="3LV, C.A."/>
        <s v="REPRESENTACIONES JKL 2022, C.A."/>
        <s v="PANADERIA LA POPULAR DE CARABALLEDA, C.A."/>
        <s v="INVERSIONES DON FRANCO 2020, C.A."/>
        <s v="GYM VIP, C.A"/>
        <s v="ABASTO DANJUAN 2021, C.A."/>
        <s v="HIPERMERCADO SOL, C.A"/>
        <s v="EXQUISITECES BRILL, C.A."/>
        <s v="COSMO`S LH, C.A."/>
        <s v="YAMMA CAFE, CA"/>
        <s v="PROMOTORA EDUCACIONAL H.C., C.A."/>
        <s v="INVERSIONES BDM 2025, C.A."/>
        <s v="GLASS, EL PARAISO REPOSTERO, C.A."/>
        <s v="SUPERMERCADO LAS PALMERAS, C.A."/>
        <s v="FARMACIA FARMARKET ALTAMIRA, C.A."/>
        <s v="INVERSIONES CAPRI MARKET, C.A."/>
        <s v="COMERCIAL BARRIOS &amp; BARRIOS, C.A."/>
        <s v="NOSSO CAFE, C.A."/>
        <s v="FARMACIA JE MEDICAL, C.A."/>
        <s v="COMERCIAL COSTA DEL AVILA, C.A"/>
        <s v="TU MAXIMO SABOR 2020, C.A."/>
        <s v="DISTRIBUIDORA TUTTO IMPORT, C.A."/>
        <s v="SUPERMERCADO LA GUZMANIA, C.A."/>
        <s v="INVERSIONES WENWEN FENG, C.A."/>
        <s v="AUTOMERCADO LIDE 168, C.A."/>
        <s v="FARMACIA SOUBLETTE, C.A."/>
        <s v="VIVA SUPERCENTRO, C.A."/>
        <s v="BARRA CAFE 2024, C.A."/>
        <s v="PANADERIA Y PASTELERIA EL SULTAN DEL PAN, C.A."/>
        <s v="COMERCIALIZADORA NOGAL TRI, C.A."/>
        <s v="COMERCIAL FILIPENSES 4:13 2015"/>
        <s v="SUPERMARKET GRAN MARISCAL, C.A."/>
        <s v="FRIGORIFICO J.J SIGLO XXI, C.A."/>
        <s v="Meat &amp; Market, C.A"/>
        <s v="GRUPO CIBO, C.A"/>
        <s v="1080 ZIP MARKET, C.A."/>
        <s v="PANADERIA PASTELERIA LEOMAR, C.A."/>
        <s v="15DOCE CAFE, C.A."/>
        <s v="INVERSIONES GLOBAL FEIRA WUAYUU, C.A."/>
        <s v="LICORERIA CHARCUTERIA AMERIJUL, C.A."/>
        <s v="INVERSIONES MERIGALI, C.A."/>
        <s v="FARMACIA HATIGAL, C.A"/>
        <s v="FRIGOCARNES LA SUERTE,C.A."/>
        <s v="AUTOMERCADO PACIFICO"/>
        <s v="AUTOMERCADO BAZAR LAS DOS ESTRELLA, C.A."/>
        <s v="AIRPORT DELI 201, C.A."/>
        <s v="PANADERIA Y LUNCHERIA APOLO 8, C.A."/>
        <s v="PANADERIA LA PADERA DE MACUTO, C.A."/>
        <s v="PANADERIA Y PASTERIA BUENOS PANES CCS, C.A."/>
        <s v="FRESH FOOD Y COFFEE, C.A."/>
        <s v="PANADERIA Y PASTELERIA GRETA, C.A."/>
        <s v="CHILD FOOD AND BAKERY, C.A."/>
        <s v="AMBIGU GOURMET, C.A."/>
        <s v="FERMIN SWEET POPS BAR FP"/>
        <s v="NORIS DE JESUS VIVAS"/>
        <s v="FARMAIGNACIO CAMORUCO, C.A."/>
        <s v="CORPORACION PANADERIA Y PASTELERIA FLOR DE AZUCAR, C.A."/>
        <s v="COMERCIAL GINGIANCARDAN, C.A"/>
        <s v="FARMACIA VICTORIA PLAZA, C.A."/>
        <s v="INVERSIONES MORGANA 1323 C.A."/>
        <s v="DISTRIBUIDORA G&amp;G 2024, C.A"/>
        <s v="BAR Y RESTAURANT ALFA, C.A."/>
        <s v="CARAMELOS LA GRANJA, C.A"/>
        <s v="DELICATESSES MIRANDA BELLA, C.A."/>
        <s v="PROYECTO GONGU, C.A"/>
        <s v="SUPERMARKET LUCKY MAIQUETIA, C.A."/>
        <s v="INVERSIONES DOÑA PEPA, C.A."/>
        <s v="CAPITAL GRILL CCS, C.A."/>
        <s v="ASOCIACION CIVIL FUTBOL CLUB CARABOBO"/>
        <s v="INVERSIONES PAN DE ORIENTE COMPAÑIA ANONIMA"/>
        <s v="PANADERIA LA MANSION  DEL PUERTO, C.A."/>
        <s v="MATERIALES RUCOR, C.A"/>
        <s v="CAFE ARLES C.A."/>
        <s v="NUTTS GELATERIA E PASTICCERIA, C.A"/>
        <s v="INVERSIONES Y SUMINISTROS VIA APIA, C.A"/>
        <s v="FARMACIA FARMARKET SAN LUIS, C.A."/>
        <s v="EXCELLENCE HOTELS, C.A."/>
        <s v="FARMADETODO 2024, C.A."/>
        <s v="FARMANORTE R&amp;F, C.A"/>
        <s v="INVERSIONES EL SOL DE LARA 2018, C.A."/>
        <s v="INVERSIONES JOSES 33, C.A."/>
        <s v="FARMACIA FARMARKET CCCT, C.A"/>
        <s v="GLUTEN FREE STORE, C.A"/>
        <s v="INVERSIONES AMAYNON , C.A."/>
        <s v="A.P.T. TECNOLOGIA Y SISTEMAS, C.A."/>
        <s v="PAN. PAST Y CHARCUTERIA YARACUY DE CATIA LA MAR, C.A."/>
        <s v="RAFAEL HUMBERTO ZAA MONTAÑO"/>
        <s v="VENEZOLANA DE CONTROL INTERMODAL VECONINTER, C.A."/>
        <s v="FARMACIA FARMAVERO II C.A"/>
        <s v="INVERSORA WELLNESS VENEZUELA C.A"/>
        <s v="BODEGON &amp; MARKET 281, C.A."/>
        <s v="Comercial F&amp;Z C.A"/>
        <s v="POLLOS TICO´S, C.A."/>
        <s v="DOLCE VITA M&amp;M, C.A."/>
        <s v="LE GOUTER, C.A."/>
        <s v="AGAMOSPAN, C.A."/>
        <s v="ALIMENTOS DSL, C.A."/>
        <s v="LJB MARKET, C.A."/>
        <s v="PANADERIA LOS GRANDES ORICHAS, C.A."/>
        <s v="FUENTE DE SODA MINI ATLANTIC, C.A"/>
        <s v="INVERSIONES ROSMARINOS I, C.A."/>
        <s v="SUPER PANDA MARKET 1610, C.A."/>
        <s v="TU KIOSKITO CONFITERO, C.A."/>
        <s v="PANADERIA REINA DEL MAR 86 , C.A."/>
        <s v="MOY`S FOOD´S 2024, C.A."/>
        <s v="KEI &amp; MAR SPORT, C.A."/>
        <s v="EMPRENDIMIENTO ALEXANDRA CENTENO"/>
        <s v="INVERSIONES FARMAZITA, C.A"/>
        <s v="EUROBUILDING INTERNACIONAL, C.A."/>
        <s v="MAXI FARMACIA LA MANO DE DIOS C.A"/>
        <s v="PANADERIA Y PASTELERIA KARLA PAN, C.A."/>
        <s v="FARMACIA MEDITOTAL, C.A."/>
        <s v="SUPERMERCADO LAS DELICIAS, C.A."/>
        <s v="ABARROTS 1, C.A."/>
        <s v="SUPERMERCADO PA DONDE ELENA, F.P."/>
        <s v="INVERSIONES FOREVER 888, C.A."/>
        <s v="PANADERIA PASTELERIA Y CHARCUTERIA BREADPAN, C.A."/>
        <s v="INVERSIONES NINJA PARK, C.A."/>
        <s v="COMERCIALIZADORA S S EXPRESS, C.A."/>
        <s v="PANADERIA PASTELERIA SOL DE GUARENAS P.P.S.G, C.A."/>
        <s v="ASTORGA Y ROMERO, C.A."/>
        <s v="EMPRENDIMIENTO DAISSY LAYA"/>
        <s v="DELI PLANTA 02, C.A."/>
        <s v="MYKONOS GREEK FOOD, C.A."/>
        <s v="BELKY SALAZAR - VENTADIREC"/>
        <s v="ARABITO MARKET,c.a (V|)"/>
        <s v="ARABITO MARKET, C.A"/>
        <s v="GRAN MARKET EL GRANJERO"/>
        <s v="cafetín isabelica"/>
        <s v="JEHAN CARLOS FRENANDEZ NAVA"/>
        <s v="MULTITIENDAS FAMILIA. C.A"/>
        <s v="Carniceria y Charcutería Amest 2025 C.A"/>
        <s v="Super Panadería Buenos Aires C.A"/>
        <s v="Operadora Casa Blanca C.A"/>
        <s v="Super Tienda Internacional 18"/>
        <s v="COMERCIAL COSTA DEL AVILA C.A."/>
        <s v="INVERSIONES NAYMAR, C.A"/>
        <s v="INVERSIONES BENELI 2020 C.A. - AVSOLANO"/>
        <s v="NAELI DEL CARMEN JIMENEZ RODULFO"/>
        <s v="COMERCIAL ANYEISON, C. A"/>
        <s v="WILLINYER ANTONIO COLINA ALBARRAN"/>
        <s v="ERIKA MATHEUS"/>
        <s v="INVERSIONES EL BUDA 888, C.A. - COCHE"/>
        <s v="Operadora JLA C.A"/>
        <s v="INVERSIONES EL BUDA 888, C.A. - LASMAYAS"/>
        <s v="El Hato Bodegon Premium"/>
        <s v="Antonio Jose Matute Marin"/>
        <s v="Abasto y quincalleria chucho ganga ca"/>
        <s v="MEGA KAIRO`S COMPAÑIA ANONIMA"/>
        <s v="Euro datos ca"/>
        <s v="YUSLEIDI ANDRADE - VENTADIREC"/>
        <s v="ALEX OCHOA - VENTADIREC"/>
        <s v="INVERSIÓN OASIS 4000 C.A"/>
        <s v="JOSE ANGEL TORO RODRIGUEZ"/>
        <s v="GABRIEL LEON - VENTADIREC"/>
        <s v="XTENSIONES Y PELUCAS IVO, C.A."/>
        <s v="FARMADG CATIA, C.A. - BARALT"/>
        <s v="JOSE DELGADO - VENTADIREC"/>
        <s v="FINA SAN ROMAN 2026 SEDE ( LA BOYERA)"/>
        <s v="TODO EN UNO, C.A."/>
        <s v="Tiky 2008 c.a"/>
        <s v="Bodegon puerta del sol"/>
        <s v="Distribuidora famoso occidente ca"/>
        <s v="Panadería Ritz 72 c.a"/>
        <s v="multitienda sur américa ca"/>
        <s v="Súper abasto santo domingo 8ca"/>
        <s v="súper mercado mega compras ca"/>
        <s v="Supermercado Corazon del Pan C.A"/>
        <s v="Inversiones jhun &amp; Nery ca"/>
        <s v="PANADERIA Y CHARCUTERÍA ANGEL 2024 C.A"/>
        <s v="COSECHA SÚPER MARKET C2, C.A."/>
        <s v="YURANCY DEL CARMEN MALDONADO GONZALEZ"/>
        <s v="PANADERIA Y PASTELERIA VARILLAL., C.A"/>
        <s v="MAJED JERUSALEN"/>
        <s v="D'ORIENTE B1, CA"/>
        <s v="IBET MARQUEZ - VENTADIREC"/>
        <s v="CIREA GONZALEZ - VENTADIREC"/>
        <s v="INNOVACIONES KALYER"/>
        <s v="Supermercado Gran Vecino C.A."/>
        <s v="Distribuidora de Alimentos la Caridad"/>
        <s v="Supermarket Lider"/>
        <s v="distribuidora Olam A. G 2026 c, a"/>
        <s v="Inversiones El Maná"/>
        <s v="FARMACIA PEPEFARMA"/>
        <s v="Fong express.sa"/>
        <s v="Comercializadora Kromax"/>
        <s v="EMPRENDIMIENTO FRONIS JIMÉNEZ"/>
        <s v="LG DANCE ACADEMY AND FITNESS"/>
        <s v="Empredimiento Angelica Berroteran"/>
        <s v="Mundo Desechable"/>
        <s v="Marcy Sandoval"/>
        <s v="comercial la estrella 28"/>
        <s v="Bartolo Varrone"/>
        <s v="Emprendimiento Yennelys Velazquez"/>
        <s v="Panadería y pastelería Samar'S 2025 ,CA"/>
        <s v="ANDY VARGAS(PRODUCCION)"/>
        <s v="CLARA LOPEZ( NOMINA)"/>
        <s v="Panaderia y Pastelería las Tejas"/>
        <s v="J &amp; Y Corporations , C.A"/>
        <s v="GEIDERSON SALAZAR - VENTADIREC"/>
        <s v="EDUARDO FUENMAYOR - VENTADIREC"/>
        <s v="INVERSIONES VIP SHOP, C. A"/>
        <s v="SUPERMERCADO GRAN ROQUE 212 S.A"/>
        <s v="COMERCIALIZADORA SOL Y LUNA 2014 C.A"/>
        <s v="GRUPO NEXUS LF. C.A"/>
        <s v="COMERCIAL MEGA-FAMILIA CA"/>
        <s v="El portal bodegon,  CA"/>
        <s v="valerie cecilia Fernández"/>
        <s v="Farmamarket"/>
        <s v="EKOSS 96, CA"/>
        <s v="FAMOSO HIPERMERCADO, C.A"/>
        <s v="súper panadería Diana ca"/>
        <s v="inversiones los Quinteros"/>
        <s v="INVERSIONES RANKIT 0721 C.A."/>
        <s v="CARLOS PALMA - VENTADIREC"/>
        <s v="MINIMARKET EL ROBLE, C.A"/>
        <s v="Tienda de convivencia El Prado"/>
        <s v="SUPERMERCADO MONUMENTAL C.A."/>
        <s v="nurynel Josefina Cobarrubia Orozco"/>
        <s v="INVERSIONES MORENO B&amp;B C.A."/>
        <s v="raizonito rivas"/>
        <s v="Inversiones Artmari"/>
        <s v="INVERSIONE CENTROTIENDAS C. A"/>
        <s v="GRUPO SAN BENTO C.A - STAMONIC"/>
        <s v="FRIGORIFICO LOS GOMES C. A"/>
        <s v="Jesus gregorio savedra alegria"/>
        <s v="YANELY MONTESINOS ( LOGISTICA)"/>
        <s v="MARIA ALVAREZ(COMPRA)"/>
        <s v="confex E.M c.a"/>
        <s v="JUNIOR GALEA ( PRODUCCIÓN)"/>
        <s v="CARLOS JOSE MORENO MARTINEZ"/>
        <s v="POLLOS TICO'S, C.A."/>
        <s v="Miny market &amp; charcutería los bucares"/>
        <s v="EMILI DAYANA ROMERO SANCHEZ"/>
        <s v="Maxi Mercado Guacara"/>
        <s v="MERCADO EL GRAN BIENESTAR"/>
        <s v="hiper market"/>
        <s v="JORGELYS SARAIDY AZUAJE EWVILLA"/>
        <s v="MERAK CARNES CA"/>
        <s v="FARMAVIDA LAS MERCEDES CA"/>
        <s v="Farmavida Guaracarima"/>
        <s v="INVERSIONES EL BAMBU 2016, C. A"/>
        <s v="BEBERLIN CASTILLO - VENTADIREC"/>
        <s v="CLIENTE PRUEBA MCBO"/>
        <s v="JOSE OJEDA (CALIDAD)"/>
        <s v="JOSUA MIGUEL DELGADO OJEDA"/>
        <s v="Analia Alvares torres"/>
        <s v="ADUAL SOUTO (PRODUCCION)"/>
        <s v="Megamercado Gran San Antonion"/>
        <s v="Emprendimiento Ana Linarez"/>
        <s v="DOUGLAS CHAVEZ (PRODUCCION)"/>
        <s v="INVERSIONES BUDA MARKET 888, C.A. - CEMENTER"/>
        <s v="Charcutería Fina C.A"/>
        <s v="INVERSIONES NUEVO MUNDO 2019, C.A. - DOLORITA"/>
        <s v="CHARCUTERIA EL SOL DE GATO NEGRO C.A"/>
        <s v="corporación tehp"/>
        <s v="tintoreria santa fe"/>
        <s v="Aguilers yovanys Seijas"/>
        <s v="CARLOS DAVID CRESPO"/>
        <s v="MEGA MARKET RAUMAR L &amp;A 2021 , C.A"/>
        <s v="EYVIN CORRAL (ALMACEN)"/>
        <s v="GIANELLI VILCHEZ (CALIDAD)"/>
        <s v="JOSE CORREA (DESPACHADOR)"/>
        <s v="BODEGON LA FONDA"/>
        <s v="Carol Pan"/>
        <s v="JOSE RAFAEL CARMONA FINOL"/>
        <s v="Inversiones JM 2020,C.A"/>
        <s v="ROSA ANGELICA BORJAS GUERRA"/>
        <s v="CORPORACION SANBENTO C.A - SANBENTO"/>
        <s v="LUIS ENRIQUE GUDIÑO"/>
        <s v="COMERCIALIZADORA MERCALUNA 168"/>
        <s v="OSWALDO BELLO(ALMACEN)"/>
        <s v="PASTELERIA CONCOR DELI C.A."/>
        <s v="Joander Jesus Mendez Bretti"/>
        <s v="YILBERT PADILLA"/>
        <s v="INVERSIONES ZAYZO88, C.A."/>
        <s v="JESUS PIÑA - VENTADIREC"/>
        <s v="FRUTERIA SANTA ROSA DE LIMA"/>
        <s v="ANTONIO RAFAEL ROSAS (VEND)"/>
        <s v="Inversiones Dulce Café 2020"/>
        <s v="Empredimiento Miguel torrolero 3"/>
        <s v="PANDERIA DAFONVILA"/>
        <s v="EMV2 INVERSIONES, C.A. - CATIA"/>
        <s v="INVERSIONES CIPRIANOS C&amp;C, C.A."/>
        <s v="vitasalud"/>
        <s v="YMCA GLOBAL GROUP C.A."/>
        <s v="Emprendimiento Kalianny Aray"/>
        <s v="COMERCIALIZADORA R&amp;A 24, C.A"/>
        <s v="FATIMA PUERTA(MERCADEO)"/>
        <s v="CARLOS REVILLA(MERCADEO)"/>
        <s v="Inversiones mi Llanura 2024"/>
        <s v="Mundo Shop del Accesorio"/>
        <s v="AMARENA CAFE"/>
        <s v="ANYELA VILLARREAL - VENTADIREC"/>
        <s v="INVERSIONES MI PUNTO NCJ, C.A. - PARAISO"/>
        <s v="ABASTO VECINO CH Y LC C. A"/>
        <s v="emprendimiento daliana vargas"/>
        <s v="COMERCILIZADORA BARBARA, CA."/>
        <s v="Panaderia pastelería y charcutería la nueva pelícano C.A"/>
        <s v="FRANGHELO PETIT(PRODUCCION)"/>
        <s v="JOSE BLANCO ( PRODUCCION)"/>
        <s v="MUNDO REPOSTERO SANTA MONICA, C.A. - STAMONIC"/>
        <s v="JOSE MENDOZA - VENTADIREC"/>
        <s v="ROSELYN VIÑA (INSPECTOR DE SEGURIDAD)"/>
        <s v="salvador sandoval"/>
        <s v="Maribel Teresa Rojas Briceño"/>
        <s v="FARMADG CATIA, C.A. - CATIA"/>
        <s v="JOSE ARANGUREN (PRODUCCION)"/>
        <s v="INVERSIONES D.A.R. 2512, C.A. - VENTDIRECT"/>
        <s v="PANADERIA Y PASTELERIA EL PLANETA, C.A. - FLORIDA"/>
        <s v="INVERSIONES J&amp;G 2022, C.A."/>
        <s v="FREDDYS MARIN ( PRODUCCION)"/>
        <s v="GABRIEL MONTESINOS ( DESPACHADOR)"/>
        <s v="SAUL RAFAEL FERNANDEZ RIOS (PRODUCCION)"/>
        <s v="JOSE ZAVALA(PRODUCCION)"/>
        <s v="JEFRY PUENTE - VENTADIREC"/>
        <s v="PANADERIA Y PASTELERIA MILAGRO 2001 C.A."/>
        <s v="BI WORLD, C.A. - B-RICHIE"/>
        <s v="SABINA MARTINEZ"/>
        <s v="JAVIER RODRIGUEZ (VENTAS)"/>
        <s v="STUART ROSALES(PRODUCCION)"/>
        <s v="LA DULCERIA M&amp;M , C.A"/>
        <s v="LEO GIUSEPPE DEL ROSSO"/>
        <s v="JACKSON BAÑEZ(ALMACEN)"/>
        <s v="POLLO RICO A LA BRASA, C.A"/>
        <s v="Juan Gabriel Varela"/>
        <s v="MIRANDA LUISIANNY AGUILERA (ADM)"/>
        <s v="CORPORACION MANGO VERDE, C.A"/>
        <s v="Angel Sabas Andaroza Rivas"/>
        <s v="Comercial Yawa Market 2025, C.A"/>
        <s v="le gouter c.a"/>
        <s v="SUPER TIENDA LATINO CIUDAD BOLIVAR C.A." u="1"/>
        <s v="Balys Nísperos" u="1"/>
        <s v="JOSE OJEDA" u="1"/>
        <s v="FARMACIA ANGELY, C.A" u="1"/>
        <s v="INVERSIONES LUVEBRAS, C.A" u="1"/>
        <s v="INVERSIONES RETAIL TURMERO 2025 CA" u="1"/>
        <s v="LIRIO CENTRO ESTETICO INTEGRAL, C.A" u="1"/>
        <s v="FARMACIA BIENESTAR 33, C.A" u="1"/>
        <s v="FARMACIA SANTA EDUVIGIS 2025, C.A" u="1"/>
      </sharedItems>
    </cacheField>
    <cacheField name="CodVend" numFmtId="0">
      <sharedItems/>
    </cacheField>
    <cacheField name="Vendedor" numFmtId="0">
      <sharedItems count="129">
        <s v="Norte - Dayana Flores"/>
        <s v="Vendedor Principal"/>
        <s v="Aragua 2-Dayana Zambrano"/>
        <s v="San diego - Oscar Zambrano"/>
        <s v="Sur 2 Guigue Isab - Frank Alfaro"/>
        <s v="Trigal/Naguanagua - Carlos Zambrano"/>
        <s v="Guayos/Guacara - Javier Rodriguez"/>
        <s v="Sur 1 - Jesus Catro"/>
        <s v="Sur 3 - Lisset Da Rocha"/>
        <s v="Tocuyito - Mauricio Terreros"/>
        <s v="Pto Cab/Moron/Tucacas-Antonio Rosas"/>
        <s v="Aragua 4 - Carlos Javier"/>
        <s v="Aragua 1 - Arianna Colmenarez"/>
        <s v="Occidente - José Luis Salazar"/>
        <s v="Desp Aragua"/>
        <s v="NOMINA"/>
        <s v="DESPACHADOR SAPORI, C.A"/>
        <s v="Mariara /San Joaquin Jesus Castro"/>
        <s v="Edward Escalante"/>
        <s v="Nelson Lozada"/>
        <s v="Renny Femin"/>
        <s v="Angel Ramirez"/>
        <s v="Jesus Pérez"/>
        <s v="Sapori BQMTO"/>
        <s v="Rosmary Gonzalez"/>
        <s v="Oswaldo Quero"/>
        <s v="Johan Martinez"/>
        <s v="Transporte Oficina"/>
        <s v="Transporte  Barquisimeto CHANA"/>
        <s v="Rito Acosta"/>
        <s v="CARLOS CAMPOS"/>
        <s v="FRANK DIAZ"/>
        <s v="DANIELA ESCALONA"/>
        <s v="LUISANA LAREZ"/>
        <s v="CARLOS SUBERO"/>
        <s v="Milagros Padron"/>
        <s v="Carlos Racamonde"/>
        <s v="Luis Avila"/>
        <s v="Andry Rodríguez"/>
        <s v="SAPORI CCS"/>
        <s v="Franklin Ostos"/>
        <s v="Johan Moreno"/>
        <s v="Victor Quiñonez"/>
        <s v="Angie Lara"/>
        <s v="Carlos Marcano"/>
        <s v="Alberto Rios"/>
        <s v="Eliecer Amaya"/>
        <s v="Tania Palacios"/>
        <s v="FRANK MAZZEO"/>
        <s v="TANIA DE JESUS PALACIOS"/>
        <s v="JOSE MENDOZA"/>
        <s v="Jose Mazzeo"/>
        <s v="Joel José León González"/>
        <s v="Renny Fermín"/>
        <s v="Johan Martínez"/>
        <s v="Marianny Urrieta"/>
        <s v="Marco Antonio Parra Vallenilla"/>
        <s v="Carlos Manuel Carruyo Durán"/>
        <s v="Frank Díaz"/>
        <s v="Jesús Pérez"/>
        <s v="Ángel Ramírez"/>
        <s v="Luisana Lárez"/>
        <s v="Pablo Sierra"/>
        <s v="Luis Briceño"/>
        <s v="Alberto Ríos"/>
        <s v="Franklin Sanchez"/>
        <s v="Carlos Palma"/>
        <s v="Rosmary González"/>
        <s v="Antonio Rosas"/>
        <s v="Carlos Perez"/>
        <s v="Carlos Zambrano"/>
        <s v="Arianna Colmenarez"/>
        <s v="Eliécer Amaya"/>
        <s v="Javier Rodriguez"/>
        <s v="Jecsy Blanco"/>
        <s v="Samuel Nuñez"/>
        <s v="Milagros Padrón"/>
        <s v="Maria Arriechi"/>
        <s v="Fran Alfaro"/>
        <s v="Oficina"/>
        <s v="Wilfredo Medrano"/>
        <s v="Armando Gutiérrez Rodríguez"/>
        <s v="Mauricio Terreros"/>
        <s v="Jesús Castro"/>
        <s v="Oscar Zambrano"/>
        <s v="Benjamín Duran"/>
        <s v="José Luis Salazar"/>
        <s v="Ventas Odoo"/>
        <s v="Dick Rondón"/>
        <s v="Administrator"/>
        <s v="Danka Pérez"/>
        <s v="Andrea Martinez"/>
        <s v="v002.dc"/>
        <s v="v001.dc"/>
        <s v="v017.dc"/>
        <s v="José Mazzeo"/>
        <s v="Jose Ochoa"/>
        <s v="Marilyt Navarro"/>
        <s v="Alejandra Márquez"/>
        <s v="Nayibe Mendez"/>
        <s v="Yaneli Montesinos"/>
        <s v="Auxiliar DC1"/>
        <s v="Jorge Orjuela"/>
        <s v="Ibeth Márquez"/>
        <s v="v008.dc"/>
        <s v="Yusleidi Andrade"/>
        <s v="Principal"/>
        <s v="Jose Luis Salazar"/>
        <s v="FranK Alfaro"/>
        <s v="Luis Briceno"/>
        <s v="Jesus Castro"/>
        <s v="Lisset Da Rocha"/>
        <s v="Carlos Carruyo"/>
        <s v="Joel Leon"/>
        <s v="Andry Rodriguez"/>
        <s v="Marco Parra"/>
        <s v="Stefani Chirinos"/>
        <s v="CoordinadorDC"/>
        <s v="PruebasApp"/>
        <s v="Danka Perez"/>
        <s v="Victor Quiñones"/>
        <s v="Dayana Zambrano"/>
        <s v="" u="1"/>
        <s v="Mariana Blanco" u="1"/>
        <s v="OFICINA PRINCIPAL" u="1"/>
        <s v="Por Asignar" u="1"/>
        <s v="Frankiln Ostos" u="1"/>
        <s v="Oriana Sánchez" u="1"/>
        <s v="Freddy Jayaro" u="1"/>
      </sharedItems>
    </cacheField>
    <cacheField name="Region" numFmtId="0">
      <sharedItems containsBlank="1" count="53">
        <s v="CARABOBO"/>
        <m/>
        <s v="ARAGUA"/>
        <s v="LOS GUAYOS - GUACARA"/>
        <s v="FALCON"/>
        <s v="ANZOATEGUI"/>
        <s v="VALENCIA NORTE"/>
        <s v="BQTO ESTE"/>
        <s v="CABUDARE-SARARE-LA MIEL"/>
        <s v="BQTO OESTE-CENTRO"/>
        <s v="BQTO OESTE"/>
        <s v="BQTO CENTRO NORTE-RIO CLARO"/>
        <s v="BQTO OFICINA"/>
        <s v="CARORA"/>
        <s v="ACARIGUA"/>
        <s v="QUIBOR-TOCUYO-SANARE"/>
        <s v="YARACUY PUEBLOS"/>
        <s v="SAN FELIPE"/>
        <s v="GUANARE"/>
        <s v="MARACAIBO"/>
        <s v="PUERTO LA CRUZ"/>
        <s v="BARCELONA"/>
        <s v="LECHERIA"/>
        <s v="ANACO"/>
        <s v="CIUDAD BOLIVAR"/>
        <s v="EL TIGRE"/>
        <s v="DISTRITO CAPITAL"/>
        <s v="ALTOS MIRANDINOS"/>
        <s v="PETARE"/>
        <s v="GUARENAS-GUATIRE"/>
        <s v="VARGAS"/>
        <s v="CENTRO"/>
        <s v="OESTE"/>
        <s v="Carabobo (VE)"/>
        <s v="Zulia (VE)"/>
        <s v="Lara (VE)"/>
        <s v="Anzoátegui (VE)"/>
        <s v="Distrito Capital (VE)"/>
        <s v="Aragua (VE)"/>
        <s v="Miranda (VE)"/>
        <s v="Bolívar (VE)"/>
        <s v="Vargas (VE)"/>
        <s v="Yaracuy (VE)"/>
        <s v="Portuguesa (VE)"/>
        <s v="Monagas (VE)"/>
        <s v="N/A"/>
        <s v="Mérida (VE)"/>
        <s v="Falcón (VE)"/>
        <s v="Cojedes (VE)"/>
        <s v="Sucre (VE)"/>
        <s v="Amazonas (VE)"/>
        <s v="Nueva Esparta (VE)"/>
        <s v="General" u="1"/>
      </sharedItems>
    </cacheField>
    <cacheField name="Canal" numFmtId="0">
      <sharedItems containsBlank="1" count="37">
        <s v="FoodServs"/>
        <s v="Moderno"/>
        <s v="C/CHACAL"/>
        <s v="Tradiciona"/>
        <s v=""/>
        <s v="A-GUACARA"/>
        <s v="C-TURMERO"/>
        <s v="C-LIMON"/>
        <s v="A-FLO-AMAR"/>
        <s v="A-BEJUMA"/>
        <s v="C- CASTAÑO"/>
        <m/>
        <s v="A-NISPERO"/>
        <s v="A-PARRAL"/>
        <s v="OFICINA"/>
        <s v="C"/>
        <s v="FoodServ"/>
        <s v="VENTADIREC"/>
        <s v="D"/>
        <s v="B-RICHIE"/>
        <s v="CWASHINGTO"/>
        <s v="VENTA DIRE"/>
        <s v="VENTASDIRE"/>
        <s v="VENTDIREC"/>
        <s v="CCHAMPAGNA"/>
        <s v="CABUDARE"/>
        <s v="VENTDIRECT"/>
        <s v="C BELKIS"/>
        <s v="CENTADIREC"/>
        <s v="A"/>
        <s v="General"/>
        <s v="B"/>
        <s v="O" u="1"/>
        <s v="V" u="1"/>
        <s v="N" u="1"/>
        <s v="W" u="1"/>
        <s v="S" u="1"/>
      </sharedItems>
    </cacheField>
    <cacheField name="CodItem" numFmtId="0">
      <sharedItems containsString="0" containsBlank="1" containsNumber="1" containsInteger="1" minValue="0" maxValue="710201005" count="67">
        <n v="110150"/>
        <n v="110230"/>
        <n v="130151"/>
        <n v="130152"/>
        <n v="130153"/>
        <n v="130154"/>
        <n v="130155"/>
        <n v="130700"/>
        <n v="130702"/>
        <n v="130703"/>
        <n v="131150"/>
        <n v="131151"/>
        <n v="131700"/>
        <n v="140230"/>
        <n v="150360"/>
        <n v="150361"/>
        <n v="151500"/>
        <n v="130150"/>
        <n v="140231"/>
        <n v="140232"/>
        <n v="110151"/>
        <n v="120130"/>
        <n v="120132"/>
        <n v="130701"/>
        <n v="130704"/>
        <n v="131701"/>
        <n v="150363"/>
        <n v="131152"/>
        <n v="131153"/>
        <n v="150362"/>
        <n v="151501"/>
        <n v="151502"/>
        <n v="151503"/>
        <n v="120131"/>
        <n v="130156"/>
        <n v="110400"/>
        <n v="111000"/>
        <n v="134000"/>
        <n v="134001"/>
        <n v="160091"/>
        <n v="160092"/>
        <n v="161085"/>
        <n v="160090"/>
        <n v="160093"/>
        <n v="132150"/>
        <n v="132151"/>
        <n v="132152"/>
        <n v="132153"/>
        <n v="161086"/>
        <n v="162300"/>
        <n v="160094"/>
        <n v="160095"/>
        <m/>
        <n v="130157"/>
        <n v="130158"/>
        <n v="130159"/>
        <n v="410302001"/>
        <n v="131154"/>
        <n v="131155"/>
        <n v="130707"/>
        <n v="420102002"/>
        <n v="130160"/>
        <n v="130705"/>
        <n v="130706"/>
        <n v="710201005"/>
        <n v="0"/>
        <n v="130709"/>
      </sharedItems>
    </cacheField>
    <cacheField name="Producto" numFmtId="0">
      <sharedItems count="177">
        <s v="Cremosillo Tradicional 150g"/>
        <s v="Cremosillo Tradicional 230g"/>
        <s v="Cremigurt Dulce 150g"/>
        <s v="Cremigurt Griego Fresa 150g"/>
        <s v="Cremigurt Griego Durazno 150g"/>
        <s v="Cremigurt Griego Piña 150g"/>
        <s v="Cremigurt Griego 150g"/>
        <s v="Cremigurt Natural 700g"/>
        <s v="Cremigurt Griego Fresa 700g"/>
        <s v="Cremigurt Griego 700g"/>
        <s v="Cremigurt Power Natural 150g"/>
        <s v="Cremigurt Power Mantecado 150g"/>
        <s v="Cremigurt Power Natural 700g"/>
        <s v="Cremigurt Líquido Dulce 230g"/>
        <s v="Tevia Limon 360ml"/>
        <s v="Tevia Durazno 360ml"/>
        <s v="Tevia Limon 1.5L"/>
        <s v="Cremigurt Natural 150g"/>
        <s v="Cremigurt Líquido Fresa 230g"/>
        <s v="Cremigurt Líquido Durazno 230g"/>
        <s v="Cremosillo Coco 150g"/>
        <s v="Gelatina Saltarina Fresa 130g"/>
        <s v="Gelatina Saltarina Kolita 130g"/>
        <s v="Cremigurt Dulce 700g"/>
        <s v="Cremigurt Light 700g"/>
        <s v="Cremigurt Power Mantecado 700g"/>
        <s v="Tevia Tropical Punch 360ml"/>
        <s v="Cremigurt Power CheeseCake Fresa 150g"/>
        <s v="Cremigurt Power Cookies and Cream 150g"/>
        <s v="Tevia Blueberry 360ml"/>
        <s v="Tevia Durazno 1.5 L"/>
        <s v="Tevia Blueberry 1.5 L"/>
        <s v="Tevia Tropical Punch 1.5 L"/>
        <s v="Gelatina Saltarina Chicle 130g"/>
        <s v="Cremigurt Light 150g"/>
        <s v="Cremosillo Tradicional 400g"/>
        <s v="Cremosillo Tradicional 1000g"/>
        <s v="Cremigurt Griego Natural 4 Kg"/>
        <s v="Cremigurt Griego Dulce 4 Kg"/>
        <s v="Galletas Choco Chip 90g"/>
        <s v="Galletas Coco 90g"/>
        <s v="Palmeritas 85g"/>
        <s v="Galletas Animalitos 90g"/>
        <s v="Galletas Frutas 90g"/>
        <s v="Cremigurt Griego Fresa S/A 150g"/>
        <s v="Cremigurt Griego Coco Vainilla S/A 150g"/>
        <s v="Cremigurt Griego Pie de Limón S/A 150g"/>
        <s v="Pastelitos 85g"/>
        <s v="Galletas Animalitos display 300g"/>
        <s v="Galletas Chocolate 90g"/>
        <s v="Galletas Mantequilla 90g"/>
        <s v="?NOTA DE CREDITO FINANCIERA"/>
        <s v="Cremigurt Griego Caramelo Salado 150g"/>
        <s v="Cremigurt Power Cookies and Creme 150g"/>
        <s v="Tevia Limon 1.5 L"/>
        <s v="TeviaTropical Punch 1.5 L"/>
        <s v="Cremigurt Griego Mango 150g"/>
        <s v="Cremigurt Griego Ciruela 150g"/>
        <s v="Cremigurt Griego Mora 150g"/>
        <s v="Cremigurt Griego Caramelo Salado S/A 150g"/>
        <s v="DESCUENTO EN VENTAS"/>
        <s v="Cremigurt Power Piña Colada 150g"/>
        <s v="Cremigurt Power Dulce de leche 150g"/>
        <s v="Griego Mykonos 700g"/>
        <s v="ND POR DIFERENCIA EN CAMBIO"/>
        <s v="DESCUENTO LOGISTICO"/>
        <s v="Cremigurt Power CheesseCake Fresa 150g"/>
        <s v="UTILIDAD CAMBIARIA CON IVA"/>
        <s v="Cremigurt Liquido Fresa 230gr"/>
        <s v="NCR POR DIFERENCIA EN PRECIO"/>
        <s v="ND POR DIFERENCIA EN PRECIO"/>
        <s v="Tevia Blue Berry 360ml"/>
        <s v="Cremigurt Liquido Durazno 230gr"/>
        <s v="Tevia Blue Berry 1.5 L"/>
        <s v="Cremigurt Liquido Dulce 230gr"/>
        <s v="PERDIDA CAMBIARIA CON IVA"/>
        <s v="Cuenta por Cobrar Inicial"/>
        <s v="Cremigurt Power Mantecado 700g."/>
        <s v="Cremigurt Griego_x000a_ Fresa 150g"/>
        <s v="Galletas Pastelitos 85g"/>
        <s v="Cremigurt Griego Mora"/>
        <s v="Cremigurt Griego Mykonos 700g"/>
        <s v="Cremigurt Griego 4 Kg"/>
        <s v=""/>
        <s v="Galletas Palmeritas 85g"/>
        <s v="Cremosillo Tradicional 1 Kg"/>
        <s v="Cremigurt Griego Natural 150g" u="1"/>
        <s v="TEVIA Limón 360ml" u="1"/>
        <s v="TEVIA Limón 1.5 L" u="1"/>
        <s v="Cremigurt Griego Coco Vainilla  S/A 150g" u="1"/>
        <s v="Cremigurt Griego Coco Vainilla 150g" u="1"/>
        <s v="Cremigurt Griego Pie de Limón 150g" u="1"/>
        <s v="Cremigurt Liquido Fresa 230gr (8,11oz)" u="1"/>
        <s v="Cremigurt Líquido Fresa 230gr" u="1"/>
        <s v="Cremigurt Power Mantecado c/stevia 700g" u="1"/>
        <s v="Cremigurt Liquido Dulce 230gr (8,11oz)" u="1"/>
        <s v="Cremigurt Liquido Durazno 230gr (8,11oz)" u="1"/>
        <s v="Cremigurt Líquido Dulce 230gr" u="1"/>
        <s v="Cremigurt Líquido Durazno 230gr" u="1"/>
        <s v="Cremigurt Caramelo Salado 150g" u="1"/>
        <s v="Cremigurt Griego Natural 700g" u="1"/>
        <s v="Cremigurt Power Natural c/stevia 150g" u="1"/>
        <s v="Cremigurt Power Mantecado c/stevia 150g" u="1"/>
        <s v="Cremigurt Power Natural c/stevia 700g" u="1"/>
        <s v="Gelatina Kolita Cool 130g" u="1"/>
        <s v="Gelatina Fresa Pop 130g" u="1"/>
        <s v="Gelatina Chicle Boom 130g" u="1"/>
        <s v="Cremigurt Griego Natural 4000g" u="1"/>
        <s v="Cremigurt Liquido Dulce 230g" u="1"/>
        <s v="Cremigurt Griego Vainilla 150g" u="1"/>
        <s v="Cremigurt Power Cookies &amp; Cream 150g" u="1"/>
        <s v="Cremigurt Fresa 700g" u="1"/>
        <s v="Cremosillo Tradicional 230g|" u="1"/>
        <s v="Cremigurt Líquido Fresa 230g6_x000a_140232" u="1"/>
        <s v="Cremigurt Light Natural 150g" u="1"/>
        <s v="Cremigurt Power Cheesecake de Fresa 150g" u="1"/>
        <s v="Tevia Limón 1.5L" u="1"/>
        <s v="Tevia Durazno 1.5L" u="1"/>
        <s v="Tevia Blueberry 1.5L" u="1"/>
        <s v="Tevia Tropical Punch 1.5L" u="1"/>
        <s v="Cremigurt Liquido Fresa 230g" u="1"/>
        <s v="Cremigurt Liquido Durazno 230g" u="1"/>
        <s v="Tevia Blue Berry 1.5L" u="1"/>
        <s v="TEVIA 360ml TEVIA Tropical Punch" u="1"/>
        <s v="Cremigurt 150G Griego Pie de Limón 150g" u="1"/>
        <s v="Cremigurt 150G Griego Natural 150g" u="1"/>
        <s v="Cremigurt 150G Griego Durazno 150g" u="1"/>
        <s v="Cremigurt 150G Griego Piña 150g" u="1"/>
        <s v="TEVIA 360ml TEVIA Blue Berry" u="1"/>
        <s v="TEVIA 360ml TEVIA Durazno" u="1"/>
        <s v="Cremigurt 150G Griego Fresa 150g" u="1"/>
        <s v="Cremigurt 700g Griego Fresa 700g" u="1"/>
        <s v="Cremigurt 700g Natural 700g" u="1"/>
        <s v="Cremigurt 700g GRIEGO 700g" u="1"/>
        <s v="Cremigurt 150G Griego Caramelo Salado 150g" u="1"/>
        <s v="Cremigurt 150G Natural 150g" u="1"/>
        <s v="Cremigurt 150G Griego Coco Vainilla 150g" u="1"/>
        <s v="Cremigurt 150G Griego Fresa S/A 150g" u="1"/>
        <s v="TEVIA 360ml TEVIA Limón" u="1"/>
        <s v="Cremigurt 150G POWER Cheesecake de Fresa 150g" u="1"/>
        <s v="Cremigurt 150G LIGHT Natural 150g" u="1"/>
        <s v="Cremigurt 150G POWER Mantecado 150g" u="1"/>
        <s v="Cremigurt 150G POWER Cookies and Cream 150g" u="1"/>
        <s v="Cremigurt 150G POWER Natural 150g" u="1"/>
        <s v="Cremigurt 150G Dulce 150g" u="1"/>
        <s v="Cremigurt 700g POWER Natural 700g" u="1"/>
        <s v="Cremigurt 700g POWER Mantecado 700g" u="1"/>
        <s v="Cremigurt 700g Dulce 700g" u="1"/>
        <s v="TEVIA 1,5L TEVIA Blue Berry" u="1"/>
        <s v="TEVIA 1,5L TEVIA Tropical Punch" u="1"/>
        <s v="TEVIA 1,5L TEVIA Limón" u="1"/>
        <s v="Cremigurt 4kg Cremigurt Griego Natural 4 Kg" u="1"/>
        <s v="TEVIA 1,5L TEVIA Durazno" u="1"/>
        <s v="Cremosillo (quesillo) Tradicional 150g" u="1"/>
        <s v="Cremosillo (quesillo) Tradicional 230g" u="1"/>
        <s v="Cremosillo (quesillo) Tradicional 1000g" u="1"/>
        <s v="Saltarina (gelatina) Chicle 130g" u="1"/>
        <s v="Saltarina (gelatina) Fresa 130g" u="1"/>
        <s v="Cremosillo (quesillo) Tradicional 400g" u="1"/>
        <s v="Saltarina (gelatina) Kolita 130g" u="1"/>
        <s v="Cremosillo (quesillo) Coco 150g" u="1"/>
        <s v="Cremigurt 150G Giego Fresa 150g" u="1"/>
        <s v="TEVIA TEVIA Limón 360ml" u="1"/>
        <s v="Cremigurt Giego Fresa 150g" u="1"/>
        <s v="Saltarina Fresa 130g" u="1"/>
        <s v="Saltarina Chicle 130g" u="1"/>
        <s v="CREMIGURT LiquidoDurazno 230g" u="1"/>
        <s v="TEVIA TEVIA Tropical Punch 360ml" u="1"/>
        <s v="TEVIA TEVIA Blue Berry 360ml" u="1"/>
        <s v="TEVIA TEVIA Durazno 360ml" u="1"/>
        <s v="TEVIA 1,5LTEVIA Durazno 1,5L" u="1"/>
        <s v="CREMIGURT LiquidoDulce 230g" u="1"/>
        <s v="Saltarina Kolita 130g" u="1"/>
        <s v="TEVIA 1,5LTEVIA Limón 1,5L" u="1"/>
        <s v="CREMIGURT LiquidoFresa 230g" u="1"/>
        <s v="TEVIA 1,5LTEVIA Tropical Punch 1,5L" u="1"/>
        <s v="TEVIA 1,5LTEVIA Blue Berry 1,5L" u="1"/>
      </sharedItems>
    </cacheField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Semana" numFmtId="0">
      <sharedItems containsSemiMixedTypes="0" containsString="0" containsNumber="1" containsInteger="1" minValue="1" maxValue="34" count="34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1"/>
      </sharedItems>
    </cacheField>
    <cacheField name="Dia" numFmtId="0">
      <sharedItems containsSemiMixedTypes="0" containsString="0" containsNumber="1" containsInteger="1" minValue="1" maxValue="31" count="31">
        <n v="6"/>
        <n v="7"/>
        <n v="8"/>
        <n v="9"/>
        <n v="12"/>
        <n v="13"/>
        <n v="14"/>
        <n v="15"/>
        <n v="16"/>
        <n v="19"/>
        <n v="20"/>
        <n v="21"/>
        <n v="22"/>
        <n v="23"/>
        <n v="26"/>
        <n v="27"/>
        <n v="28"/>
        <n v="29"/>
        <n v="30"/>
        <n v="3"/>
        <n v="4"/>
        <n v="5"/>
        <n v="10"/>
        <n v="11"/>
        <n v="18"/>
        <n v="24"/>
        <n v="25"/>
        <n v="17"/>
        <n v="31"/>
        <n v="2"/>
        <n v="1"/>
      </sharedItems>
    </cacheField>
    <cacheField name="Cantidad" numFmtId="0">
      <sharedItems containsString="0" containsBlank="1" containsNumber="1" minValue="-1800" maxValue="2400"/>
    </cacheField>
    <cacheField name="PrecioTotal" numFmtId="0">
      <sharedItems containsString="0" containsBlank="1" containsNumber="1" minValue="-7935.53" maxValue="4646.16"/>
    </cacheField>
    <cacheField name="PesoTotal" numFmtId="0">
      <sharedItems containsBlank="1" containsMixedTypes="1" containsNumber="1" minValue="-9200" maxValue="13800"/>
    </cacheField>
    <cacheField name="Motivo" numFmtId="0">
      <sharedItems containsMixedTypes="1" containsNumber="1" minValue="0" maxValue="1100.55" count="213">
        <s v="FALTANTE EN DESPACHO"/>
        <s v=""/>
        <s v="PRODUCTO VENCIDO"/>
        <s v="CLIENTE NO RECIBIO"/>
        <s v="ANULACION POR ERROR DE VENDEDOR"/>
        <s v="DEVOLUCION DEL PRODUCTO"/>
        <s v="ANULACION DE NOTA"/>
        <s v="MERCANCIA DAÑADA"/>
        <s v="ANULACION DE FACTURA"/>
        <s v="ANULACIO DE NOTA"/>
        <s v="ANULACION DE LA NOTA"/>
        <s v="ANULACION DE NOTA DE ENTREGA"/>
        <s v="ANULACION DE N/E"/>
        <s v="ANULACION N/E"/>
        <s v="DIFERENCIA EN ORDEN"/>
        <s v="PERODUCTO VENCIDO"/>
        <s v="PRODUCTOS VENCIDOS"/>
        <s v="PRODUCTO DAÑADO"/>
        <s v="VENCIDOS"/>
        <s v="DEVOLUCION"/>
        <s v="PRODUCTO NO APTO PARA LA VENTA"/>
        <s v="MERCANCIA NO APTA PARA LA VENTA"/>
        <s v="VENCIMIENTOS"/>
        <s v="VENCIMIENTO"/>
        <s v="ANULACION"/>
        <s v="ERROR EN FACTURACION"/>
        <s v="ERROR DE VENDEDOR"/>
        <s v="EXCESO DE MERCANCIA"/>
        <s v="PROXIMO A VENCER"/>
        <s v="NC 4174 NE 22704"/>
        <s v="vencidos y faltante en despacho"/>
        <s v="VENCIDOS Y DIFERENCIA EN ORDEN"/>
        <s v="FALTANTE"/>
        <s v="PRODUCTO EN MAL ESTADO"/>
        <s v="ANULAR"/>
        <s v="ANUALR"/>
        <s v="PRODUCTO NO APTO"/>
        <s v="error"/>
        <s v="NO ESTA EN O/C"/>
        <s v="ERROR DE FACTURACION"/>
        <s v="CLIENTE NO QUISO RECIBIR"/>
        <s v="error en despacho"/>
        <s v="diferencia de orden"/>
        <s v="ERROR EN FACTURACIO"/>
        <s v="ERROR DE FACTURACIO"/>
        <s v="ERROR EN ENTREGA"/>
        <s v="ERROR DEL VENDEDOR"/>
        <s v="VENCOIDOS"/>
        <s v="error de vendedora"/>
        <s v="FALTANTE EM DESPACHO"/>
        <s v="error de despacho"/>
        <s v="faltanter en despacho"/>
        <s v="vencido"/>
        <s v="error de sistema"/>
        <s v="error en sistema"/>
        <s v="vecidos"/>
        <s v="ANULADA POR ERRO EN PRECIO"/>
        <s v="ANULADA POR ERROR DE SISTEMA"/>
        <s v="ERROR EN ORDEN DE COMPRA"/>
        <s v="clinte no recibio la mercancia"/>
        <s v="error de pedido"/>
        <s v="CLIENTE NO LO PIDIO"/>
        <s v="venciedos"/>
        <s v="error en orden"/>
        <s v="Pedido duplicado"/>
        <s v="ERROR EN EL PEDIDO"/>
        <s v="ERROR EN PEDIDO"/>
        <s v="PEDIDO NO SOLICITADO"/>
        <s v="PEDIDO NO AUTORIZADO PARA FACTURAR"/>
        <s v="CLIENTE CERRADO"/>
        <s v="PEDIDO NO AUTORIZADO"/>
        <s v="ERROR EN CODIGO"/>
        <s v="ANULADA POR ERROR DE FACTURACION"/>
        <s v="cliete no quiso recibir"/>
        <s v="venciodos"/>
        <s v="CLIENTE NO RECIBIO LA MERCANCIA"/>
        <s v="aulada pedido duplicado"/>
        <s v="ERROR EN CANTIDADES"/>
        <s v="ERROR DE ENTREGA"/>
        <s v="EL CLIENTE NO RECIBIO"/>
        <s v="DESCUENTO ESPECIAL"/>
        <s v="VENTAS A CREDITO"/>
        <s v="VENTAS DE CONTADO"/>
        <s v="ERROR EN PRECIO"/>
        <s v="ERROR DE ETIQUETA"/>
        <s v="FECHA CORTA"/>
        <s v="N/A"/>
        <s v="Sin Motivo"/>
        <s v="ACTIIVIDAD DE MERCADEO"/>
        <s v="NO CODIFICADO EN TIENDA"/>
        <s v="PRODUCTO NO CONFORME"/>
        <s v="PEDIDO_NO_SOL"/>
        <s v="PEDIDO_DUP"/>
        <s v="ERROR_PEDIDO"/>
        <s v="FALTANTE_DESPACHO"/>
        <s v="DANADO"/>
        <s v="CLIENTE_CERRADO"/>
        <s v="ERROR_SISTEMA"/>
        <s v="CLI_NO_RECIBIO"/>
        <s v="ERROR_FACTURACION"/>
        <s v="ERR_ORD_COMPRA"/>
        <s v="ERROR_CANTIDADES"/>
        <s v="ERROR_ENTREGA"/>
        <s v="FACTURAR"/>
        <s v="Servicio de Transporte - Delivery (4$)"/>
        <s v="Compensación por Fallas - Duplicidad de Delivery"/>
        <s v="Compensación por Fallas - Nota Crédito por Saint no aplicada Completa  Nº  00001209"/>
        <s v="NO_CODIFICADO"/>
        <s v="Compensación por Fallas - Nota Crédito por Saint no aplicada Nº 00001340"/>
        <s v="Compensación por Fallas - Nota Crédito por Saint no aplicada Nº  00001325"/>
        <s v="Compensación por Fallas - Nota Crédito por Saint no aplicada completa faltante (4.60$) Monto total 22,12$  Nª  00001344"/>
        <s v="Compensación por Fallas - Duplicidad en nota de debito aplicada(Monto real de la nota 41,88)"/>
        <s v="Compensación por Fallas"/>
        <s v="PEDIDO_FUERA_RUTA"/>
        <s v="Diferencial Cambiario"/>
        <s v="Compensación por Fallas - Monto total errado . Base Saint 631,79$"/>
        <s v="Compensación por Fallas - Nota Crédito por Saint no aplicada Nª  00001347"/>
        <s v="Compensación por Fallas - Nota Crédito por Saint no aplicada Nª  00001331"/>
        <s v="ERROR_PRECIO"/>
        <s v="ERROR_DESPACHO"/>
        <s v="Condonación de Deuda - Se aplica nc por productos vencidos, ya habían sido aplicados en saint"/>
        <s v="Condonación de Deuda - Se aplica nc por productos vencidos que ya habían sido aplicados en saint"/>
        <s v="Condonación de Deuda"/>
        <s v="Condonación de Deuda - Faltante de 8 Cremigurt Griego Pie De Limon de 150gr, Cod 132152 por 1,55 c/u, total 12.4"/>
        <s v="SOBRANTE"/>
        <n v="0" u="1"/>
        <n v="12.4" u="1"/>
        <n v="11.06" u="1"/>
        <n v="9.3000000000000007" u="1"/>
        <n v="84" u="1"/>
        <n v="27.5" u="1"/>
        <n v="68.58" u="1"/>
        <n v="10.24" u="1"/>
        <n v="13.73" u="1"/>
        <n v="7.24" u="1"/>
        <n v="15.97" u="1"/>
        <n v="1.54" u="1"/>
        <n v="5.53" u="1"/>
        <n v="36.01" u="1"/>
        <n v="81.02" u="1"/>
        <n v="178.48" u="1"/>
        <n v="69.58" u="1"/>
        <n v="60.39" u="1"/>
        <n v="54.63" u="1"/>
        <n v="531.91999999999996" u="1"/>
        <n v="471.2" u="1"/>
        <n v="459.73" u="1"/>
        <n v="1038.33" u="1"/>
        <n v="20.75" u="1"/>
        <n v="35.4" u="1"/>
        <n v="69.53" u="1"/>
        <n v="732.31" u="1"/>
        <n v="809.83" u="1"/>
        <n v="185.46" u="1"/>
        <n v="19.899999999999999" u="1"/>
        <n v="36.56" u="1"/>
        <n v="27.65" u="1"/>
        <n v="9.6199999999999992" u="1"/>
        <n v="15.5" u="1"/>
        <n v="148.80000000000001" u="1"/>
        <n v="710.55" u="1"/>
        <n v="161.66999999999999" u="1"/>
        <n v="185.98" u="1"/>
        <n v="64.709999999999994" u="1"/>
        <n v="87.15" u="1"/>
        <n v="77.709999999999994" u="1"/>
        <n v="18.600000000000001" u="1"/>
        <n v="776.08" u="1"/>
        <n v="37.08" u="1"/>
        <n v="24.86" u="1"/>
        <n v="474.53" u="1"/>
        <n v="78.55" u="1"/>
        <n v="73.2" u="1"/>
        <n v="807.2" u="1"/>
        <n v="85.76" u="1"/>
        <n v="357.98" u="1"/>
        <n v="43.38" u="1"/>
        <n v="54.56" u="1"/>
        <n v="401.75" u="1"/>
        <n v="54.3" u="1"/>
        <n v="2.63" u="1"/>
        <n v="749.79" u="1"/>
        <n v="44.85" u="1"/>
        <n v="8.1999999999999993" u="1"/>
        <n v="4.6500000000000004" u="1"/>
        <n v="37.200000000000003" u="1"/>
        <n v="26.96" u="1"/>
        <n v="54.2" u="1"/>
        <n v="381.96" u="1"/>
        <n v="108.4" u="1"/>
        <n v="50.12" u="1"/>
        <n v="37.619999999999997" u="1"/>
        <n v="1100.55" u="1"/>
        <n v="455.24" u="1"/>
        <n v="93.91" u="1"/>
        <n v="99.11" u="1"/>
        <n v="52.24" u="1"/>
        <n v="54.6" u="1"/>
        <n v="100.75" u="1"/>
        <n v="104.78" u="1"/>
        <n v="49.42" u="1"/>
        <n v="33.18" u="1"/>
        <n v="137.4" u="1"/>
        <n v="54.46" u="1"/>
        <n v="43.4" u="1"/>
        <n v="40.89" u="1"/>
        <n v="58.26" u="1"/>
        <n v="43.72" u="1"/>
        <n v="29.84" u="1"/>
        <n v="84.43" u="1"/>
        <n v="69.099999999999994" u="1"/>
        <n v="71.61" u="1"/>
        <n v="81.87" u="1"/>
      </sharedItems>
    </cacheField>
    <cacheField name="SaldoCxC" numFmtId="0">
      <sharedItems containsString="0" containsBlank="1" containsNumber="1" minValue="-186.14" maxValue="2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D058F-8A47-49FA-B8CB-017E9EEC209F}" name="TablaDiná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K4" firstHeaderRow="1" firstDataRow="3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2">
    <field x="12"/>
    <field x="13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1">
    <dataField name="Suma de Cantidad" fld="1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4" format="1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4" format="1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96C89-9982-4F3F-9B56-48C1C8A1E0D5}" name="TablaDinámica2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4:K17" firstHeaderRow="1" firstDataRow="3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2">
    <field x="12"/>
    <field x="13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1">
    <dataField name="Suma de PrecioTotal" fld="17" baseField="0" baseItem="0"/>
  </dataFields>
  <chartFormats count="1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3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4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5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F5CB-929C-40FA-962E-6E9BE3DA16A4}">
  <dimension ref="A1:K17"/>
  <sheetViews>
    <sheetView workbookViewId="0">
      <selection activeCell="J16" sqref="J16"/>
    </sheetView>
  </sheetViews>
  <sheetFormatPr baseColWidth="10" defaultRowHeight="15" x14ac:dyDescent="0.25"/>
  <cols>
    <col min="1" max="1" width="16.42578125" bestFit="1" customWidth="1"/>
    <col min="2" max="2" width="21.42578125" bestFit="1" customWidth="1"/>
    <col min="3" max="3" width="10" bestFit="1" customWidth="1"/>
    <col min="4" max="9" width="7" bestFit="1" customWidth="1"/>
    <col min="10" max="10" width="11" bestFit="1" customWidth="1"/>
    <col min="11" max="11" width="11.85546875" bestFit="1" customWidth="1"/>
  </cols>
  <sheetData>
    <row r="1" spans="1:11" x14ac:dyDescent="0.25">
      <c r="B1" s="1" t="s">
        <v>38</v>
      </c>
    </row>
    <row r="2" spans="1:11" x14ac:dyDescent="0.25">
      <c r="B2">
        <v>2026</v>
      </c>
      <c r="J2" t="s">
        <v>39</v>
      </c>
      <c r="K2" t="s">
        <v>6</v>
      </c>
    </row>
    <row r="3" spans="1:1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</row>
    <row r="4" spans="1:11" x14ac:dyDescent="0.25">
      <c r="A4" t="s">
        <v>7</v>
      </c>
      <c r="B4">
        <v>414704</v>
      </c>
      <c r="C4">
        <v>451946.55</v>
      </c>
      <c r="D4">
        <v>569392</v>
      </c>
      <c r="E4">
        <v>486375</v>
      </c>
      <c r="F4">
        <v>549842</v>
      </c>
      <c r="G4">
        <v>605360</v>
      </c>
      <c r="H4">
        <v>550850</v>
      </c>
      <c r="I4">
        <v>288403</v>
      </c>
      <c r="J4">
        <v>3916872.55</v>
      </c>
      <c r="K4">
        <v>3916872.55</v>
      </c>
    </row>
    <row r="14" spans="1:11" x14ac:dyDescent="0.25">
      <c r="B14" s="1" t="s">
        <v>38</v>
      </c>
    </row>
    <row r="15" spans="1:11" x14ac:dyDescent="0.25">
      <c r="B15">
        <v>2026</v>
      </c>
      <c r="J15" t="s">
        <v>39</v>
      </c>
      <c r="K15" t="s">
        <v>6</v>
      </c>
    </row>
    <row r="16" spans="1:11" x14ac:dyDescent="0.25"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</row>
    <row r="17" spans="1:11" x14ac:dyDescent="0.25">
      <c r="A17" t="s">
        <v>8</v>
      </c>
      <c r="B17">
        <v>796172.39348997176</v>
      </c>
      <c r="C17">
        <v>871937.92756196833</v>
      </c>
      <c r="D17">
        <v>1091138.9949530005</v>
      </c>
      <c r="E17">
        <v>921593.87123297516</v>
      </c>
      <c r="F17">
        <v>1041001.2291549931</v>
      </c>
      <c r="G17">
        <v>1130223.0842109711</v>
      </c>
      <c r="H17">
        <v>1038224.5530359916</v>
      </c>
      <c r="I17">
        <v>543462.84952499578</v>
      </c>
      <c r="J17">
        <v>7433754.9031648673</v>
      </c>
      <c r="K17">
        <v>7433754.9031648673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B7DA-1B0C-4C9E-8D9F-7A52C3D52D5D}">
  <dimension ref="A1:E62"/>
  <sheetViews>
    <sheetView workbookViewId="0">
      <selection activeCell="E55" sqref="E55"/>
    </sheetView>
  </sheetViews>
  <sheetFormatPr baseColWidth="10" defaultRowHeight="15" x14ac:dyDescent="0.25"/>
  <cols>
    <col min="1" max="1" width="17.5703125" bestFit="1" customWidth="1"/>
    <col min="2" max="2" width="35" customWidth="1"/>
    <col min="3" max="3" width="17" customWidth="1"/>
    <col min="4" max="4" width="14.42578125" customWidth="1"/>
  </cols>
  <sheetData>
    <row r="1" spans="1:5" ht="21" x14ac:dyDescent="0.35">
      <c r="B1" s="8" t="s">
        <v>60</v>
      </c>
      <c r="C1" s="2" t="str">
        <f>'[1]VENTAS CONSOLIDADA ZULIA'!C1</f>
        <v>INICIO VENTAS</v>
      </c>
      <c r="D1" s="3">
        <f>'[1]VENTAS CONSOLIDADA ZULIA'!D1</f>
        <v>46266</v>
      </c>
    </row>
    <row r="2" spans="1:5" x14ac:dyDescent="0.25">
      <c r="B2" s="9" t="s">
        <v>55</v>
      </c>
      <c r="C2" s="2" t="str">
        <f>'[1]VENTAS CONSOLIDADA ZULIA'!C2</f>
        <v>TRASCURSO VENTAS</v>
      </c>
      <c r="D2" s="3">
        <f ca="1">'[1]VENTAS CONSOLIDADA ZULIA'!D2</f>
        <v>46295</v>
      </c>
      <c r="E2" s="4">
        <f ca="1">'[1]VENTAS CONSOLIDADA ZULIA'!E2</f>
        <v>21</v>
      </c>
    </row>
    <row r="3" spans="1:5" x14ac:dyDescent="0.25">
      <c r="B3" s="9"/>
      <c r="C3" s="2" t="str">
        <f>'[1]VENTAS CONSOLIDADA ZULIA'!C3</f>
        <v>FINAL VENTAS</v>
      </c>
      <c r="D3" s="3">
        <f>'[1]VENTAS CONSOLIDADA ZULIA'!D3</f>
        <v>46295</v>
      </c>
      <c r="E3" s="4">
        <f ca="1">'[1]VENTAS CONSOLIDADA ZULIA'!E3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'[1]VENTAS CONSOLIDADA ZULIA'!C8</f>
        <v>628</v>
      </c>
      <c r="D8" s="5">
        <f t="shared" ref="D8:D54" ca="1" si="0">C8/$E$2</f>
        <v>29.904761904761905</v>
      </c>
      <c r="E8" s="5">
        <f ca="1">D8*($E$2+$E$3)</f>
        <v>657.90476190476193</v>
      </c>
    </row>
    <row r="9" spans="1:5" x14ac:dyDescent="0.25">
      <c r="A9">
        <v>110151</v>
      </c>
      <c r="B9" t="s">
        <v>5</v>
      </c>
      <c r="C9">
        <f>'[1]VENTAS CONSOLIDADA ZULIA'!C9</f>
        <v>84</v>
      </c>
      <c r="D9" s="5">
        <f t="shared" ca="1" si="0"/>
        <v>4</v>
      </c>
      <c r="E9" s="5">
        <f t="shared" ref="E9:E54" ca="1" si="1">D9*($E$2+$E$3)</f>
        <v>88</v>
      </c>
    </row>
    <row r="10" spans="1:5" x14ac:dyDescent="0.25">
      <c r="A10">
        <v>110230</v>
      </c>
      <c r="B10" t="s">
        <v>1</v>
      </c>
      <c r="C10">
        <f>'[1]VENTAS CONSOLIDADA ZULIA'!C10</f>
        <v>193</v>
      </c>
      <c r="D10" s="5">
        <f t="shared" ca="1" si="0"/>
        <v>9.1904761904761898</v>
      </c>
      <c r="E10" s="5">
        <f t="shared" ca="1" si="1"/>
        <v>202.19047619047618</v>
      </c>
    </row>
    <row r="11" spans="1:5" x14ac:dyDescent="0.25">
      <c r="A11">
        <v>110400</v>
      </c>
      <c r="B11" t="s">
        <v>13</v>
      </c>
      <c r="C11">
        <f>'[1]VENTAS CONSOLIDADA ZULIA'!C11</f>
        <v>65</v>
      </c>
      <c r="D11" s="5">
        <f t="shared" ca="1" si="0"/>
        <v>3.0952380952380953</v>
      </c>
      <c r="E11" s="5">
        <f t="shared" ca="1" si="1"/>
        <v>68.095238095238102</v>
      </c>
    </row>
    <row r="12" spans="1:5" x14ac:dyDescent="0.25">
      <c r="A12">
        <v>111000</v>
      </c>
      <c r="B12" t="s">
        <v>14</v>
      </c>
      <c r="C12">
        <f>'[1]VENTAS CONSOLIDADA ZULIA'!C12</f>
        <v>9</v>
      </c>
      <c r="D12" s="5">
        <f t="shared" ca="1" si="0"/>
        <v>0.42857142857142855</v>
      </c>
      <c r="E12" s="5">
        <f t="shared" ca="1" si="1"/>
        <v>9.4285714285714288</v>
      </c>
    </row>
    <row r="13" spans="1:5" x14ac:dyDescent="0.25">
      <c r="A13">
        <v>120130</v>
      </c>
      <c r="B13" t="s">
        <v>15</v>
      </c>
      <c r="C13">
        <f>'[1]VENTAS CONSOLIDADA ZULIA'!C13</f>
        <v>365</v>
      </c>
      <c r="D13" s="5">
        <f t="shared" ca="1" si="0"/>
        <v>17.38095238095238</v>
      </c>
      <c r="E13" s="5">
        <f t="shared" ca="1" si="1"/>
        <v>382.38095238095235</v>
      </c>
    </row>
    <row r="14" spans="1:5" x14ac:dyDescent="0.25">
      <c r="A14">
        <v>120131</v>
      </c>
      <c r="B14" t="s">
        <v>23</v>
      </c>
      <c r="C14">
        <f>'[1]VENTAS CONSOLIDADA ZULIA'!C14</f>
        <v>200</v>
      </c>
      <c r="D14" s="5">
        <f t="shared" ca="1" si="0"/>
        <v>9.5238095238095237</v>
      </c>
      <c r="E14" s="5">
        <f t="shared" ca="1" si="1"/>
        <v>209.52380952380952</v>
      </c>
    </row>
    <row r="15" spans="1:5" x14ac:dyDescent="0.25">
      <c r="A15">
        <v>120132</v>
      </c>
      <c r="B15" t="s">
        <v>21</v>
      </c>
      <c r="C15">
        <f>'[1]VENTAS CONSOLIDADA ZULIA'!C15</f>
        <v>333</v>
      </c>
      <c r="D15" s="5">
        <f t="shared" ca="1" si="0"/>
        <v>15.857142857142858</v>
      </c>
      <c r="E15" s="5">
        <f t="shared" ca="1" si="1"/>
        <v>348.85714285714289</v>
      </c>
    </row>
    <row r="16" spans="1:5" x14ac:dyDescent="0.25">
      <c r="A16">
        <v>130150</v>
      </c>
      <c r="B16" t="s">
        <v>0</v>
      </c>
      <c r="C16">
        <f>'[1]VENTAS CONSOLIDADA ZULIA'!C16</f>
        <v>446</v>
      </c>
      <c r="D16" s="5">
        <f t="shared" ca="1" si="0"/>
        <v>21.238095238095237</v>
      </c>
      <c r="E16" s="5">
        <f t="shared" ca="1" si="1"/>
        <v>467.23809523809524</v>
      </c>
    </row>
    <row r="17" spans="1:5" x14ac:dyDescent="0.25">
      <c r="A17">
        <v>130151</v>
      </c>
      <c r="B17" t="s">
        <v>4</v>
      </c>
      <c r="C17">
        <f>'[1]VENTAS CONSOLIDADA ZULIA'!C17</f>
        <v>177</v>
      </c>
      <c r="D17" s="5">
        <f t="shared" ca="1" si="0"/>
        <v>8.4285714285714288</v>
      </c>
      <c r="E17" s="5">
        <f t="shared" ca="1" si="1"/>
        <v>185.42857142857144</v>
      </c>
    </row>
    <row r="18" spans="1:5" x14ac:dyDescent="0.25">
      <c r="A18">
        <v>130152</v>
      </c>
      <c r="B18" t="s">
        <v>51</v>
      </c>
      <c r="C18">
        <f>'[1]VENTAS CONSOLIDADA ZULIA'!C18</f>
        <v>1037</v>
      </c>
      <c r="D18" s="5">
        <f t="shared" ca="1" si="0"/>
        <v>49.38095238095238</v>
      </c>
      <c r="E18" s="5">
        <f t="shared" ca="1" si="1"/>
        <v>1086.3809523809523</v>
      </c>
    </row>
    <row r="19" spans="1:5" x14ac:dyDescent="0.25">
      <c r="A19">
        <v>130153</v>
      </c>
      <c r="B19" t="s">
        <v>52</v>
      </c>
      <c r="C19">
        <f>'[1]VENTAS CONSOLIDADA ZULIA'!C19</f>
        <v>851</v>
      </c>
      <c r="D19" s="5">
        <f t="shared" ca="1" si="0"/>
        <v>40.523809523809526</v>
      </c>
      <c r="E19" s="5">
        <f t="shared" ca="1" si="1"/>
        <v>891.52380952380952</v>
      </c>
    </row>
    <row r="20" spans="1:5" x14ac:dyDescent="0.25">
      <c r="A20">
        <v>130154</v>
      </c>
      <c r="B20" t="s">
        <v>53</v>
      </c>
      <c r="C20">
        <f>'[1]VENTAS CONSOLIDADA ZULIA'!C20</f>
        <v>623</v>
      </c>
      <c r="D20" s="5">
        <f t="shared" ca="1" si="0"/>
        <v>29.666666666666668</v>
      </c>
      <c r="E20" s="5">
        <f t="shared" ca="1" si="1"/>
        <v>652.66666666666674</v>
      </c>
    </row>
    <row r="21" spans="1:5" x14ac:dyDescent="0.25">
      <c r="A21">
        <v>130155</v>
      </c>
      <c r="B21" t="s">
        <v>16</v>
      </c>
      <c r="C21">
        <f>'[1]VENTAS CONSOLIDADA ZULIA'!C21</f>
        <v>950</v>
      </c>
      <c r="D21" s="5">
        <f t="shared" ca="1" si="0"/>
        <v>45.238095238095241</v>
      </c>
      <c r="E21" s="5">
        <f t="shared" ca="1" si="1"/>
        <v>995.2380952380953</v>
      </c>
    </row>
    <row r="22" spans="1:5" x14ac:dyDescent="0.25">
      <c r="A22">
        <v>130157</v>
      </c>
      <c r="B22" t="s">
        <v>43</v>
      </c>
      <c r="C22">
        <f>'[1]VENTAS CONSOLIDADA ZULIA'!C22</f>
        <v>286</v>
      </c>
      <c r="D22" s="5">
        <f t="shared" ca="1" si="0"/>
        <v>13.619047619047619</v>
      </c>
      <c r="E22" s="5">
        <f t="shared" ca="1" si="1"/>
        <v>299.61904761904759</v>
      </c>
    </row>
    <row r="23" spans="1:5" x14ac:dyDescent="0.25">
      <c r="A23">
        <v>130158</v>
      </c>
      <c r="B23" t="s">
        <v>44</v>
      </c>
      <c r="C23">
        <f>'[1]VENTAS CONSOLIDADA ZULIA'!C23</f>
        <v>394</v>
      </c>
      <c r="D23" s="5">
        <f t="shared" ca="1" si="0"/>
        <v>18.761904761904763</v>
      </c>
      <c r="E23" s="5">
        <f t="shared" ca="1" si="1"/>
        <v>412.76190476190476</v>
      </c>
    </row>
    <row r="24" spans="1:5" x14ac:dyDescent="0.25">
      <c r="A24">
        <v>130159</v>
      </c>
      <c r="B24" t="s">
        <v>45</v>
      </c>
      <c r="C24">
        <f>'[1]VENTAS CONSOLIDADA ZULIA'!C24</f>
        <v>376</v>
      </c>
      <c r="D24" s="5">
        <f t="shared" ca="1" si="0"/>
        <v>17.904761904761905</v>
      </c>
      <c r="E24" s="5">
        <f t="shared" ca="1" si="1"/>
        <v>393.90476190476193</v>
      </c>
    </row>
    <row r="25" spans="1:5" x14ac:dyDescent="0.25">
      <c r="A25">
        <v>130700</v>
      </c>
      <c r="B25" t="s">
        <v>3</v>
      </c>
      <c r="C25">
        <f>'[1]VENTAS CONSOLIDADA ZULIA'!C25</f>
        <v>116</v>
      </c>
      <c r="D25" s="5">
        <f t="shared" ca="1" si="0"/>
        <v>5.5238095238095237</v>
      </c>
      <c r="E25" s="5">
        <f t="shared" ca="1" si="1"/>
        <v>121.52380952380952</v>
      </c>
    </row>
    <row r="26" spans="1:5" x14ac:dyDescent="0.25">
      <c r="A26">
        <v>130701</v>
      </c>
      <c r="B26" t="s">
        <v>30</v>
      </c>
      <c r="C26">
        <f>'[1]VENTAS CONSOLIDADA ZULIA'!C26</f>
        <v>27</v>
      </c>
      <c r="D26" s="5">
        <f t="shared" ca="1" si="0"/>
        <v>1.2857142857142858</v>
      </c>
      <c r="E26" s="5">
        <f t="shared" ca="1" si="1"/>
        <v>28.285714285714288</v>
      </c>
    </row>
    <row r="27" spans="1:5" x14ac:dyDescent="0.25">
      <c r="A27">
        <v>130702</v>
      </c>
      <c r="B27" t="s">
        <v>12</v>
      </c>
      <c r="C27">
        <f>'[1]VENTAS CONSOLIDADA ZULIA'!C27</f>
        <v>98</v>
      </c>
      <c r="D27" s="5">
        <f t="shared" ca="1" si="0"/>
        <v>4.666666666666667</v>
      </c>
      <c r="E27" s="5">
        <f t="shared" ca="1" si="1"/>
        <v>102.66666666666667</v>
      </c>
    </row>
    <row r="28" spans="1:5" x14ac:dyDescent="0.25">
      <c r="A28">
        <v>130703</v>
      </c>
      <c r="B28" t="s">
        <v>17</v>
      </c>
      <c r="C28">
        <f>'[1]VENTAS CONSOLIDADA ZULIA'!C28</f>
        <v>307</v>
      </c>
      <c r="D28" s="5">
        <f t="shared" ca="1" si="0"/>
        <v>14.619047619047619</v>
      </c>
      <c r="E28" s="5">
        <f t="shared" ca="1" si="1"/>
        <v>321.61904761904759</v>
      </c>
    </row>
    <row r="29" spans="1:5" x14ac:dyDescent="0.25">
      <c r="A29">
        <v>130707</v>
      </c>
      <c r="B29" t="s">
        <v>42</v>
      </c>
      <c r="C29">
        <f>'[1]VENTAS CONSOLIDADA ZULIA'!C29</f>
        <v>0</v>
      </c>
      <c r="D29" s="5">
        <f t="shared" ca="1" si="0"/>
        <v>0</v>
      </c>
      <c r="E29" s="5">
        <f t="shared" ca="1" si="1"/>
        <v>0</v>
      </c>
    </row>
    <row r="30" spans="1:5" x14ac:dyDescent="0.25">
      <c r="A30">
        <v>131150</v>
      </c>
      <c r="B30" t="s">
        <v>22</v>
      </c>
      <c r="C30">
        <f>'[1]VENTAS CONSOLIDADA ZULIA'!C30</f>
        <v>316</v>
      </c>
      <c r="D30" s="5">
        <f t="shared" ca="1" si="0"/>
        <v>15.047619047619047</v>
      </c>
      <c r="E30" s="5">
        <f t="shared" ca="1" si="1"/>
        <v>331.04761904761904</v>
      </c>
    </row>
    <row r="31" spans="1:5" x14ac:dyDescent="0.25">
      <c r="A31">
        <v>131151</v>
      </c>
      <c r="B31" t="s">
        <v>19</v>
      </c>
      <c r="C31">
        <f>'[1]VENTAS CONSOLIDADA ZULIA'!C31</f>
        <v>566</v>
      </c>
      <c r="D31" s="5">
        <f t="shared" ca="1" si="0"/>
        <v>26.952380952380953</v>
      </c>
      <c r="E31" s="5">
        <f t="shared" ca="1" si="1"/>
        <v>592.95238095238096</v>
      </c>
    </row>
    <row r="32" spans="1:5" x14ac:dyDescent="0.25">
      <c r="A32">
        <v>131152</v>
      </c>
      <c r="B32" t="s">
        <v>32</v>
      </c>
      <c r="C32">
        <f>'[1]VENTAS CONSOLIDADA ZULIA'!C32</f>
        <v>306</v>
      </c>
      <c r="D32" s="5">
        <f t="shared" ca="1" si="0"/>
        <v>14.571428571428571</v>
      </c>
      <c r="E32" s="5">
        <f t="shared" ca="1" si="1"/>
        <v>320.57142857142856</v>
      </c>
    </row>
    <row r="33" spans="1:5" x14ac:dyDescent="0.25">
      <c r="A33">
        <v>131153</v>
      </c>
      <c r="B33" t="s">
        <v>11</v>
      </c>
      <c r="C33">
        <f>'[1]VENTAS CONSOLIDADA ZULIA'!C33</f>
        <v>609</v>
      </c>
      <c r="D33" s="5">
        <f t="shared" ca="1" si="0"/>
        <v>29</v>
      </c>
      <c r="E33" s="5">
        <f t="shared" ca="1" si="1"/>
        <v>638</v>
      </c>
    </row>
    <row r="34" spans="1:5" x14ac:dyDescent="0.25">
      <c r="A34">
        <v>131154</v>
      </c>
      <c r="B34" t="s">
        <v>48</v>
      </c>
      <c r="C34">
        <f>'[1]VENTAS CONSOLIDADA ZULIA'!C34</f>
        <v>125</v>
      </c>
      <c r="D34" s="5">
        <f t="shared" ca="1" si="0"/>
        <v>5.9523809523809526</v>
      </c>
      <c r="E34" s="5">
        <f t="shared" ca="1" si="1"/>
        <v>130.95238095238096</v>
      </c>
    </row>
    <row r="35" spans="1:5" x14ac:dyDescent="0.25">
      <c r="A35">
        <v>131155</v>
      </c>
      <c r="B35" t="s">
        <v>57</v>
      </c>
      <c r="C35">
        <f>'[1]VENTAS CONSOLIDADA ZULIA'!C35</f>
        <v>119</v>
      </c>
      <c r="D35" s="5">
        <f t="shared" ca="1" si="0"/>
        <v>5.666666666666667</v>
      </c>
      <c r="E35" s="5">
        <f t="shared" ca="1" si="1"/>
        <v>124.66666666666667</v>
      </c>
    </row>
    <row r="36" spans="1:5" x14ac:dyDescent="0.25">
      <c r="A36">
        <v>131700</v>
      </c>
      <c r="B36" t="s">
        <v>20</v>
      </c>
      <c r="C36">
        <f>'[1]VENTAS CONSOLIDADA ZULIA'!C36</f>
        <v>95</v>
      </c>
      <c r="D36" s="5">
        <f t="shared" ca="1" si="0"/>
        <v>4.5238095238095237</v>
      </c>
      <c r="E36" s="5">
        <f t="shared" ca="1" si="1"/>
        <v>99.523809523809518</v>
      </c>
    </row>
    <row r="37" spans="1:5" x14ac:dyDescent="0.25">
      <c r="A37">
        <v>131701</v>
      </c>
      <c r="B37" t="s">
        <v>24</v>
      </c>
      <c r="C37">
        <f>'[1]VENTAS CONSOLIDADA ZULIA'!C37</f>
        <v>68</v>
      </c>
      <c r="D37" s="5">
        <f t="shared" ca="1" si="0"/>
        <v>3.2380952380952381</v>
      </c>
      <c r="E37" s="5">
        <f t="shared" ca="1" si="1"/>
        <v>71.238095238095241</v>
      </c>
    </row>
    <row r="38" spans="1:5" x14ac:dyDescent="0.25">
      <c r="A38">
        <v>132150</v>
      </c>
      <c r="B38" t="s">
        <v>25</v>
      </c>
      <c r="C38">
        <f>'[1]VENTAS CONSOLIDADA ZULIA'!C38</f>
        <v>662</v>
      </c>
      <c r="D38" s="5">
        <f t="shared" ca="1" si="0"/>
        <v>31.523809523809526</v>
      </c>
      <c r="E38" s="5">
        <f t="shared" ca="1" si="1"/>
        <v>693.52380952380952</v>
      </c>
    </row>
    <row r="39" spans="1:5" x14ac:dyDescent="0.25">
      <c r="A39">
        <v>132151</v>
      </c>
      <c r="B39" t="s">
        <v>26</v>
      </c>
      <c r="C39">
        <f>'[1]VENTAS CONSOLIDADA ZULIA'!C39</f>
        <v>644</v>
      </c>
      <c r="D39" s="5">
        <f t="shared" ca="1" si="0"/>
        <v>30.666666666666668</v>
      </c>
      <c r="E39" s="5">
        <f t="shared" ca="1" si="1"/>
        <v>674.66666666666674</v>
      </c>
    </row>
    <row r="40" spans="1:5" x14ac:dyDescent="0.25">
      <c r="A40">
        <v>132152</v>
      </c>
      <c r="B40" t="s">
        <v>27</v>
      </c>
      <c r="C40">
        <f>'[1]VENTAS CONSOLIDADA ZULIA'!C40</f>
        <v>618</v>
      </c>
      <c r="D40" s="5">
        <f t="shared" ca="1" si="0"/>
        <v>29.428571428571427</v>
      </c>
      <c r="E40" s="5">
        <f t="shared" ca="1" si="1"/>
        <v>647.42857142857144</v>
      </c>
    </row>
    <row r="41" spans="1:5" x14ac:dyDescent="0.25">
      <c r="A41">
        <v>132153</v>
      </c>
      <c r="B41" t="s">
        <v>40</v>
      </c>
      <c r="C41">
        <f>'[1]VENTAS CONSOLIDADA ZULIA'!C41</f>
        <v>469</v>
      </c>
      <c r="D41" s="5">
        <f t="shared" ca="1" si="0"/>
        <v>22.333333333333332</v>
      </c>
      <c r="E41" s="5">
        <f t="shared" ca="1" si="1"/>
        <v>491.33333333333331</v>
      </c>
    </row>
    <row r="42" spans="1:5" x14ac:dyDescent="0.25">
      <c r="A42">
        <v>134000</v>
      </c>
      <c r="B42" t="s">
        <v>35</v>
      </c>
      <c r="C42">
        <f>'[1]VENTAS CONSOLIDADA ZULIA'!C42</f>
        <v>0</v>
      </c>
      <c r="D42" s="5">
        <f t="shared" ca="1" si="0"/>
        <v>0</v>
      </c>
      <c r="E42" s="5">
        <f t="shared" ca="1" si="1"/>
        <v>0</v>
      </c>
    </row>
    <row r="43" spans="1:5" x14ac:dyDescent="0.25">
      <c r="A43">
        <v>134001</v>
      </c>
      <c r="B43" t="s">
        <v>47</v>
      </c>
      <c r="C43">
        <f>'[1]VENTAS CONSOLIDADA ZULIA'!C43</f>
        <v>0</v>
      </c>
      <c r="D43" s="5">
        <f t="shared" ca="1" si="0"/>
        <v>0</v>
      </c>
      <c r="E43" s="5">
        <f t="shared" ca="1" si="1"/>
        <v>0</v>
      </c>
    </row>
    <row r="44" spans="1:5" x14ac:dyDescent="0.25">
      <c r="A44">
        <v>140230</v>
      </c>
      <c r="B44" t="s">
        <v>18</v>
      </c>
      <c r="C44">
        <f>'[1]VENTAS CONSOLIDADA ZULIA'!C44</f>
        <v>101</v>
      </c>
      <c r="D44" s="5">
        <f t="shared" ca="1" si="0"/>
        <v>4.8095238095238093</v>
      </c>
      <c r="E44" s="5">
        <f t="shared" ca="1" si="1"/>
        <v>105.80952380952381</v>
      </c>
    </row>
    <row r="45" spans="1:5" x14ac:dyDescent="0.25">
      <c r="A45">
        <v>140231</v>
      </c>
      <c r="B45" t="s">
        <v>10</v>
      </c>
      <c r="C45">
        <f>'[1]VENTAS CONSOLIDADA ZULIA'!C45</f>
        <v>240</v>
      </c>
      <c r="D45" s="5">
        <f t="shared" ca="1" si="0"/>
        <v>11.428571428571429</v>
      </c>
      <c r="E45" s="5">
        <f t="shared" ca="1" si="1"/>
        <v>251.42857142857144</v>
      </c>
    </row>
    <row r="46" spans="1:5" x14ac:dyDescent="0.25">
      <c r="A46">
        <v>140232</v>
      </c>
      <c r="B46" t="s">
        <v>9</v>
      </c>
      <c r="C46">
        <f>'[1]VENTAS CONSOLIDADA ZULIA'!C46</f>
        <v>111</v>
      </c>
      <c r="D46" s="5">
        <f t="shared" ca="1" si="0"/>
        <v>5.2857142857142856</v>
      </c>
      <c r="E46" s="5">
        <f t="shared" ca="1" si="1"/>
        <v>116.28571428571428</v>
      </c>
    </row>
    <row r="47" spans="1:5" x14ac:dyDescent="0.25">
      <c r="A47">
        <v>150360</v>
      </c>
      <c r="B47" t="s">
        <v>28</v>
      </c>
      <c r="C47">
        <f>'[1]VENTAS CONSOLIDADA ZULIA'!C47</f>
        <v>51</v>
      </c>
      <c r="D47" s="5">
        <f t="shared" ca="1" si="0"/>
        <v>2.4285714285714284</v>
      </c>
      <c r="E47" s="5">
        <f t="shared" ca="1" si="1"/>
        <v>53.428571428571423</v>
      </c>
    </row>
    <row r="48" spans="1:5" x14ac:dyDescent="0.25">
      <c r="A48">
        <v>150361</v>
      </c>
      <c r="B48" t="s">
        <v>29</v>
      </c>
      <c r="C48">
        <f>'[1]VENTAS CONSOLIDADA ZULIA'!C48</f>
        <v>152</v>
      </c>
      <c r="D48" s="5">
        <f t="shared" ca="1" si="0"/>
        <v>7.2380952380952381</v>
      </c>
      <c r="E48" s="5">
        <f t="shared" ca="1" si="1"/>
        <v>159.23809523809524</v>
      </c>
    </row>
    <row r="49" spans="1:5" x14ac:dyDescent="0.25">
      <c r="A49">
        <v>150362</v>
      </c>
      <c r="B49" t="s">
        <v>36</v>
      </c>
      <c r="C49">
        <f>'[1]VENTAS CONSOLIDADA ZULIA'!C49</f>
        <v>191</v>
      </c>
      <c r="D49" s="5">
        <f t="shared" ca="1" si="0"/>
        <v>9.0952380952380949</v>
      </c>
      <c r="E49" s="5">
        <f t="shared" ca="1" si="1"/>
        <v>200.09523809523807</v>
      </c>
    </row>
    <row r="50" spans="1:5" x14ac:dyDescent="0.25">
      <c r="A50">
        <v>150363</v>
      </c>
      <c r="B50" t="s">
        <v>31</v>
      </c>
      <c r="C50">
        <f>'[1]VENTAS CONSOLIDADA ZULIA'!C50</f>
        <v>192</v>
      </c>
      <c r="D50" s="5">
        <f t="shared" ca="1" si="0"/>
        <v>9.1428571428571423</v>
      </c>
      <c r="E50" s="5">
        <f t="shared" ca="1" si="1"/>
        <v>201.14285714285714</v>
      </c>
    </row>
    <row r="51" spans="1:5" x14ac:dyDescent="0.25">
      <c r="A51">
        <v>151500</v>
      </c>
      <c r="B51" t="s">
        <v>41</v>
      </c>
      <c r="C51">
        <f>'[1]VENTAS CONSOLIDADA ZULIA'!C51</f>
        <v>37</v>
      </c>
      <c r="D51" s="5">
        <f t="shared" ca="1" si="0"/>
        <v>1.7619047619047619</v>
      </c>
      <c r="E51" s="5">
        <f t="shared" ca="1" si="1"/>
        <v>38.761904761904759</v>
      </c>
    </row>
    <row r="52" spans="1:5" x14ac:dyDescent="0.25">
      <c r="A52">
        <v>151501</v>
      </c>
      <c r="B52" t="s">
        <v>33</v>
      </c>
      <c r="C52">
        <f>'[1]VENTAS CONSOLIDADA ZULIA'!C52</f>
        <v>38</v>
      </c>
      <c r="D52" s="5">
        <f t="shared" ca="1" si="0"/>
        <v>1.8095238095238095</v>
      </c>
      <c r="E52" s="5">
        <f t="shared" ca="1" si="1"/>
        <v>39.80952380952381</v>
      </c>
    </row>
    <row r="53" spans="1:5" x14ac:dyDescent="0.25">
      <c r="A53">
        <v>151502</v>
      </c>
      <c r="B53" t="s">
        <v>37</v>
      </c>
      <c r="C53">
        <f>'[1]VENTAS CONSOLIDADA ZULIA'!C53</f>
        <v>33</v>
      </c>
      <c r="D53" s="5">
        <f t="shared" ca="1" si="0"/>
        <v>1.5714285714285714</v>
      </c>
      <c r="E53" s="5">
        <f t="shared" ca="1" si="1"/>
        <v>34.571428571428569</v>
      </c>
    </row>
    <row r="54" spans="1:5" x14ac:dyDescent="0.25">
      <c r="A54">
        <v>151503</v>
      </c>
      <c r="B54" t="s">
        <v>34</v>
      </c>
      <c r="C54">
        <f>'[1]VENTAS CONSOLIDADA ZULIA'!C54</f>
        <v>21</v>
      </c>
      <c r="D54" s="5">
        <f t="shared" ca="1" si="0"/>
        <v>1</v>
      </c>
      <c r="E54" s="5">
        <f t="shared" ca="1" si="1"/>
        <v>22</v>
      </c>
    </row>
    <row r="55" spans="1:5" x14ac:dyDescent="0.25">
      <c r="D55" s="5">
        <f ca="1">SUM(D8:D54)</f>
        <v>634.71428571428589</v>
      </c>
      <c r="E55" s="5">
        <f ca="1">SUM(E8:E54)</f>
        <v>13963.714285714283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1" spans="1:5" x14ac:dyDescent="0.25">
      <c r="D61" s="5"/>
      <c r="E61" s="5"/>
    </row>
    <row r="62" spans="1:5" x14ac:dyDescent="0.25">
      <c r="D62" s="5"/>
      <c r="E6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EEA4-4F9D-4DF1-9E8D-CD3477A1A7B9}">
  <dimension ref="A1:E63"/>
  <sheetViews>
    <sheetView workbookViewId="0">
      <selection activeCell="D55" sqref="D55"/>
    </sheetView>
  </sheetViews>
  <sheetFormatPr baseColWidth="10" defaultRowHeight="15" x14ac:dyDescent="0.25"/>
  <cols>
    <col min="1" max="1" width="17.5703125" bestFit="1" customWidth="1"/>
    <col min="2" max="2" width="35.5703125" customWidth="1"/>
    <col min="3" max="3" width="17" bestFit="1" customWidth="1"/>
    <col min="4" max="4" width="14.42578125" customWidth="1"/>
  </cols>
  <sheetData>
    <row r="1" spans="1:5" ht="21" x14ac:dyDescent="0.35">
      <c r="B1" s="8" t="s">
        <v>46</v>
      </c>
      <c r="C1" s="2" t="str">
        <f>'[1]VENTAS CONSOLIDADA VALENCIA'!C1</f>
        <v>INICIO VENTAS</v>
      </c>
      <c r="D1" s="3">
        <f>'[1]VENTAS CONSOLIDADA VALENCIA'!D1</f>
        <v>46266</v>
      </c>
    </row>
    <row r="2" spans="1:5" x14ac:dyDescent="0.25">
      <c r="B2" s="9" t="s">
        <v>55</v>
      </c>
      <c r="C2" s="2" t="str">
        <f>'[1]VENTAS CONSOLIDADA VALENCIA'!C2</f>
        <v>TRASCURSO VENTAS</v>
      </c>
      <c r="D2" s="3">
        <f ca="1">'[1]VENTAS CONSOLIDADA VALENCIA'!D2</f>
        <v>46295</v>
      </c>
      <c r="E2" s="4">
        <f ca="1">'[1]VENTAS CONSOLIDADA VALENCIA'!E2</f>
        <v>21</v>
      </c>
    </row>
    <row r="3" spans="1:5" x14ac:dyDescent="0.25">
      <c r="B3" s="9"/>
      <c r="C3" s="2" t="str">
        <f>'[1]VENTAS CONSOLIDADA VALENCIA'!C3</f>
        <v>FINAL VENTAS</v>
      </c>
      <c r="D3" s="3">
        <f>'[1]VENTAS CONSOLIDADA VALENCIA'!D3</f>
        <v>46295</v>
      </c>
      <c r="E3" s="4">
        <f ca="1">'[1]VENTAS CONSOLIDADA VALENCIA'!E3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'[1]VENTAS CONSOLIDADA VALENCIA'!C8</f>
        <v>4790</v>
      </c>
      <c r="D8" s="5">
        <f t="shared" ref="D8:D54" ca="1" si="0">C8/$E$2</f>
        <v>228.0952380952381</v>
      </c>
      <c r="E8" s="5">
        <f ca="1">D8*($E$2+$E$3)</f>
        <v>5018.0952380952385</v>
      </c>
    </row>
    <row r="9" spans="1:5" x14ac:dyDescent="0.25">
      <c r="A9">
        <v>110151</v>
      </c>
      <c r="B9" t="s">
        <v>5</v>
      </c>
      <c r="C9">
        <f>'[1]VENTAS CONSOLIDADA VALENCIA'!C9</f>
        <v>249</v>
      </c>
      <c r="D9" s="5">
        <f t="shared" ca="1" si="0"/>
        <v>11.857142857142858</v>
      </c>
      <c r="E9" s="5">
        <f t="shared" ref="E9:E54" ca="1" si="1">D9*($E$2+$E$3)</f>
        <v>260.85714285714289</v>
      </c>
    </row>
    <row r="10" spans="1:5" x14ac:dyDescent="0.25">
      <c r="A10">
        <v>110230</v>
      </c>
      <c r="B10" t="s">
        <v>1</v>
      </c>
      <c r="C10">
        <f>'[1]VENTAS CONSOLIDADA VALENCIA'!C10</f>
        <v>2357</v>
      </c>
      <c r="D10" s="5">
        <f t="shared" ca="1" si="0"/>
        <v>112.23809523809524</v>
      </c>
      <c r="E10" s="5">
        <f t="shared" ca="1" si="1"/>
        <v>2469.2380952380954</v>
      </c>
    </row>
    <row r="11" spans="1:5" x14ac:dyDescent="0.25">
      <c r="A11">
        <v>110400</v>
      </c>
      <c r="B11" t="s">
        <v>13</v>
      </c>
      <c r="C11">
        <f>'[1]VENTAS CONSOLIDADA VALENCIA'!C11</f>
        <v>545</v>
      </c>
      <c r="D11" s="5">
        <f t="shared" ca="1" si="0"/>
        <v>25.952380952380953</v>
      </c>
      <c r="E11" s="5">
        <f t="shared" ca="1" si="1"/>
        <v>570.95238095238096</v>
      </c>
    </row>
    <row r="12" spans="1:5" x14ac:dyDescent="0.25">
      <c r="A12">
        <v>111000</v>
      </c>
      <c r="B12" t="s">
        <v>14</v>
      </c>
      <c r="C12">
        <f>'[1]VENTAS CONSOLIDADA VALENCIA'!C12</f>
        <v>40</v>
      </c>
      <c r="D12" s="5">
        <f t="shared" ca="1" si="0"/>
        <v>1.9047619047619047</v>
      </c>
      <c r="E12" s="5">
        <f t="shared" ca="1" si="1"/>
        <v>41.904761904761905</v>
      </c>
    </row>
    <row r="13" spans="1:5" x14ac:dyDescent="0.25">
      <c r="A13">
        <v>120130</v>
      </c>
      <c r="B13" t="s">
        <v>15</v>
      </c>
      <c r="C13">
        <f>'[1]VENTAS CONSOLIDADA VALENCIA'!C13</f>
        <v>7080</v>
      </c>
      <c r="D13" s="5">
        <f t="shared" ca="1" si="0"/>
        <v>337.14285714285717</v>
      </c>
      <c r="E13" s="5">
        <f t="shared" ca="1" si="1"/>
        <v>7417.1428571428578</v>
      </c>
    </row>
    <row r="14" spans="1:5" x14ac:dyDescent="0.25">
      <c r="A14">
        <v>120131</v>
      </c>
      <c r="B14" t="s">
        <v>23</v>
      </c>
      <c r="C14">
        <f>'[1]VENTAS CONSOLIDADA VALENCIA'!C14</f>
        <v>1156</v>
      </c>
      <c r="D14" s="5">
        <f t="shared" ca="1" si="0"/>
        <v>55.047619047619051</v>
      </c>
      <c r="E14" s="5">
        <f t="shared" ca="1" si="1"/>
        <v>1211.047619047619</v>
      </c>
    </row>
    <row r="15" spans="1:5" x14ac:dyDescent="0.25">
      <c r="A15">
        <v>120132</v>
      </c>
      <c r="B15" t="s">
        <v>21</v>
      </c>
      <c r="C15">
        <f>'[1]VENTAS CONSOLIDADA VALENCIA'!C15</f>
        <v>2682</v>
      </c>
      <c r="D15" s="5">
        <f t="shared" ca="1" si="0"/>
        <v>127.71428571428571</v>
      </c>
      <c r="E15" s="5">
        <f t="shared" ca="1" si="1"/>
        <v>2809.7142857142858</v>
      </c>
    </row>
    <row r="16" spans="1:5" x14ac:dyDescent="0.25">
      <c r="A16">
        <v>130150</v>
      </c>
      <c r="B16" t="s">
        <v>0</v>
      </c>
      <c r="C16">
        <f>'[1]VENTAS CONSOLIDADA VALENCIA'!C16</f>
        <v>7244</v>
      </c>
      <c r="D16" s="5">
        <f t="shared" ca="1" si="0"/>
        <v>344.95238095238096</v>
      </c>
      <c r="E16" s="5">
        <f t="shared" ca="1" si="1"/>
        <v>7588.9523809523816</v>
      </c>
    </row>
    <row r="17" spans="1:5" x14ac:dyDescent="0.25">
      <c r="A17">
        <v>130151</v>
      </c>
      <c r="B17" t="s">
        <v>4</v>
      </c>
      <c r="C17">
        <f>'[1]VENTAS CONSOLIDADA VALENCIA'!C17</f>
        <v>3228</v>
      </c>
      <c r="D17" s="5">
        <f t="shared" ca="1" si="0"/>
        <v>153.71428571428572</v>
      </c>
      <c r="E17" s="5">
        <f t="shared" ca="1" si="1"/>
        <v>3381.7142857142858</v>
      </c>
    </row>
    <row r="18" spans="1:5" x14ac:dyDescent="0.25">
      <c r="A18">
        <v>130152</v>
      </c>
      <c r="B18" t="s">
        <v>51</v>
      </c>
      <c r="C18">
        <f>'[1]VENTAS CONSOLIDADA VALENCIA'!C18</f>
        <v>20431</v>
      </c>
      <c r="D18" s="5">
        <f t="shared" ca="1" si="0"/>
        <v>972.90476190476193</v>
      </c>
      <c r="E18" s="5">
        <f t="shared" ca="1" si="1"/>
        <v>21403.904761904763</v>
      </c>
    </row>
    <row r="19" spans="1:5" x14ac:dyDescent="0.25">
      <c r="A19">
        <v>130153</v>
      </c>
      <c r="B19" t="s">
        <v>52</v>
      </c>
      <c r="C19">
        <f>'[1]VENTAS CONSOLIDADA VALENCIA'!C19</f>
        <v>12406</v>
      </c>
      <c r="D19" s="5">
        <f t="shared" ca="1" si="0"/>
        <v>590.76190476190482</v>
      </c>
      <c r="E19" s="5">
        <f t="shared" ca="1" si="1"/>
        <v>12996.761904761906</v>
      </c>
    </row>
    <row r="20" spans="1:5" x14ac:dyDescent="0.25">
      <c r="A20">
        <v>130154</v>
      </c>
      <c r="B20" t="s">
        <v>53</v>
      </c>
      <c r="C20">
        <f>'[1]VENTAS CONSOLIDADA VALENCIA'!C20</f>
        <v>13054</v>
      </c>
      <c r="D20" s="5">
        <f t="shared" ca="1" si="0"/>
        <v>621.61904761904759</v>
      </c>
      <c r="E20" s="5">
        <f t="shared" ca="1" si="1"/>
        <v>13675.619047619048</v>
      </c>
    </row>
    <row r="21" spans="1:5" x14ac:dyDescent="0.25">
      <c r="A21">
        <v>130155</v>
      </c>
      <c r="B21" t="s">
        <v>16</v>
      </c>
      <c r="C21">
        <f>'[1]VENTAS CONSOLIDADA VALENCIA'!C21</f>
        <v>15424</v>
      </c>
      <c r="D21" s="5">
        <f t="shared" ca="1" si="0"/>
        <v>734.47619047619048</v>
      </c>
      <c r="E21" s="5">
        <f t="shared" ca="1" si="1"/>
        <v>16158.476190476191</v>
      </c>
    </row>
    <row r="22" spans="1:5" x14ac:dyDescent="0.25">
      <c r="A22">
        <v>130157</v>
      </c>
      <c r="B22" t="s">
        <v>43</v>
      </c>
      <c r="C22">
        <f>'[1]VENTAS CONSOLIDADA VALENCIA'!C22</f>
        <v>4016</v>
      </c>
      <c r="D22" s="5">
        <f t="shared" ca="1" si="0"/>
        <v>191.23809523809524</v>
      </c>
      <c r="E22" s="5">
        <f t="shared" ca="1" si="1"/>
        <v>4207.2380952380954</v>
      </c>
    </row>
    <row r="23" spans="1:5" x14ac:dyDescent="0.25">
      <c r="A23">
        <v>130158</v>
      </c>
      <c r="B23" t="s">
        <v>44</v>
      </c>
      <c r="C23">
        <f>'[1]VENTAS CONSOLIDADA VALENCIA'!C23</f>
        <v>5845</v>
      </c>
      <c r="D23" s="5">
        <f t="shared" ca="1" si="0"/>
        <v>278.33333333333331</v>
      </c>
      <c r="E23" s="5">
        <f t="shared" ca="1" si="1"/>
        <v>6123.333333333333</v>
      </c>
    </row>
    <row r="24" spans="1:5" x14ac:dyDescent="0.25">
      <c r="A24">
        <v>130159</v>
      </c>
      <c r="B24" t="s">
        <v>45</v>
      </c>
      <c r="C24">
        <f>'[1]VENTAS CONSOLIDADA VALENCIA'!C24</f>
        <v>5393</v>
      </c>
      <c r="D24" s="5">
        <f t="shared" ca="1" si="0"/>
        <v>256.8095238095238</v>
      </c>
      <c r="E24" s="5">
        <f t="shared" ca="1" si="1"/>
        <v>5649.8095238095239</v>
      </c>
    </row>
    <row r="25" spans="1:5" x14ac:dyDescent="0.25">
      <c r="A25">
        <v>130700</v>
      </c>
      <c r="B25" t="s">
        <v>3</v>
      </c>
      <c r="C25">
        <f>'[1]VENTAS CONSOLIDADA VALENCIA'!C25</f>
        <v>2588</v>
      </c>
      <c r="D25" s="5">
        <f t="shared" ca="1" si="0"/>
        <v>123.23809523809524</v>
      </c>
      <c r="E25" s="5">
        <f t="shared" ca="1" si="1"/>
        <v>2711.2380952380954</v>
      </c>
    </row>
    <row r="26" spans="1:5" x14ac:dyDescent="0.25">
      <c r="A26">
        <v>130701</v>
      </c>
      <c r="B26" t="s">
        <v>30</v>
      </c>
      <c r="C26">
        <f>'[1]VENTAS CONSOLIDADA VALENCIA'!C26</f>
        <v>1496</v>
      </c>
      <c r="D26" s="5">
        <f t="shared" ca="1" si="0"/>
        <v>71.238095238095241</v>
      </c>
      <c r="E26" s="5">
        <f t="shared" ca="1" si="1"/>
        <v>1567.2380952380954</v>
      </c>
    </row>
    <row r="27" spans="1:5" x14ac:dyDescent="0.25">
      <c r="A27">
        <v>130702</v>
      </c>
      <c r="B27" t="s">
        <v>12</v>
      </c>
      <c r="C27">
        <f>'[1]VENTAS CONSOLIDADA VALENCIA'!C27</f>
        <v>3857</v>
      </c>
      <c r="D27" s="5">
        <f t="shared" ca="1" si="0"/>
        <v>183.66666666666666</v>
      </c>
      <c r="E27" s="5">
        <f t="shared" ca="1" si="1"/>
        <v>4040.6666666666665</v>
      </c>
    </row>
    <row r="28" spans="1:5" x14ac:dyDescent="0.25">
      <c r="A28">
        <v>130703</v>
      </c>
      <c r="B28" t="s">
        <v>17</v>
      </c>
      <c r="C28">
        <f>'[1]VENTAS CONSOLIDADA VALENCIA'!C28</f>
        <v>5859</v>
      </c>
      <c r="D28" s="5">
        <f t="shared" ca="1" si="0"/>
        <v>279</v>
      </c>
      <c r="E28" s="5">
        <f t="shared" ca="1" si="1"/>
        <v>6138</v>
      </c>
    </row>
    <row r="29" spans="1:5" x14ac:dyDescent="0.25">
      <c r="A29">
        <v>130707</v>
      </c>
      <c r="B29" t="s">
        <v>42</v>
      </c>
      <c r="C29">
        <f>'[1]VENTAS CONSOLIDADA VALENCIA'!C29</f>
        <v>0</v>
      </c>
      <c r="D29" s="5">
        <f t="shared" ca="1" si="0"/>
        <v>0</v>
      </c>
      <c r="E29" s="5">
        <f t="shared" ca="1" si="1"/>
        <v>0</v>
      </c>
    </row>
    <row r="30" spans="1:5" x14ac:dyDescent="0.25">
      <c r="A30">
        <v>131150</v>
      </c>
      <c r="B30" t="s">
        <v>22</v>
      </c>
      <c r="C30">
        <f>'[1]VENTAS CONSOLIDADA VALENCIA'!C30</f>
        <v>3539</v>
      </c>
      <c r="D30" s="5">
        <f t="shared" ca="1" si="0"/>
        <v>168.52380952380952</v>
      </c>
      <c r="E30" s="5">
        <f t="shared" ca="1" si="1"/>
        <v>3707.5238095238092</v>
      </c>
    </row>
    <row r="31" spans="1:5" x14ac:dyDescent="0.25">
      <c r="A31">
        <v>131151</v>
      </c>
      <c r="B31" t="s">
        <v>19</v>
      </c>
      <c r="C31">
        <f>'[1]VENTAS CONSOLIDADA VALENCIA'!C31</f>
        <v>4884</v>
      </c>
      <c r="D31" s="5">
        <f t="shared" ca="1" si="0"/>
        <v>232.57142857142858</v>
      </c>
      <c r="E31" s="5">
        <f t="shared" ca="1" si="1"/>
        <v>5116.5714285714284</v>
      </c>
    </row>
    <row r="32" spans="1:5" x14ac:dyDescent="0.25">
      <c r="A32">
        <v>131152</v>
      </c>
      <c r="B32" t="s">
        <v>32</v>
      </c>
      <c r="C32">
        <f>'[1]VENTAS CONSOLIDADA VALENCIA'!C32</f>
        <v>2955</v>
      </c>
      <c r="D32" s="5">
        <f t="shared" ca="1" si="0"/>
        <v>140.71428571428572</v>
      </c>
      <c r="E32" s="5">
        <f t="shared" ca="1" si="1"/>
        <v>3095.7142857142858</v>
      </c>
    </row>
    <row r="33" spans="1:5" x14ac:dyDescent="0.25">
      <c r="A33">
        <v>131153</v>
      </c>
      <c r="B33" t="s">
        <v>11</v>
      </c>
      <c r="C33">
        <f>'[1]VENTAS CONSOLIDADA VALENCIA'!C33</f>
        <v>2501</v>
      </c>
      <c r="D33" s="5">
        <f t="shared" ca="1" si="0"/>
        <v>119.0952380952381</v>
      </c>
      <c r="E33" s="5">
        <f t="shared" ca="1" si="1"/>
        <v>2620.0952380952381</v>
      </c>
    </row>
    <row r="34" spans="1:5" x14ac:dyDescent="0.25">
      <c r="A34">
        <v>131154</v>
      </c>
      <c r="B34" t="s">
        <v>48</v>
      </c>
      <c r="C34">
        <f>'[1]VENTAS CONSOLIDADA VALENCIA'!C34</f>
        <v>1196</v>
      </c>
      <c r="D34" s="5">
        <f t="shared" ca="1" si="0"/>
        <v>56.952380952380949</v>
      </c>
      <c r="E34" s="5">
        <f t="shared" ca="1" si="1"/>
        <v>1252.952380952381</v>
      </c>
    </row>
    <row r="35" spans="1:5" x14ac:dyDescent="0.25">
      <c r="A35">
        <v>131155</v>
      </c>
      <c r="B35" t="s">
        <v>57</v>
      </c>
      <c r="C35">
        <f>'[1]VENTAS CONSOLIDADA VALENCIA'!C35</f>
        <v>1434</v>
      </c>
      <c r="D35" s="5">
        <f t="shared" ca="1" si="0"/>
        <v>68.285714285714292</v>
      </c>
      <c r="E35" s="5">
        <f t="shared" ca="1" si="1"/>
        <v>1502.2857142857144</v>
      </c>
    </row>
    <row r="36" spans="1:5" x14ac:dyDescent="0.25">
      <c r="A36">
        <v>131700</v>
      </c>
      <c r="B36" t="s">
        <v>20</v>
      </c>
      <c r="C36">
        <f>'[1]VENTAS CONSOLIDADA VALENCIA'!C36</f>
        <v>802</v>
      </c>
      <c r="D36" s="5">
        <f t="shared" ca="1" si="0"/>
        <v>38.19047619047619</v>
      </c>
      <c r="E36" s="5">
        <f t="shared" ca="1" si="1"/>
        <v>840.19047619047615</v>
      </c>
    </row>
    <row r="37" spans="1:5" x14ac:dyDescent="0.25">
      <c r="A37">
        <v>131701</v>
      </c>
      <c r="B37" t="s">
        <v>24</v>
      </c>
      <c r="C37">
        <f>'[1]VENTAS CONSOLIDADA VALENCIA'!C37</f>
        <v>877</v>
      </c>
      <c r="D37" s="5">
        <f t="shared" ca="1" si="0"/>
        <v>41.761904761904759</v>
      </c>
      <c r="E37" s="5">
        <f t="shared" ca="1" si="1"/>
        <v>918.7619047619047</v>
      </c>
    </row>
    <row r="38" spans="1:5" x14ac:dyDescent="0.25">
      <c r="A38">
        <v>132150</v>
      </c>
      <c r="B38" t="s">
        <v>25</v>
      </c>
      <c r="C38">
        <f>'[1]VENTAS CONSOLIDADA VALENCIA'!C38</f>
        <v>5250</v>
      </c>
      <c r="D38" s="5">
        <f t="shared" ca="1" si="0"/>
        <v>250</v>
      </c>
      <c r="E38" s="5">
        <f t="shared" ca="1" si="1"/>
        <v>5500</v>
      </c>
    </row>
    <row r="39" spans="1:5" x14ac:dyDescent="0.25">
      <c r="A39">
        <v>132151</v>
      </c>
      <c r="B39" t="s">
        <v>26</v>
      </c>
      <c r="C39">
        <f>'[1]VENTAS CONSOLIDADA VALENCIA'!C39</f>
        <v>4051</v>
      </c>
      <c r="D39" s="5">
        <f t="shared" ca="1" si="0"/>
        <v>192.9047619047619</v>
      </c>
      <c r="E39" s="5">
        <f t="shared" ca="1" si="1"/>
        <v>4243.9047619047615</v>
      </c>
    </row>
    <row r="40" spans="1:5" x14ac:dyDescent="0.25">
      <c r="A40">
        <v>132152</v>
      </c>
      <c r="B40" t="s">
        <v>27</v>
      </c>
      <c r="C40">
        <f>'[1]VENTAS CONSOLIDADA VALENCIA'!C40</f>
        <v>5355</v>
      </c>
      <c r="D40" s="5">
        <f t="shared" ca="1" si="0"/>
        <v>255</v>
      </c>
      <c r="E40" s="5">
        <f t="shared" ca="1" si="1"/>
        <v>5610</v>
      </c>
    </row>
    <row r="41" spans="1:5" x14ac:dyDescent="0.25">
      <c r="A41">
        <v>132153</v>
      </c>
      <c r="B41" t="s">
        <v>40</v>
      </c>
      <c r="C41">
        <f>'[1]VENTAS CONSOLIDADA VALENCIA'!C41</f>
        <v>3412</v>
      </c>
      <c r="D41" s="5">
        <f t="shared" ca="1" si="0"/>
        <v>162.47619047619048</v>
      </c>
      <c r="E41" s="5">
        <f t="shared" ca="1" si="1"/>
        <v>3574.4761904761908</v>
      </c>
    </row>
    <row r="42" spans="1:5" x14ac:dyDescent="0.25">
      <c r="A42">
        <v>134000</v>
      </c>
      <c r="B42" t="s">
        <v>35</v>
      </c>
      <c r="C42">
        <f>'[1]VENTAS CONSOLIDADA VALENCIA'!C42</f>
        <v>60</v>
      </c>
      <c r="D42" s="5">
        <f t="shared" ca="1" si="0"/>
        <v>2.8571428571428572</v>
      </c>
      <c r="E42" s="5">
        <f t="shared" ca="1" si="1"/>
        <v>62.857142857142861</v>
      </c>
    </row>
    <row r="43" spans="1:5" x14ac:dyDescent="0.25">
      <c r="A43">
        <v>134001</v>
      </c>
      <c r="B43" t="s">
        <v>47</v>
      </c>
      <c r="C43">
        <f>'[1]VENTAS CONSOLIDADA VALENCIA'!C43</f>
        <v>11</v>
      </c>
      <c r="D43" s="5">
        <f t="shared" ca="1" si="0"/>
        <v>0.52380952380952384</v>
      </c>
      <c r="E43" s="5">
        <f t="shared" ca="1" si="1"/>
        <v>11.523809523809524</v>
      </c>
    </row>
    <row r="44" spans="1:5" x14ac:dyDescent="0.25">
      <c r="A44">
        <v>140230</v>
      </c>
      <c r="B44" t="s">
        <v>18</v>
      </c>
      <c r="C44">
        <f>'[1]VENTAS CONSOLIDADA VALENCIA'!C44</f>
        <v>1126</v>
      </c>
      <c r="D44" s="5">
        <f t="shared" ca="1" si="0"/>
        <v>53.61904761904762</v>
      </c>
      <c r="E44" s="5">
        <f t="shared" ca="1" si="1"/>
        <v>1179.6190476190477</v>
      </c>
    </row>
    <row r="45" spans="1:5" x14ac:dyDescent="0.25">
      <c r="A45">
        <v>140231</v>
      </c>
      <c r="B45" t="s">
        <v>10</v>
      </c>
      <c r="C45">
        <f>'[1]VENTAS CONSOLIDADA VALENCIA'!C45</f>
        <v>4093</v>
      </c>
      <c r="D45" s="5">
        <f t="shared" ca="1" si="0"/>
        <v>194.9047619047619</v>
      </c>
      <c r="E45" s="5">
        <f t="shared" ca="1" si="1"/>
        <v>4287.9047619047615</v>
      </c>
    </row>
    <row r="46" spans="1:5" x14ac:dyDescent="0.25">
      <c r="A46">
        <v>140232</v>
      </c>
      <c r="B46" t="s">
        <v>9</v>
      </c>
      <c r="C46">
        <f>'[1]VENTAS CONSOLIDADA VALENCIA'!C46</f>
        <v>3461</v>
      </c>
      <c r="D46" s="5">
        <f t="shared" ca="1" si="0"/>
        <v>164.8095238095238</v>
      </c>
      <c r="E46" s="5">
        <f t="shared" ca="1" si="1"/>
        <v>3625.8095238095234</v>
      </c>
    </row>
    <row r="47" spans="1:5" x14ac:dyDescent="0.25">
      <c r="A47">
        <v>150360</v>
      </c>
      <c r="B47" t="s">
        <v>28</v>
      </c>
      <c r="C47">
        <f>'[1]VENTAS CONSOLIDADA VALENCIA'!C47</f>
        <v>1137</v>
      </c>
      <c r="D47" s="5">
        <f t="shared" ca="1" si="0"/>
        <v>54.142857142857146</v>
      </c>
      <c r="E47" s="5">
        <f t="shared" ca="1" si="1"/>
        <v>1191.1428571428571</v>
      </c>
    </row>
    <row r="48" spans="1:5" x14ac:dyDescent="0.25">
      <c r="A48">
        <v>150361</v>
      </c>
      <c r="B48" t="s">
        <v>29</v>
      </c>
      <c r="C48">
        <f>'[1]VENTAS CONSOLIDADA VALENCIA'!C48</f>
        <v>2595</v>
      </c>
      <c r="D48" s="5">
        <f t="shared" ca="1" si="0"/>
        <v>123.57142857142857</v>
      </c>
      <c r="E48" s="5">
        <f t="shared" ca="1" si="1"/>
        <v>2718.5714285714284</v>
      </c>
    </row>
    <row r="49" spans="1:5" x14ac:dyDescent="0.25">
      <c r="A49">
        <v>150362</v>
      </c>
      <c r="B49" t="s">
        <v>36</v>
      </c>
      <c r="C49">
        <f>'[1]VENTAS CONSOLIDADA VALENCIA'!C49</f>
        <v>1287</v>
      </c>
      <c r="D49" s="5">
        <f t="shared" ca="1" si="0"/>
        <v>61.285714285714285</v>
      </c>
      <c r="E49" s="5">
        <f t="shared" ca="1" si="1"/>
        <v>1348.2857142857142</v>
      </c>
    </row>
    <row r="50" spans="1:5" x14ac:dyDescent="0.25">
      <c r="A50">
        <v>150363</v>
      </c>
      <c r="B50" t="s">
        <v>31</v>
      </c>
      <c r="C50">
        <f>'[1]VENTAS CONSOLIDADA VALENCIA'!C50</f>
        <v>1539</v>
      </c>
      <c r="D50" s="5">
        <f t="shared" ca="1" si="0"/>
        <v>73.285714285714292</v>
      </c>
      <c r="E50" s="5">
        <f t="shared" ca="1" si="1"/>
        <v>1612.2857142857144</v>
      </c>
    </row>
    <row r="51" spans="1:5" x14ac:dyDescent="0.25">
      <c r="A51">
        <v>151500</v>
      </c>
      <c r="B51" t="s">
        <v>41</v>
      </c>
      <c r="C51">
        <f>'[1]VENTAS CONSOLIDADA VALENCIA'!C51</f>
        <v>296</v>
      </c>
      <c r="D51" s="5">
        <f t="shared" ca="1" si="0"/>
        <v>14.095238095238095</v>
      </c>
      <c r="E51" s="5">
        <f t="shared" ca="1" si="1"/>
        <v>310.09523809523807</v>
      </c>
    </row>
    <row r="52" spans="1:5" x14ac:dyDescent="0.25">
      <c r="A52">
        <v>151501</v>
      </c>
      <c r="B52" t="s">
        <v>33</v>
      </c>
      <c r="C52">
        <f>'[1]VENTAS CONSOLIDADA VALENCIA'!C52</f>
        <v>563</v>
      </c>
      <c r="D52" s="5">
        <f t="shared" ca="1" si="0"/>
        <v>26.80952380952381</v>
      </c>
      <c r="E52" s="5">
        <f t="shared" ca="1" si="1"/>
        <v>589.80952380952385</v>
      </c>
    </row>
    <row r="53" spans="1:5" x14ac:dyDescent="0.25">
      <c r="A53">
        <v>151502</v>
      </c>
      <c r="B53" t="s">
        <v>37</v>
      </c>
      <c r="C53">
        <f>'[1]VENTAS CONSOLIDADA VALENCIA'!C53</f>
        <v>204</v>
      </c>
      <c r="D53" s="5">
        <f t="shared" ca="1" si="0"/>
        <v>9.7142857142857135</v>
      </c>
      <c r="E53" s="5">
        <f t="shared" ca="1" si="1"/>
        <v>213.71428571428569</v>
      </c>
    </row>
    <row r="54" spans="1:5" x14ac:dyDescent="0.25">
      <c r="A54">
        <v>151503</v>
      </c>
      <c r="B54" t="s">
        <v>34</v>
      </c>
      <c r="C54">
        <f>'[1]VENTAS CONSOLIDADA VALENCIA'!C54</f>
        <v>228</v>
      </c>
      <c r="D54" s="5">
        <f t="shared" ca="1" si="0"/>
        <v>10.857142857142858</v>
      </c>
      <c r="E54" s="5">
        <f t="shared" ca="1" si="1"/>
        <v>238.85714285714286</v>
      </c>
    </row>
    <row r="55" spans="1:5" x14ac:dyDescent="0.25">
      <c r="D55" s="5">
        <f ca="1">SUM(D8:D54)</f>
        <v>8218.8571428571449</v>
      </c>
      <c r="E55" s="5">
        <f ca="1">SUM(E8:E54)</f>
        <v>180814.8571428571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1" spans="1:5" x14ac:dyDescent="0.25">
      <c r="D61" s="5"/>
      <c r="E61" s="5"/>
    </row>
    <row r="62" spans="1:5" x14ac:dyDescent="0.25">
      <c r="D62" s="5"/>
      <c r="E62" s="5"/>
    </row>
    <row r="63" spans="1:5" x14ac:dyDescent="0.25">
      <c r="D63" s="5"/>
      <c r="E6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E2BE-8F1D-42B9-A7BA-DFF29ED8F9C9}">
  <dimension ref="A1:F62"/>
  <sheetViews>
    <sheetView workbookViewId="0">
      <selection activeCell="G64" sqref="G64"/>
    </sheetView>
  </sheetViews>
  <sheetFormatPr baseColWidth="10" defaultRowHeight="15" x14ac:dyDescent="0.25"/>
  <cols>
    <col min="1" max="1" width="17.7109375" customWidth="1"/>
    <col min="2" max="2" width="41" customWidth="1"/>
    <col min="3" max="3" width="17" customWidth="1"/>
    <col min="4" max="4" width="14.42578125" customWidth="1"/>
  </cols>
  <sheetData>
    <row r="1" spans="1:6" ht="21" x14ac:dyDescent="0.35">
      <c r="B1" s="8" t="s">
        <v>58</v>
      </c>
      <c r="C1" s="2" t="str">
        <f>'[1]VENTAS CONSOLIDADA CARACAS'!C1</f>
        <v>INICIO VENTAS</v>
      </c>
      <c r="D1" s="3">
        <f>'[1]VENTAS CONSOLIDADA CARACAS'!D1</f>
        <v>46266</v>
      </c>
    </row>
    <row r="2" spans="1:6" x14ac:dyDescent="0.25">
      <c r="B2" s="9" t="s">
        <v>55</v>
      </c>
      <c r="C2" s="2" t="str">
        <f>'[1]VENTAS CONSOLIDADA CARACAS'!C2</f>
        <v>TRASCURSO VENTAS</v>
      </c>
      <c r="D2" s="3">
        <f ca="1">'[1]VENTAS CONSOLIDADA CARACAS'!D2</f>
        <v>46295</v>
      </c>
      <c r="E2" s="4">
        <f ca="1">'[1]VENTAS CONSOLIDADA CARACAS'!E2</f>
        <v>21</v>
      </c>
    </row>
    <row r="3" spans="1:6" x14ac:dyDescent="0.25">
      <c r="B3" s="9"/>
      <c r="C3" s="2" t="str">
        <f>'[1]VENTAS CONSOLIDADA CARACAS'!C3</f>
        <v>FINAL VENTAS</v>
      </c>
      <c r="D3" s="3">
        <f>'[1]VENTAS CONSOLIDADA CARACAS'!D3</f>
        <v>46295</v>
      </c>
      <c r="E3" s="4">
        <f ca="1">'[1]VENTAS CONSOLIDADA CARACAS'!E3</f>
        <v>1</v>
      </c>
    </row>
    <row r="4" spans="1:6" x14ac:dyDescent="0.25">
      <c r="B4" s="10"/>
    </row>
    <row r="7" spans="1:6" x14ac:dyDescent="0.25">
      <c r="C7" s="6" t="s">
        <v>56</v>
      </c>
      <c r="D7" s="6" t="s">
        <v>49</v>
      </c>
      <c r="E7" s="6" t="s">
        <v>50</v>
      </c>
    </row>
    <row r="8" spans="1:6" x14ac:dyDescent="0.25">
      <c r="A8">
        <v>110150</v>
      </c>
      <c r="B8" t="s">
        <v>2</v>
      </c>
      <c r="C8">
        <f>'[1]VENTAS CONSOLIDADA CARACAS'!C8</f>
        <v>16513</v>
      </c>
      <c r="D8" s="5">
        <f t="shared" ref="D8:D54" ca="1" si="0">C8/$E$2</f>
        <v>786.33333333333337</v>
      </c>
      <c r="E8" s="5">
        <f ca="1">D8*($E$2+$E$3)</f>
        <v>17299.333333333336</v>
      </c>
      <c r="F8" s="5"/>
    </row>
    <row r="9" spans="1:6" x14ac:dyDescent="0.25">
      <c r="A9">
        <v>110151</v>
      </c>
      <c r="B9" t="s">
        <v>5</v>
      </c>
      <c r="C9">
        <f>'[1]VENTAS CONSOLIDADA CARACAS'!C9</f>
        <v>470</v>
      </c>
      <c r="D9" s="5">
        <f t="shared" ca="1" si="0"/>
        <v>22.38095238095238</v>
      </c>
      <c r="E9" s="5">
        <f t="shared" ref="E9:E54" ca="1" si="1">D9*($E$2+$E$3)</f>
        <v>492.38095238095235</v>
      </c>
    </row>
    <row r="10" spans="1:6" x14ac:dyDescent="0.25">
      <c r="A10">
        <v>110230</v>
      </c>
      <c r="B10" t="s">
        <v>1</v>
      </c>
      <c r="C10">
        <f>'[1]VENTAS CONSOLIDADA CARACAS'!C10</f>
        <v>7059</v>
      </c>
      <c r="D10" s="5">
        <f t="shared" ca="1" si="0"/>
        <v>336.14285714285717</v>
      </c>
      <c r="E10" s="5">
        <f t="shared" ca="1" si="1"/>
        <v>7395.1428571428578</v>
      </c>
    </row>
    <row r="11" spans="1:6" x14ac:dyDescent="0.25">
      <c r="A11">
        <v>110400</v>
      </c>
      <c r="B11" t="s">
        <v>13</v>
      </c>
      <c r="C11">
        <f>'[1]VENTAS CONSOLIDADA CARACAS'!C11</f>
        <v>1561</v>
      </c>
      <c r="D11" s="5">
        <f t="shared" ca="1" si="0"/>
        <v>74.333333333333329</v>
      </c>
      <c r="E11" s="5">
        <f t="shared" ca="1" si="1"/>
        <v>1635.3333333333333</v>
      </c>
    </row>
    <row r="12" spans="1:6" x14ac:dyDescent="0.25">
      <c r="A12">
        <v>111000</v>
      </c>
      <c r="B12" t="s">
        <v>14</v>
      </c>
      <c r="C12">
        <f>'[1]VENTAS CONSOLIDADA CARACAS'!C12</f>
        <v>240</v>
      </c>
      <c r="D12" s="5">
        <f t="shared" ca="1" si="0"/>
        <v>11.428571428571429</v>
      </c>
      <c r="E12" s="5">
        <f t="shared" ca="1" si="1"/>
        <v>251.42857142857144</v>
      </c>
    </row>
    <row r="13" spans="1:6" x14ac:dyDescent="0.25">
      <c r="A13">
        <v>120130</v>
      </c>
      <c r="B13" t="s">
        <v>15</v>
      </c>
      <c r="C13">
        <f>'[1]VENTAS CONSOLIDADA CARACAS'!C13</f>
        <v>17083</v>
      </c>
      <c r="D13" s="5">
        <f t="shared" ca="1" si="0"/>
        <v>813.47619047619048</v>
      </c>
      <c r="E13" s="5">
        <f t="shared" ca="1" si="1"/>
        <v>17896.476190476191</v>
      </c>
    </row>
    <row r="14" spans="1:6" x14ac:dyDescent="0.25">
      <c r="A14">
        <v>120131</v>
      </c>
      <c r="B14" t="s">
        <v>23</v>
      </c>
      <c r="C14">
        <f>'[1]VENTAS CONSOLIDADA CARACAS'!C14</f>
        <v>1355</v>
      </c>
      <c r="D14" s="5">
        <f t="shared" ca="1" si="0"/>
        <v>64.523809523809518</v>
      </c>
      <c r="E14" s="5">
        <f t="shared" ca="1" si="1"/>
        <v>1419.5238095238094</v>
      </c>
    </row>
    <row r="15" spans="1:6" x14ac:dyDescent="0.25">
      <c r="A15">
        <v>120132</v>
      </c>
      <c r="B15" t="s">
        <v>21</v>
      </c>
      <c r="C15">
        <f>'[1]VENTAS CONSOLIDADA CARACAS'!C15</f>
        <v>2834</v>
      </c>
      <c r="D15" s="5">
        <f t="shared" ca="1" si="0"/>
        <v>134.95238095238096</v>
      </c>
      <c r="E15" s="5">
        <f t="shared" ca="1" si="1"/>
        <v>2968.9523809523812</v>
      </c>
    </row>
    <row r="16" spans="1:6" x14ac:dyDescent="0.25">
      <c r="A16">
        <v>130150</v>
      </c>
      <c r="B16" t="s">
        <v>0</v>
      </c>
      <c r="C16">
        <f>'[1]VENTAS CONSOLIDADA CARACAS'!C16</f>
        <v>6306</v>
      </c>
      <c r="D16" s="5">
        <f t="shared" ca="1" si="0"/>
        <v>300.28571428571428</v>
      </c>
      <c r="E16" s="5">
        <f t="shared" ca="1" si="1"/>
        <v>6606.2857142857138</v>
      </c>
    </row>
    <row r="17" spans="1:5" x14ac:dyDescent="0.25">
      <c r="A17">
        <v>130151</v>
      </c>
      <c r="B17" t="s">
        <v>4</v>
      </c>
      <c r="C17">
        <f>'[1]VENTAS CONSOLIDADA CARACAS'!C17</f>
        <v>3932</v>
      </c>
      <c r="D17" s="5">
        <f t="shared" ca="1" si="0"/>
        <v>187.23809523809524</v>
      </c>
      <c r="E17" s="5">
        <f t="shared" ca="1" si="1"/>
        <v>4119.2380952380954</v>
      </c>
    </row>
    <row r="18" spans="1:5" x14ac:dyDescent="0.25">
      <c r="A18">
        <v>130152</v>
      </c>
      <c r="B18" t="s">
        <v>51</v>
      </c>
      <c r="C18">
        <f>'[1]VENTAS CONSOLIDADA CARACAS'!C18</f>
        <v>33982</v>
      </c>
      <c r="D18" s="5">
        <f t="shared" ca="1" si="0"/>
        <v>1618.1904761904761</v>
      </c>
      <c r="E18" s="5">
        <f t="shared" ca="1" si="1"/>
        <v>35600.190476190473</v>
      </c>
    </row>
    <row r="19" spans="1:5" x14ac:dyDescent="0.25">
      <c r="A19">
        <v>130153</v>
      </c>
      <c r="B19" t="s">
        <v>52</v>
      </c>
      <c r="C19">
        <f>'[1]VENTAS CONSOLIDADA CARACAS'!C19</f>
        <v>22935</v>
      </c>
      <c r="D19" s="5">
        <f t="shared" ca="1" si="0"/>
        <v>1092.1428571428571</v>
      </c>
      <c r="E19" s="5">
        <f t="shared" ca="1" si="1"/>
        <v>24027.142857142855</v>
      </c>
    </row>
    <row r="20" spans="1:5" x14ac:dyDescent="0.25">
      <c r="A20">
        <v>130154</v>
      </c>
      <c r="B20" t="s">
        <v>53</v>
      </c>
      <c r="C20">
        <f>'[1]VENTAS CONSOLIDADA CARACAS'!C20</f>
        <v>22096</v>
      </c>
      <c r="D20" s="5">
        <f t="shared" ca="1" si="0"/>
        <v>1052.1904761904761</v>
      </c>
      <c r="E20" s="5">
        <f t="shared" ca="1" si="1"/>
        <v>23148.190476190473</v>
      </c>
    </row>
    <row r="21" spans="1:5" x14ac:dyDescent="0.25">
      <c r="A21">
        <v>130155</v>
      </c>
      <c r="B21" t="s">
        <v>16</v>
      </c>
      <c r="C21">
        <f>'[1]VENTAS CONSOLIDADA CARACAS'!C21</f>
        <v>28627</v>
      </c>
      <c r="D21" s="5">
        <f t="shared" ca="1" si="0"/>
        <v>1363.1904761904761</v>
      </c>
      <c r="E21" s="5">
        <f t="shared" ca="1" si="1"/>
        <v>29990.190476190473</v>
      </c>
    </row>
    <row r="22" spans="1:5" x14ac:dyDescent="0.25">
      <c r="A22">
        <v>130157</v>
      </c>
      <c r="B22" t="s">
        <v>43</v>
      </c>
      <c r="C22">
        <f>'[1]VENTAS CONSOLIDADA CARACAS'!C22</f>
        <v>7465</v>
      </c>
      <c r="D22" s="5">
        <f t="shared" ca="1" si="0"/>
        <v>355.47619047619048</v>
      </c>
      <c r="E22" s="5">
        <f t="shared" ca="1" si="1"/>
        <v>7820.4761904761908</v>
      </c>
    </row>
    <row r="23" spans="1:5" x14ac:dyDescent="0.25">
      <c r="A23">
        <v>130158</v>
      </c>
      <c r="B23" t="s">
        <v>44</v>
      </c>
      <c r="C23">
        <f>'[1]VENTAS CONSOLIDADA CARACAS'!C23</f>
        <v>7605</v>
      </c>
      <c r="D23" s="5">
        <f t="shared" ca="1" si="0"/>
        <v>362.14285714285717</v>
      </c>
      <c r="E23" s="5">
        <f t="shared" ca="1" si="1"/>
        <v>7967.1428571428578</v>
      </c>
    </row>
    <row r="24" spans="1:5" x14ac:dyDescent="0.25">
      <c r="A24">
        <v>130159</v>
      </c>
      <c r="B24" t="s">
        <v>45</v>
      </c>
      <c r="C24">
        <f>'[1]VENTAS CONSOLIDADA CARACAS'!C24</f>
        <v>8134</v>
      </c>
      <c r="D24" s="5">
        <f t="shared" ca="1" si="0"/>
        <v>387.33333333333331</v>
      </c>
      <c r="E24" s="5">
        <f t="shared" ca="1" si="1"/>
        <v>8521.3333333333321</v>
      </c>
    </row>
    <row r="25" spans="1:5" x14ac:dyDescent="0.25">
      <c r="A25">
        <v>130700</v>
      </c>
      <c r="B25" t="s">
        <v>3</v>
      </c>
      <c r="C25">
        <f>'[1]VENTAS CONSOLIDADA CARACAS'!C25</f>
        <v>2267</v>
      </c>
      <c r="D25" s="5">
        <f t="shared" ca="1" si="0"/>
        <v>107.95238095238095</v>
      </c>
      <c r="E25" s="5">
        <f t="shared" ca="1" si="1"/>
        <v>2374.9523809523807</v>
      </c>
    </row>
    <row r="26" spans="1:5" x14ac:dyDescent="0.25">
      <c r="A26">
        <v>130701</v>
      </c>
      <c r="B26" t="s">
        <v>30</v>
      </c>
      <c r="C26">
        <f>'[1]VENTAS CONSOLIDADA CARACAS'!C26</f>
        <v>1090</v>
      </c>
      <c r="D26" s="5">
        <f t="shared" ca="1" si="0"/>
        <v>51.904761904761905</v>
      </c>
      <c r="E26" s="5">
        <f t="shared" ca="1" si="1"/>
        <v>1141.9047619047619</v>
      </c>
    </row>
    <row r="27" spans="1:5" x14ac:dyDescent="0.25">
      <c r="A27">
        <v>130702</v>
      </c>
      <c r="B27" t="s">
        <v>12</v>
      </c>
      <c r="C27">
        <f>'[1]VENTAS CONSOLIDADA CARACAS'!C27</f>
        <v>4710</v>
      </c>
      <c r="D27" s="5">
        <f t="shared" ca="1" si="0"/>
        <v>224.28571428571428</v>
      </c>
      <c r="E27" s="5">
        <f t="shared" ca="1" si="1"/>
        <v>4934.2857142857138</v>
      </c>
    </row>
    <row r="28" spans="1:5" x14ac:dyDescent="0.25">
      <c r="A28">
        <v>130703</v>
      </c>
      <c r="B28" t="s">
        <v>17</v>
      </c>
      <c r="C28">
        <f>'[1]VENTAS CONSOLIDADA CARACAS'!C28</f>
        <v>9308</v>
      </c>
      <c r="D28" s="5">
        <f t="shared" ca="1" si="0"/>
        <v>443.23809523809524</v>
      </c>
      <c r="E28" s="5">
        <f t="shared" ca="1" si="1"/>
        <v>9751.2380952380954</v>
      </c>
    </row>
    <row r="29" spans="1:5" x14ac:dyDescent="0.25">
      <c r="A29">
        <v>130707</v>
      </c>
      <c r="B29" t="s">
        <v>42</v>
      </c>
      <c r="C29">
        <f>'[1]VENTAS CONSOLIDADA CARACAS'!C29</f>
        <v>1210</v>
      </c>
      <c r="D29" s="5">
        <f t="shared" ca="1" si="0"/>
        <v>57.61904761904762</v>
      </c>
      <c r="E29" s="5">
        <f t="shared" ca="1" si="1"/>
        <v>1267.6190476190477</v>
      </c>
    </row>
    <row r="30" spans="1:5" x14ac:dyDescent="0.25">
      <c r="A30">
        <v>131150</v>
      </c>
      <c r="B30" t="s">
        <v>22</v>
      </c>
      <c r="C30">
        <f>'[1]VENTAS CONSOLIDADA CARACAS'!C30</f>
        <v>8988</v>
      </c>
      <c r="D30" s="5">
        <f t="shared" ca="1" si="0"/>
        <v>428</v>
      </c>
      <c r="E30" s="5">
        <f t="shared" ca="1" si="1"/>
        <v>9416</v>
      </c>
    </row>
    <row r="31" spans="1:5" x14ac:dyDescent="0.25">
      <c r="A31">
        <v>131151</v>
      </c>
      <c r="B31" t="s">
        <v>19</v>
      </c>
      <c r="C31">
        <f>'[1]VENTAS CONSOLIDADA CARACAS'!C31</f>
        <v>13142</v>
      </c>
      <c r="D31" s="5">
        <f t="shared" ca="1" si="0"/>
        <v>625.80952380952385</v>
      </c>
      <c r="E31" s="5">
        <f t="shared" ca="1" si="1"/>
        <v>13767.809523809525</v>
      </c>
    </row>
    <row r="32" spans="1:5" x14ac:dyDescent="0.25">
      <c r="A32">
        <v>131152</v>
      </c>
      <c r="B32" t="s">
        <v>32</v>
      </c>
      <c r="C32">
        <f>'[1]VENTAS CONSOLIDADA CARACAS'!C32</f>
        <v>6127</v>
      </c>
      <c r="D32" s="5">
        <f t="shared" ca="1" si="0"/>
        <v>291.76190476190476</v>
      </c>
      <c r="E32" s="5">
        <f t="shared" ca="1" si="1"/>
        <v>6418.7619047619046</v>
      </c>
    </row>
    <row r="33" spans="1:5" x14ac:dyDescent="0.25">
      <c r="A33">
        <v>131153</v>
      </c>
      <c r="B33" t="s">
        <v>11</v>
      </c>
      <c r="C33">
        <f>'[1]VENTAS CONSOLIDADA CARACAS'!C33</f>
        <v>4422</v>
      </c>
      <c r="D33" s="5">
        <f t="shared" ca="1" si="0"/>
        <v>210.57142857142858</v>
      </c>
      <c r="E33" s="5">
        <f t="shared" ca="1" si="1"/>
        <v>4632.5714285714284</v>
      </c>
    </row>
    <row r="34" spans="1:5" x14ac:dyDescent="0.25">
      <c r="A34">
        <v>131154</v>
      </c>
      <c r="B34" t="s">
        <v>48</v>
      </c>
      <c r="C34">
        <f>'[1]VENTAS CONSOLIDADA CARACAS'!C34</f>
        <v>2141</v>
      </c>
      <c r="D34" s="5">
        <f t="shared" ca="1" si="0"/>
        <v>101.95238095238095</v>
      </c>
      <c r="E34" s="5">
        <f t="shared" ca="1" si="1"/>
        <v>2242.9523809523807</v>
      </c>
    </row>
    <row r="35" spans="1:5" x14ac:dyDescent="0.25">
      <c r="A35">
        <v>131155</v>
      </c>
      <c r="B35" t="s">
        <v>57</v>
      </c>
      <c r="C35">
        <f>'[1]VENTAS CONSOLIDADA CARACAS'!C35</f>
        <v>2779</v>
      </c>
      <c r="D35" s="5">
        <f t="shared" ca="1" si="0"/>
        <v>132.33333333333334</v>
      </c>
      <c r="E35" s="5">
        <f t="shared" ca="1" si="1"/>
        <v>2911.3333333333335</v>
      </c>
    </row>
    <row r="36" spans="1:5" x14ac:dyDescent="0.25">
      <c r="A36">
        <v>131700</v>
      </c>
      <c r="B36" t="s">
        <v>20</v>
      </c>
      <c r="C36">
        <f>'[1]VENTAS CONSOLIDADA CARACAS'!C36</f>
        <v>1495</v>
      </c>
      <c r="D36" s="5">
        <f t="shared" ca="1" si="0"/>
        <v>71.19047619047619</v>
      </c>
      <c r="E36" s="5">
        <f t="shared" ca="1" si="1"/>
        <v>1566.1904761904761</v>
      </c>
    </row>
    <row r="37" spans="1:5" x14ac:dyDescent="0.25">
      <c r="A37">
        <v>131701</v>
      </c>
      <c r="B37" t="s">
        <v>24</v>
      </c>
      <c r="C37">
        <f>'[1]VENTAS CONSOLIDADA CARACAS'!C37</f>
        <v>1614</v>
      </c>
      <c r="D37" s="5">
        <f t="shared" ca="1" si="0"/>
        <v>76.857142857142861</v>
      </c>
      <c r="E37" s="5">
        <f t="shared" ca="1" si="1"/>
        <v>1690.8571428571429</v>
      </c>
    </row>
    <row r="38" spans="1:5" x14ac:dyDescent="0.25">
      <c r="A38">
        <v>132150</v>
      </c>
      <c r="B38" t="s">
        <v>25</v>
      </c>
      <c r="C38">
        <f>'[1]VENTAS CONSOLIDADA CARACAS'!C38</f>
        <v>7106</v>
      </c>
      <c r="D38" s="5">
        <f t="shared" ca="1" si="0"/>
        <v>338.38095238095241</v>
      </c>
      <c r="E38" s="5">
        <f t="shared" ca="1" si="1"/>
        <v>7444.3809523809532</v>
      </c>
    </row>
    <row r="39" spans="1:5" x14ac:dyDescent="0.25">
      <c r="A39">
        <v>132151</v>
      </c>
      <c r="B39" t="s">
        <v>26</v>
      </c>
      <c r="C39">
        <f>'[1]VENTAS CONSOLIDADA CARACAS'!C39</f>
        <v>6041</v>
      </c>
      <c r="D39" s="5">
        <f t="shared" ca="1" si="0"/>
        <v>287.66666666666669</v>
      </c>
      <c r="E39" s="5">
        <f t="shared" ca="1" si="1"/>
        <v>6328.666666666667</v>
      </c>
    </row>
    <row r="40" spans="1:5" x14ac:dyDescent="0.25">
      <c r="A40">
        <v>132152</v>
      </c>
      <c r="B40" t="s">
        <v>27</v>
      </c>
      <c r="C40">
        <f>'[1]VENTAS CONSOLIDADA CARACAS'!C40</f>
        <v>8049</v>
      </c>
      <c r="D40" s="5">
        <f t="shared" ca="1" si="0"/>
        <v>383.28571428571428</v>
      </c>
      <c r="E40" s="5">
        <f t="shared" ca="1" si="1"/>
        <v>8432.2857142857138</v>
      </c>
    </row>
    <row r="41" spans="1:5" x14ac:dyDescent="0.25">
      <c r="A41">
        <v>132153</v>
      </c>
      <c r="B41" t="s">
        <v>40</v>
      </c>
      <c r="C41">
        <f>'[1]VENTAS CONSOLIDADA CARACAS'!C41</f>
        <v>5976</v>
      </c>
      <c r="D41" s="5">
        <f t="shared" ca="1" si="0"/>
        <v>284.57142857142856</v>
      </c>
      <c r="E41" s="5">
        <f t="shared" ca="1" si="1"/>
        <v>6260.5714285714284</v>
      </c>
    </row>
    <row r="42" spans="1:5" x14ac:dyDescent="0.25">
      <c r="A42">
        <v>134000</v>
      </c>
      <c r="B42" t="s">
        <v>35</v>
      </c>
      <c r="C42">
        <f>'[1]VENTAS CONSOLIDADA CARACAS'!C42</f>
        <v>0</v>
      </c>
      <c r="D42" s="5">
        <f t="shared" ca="1" si="0"/>
        <v>0</v>
      </c>
      <c r="E42" s="5">
        <f t="shared" ca="1" si="1"/>
        <v>0</v>
      </c>
    </row>
    <row r="43" spans="1:5" x14ac:dyDescent="0.25">
      <c r="A43">
        <v>134001</v>
      </c>
      <c r="B43" t="s">
        <v>47</v>
      </c>
      <c r="C43">
        <f>'[1]VENTAS CONSOLIDADA CARACAS'!C43</f>
        <v>0</v>
      </c>
      <c r="D43" s="5">
        <f t="shared" ca="1" si="0"/>
        <v>0</v>
      </c>
      <c r="E43" s="5">
        <f t="shared" ca="1" si="1"/>
        <v>0</v>
      </c>
    </row>
    <row r="44" spans="1:5" x14ac:dyDescent="0.25">
      <c r="A44">
        <v>140230</v>
      </c>
      <c r="B44" t="s">
        <v>18</v>
      </c>
      <c r="C44">
        <f>'[1]VENTAS CONSOLIDADA CARACAS'!C44</f>
        <v>1050</v>
      </c>
      <c r="D44" s="5">
        <f t="shared" ca="1" si="0"/>
        <v>50</v>
      </c>
      <c r="E44" s="5">
        <f t="shared" ca="1" si="1"/>
        <v>1100</v>
      </c>
    </row>
    <row r="45" spans="1:5" x14ac:dyDescent="0.25">
      <c r="A45">
        <v>140231</v>
      </c>
      <c r="B45" t="s">
        <v>10</v>
      </c>
      <c r="C45">
        <f>'[1]VENTAS CONSOLIDADA CARACAS'!C45</f>
        <v>6128</v>
      </c>
      <c r="D45" s="5">
        <f t="shared" ca="1" si="0"/>
        <v>291.8095238095238</v>
      </c>
      <c r="E45" s="5">
        <f t="shared" ca="1" si="1"/>
        <v>6419.8095238095239</v>
      </c>
    </row>
    <row r="46" spans="1:5" x14ac:dyDescent="0.25">
      <c r="A46">
        <v>140232</v>
      </c>
      <c r="B46" t="s">
        <v>9</v>
      </c>
      <c r="C46">
        <f>'[1]VENTAS CONSOLIDADA CARACAS'!C46</f>
        <v>4123</v>
      </c>
      <c r="D46" s="5">
        <f t="shared" ca="1" si="0"/>
        <v>196.33333333333334</v>
      </c>
      <c r="E46" s="5">
        <f t="shared" ca="1" si="1"/>
        <v>4319.3333333333339</v>
      </c>
    </row>
    <row r="47" spans="1:5" x14ac:dyDescent="0.25">
      <c r="A47">
        <v>150360</v>
      </c>
      <c r="B47" t="s">
        <v>28</v>
      </c>
      <c r="C47">
        <f>'[1]VENTAS CONSOLIDADA CARACAS'!C47</f>
        <v>3287</v>
      </c>
      <c r="D47" s="5">
        <f t="shared" ca="1" si="0"/>
        <v>156.52380952380952</v>
      </c>
      <c r="E47" s="5">
        <f t="shared" ca="1" si="1"/>
        <v>3443.5238095238092</v>
      </c>
    </row>
    <row r="48" spans="1:5" x14ac:dyDescent="0.25">
      <c r="A48">
        <v>150361</v>
      </c>
      <c r="B48" t="s">
        <v>29</v>
      </c>
      <c r="C48">
        <f>'[1]VENTAS CONSOLIDADA CARACAS'!C48</f>
        <v>5695</v>
      </c>
      <c r="D48" s="5">
        <f t="shared" ca="1" si="0"/>
        <v>271.1904761904762</v>
      </c>
      <c r="E48" s="5">
        <f t="shared" ca="1" si="1"/>
        <v>5966.1904761904761</v>
      </c>
    </row>
    <row r="49" spans="1:5" x14ac:dyDescent="0.25">
      <c r="A49">
        <v>150362</v>
      </c>
      <c r="B49" t="s">
        <v>36</v>
      </c>
      <c r="C49">
        <f>'[1]VENTAS CONSOLIDADA CARACAS'!C49</f>
        <v>3909</v>
      </c>
      <c r="D49" s="5">
        <f t="shared" ca="1" si="0"/>
        <v>186.14285714285714</v>
      </c>
      <c r="E49" s="5">
        <f t="shared" ca="1" si="1"/>
        <v>4095.1428571428569</v>
      </c>
    </row>
    <row r="50" spans="1:5" x14ac:dyDescent="0.25">
      <c r="A50">
        <v>150363</v>
      </c>
      <c r="B50" t="s">
        <v>31</v>
      </c>
      <c r="C50">
        <f>'[1]VENTAS CONSOLIDADA CARACAS'!C50</f>
        <v>3430</v>
      </c>
      <c r="D50" s="5">
        <f t="shared" ca="1" si="0"/>
        <v>163.33333333333334</v>
      </c>
      <c r="E50" s="5">
        <f t="shared" ca="1" si="1"/>
        <v>3593.3333333333335</v>
      </c>
    </row>
    <row r="51" spans="1:5" x14ac:dyDescent="0.25">
      <c r="A51">
        <v>151500</v>
      </c>
      <c r="B51" t="s">
        <v>41</v>
      </c>
      <c r="C51">
        <f>'[1]VENTAS CONSOLIDADA CARACAS'!C51</f>
        <v>606</v>
      </c>
      <c r="D51" s="5">
        <f t="shared" ca="1" si="0"/>
        <v>28.857142857142858</v>
      </c>
      <c r="E51" s="5">
        <f t="shared" ca="1" si="1"/>
        <v>634.85714285714289</v>
      </c>
    </row>
    <row r="52" spans="1:5" x14ac:dyDescent="0.25">
      <c r="A52">
        <v>151501</v>
      </c>
      <c r="B52" t="s">
        <v>33</v>
      </c>
      <c r="C52">
        <f>'[1]VENTAS CONSOLIDADA CARACAS'!C52</f>
        <v>1310</v>
      </c>
      <c r="D52" s="5">
        <f t="shared" ca="1" si="0"/>
        <v>62.38095238095238</v>
      </c>
      <c r="E52" s="5">
        <f t="shared" ca="1" si="1"/>
        <v>1372.3809523809523</v>
      </c>
    </row>
    <row r="53" spans="1:5" x14ac:dyDescent="0.25">
      <c r="A53">
        <v>151502</v>
      </c>
      <c r="B53" t="s">
        <v>37</v>
      </c>
      <c r="C53">
        <f>'[1]VENTAS CONSOLIDADA CARACAS'!C53</f>
        <v>494</v>
      </c>
      <c r="D53" s="5">
        <f t="shared" ca="1" si="0"/>
        <v>23.523809523809526</v>
      </c>
      <c r="E53" s="5">
        <f t="shared" ca="1" si="1"/>
        <v>517.52380952380952</v>
      </c>
    </row>
    <row r="54" spans="1:5" x14ac:dyDescent="0.25">
      <c r="A54">
        <v>151503</v>
      </c>
      <c r="B54" t="s">
        <v>34</v>
      </c>
      <c r="C54">
        <f>'[1]VENTAS CONSOLIDADA CARACAS'!C54</f>
        <v>621</v>
      </c>
      <c r="D54" s="5">
        <f t="shared" ca="1" si="0"/>
        <v>29.571428571428573</v>
      </c>
      <c r="E54" s="5">
        <f t="shared" ca="1" si="1"/>
        <v>650.57142857142856</v>
      </c>
    </row>
    <row r="55" spans="1:5" x14ac:dyDescent="0.25">
      <c r="D55" s="5">
        <f ca="1">SUM(D8:D54)</f>
        <v>14538.809523809527</v>
      </c>
      <c r="E55" s="5">
        <f ca="1">SUM(E8:E54)</f>
        <v>319853.80952380947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1" spans="1:5" x14ac:dyDescent="0.25">
      <c r="D61" s="5"/>
      <c r="E61" s="5"/>
    </row>
    <row r="62" spans="1:5" x14ac:dyDescent="0.25">
      <c r="D62" s="5"/>
      <c r="E6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8CF0-8CC5-4645-B8B9-60DC529475E5}">
  <dimension ref="A1:E65"/>
  <sheetViews>
    <sheetView workbookViewId="0">
      <selection activeCell="H21" sqref="H21"/>
    </sheetView>
  </sheetViews>
  <sheetFormatPr baseColWidth="10" defaultRowHeight="15" x14ac:dyDescent="0.25"/>
  <cols>
    <col min="1" max="1" width="17.5703125" bestFit="1" customWidth="1"/>
    <col min="2" max="2" width="41" customWidth="1"/>
    <col min="3" max="3" width="17" bestFit="1" customWidth="1"/>
    <col min="4" max="4" width="14.42578125" customWidth="1"/>
  </cols>
  <sheetData>
    <row r="1" spans="1:5" ht="21" x14ac:dyDescent="0.35">
      <c r="B1" s="8" t="s">
        <v>59</v>
      </c>
      <c r="C1" s="2" t="str">
        <f>'[1]VENTAS CONSOLIDADA LARA'!C1</f>
        <v>INICIO VENTAS</v>
      </c>
      <c r="D1" s="3">
        <f>'[1]VENTAS CONSOLIDADA LARA'!D1</f>
        <v>46266</v>
      </c>
    </row>
    <row r="2" spans="1:5" x14ac:dyDescent="0.25">
      <c r="B2" s="9" t="s">
        <v>55</v>
      </c>
      <c r="C2" s="2" t="str">
        <f>'[1]VENTAS CONSOLIDADA LARA'!C2</f>
        <v>TRASCURSO VENTAS</v>
      </c>
      <c r="D2" s="3">
        <f ca="1">'[1]VENTAS CONSOLIDADA LARA'!D2</f>
        <v>46295</v>
      </c>
      <c r="E2" s="4">
        <f ca="1">'[1]VENTAS CONSOLIDADA LARA'!E2</f>
        <v>21</v>
      </c>
    </row>
    <row r="3" spans="1:5" x14ac:dyDescent="0.25">
      <c r="B3" s="9"/>
      <c r="C3" s="2" t="str">
        <f>'[1]VENTAS CONSOLIDADA LARA'!C3</f>
        <v>FINAL VENTAS</v>
      </c>
      <c r="D3" s="3">
        <f>'[1]VENTAS CONSOLIDADA LARA'!D3</f>
        <v>46295</v>
      </c>
      <c r="E3" s="4">
        <f ca="1">'[1]VENTAS CONSOLIDADA LARA'!E3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'[1]VENTAS CONSOLIDADA LARA'!C8</f>
        <v>1020</v>
      </c>
      <c r="D8" s="5">
        <f t="shared" ref="D8:D54" ca="1" si="0">C8/$E$2</f>
        <v>48.571428571428569</v>
      </c>
      <c r="E8" s="5">
        <f ca="1">D8*($E$2+$E$3)</f>
        <v>1068.5714285714284</v>
      </c>
    </row>
    <row r="9" spans="1:5" x14ac:dyDescent="0.25">
      <c r="A9">
        <v>110151</v>
      </c>
      <c r="B9" t="s">
        <v>5</v>
      </c>
      <c r="C9">
        <f>'[1]VENTAS CONSOLIDADA LARA'!C9</f>
        <v>27</v>
      </c>
      <c r="D9" s="5">
        <f t="shared" ca="1" si="0"/>
        <v>1.2857142857142858</v>
      </c>
      <c r="E9" s="5">
        <f t="shared" ref="E9:E54" ca="1" si="1">D9*($E$2+$E$3)</f>
        <v>28.285714285714288</v>
      </c>
    </row>
    <row r="10" spans="1:5" x14ac:dyDescent="0.25">
      <c r="A10">
        <v>110230</v>
      </c>
      <c r="B10" t="s">
        <v>1</v>
      </c>
      <c r="C10">
        <f>'[1]VENTAS CONSOLIDADA LARA'!C10</f>
        <v>342</v>
      </c>
      <c r="D10" s="5">
        <f t="shared" ca="1" si="0"/>
        <v>16.285714285714285</v>
      </c>
      <c r="E10" s="5">
        <f t="shared" ca="1" si="1"/>
        <v>358.28571428571428</v>
      </c>
    </row>
    <row r="11" spans="1:5" x14ac:dyDescent="0.25">
      <c r="A11">
        <v>110400</v>
      </c>
      <c r="B11" t="s">
        <v>13</v>
      </c>
      <c r="C11">
        <f>'[1]VENTAS CONSOLIDADA LARA'!C11</f>
        <v>21</v>
      </c>
      <c r="D11" s="5">
        <f t="shared" ca="1" si="0"/>
        <v>1</v>
      </c>
      <c r="E11" s="5">
        <f t="shared" ca="1" si="1"/>
        <v>22</v>
      </c>
    </row>
    <row r="12" spans="1:5" x14ac:dyDescent="0.25">
      <c r="A12">
        <v>111000</v>
      </c>
      <c r="B12" t="s">
        <v>14</v>
      </c>
      <c r="C12">
        <f>'[1]VENTAS CONSOLIDADA LARA'!C12</f>
        <v>0</v>
      </c>
      <c r="D12" s="5">
        <f t="shared" ca="1" si="0"/>
        <v>0</v>
      </c>
      <c r="E12" s="5">
        <f t="shared" ca="1" si="1"/>
        <v>0</v>
      </c>
    </row>
    <row r="13" spans="1:5" x14ac:dyDescent="0.25">
      <c r="A13">
        <v>120130</v>
      </c>
      <c r="B13" t="s">
        <v>15</v>
      </c>
      <c r="C13">
        <f>'[1]VENTAS CONSOLIDADA LARA'!C13</f>
        <v>3317</v>
      </c>
      <c r="D13" s="5">
        <f t="shared" ca="1" si="0"/>
        <v>157.95238095238096</v>
      </c>
      <c r="E13" s="5">
        <f t="shared" ca="1" si="1"/>
        <v>3474.9523809523812</v>
      </c>
    </row>
    <row r="14" spans="1:5" x14ac:dyDescent="0.25">
      <c r="A14">
        <v>120131</v>
      </c>
      <c r="B14" t="s">
        <v>23</v>
      </c>
      <c r="C14">
        <f>'[1]VENTAS CONSOLIDADA LARA'!C14</f>
        <v>283</v>
      </c>
      <c r="D14" s="5">
        <f t="shared" ca="1" si="0"/>
        <v>13.476190476190476</v>
      </c>
      <c r="E14" s="5">
        <f t="shared" ca="1" si="1"/>
        <v>296.47619047619048</v>
      </c>
    </row>
    <row r="15" spans="1:5" x14ac:dyDescent="0.25">
      <c r="A15">
        <v>120132</v>
      </c>
      <c r="B15" t="s">
        <v>21</v>
      </c>
      <c r="C15">
        <f>'[1]VENTAS CONSOLIDADA LARA'!C15</f>
        <v>660</v>
      </c>
      <c r="D15" s="5">
        <f t="shared" ca="1" si="0"/>
        <v>31.428571428571427</v>
      </c>
      <c r="E15" s="5">
        <f t="shared" ca="1" si="1"/>
        <v>691.42857142857144</v>
      </c>
    </row>
    <row r="16" spans="1:5" x14ac:dyDescent="0.25">
      <c r="A16">
        <v>130150</v>
      </c>
      <c r="B16" t="s">
        <v>0</v>
      </c>
      <c r="C16">
        <f>'[1]VENTAS CONSOLIDADA LARA'!C16</f>
        <v>1806</v>
      </c>
      <c r="D16" s="5">
        <f t="shared" ca="1" si="0"/>
        <v>86</v>
      </c>
      <c r="E16" s="5">
        <f t="shared" ca="1" si="1"/>
        <v>1892</v>
      </c>
    </row>
    <row r="17" spans="1:5" x14ac:dyDescent="0.25">
      <c r="A17">
        <v>130151</v>
      </c>
      <c r="B17" t="s">
        <v>4</v>
      </c>
      <c r="C17">
        <f>'[1]VENTAS CONSOLIDADA LARA'!C17</f>
        <v>539</v>
      </c>
      <c r="D17" s="5">
        <f t="shared" ca="1" si="0"/>
        <v>25.666666666666668</v>
      </c>
      <c r="E17" s="5">
        <f t="shared" ca="1" si="1"/>
        <v>564.66666666666674</v>
      </c>
    </row>
    <row r="18" spans="1:5" x14ac:dyDescent="0.25">
      <c r="A18">
        <v>130152</v>
      </c>
      <c r="B18" t="s">
        <v>51</v>
      </c>
      <c r="C18">
        <f>'[1]VENTAS CONSOLIDADA LARA'!C18</f>
        <v>11691</v>
      </c>
      <c r="D18" s="5">
        <f t="shared" ca="1" si="0"/>
        <v>556.71428571428567</v>
      </c>
      <c r="E18" s="5">
        <f t="shared" ca="1" si="1"/>
        <v>12247.714285714284</v>
      </c>
    </row>
    <row r="19" spans="1:5" x14ac:dyDescent="0.25">
      <c r="A19">
        <v>130153</v>
      </c>
      <c r="B19" t="s">
        <v>52</v>
      </c>
      <c r="C19">
        <f>'[1]VENTAS CONSOLIDADA LARA'!C19</f>
        <v>6207</v>
      </c>
      <c r="D19" s="5">
        <f t="shared" ca="1" si="0"/>
        <v>295.57142857142856</v>
      </c>
      <c r="E19" s="5">
        <f t="shared" ca="1" si="1"/>
        <v>6502.5714285714284</v>
      </c>
    </row>
    <row r="20" spans="1:5" x14ac:dyDescent="0.25">
      <c r="A20">
        <v>130154</v>
      </c>
      <c r="B20" t="s">
        <v>53</v>
      </c>
      <c r="C20">
        <f>'[1]VENTAS CONSOLIDADA LARA'!C20</f>
        <v>6331</v>
      </c>
      <c r="D20" s="5">
        <f t="shared" ca="1" si="0"/>
        <v>301.47619047619048</v>
      </c>
      <c r="E20" s="5">
        <f t="shared" ca="1" si="1"/>
        <v>6632.4761904761908</v>
      </c>
    </row>
    <row r="21" spans="1:5" x14ac:dyDescent="0.25">
      <c r="A21">
        <v>130155</v>
      </c>
      <c r="B21" t="s">
        <v>16</v>
      </c>
      <c r="C21">
        <f>'[1]VENTAS CONSOLIDADA LARA'!C21</f>
        <v>7980</v>
      </c>
      <c r="D21" s="5">
        <f t="shared" ca="1" si="0"/>
        <v>380</v>
      </c>
      <c r="E21" s="5">
        <f t="shared" ca="1" si="1"/>
        <v>8360</v>
      </c>
    </row>
    <row r="22" spans="1:5" x14ac:dyDescent="0.25">
      <c r="A22">
        <v>130157</v>
      </c>
      <c r="B22" t="s">
        <v>43</v>
      </c>
      <c r="C22">
        <f>'[1]VENTAS CONSOLIDADA LARA'!C22</f>
        <v>2514</v>
      </c>
      <c r="D22" s="5">
        <f t="shared" ca="1" si="0"/>
        <v>119.71428571428571</v>
      </c>
      <c r="E22" s="5">
        <f t="shared" ca="1" si="1"/>
        <v>2633.7142857142858</v>
      </c>
    </row>
    <row r="23" spans="1:5" x14ac:dyDescent="0.25">
      <c r="A23">
        <v>130158</v>
      </c>
      <c r="B23" t="s">
        <v>44</v>
      </c>
      <c r="C23">
        <f>'[1]VENTAS CONSOLIDADA LARA'!C23</f>
        <v>3074</v>
      </c>
      <c r="D23" s="5">
        <f t="shared" ca="1" si="0"/>
        <v>146.38095238095238</v>
      </c>
      <c r="E23" s="5">
        <f t="shared" ca="1" si="1"/>
        <v>3220.3809523809523</v>
      </c>
    </row>
    <row r="24" spans="1:5" x14ac:dyDescent="0.25">
      <c r="A24">
        <v>130159</v>
      </c>
      <c r="B24" t="s">
        <v>45</v>
      </c>
      <c r="C24">
        <f>'[1]VENTAS CONSOLIDADA LARA'!C24</f>
        <v>3076</v>
      </c>
      <c r="D24" s="5">
        <f t="shared" ca="1" si="0"/>
        <v>146.47619047619048</v>
      </c>
      <c r="E24" s="5">
        <f t="shared" ca="1" si="1"/>
        <v>3222.4761904761908</v>
      </c>
    </row>
    <row r="25" spans="1:5" x14ac:dyDescent="0.25">
      <c r="A25">
        <v>130700</v>
      </c>
      <c r="B25" t="s">
        <v>3</v>
      </c>
      <c r="C25">
        <f>'[1]VENTAS CONSOLIDADA LARA'!C25</f>
        <v>609</v>
      </c>
      <c r="D25" s="5">
        <f t="shared" ca="1" si="0"/>
        <v>29</v>
      </c>
      <c r="E25" s="5">
        <f t="shared" ca="1" si="1"/>
        <v>638</v>
      </c>
    </row>
    <row r="26" spans="1:5" x14ac:dyDescent="0.25">
      <c r="A26">
        <v>130701</v>
      </c>
      <c r="B26" t="s">
        <v>30</v>
      </c>
      <c r="C26">
        <f>'[1]VENTAS CONSOLIDADA LARA'!C26</f>
        <v>212</v>
      </c>
      <c r="D26" s="5">
        <f t="shared" ca="1" si="0"/>
        <v>10.095238095238095</v>
      </c>
      <c r="E26" s="5">
        <f t="shared" ca="1" si="1"/>
        <v>222.09523809523807</v>
      </c>
    </row>
    <row r="27" spans="1:5" x14ac:dyDescent="0.25">
      <c r="A27">
        <v>130702</v>
      </c>
      <c r="B27" t="s">
        <v>12</v>
      </c>
      <c r="C27">
        <f>'[1]VENTAS CONSOLIDADA LARA'!C27</f>
        <v>1811</v>
      </c>
      <c r="D27" s="5">
        <f t="shared" ca="1" si="0"/>
        <v>86.238095238095241</v>
      </c>
      <c r="E27" s="5">
        <f t="shared" ca="1" si="1"/>
        <v>1897.2380952380954</v>
      </c>
    </row>
    <row r="28" spans="1:5" x14ac:dyDescent="0.25">
      <c r="A28">
        <v>130703</v>
      </c>
      <c r="B28" t="s">
        <v>17</v>
      </c>
      <c r="C28">
        <f>'[1]VENTAS CONSOLIDADA LARA'!C28</f>
        <v>2280</v>
      </c>
      <c r="D28" s="5">
        <f t="shared" ca="1" si="0"/>
        <v>108.57142857142857</v>
      </c>
      <c r="E28" s="5">
        <f t="shared" ca="1" si="1"/>
        <v>2388.5714285714284</v>
      </c>
    </row>
    <row r="29" spans="1:5" x14ac:dyDescent="0.25">
      <c r="A29">
        <v>130707</v>
      </c>
      <c r="B29" t="s">
        <v>42</v>
      </c>
      <c r="C29">
        <f>'[1]VENTAS CONSOLIDADA LARA'!C29</f>
        <v>150</v>
      </c>
      <c r="D29" s="5">
        <f t="shared" ca="1" si="0"/>
        <v>7.1428571428571432</v>
      </c>
      <c r="E29" s="5">
        <f t="shared" ca="1" si="1"/>
        <v>157.14285714285714</v>
      </c>
    </row>
    <row r="30" spans="1:5" x14ac:dyDescent="0.25">
      <c r="A30">
        <v>131150</v>
      </c>
      <c r="B30" t="s">
        <v>22</v>
      </c>
      <c r="C30">
        <f>'[1]VENTAS CONSOLIDADA LARA'!C30</f>
        <v>988</v>
      </c>
      <c r="D30" s="5">
        <f t="shared" ca="1" si="0"/>
        <v>47.047619047619051</v>
      </c>
      <c r="E30" s="5">
        <f t="shared" ca="1" si="1"/>
        <v>1035.047619047619</v>
      </c>
    </row>
    <row r="31" spans="1:5" x14ac:dyDescent="0.25">
      <c r="A31">
        <v>131151</v>
      </c>
      <c r="B31" t="s">
        <v>19</v>
      </c>
      <c r="C31">
        <f>'[1]VENTAS CONSOLIDADA LARA'!C31</f>
        <v>2204</v>
      </c>
      <c r="D31" s="5">
        <f t="shared" ca="1" si="0"/>
        <v>104.95238095238095</v>
      </c>
      <c r="E31" s="5">
        <f t="shared" ca="1" si="1"/>
        <v>2308.9523809523807</v>
      </c>
    </row>
    <row r="32" spans="1:5" x14ac:dyDescent="0.25">
      <c r="A32">
        <v>131152</v>
      </c>
      <c r="B32" t="s">
        <v>32</v>
      </c>
      <c r="C32">
        <f>'[1]VENTAS CONSOLIDADA LARA'!C32</f>
        <v>1168</v>
      </c>
      <c r="D32" s="5">
        <f t="shared" ca="1" si="0"/>
        <v>55.61904761904762</v>
      </c>
      <c r="E32" s="5">
        <f t="shared" ca="1" si="1"/>
        <v>1223.6190476190477</v>
      </c>
    </row>
    <row r="33" spans="1:5" x14ac:dyDescent="0.25">
      <c r="A33">
        <v>131153</v>
      </c>
      <c r="B33" t="s">
        <v>11</v>
      </c>
      <c r="C33">
        <f>'[1]VENTAS CONSOLIDADA LARA'!C33</f>
        <v>782</v>
      </c>
      <c r="D33" s="5">
        <f t="shared" ca="1" si="0"/>
        <v>37.238095238095241</v>
      </c>
      <c r="E33" s="5">
        <f t="shared" ca="1" si="1"/>
        <v>819.2380952380953</v>
      </c>
    </row>
    <row r="34" spans="1:5" x14ac:dyDescent="0.25">
      <c r="A34">
        <v>131154</v>
      </c>
      <c r="B34" t="s">
        <v>48</v>
      </c>
      <c r="C34">
        <f>'[1]VENTAS CONSOLIDADA LARA'!C34</f>
        <v>1146</v>
      </c>
      <c r="D34" s="5">
        <f t="shared" ca="1" si="0"/>
        <v>54.571428571428569</v>
      </c>
      <c r="E34" s="5">
        <f t="shared" ca="1" si="1"/>
        <v>1200.5714285714284</v>
      </c>
    </row>
    <row r="35" spans="1:5" x14ac:dyDescent="0.25">
      <c r="A35">
        <v>131155</v>
      </c>
      <c r="B35" t="s">
        <v>57</v>
      </c>
      <c r="C35">
        <f>'[1]VENTAS CONSOLIDADA LARA'!C35</f>
        <v>1330</v>
      </c>
      <c r="D35" s="5">
        <f t="shared" ca="1" si="0"/>
        <v>63.333333333333336</v>
      </c>
      <c r="E35" s="5">
        <f t="shared" ca="1" si="1"/>
        <v>1393.3333333333335</v>
      </c>
    </row>
    <row r="36" spans="1:5" x14ac:dyDescent="0.25">
      <c r="A36">
        <v>131700</v>
      </c>
      <c r="B36" t="s">
        <v>20</v>
      </c>
      <c r="C36">
        <f>'[1]VENTAS CONSOLIDADA LARA'!C36</f>
        <v>260</v>
      </c>
      <c r="D36" s="5">
        <f t="shared" ca="1" si="0"/>
        <v>12.380952380952381</v>
      </c>
      <c r="E36" s="5">
        <f t="shared" ca="1" si="1"/>
        <v>272.38095238095241</v>
      </c>
    </row>
    <row r="37" spans="1:5" x14ac:dyDescent="0.25">
      <c r="A37">
        <v>131701</v>
      </c>
      <c r="B37" t="s">
        <v>24</v>
      </c>
      <c r="C37">
        <f>'[1]VENTAS CONSOLIDADA LARA'!C37</f>
        <v>362</v>
      </c>
      <c r="D37" s="5">
        <f t="shared" ca="1" si="0"/>
        <v>17.238095238095237</v>
      </c>
      <c r="E37" s="5">
        <f t="shared" ca="1" si="1"/>
        <v>379.23809523809524</v>
      </c>
    </row>
    <row r="38" spans="1:5" x14ac:dyDescent="0.25">
      <c r="A38">
        <v>132150</v>
      </c>
      <c r="B38" t="s">
        <v>25</v>
      </c>
      <c r="C38">
        <f>'[1]VENTAS CONSOLIDADA LARA'!C38</f>
        <v>2509</v>
      </c>
      <c r="D38" s="5">
        <f t="shared" ca="1" si="0"/>
        <v>119.47619047619048</v>
      </c>
      <c r="E38" s="5">
        <f t="shared" ca="1" si="1"/>
        <v>2628.4761904761908</v>
      </c>
    </row>
    <row r="39" spans="1:5" x14ac:dyDescent="0.25">
      <c r="A39">
        <v>132151</v>
      </c>
      <c r="B39" t="s">
        <v>26</v>
      </c>
      <c r="C39">
        <f>'[1]VENTAS CONSOLIDADA LARA'!C39</f>
        <v>1373</v>
      </c>
      <c r="D39" s="5">
        <f t="shared" ca="1" si="0"/>
        <v>65.38095238095238</v>
      </c>
      <c r="E39" s="5">
        <f t="shared" ca="1" si="1"/>
        <v>1438.3809523809523</v>
      </c>
    </row>
    <row r="40" spans="1:5" x14ac:dyDescent="0.25">
      <c r="A40">
        <v>132152</v>
      </c>
      <c r="B40" t="s">
        <v>27</v>
      </c>
      <c r="C40">
        <f>'[1]VENTAS CONSOLIDADA LARA'!C40</f>
        <v>1991</v>
      </c>
      <c r="D40" s="5">
        <f t="shared" ca="1" si="0"/>
        <v>94.80952380952381</v>
      </c>
      <c r="E40" s="5">
        <f t="shared" ca="1" si="1"/>
        <v>2085.8095238095239</v>
      </c>
    </row>
    <row r="41" spans="1:5" x14ac:dyDescent="0.25">
      <c r="A41">
        <v>132153</v>
      </c>
      <c r="B41" t="s">
        <v>40</v>
      </c>
      <c r="C41">
        <f>'[1]VENTAS CONSOLIDADA LARA'!C41</f>
        <v>812</v>
      </c>
      <c r="D41" s="5">
        <f t="shared" ca="1" si="0"/>
        <v>38.666666666666664</v>
      </c>
      <c r="E41" s="5">
        <f t="shared" ca="1" si="1"/>
        <v>850.66666666666663</v>
      </c>
    </row>
    <row r="42" spans="1:5" x14ac:dyDescent="0.25">
      <c r="A42">
        <v>134000</v>
      </c>
      <c r="B42" t="s">
        <v>35</v>
      </c>
      <c r="C42">
        <f>'[1]VENTAS CONSOLIDADA LARA'!C42</f>
        <v>20</v>
      </c>
      <c r="D42" s="5">
        <f t="shared" ca="1" si="0"/>
        <v>0.95238095238095233</v>
      </c>
      <c r="E42" s="5">
        <f t="shared" ca="1" si="1"/>
        <v>20.952380952380953</v>
      </c>
    </row>
    <row r="43" spans="1:5" x14ac:dyDescent="0.25">
      <c r="A43">
        <v>134001</v>
      </c>
      <c r="B43" t="s">
        <v>47</v>
      </c>
      <c r="C43">
        <f>'[1]VENTAS CONSOLIDADA LARA'!C43</f>
        <v>0</v>
      </c>
      <c r="D43" s="5">
        <f t="shared" ca="1" si="0"/>
        <v>0</v>
      </c>
      <c r="E43" s="5">
        <f t="shared" ca="1" si="1"/>
        <v>0</v>
      </c>
    </row>
    <row r="44" spans="1:5" x14ac:dyDescent="0.25">
      <c r="A44">
        <v>140230</v>
      </c>
      <c r="B44" t="s">
        <v>18</v>
      </c>
      <c r="C44">
        <f>'[1]VENTAS CONSOLIDADA LARA'!C44</f>
        <v>234</v>
      </c>
      <c r="D44" s="5">
        <f t="shared" ca="1" si="0"/>
        <v>11.142857142857142</v>
      </c>
      <c r="E44" s="5">
        <f t="shared" ca="1" si="1"/>
        <v>245.14285714285714</v>
      </c>
    </row>
    <row r="45" spans="1:5" x14ac:dyDescent="0.25">
      <c r="A45">
        <v>140231</v>
      </c>
      <c r="B45" t="s">
        <v>10</v>
      </c>
      <c r="C45">
        <f>'[1]VENTAS CONSOLIDADA LARA'!C45</f>
        <v>840</v>
      </c>
      <c r="D45" s="5">
        <f t="shared" ca="1" si="0"/>
        <v>40</v>
      </c>
      <c r="E45" s="5">
        <f t="shared" ca="1" si="1"/>
        <v>880</v>
      </c>
    </row>
    <row r="46" spans="1:5" x14ac:dyDescent="0.25">
      <c r="A46">
        <v>140232</v>
      </c>
      <c r="B46" t="s">
        <v>9</v>
      </c>
      <c r="C46">
        <f>'[1]VENTAS CONSOLIDADA LARA'!C46</f>
        <v>721</v>
      </c>
      <c r="D46" s="5">
        <f t="shared" ca="1" si="0"/>
        <v>34.333333333333336</v>
      </c>
      <c r="E46" s="5">
        <f t="shared" ca="1" si="1"/>
        <v>755.33333333333337</v>
      </c>
    </row>
    <row r="47" spans="1:5" x14ac:dyDescent="0.25">
      <c r="A47">
        <v>150360</v>
      </c>
      <c r="B47" t="s">
        <v>28</v>
      </c>
      <c r="C47">
        <f>'[1]VENTAS CONSOLIDADA LARA'!C47</f>
        <v>522</v>
      </c>
      <c r="D47" s="5">
        <f t="shared" ca="1" si="0"/>
        <v>24.857142857142858</v>
      </c>
      <c r="E47" s="5">
        <f t="shared" ca="1" si="1"/>
        <v>546.85714285714289</v>
      </c>
    </row>
    <row r="48" spans="1:5" x14ac:dyDescent="0.25">
      <c r="A48">
        <v>150361</v>
      </c>
      <c r="B48" t="s">
        <v>29</v>
      </c>
      <c r="C48">
        <f>'[1]VENTAS CONSOLIDADA LARA'!C48</f>
        <v>1172</v>
      </c>
      <c r="D48" s="5">
        <f t="shared" ca="1" si="0"/>
        <v>55.80952380952381</v>
      </c>
      <c r="E48" s="5">
        <f t="shared" ca="1" si="1"/>
        <v>1227.8095238095239</v>
      </c>
    </row>
    <row r="49" spans="1:5" x14ac:dyDescent="0.25">
      <c r="A49">
        <v>150362</v>
      </c>
      <c r="B49" t="s">
        <v>36</v>
      </c>
      <c r="C49">
        <f>'[1]VENTAS CONSOLIDADA LARA'!C49</f>
        <v>469</v>
      </c>
      <c r="D49" s="5">
        <f t="shared" ca="1" si="0"/>
        <v>22.333333333333332</v>
      </c>
      <c r="E49" s="5">
        <f t="shared" ca="1" si="1"/>
        <v>491.33333333333331</v>
      </c>
    </row>
    <row r="50" spans="1:5" x14ac:dyDescent="0.25">
      <c r="A50">
        <v>150363</v>
      </c>
      <c r="B50" t="s">
        <v>31</v>
      </c>
      <c r="C50">
        <f>'[1]VENTAS CONSOLIDADA LARA'!C50</f>
        <v>529</v>
      </c>
      <c r="D50" s="5">
        <f t="shared" ca="1" si="0"/>
        <v>25.19047619047619</v>
      </c>
      <c r="E50" s="5">
        <f t="shared" ca="1" si="1"/>
        <v>554.19047619047615</v>
      </c>
    </row>
    <row r="51" spans="1:5" x14ac:dyDescent="0.25">
      <c r="A51">
        <v>151500</v>
      </c>
      <c r="B51" t="s">
        <v>41</v>
      </c>
      <c r="C51">
        <f>'[1]VENTAS CONSOLIDADA LARA'!C51</f>
        <v>147</v>
      </c>
      <c r="D51" s="5">
        <f t="shared" ca="1" si="0"/>
        <v>7</v>
      </c>
      <c r="E51" s="5">
        <f t="shared" ca="1" si="1"/>
        <v>154</v>
      </c>
    </row>
    <row r="52" spans="1:5" x14ac:dyDescent="0.25">
      <c r="A52">
        <v>151501</v>
      </c>
      <c r="B52" t="s">
        <v>33</v>
      </c>
      <c r="C52">
        <f>'[1]VENTAS CONSOLIDADA LARA'!C52</f>
        <v>422</v>
      </c>
      <c r="D52" s="5">
        <f t="shared" ca="1" si="0"/>
        <v>20.095238095238095</v>
      </c>
      <c r="E52" s="5">
        <f t="shared" ca="1" si="1"/>
        <v>442.09523809523807</v>
      </c>
    </row>
    <row r="53" spans="1:5" x14ac:dyDescent="0.25">
      <c r="A53">
        <v>151502</v>
      </c>
      <c r="B53" t="s">
        <v>37</v>
      </c>
      <c r="C53">
        <f>'[1]VENTAS CONSOLIDADA LARA'!C53</f>
        <v>105</v>
      </c>
      <c r="D53" s="5">
        <f t="shared" ca="1" si="0"/>
        <v>5</v>
      </c>
      <c r="E53" s="5">
        <f t="shared" ca="1" si="1"/>
        <v>110</v>
      </c>
    </row>
    <row r="54" spans="1:5" x14ac:dyDescent="0.25">
      <c r="A54">
        <v>151503</v>
      </c>
      <c r="B54" t="s">
        <v>34</v>
      </c>
      <c r="C54">
        <f>'[1]VENTAS CONSOLIDADA LARA'!C54</f>
        <v>123</v>
      </c>
      <c r="D54" s="5">
        <f t="shared" ca="1" si="0"/>
        <v>5.8571428571428568</v>
      </c>
      <c r="E54" s="5">
        <f t="shared" ca="1" si="1"/>
        <v>128.85714285714286</v>
      </c>
    </row>
    <row r="55" spans="1:5" x14ac:dyDescent="0.25">
      <c r="D55" s="5">
        <f ca="1">SUM(D8:D54)</f>
        <v>3532.333333333333</v>
      </c>
      <c r="E55" s="5">
        <f ca="1">SUM(E8:E54)</f>
        <v>77711.333333333314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1" spans="1:5" x14ac:dyDescent="0.25">
      <c r="D61" s="5"/>
      <c r="E61" s="5"/>
    </row>
    <row r="62" spans="1:5" x14ac:dyDescent="0.25">
      <c r="D62" s="5"/>
      <c r="E62" s="5"/>
    </row>
    <row r="63" spans="1:5" x14ac:dyDescent="0.25">
      <c r="D63" s="5"/>
      <c r="E63" s="5"/>
    </row>
    <row r="64" spans="1:5" x14ac:dyDescent="0.25">
      <c r="D64" s="5"/>
      <c r="E64" s="5"/>
    </row>
    <row r="65" spans="4:5" x14ac:dyDescent="0.25">
      <c r="D65" s="5"/>
      <c r="E6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4683-ED1C-4FC1-BC4B-C635ABE94E36}">
  <dimension ref="A1:E72"/>
  <sheetViews>
    <sheetView workbookViewId="0">
      <selection activeCell="F13" sqref="F13"/>
    </sheetView>
  </sheetViews>
  <sheetFormatPr baseColWidth="10" defaultRowHeight="15" x14ac:dyDescent="0.25"/>
  <cols>
    <col min="1" max="1" width="19.140625" customWidth="1"/>
    <col min="2" max="2" width="39.5703125" customWidth="1"/>
    <col min="3" max="3" width="17" bestFit="1" customWidth="1"/>
    <col min="4" max="4" width="14.42578125" customWidth="1"/>
  </cols>
  <sheetData>
    <row r="1" spans="1:5" ht="21" x14ac:dyDescent="0.35">
      <c r="B1" s="8" t="s">
        <v>54</v>
      </c>
      <c r="C1" s="2" t="str">
        <f>'[1]VENTAS CONSOLIDADA ANZOATEGUI'!C1</f>
        <v>INICIO VENTAS</v>
      </c>
      <c r="D1" s="3">
        <f>'[1]VENTAS CONSOLIDADA ANZOATEGUI'!D1</f>
        <v>46266</v>
      </c>
    </row>
    <row r="2" spans="1:5" x14ac:dyDescent="0.25">
      <c r="B2" s="9" t="s">
        <v>55</v>
      </c>
      <c r="C2" s="2" t="str">
        <f>'[1]VENTAS CONSOLIDADA ANZOATEGUI'!C2</f>
        <v>TRASCURSO VENTAS</v>
      </c>
      <c r="D2" s="3">
        <f ca="1">'[1]VENTAS CONSOLIDADA ANZOATEGUI'!D2</f>
        <v>46295</v>
      </c>
      <c r="E2" s="4">
        <f ca="1">'[1]VENTAS CONSOLIDADA ANZOATEGUI'!E2</f>
        <v>21</v>
      </c>
    </row>
    <row r="3" spans="1:5" x14ac:dyDescent="0.25">
      <c r="B3" s="9"/>
      <c r="C3" s="2" t="str">
        <f>'[1]VENTAS CONSOLIDADA ANZOATEGUI'!C3</f>
        <v>FINAL VENTAS</v>
      </c>
      <c r="D3" s="3">
        <f>'[1]VENTAS CONSOLIDADA ANZOATEGUI'!D3</f>
        <v>46295</v>
      </c>
      <c r="E3" s="4">
        <f ca="1">'[1]VENTAS CONSOLIDADA ANZOATEGUI'!E3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'[1]VENTAS CONSOLIDADA ANZOATEGUI'!C8</f>
        <v>895</v>
      </c>
      <c r="D8" s="5">
        <f t="shared" ref="D8:D54" ca="1" si="0">C8/$E$2</f>
        <v>42.61904761904762</v>
      </c>
      <c r="E8" s="5">
        <f t="shared" ref="E8:E54" ca="1" si="1">D8*($E$2+$E$3)</f>
        <v>937.61904761904771</v>
      </c>
    </row>
    <row r="9" spans="1:5" x14ac:dyDescent="0.25">
      <c r="A9">
        <v>110151</v>
      </c>
      <c r="B9" t="s">
        <v>5</v>
      </c>
      <c r="C9">
        <f>'[1]VENTAS CONSOLIDADA ANZOATEGUI'!C9</f>
        <v>104</v>
      </c>
      <c r="D9" s="5">
        <f t="shared" ca="1" si="0"/>
        <v>4.9523809523809526</v>
      </c>
      <c r="E9" s="5">
        <f t="shared" ca="1" si="1"/>
        <v>108.95238095238096</v>
      </c>
    </row>
    <row r="10" spans="1:5" x14ac:dyDescent="0.25">
      <c r="A10">
        <v>110230</v>
      </c>
      <c r="B10" t="s">
        <v>1</v>
      </c>
      <c r="C10">
        <f>'[1]VENTAS CONSOLIDADA ANZOATEGUI'!C10</f>
        <v>239</v>
      </c>
      <c r="D10" s="5">
        <f t="shared" ca="1" si="0"/>
        <v>11.380952380952381</v>
      </c>
      <c r="E10" s="5">
        <f t="shared" ca="1" si="1"/>
        <v>250.38095238095238</v>
      </c>
    </row>
    <row r="11" spans="1:5" x14ac:dyDescent="0.25">
      <c r="A11">
        <v>110400</v>
      </c>
      <c r="B11" t="s">
        <v>13</v>
      </c>
      <c r="C11">
        <f>'[1]VENTAS CONSOLIDADA ANZOATEGUI'!C11</f>
        <v>52</v>
      </c>
      <c r="D11" s="5">
        <f t="shared" ca="1" si="0"/>
        <v>2.4761904761904763</v>
      </c>
      <c r="E11" s="5">
        <f t="shared" ca="1" si="1"/>
        <v>54.476190476190482</v>
      </c>
    </row>
    <row r="12" spans="1:5" x14ac:dyDescent="0.25">
      <c r="A12">
        <v>111000</v>
      </c>
      <c r="B12" t="s">
        <v>14</v>
      </c>
      <c r="C12">
        <f>'[1]VENTAS CONSOLIDADA ANZOATEGUI'!C12</f>
        <v>11</v>
      </c>
      <c r="D12" s="5">
        <f t="shared" ca="1" si="0"/>
        <v>0.52380952380952384</v>
      </c>
      <c r="E12" s="5">
        <f t="shared" ca="1" si="1"/>
        <v>11.523809523809524</v>
      </c>
    </row>
    <row r="13" spans="1:5" x14ac:dyDescent="0.25">
      <c r="A13">
        <v>120130</v>
      </c>
      <c r="B13" t="s">
        <v>15</v>
      </c>
      <c r="C13">
        <f>'[1]VENTAS CONSOLIDADA ANZOATEGUI'!C13</f>
        <v>1208</v>
      </c>
      <c r="D13" s="5">
        <f t="shared" ca="1" si="0"/>
        <v>57.523809523809526</v>
      </c>
      <c r="E13" s="5">
        <f t="shared" ca="1" si="1"/>
        <v>1265.5238095238096</v>
      </c>
    </row>
    <row r="14" spans="1:5" x14ac:dyDescent="0.25">
      <c r="A14">
        <v>120131</v>
      </c>
      <c r="B14" t="s">
        <v>23</v>
      </c>
      <c r="C14">
        <f>'[1]VENTAS CONSOLIDADA ANZOATEGUI'!C14</f>
        <v>98</v>
      </c>
      <c r="D14" s="5">
        <f t="shared" ca="1" si="0"/>
        <v>4.666666666666667</v>
      </c>
      <c r="E14" s="5">
        <f t="shared" ca="1" si="1"/>
        <v>102.66666666666667</v>
      </c>
    </row>
    <row r="15" spans="1:5" x14ac:dyDescent="0.25">
      <c r="A15">
        <v>120132</v>
      </c>
      <c r="B15" t="s">
        <v>21</v>
      </c>
      <c r="C15">
        <f>'[1]VENTAS CONSOLIDADA ANZOATEGUI'!C15</f>
        <v>195</v>
      </c>
      <c r="D15" s="5">
        <f t="shared" ca="1" si="0"/>
        <v>9.2857142857142865</v>
      </c>
      <c r="E15" s="5">
        <f t="shared" ca="1" si="1"/>
        <v>204.28571428571431</v>
      </c>
    </row>
    <row r="16" spans="1:5" x14ac:dyDescent="0.25">
      <c r="A16">
        <v>130150</v>
      </c>
      <c r="B16" t="s">
        <v>0</v>
      </c>
      <c r="C16">
        <f>'[1]VENTAS CONSOLIDADA ANZOATEGUI'!C16</f>
        <v>574</v>
      </c>
      <c r="D16" s="5">
        <f t="shared" ca="1" si="0"/>
        <v>27.333333333333332</v>
      </c>
      <c r="E16" s="5">
        <f t="shared" ca="1" si="1"/>
        <v>601.33333333333326</v>
      </c>
    </row>
    <row r="17" spans="1:5" x14ac:dyDescent="0.25">
      <c r="A17">
        <v>130151</v>
      </c>
      <c r="B17" t="s">
        <v>4</v>
      </c>
      <c r="C17">
        <f>'[1]VENTAS CONSOLIDADA ANZOATEGUI'!C17</f>
        <v>151</v>
      </c>
      <c r="D17" s="5">
        <f t="shared" ca="1" si="0"/>
        <v>7.1904761904761907</v>
      </c>
      <c r="E17" s="5">
        <f t="shared" ca="1" si="1"/>
        <v>158.1904761904762</v>
      </c>
    </row>
    <row r="18" spans="1:5" x14ac:dyDescent="0.25">
      <c r="A18">
        <v>130152</v>
      </c>
      <c r="B18" t="s">
        <v>51</v>
      </c>
      <c r="C18">
        <f>'[1]VENTAS CONSOLIDADA ANZOATEGUI'!C18</f>
        <v>3131</v>
      </c>
      <c r="D18" s="5">
        <f t="shared" ca="1" si="0"/>
        <v>149.0952380952381</v>
      </c>
      <c r="E18" s="5">
        <f t="shared" ca="1" si="1"/>
        <v>3280.0952380952381</v>
      </c>
    </row>
    <row r="19" spans="1:5" x14ac:dyDescent="0.25">
      <c r="A19">
        <v>130153</v>
      </c>
      <c r="B19" t="s">
        <v>52</v>
      </c>
      <c r="C19">
        <f>'[1]VENTAS CONSOLIDADA ANZOATEGUI'!C19</f>
        <v>1825</v>
      </c>
      <c r="D19" s="5">
        <f t="shared" ca="1" si="0"/>
        <v>86.904761904761898</v>
      </c>
      <c r="E19" s="5">
        <f t="shared" ca="1" si="1"/>
        <v>1911.9047619047617</v>
      </c>
    </row>
    <row r="20" spans="1:5" x14ac:dyDescent="0.25">
      <c r="A20">
        <v>130154</v>
      </c>
      <c r="B20" t="s">
        <v>53</v>
      </c>
      <c r="C20">
        <f>'[1]VENTAS CONSOLIDADA ANZOATEGUI'!C20</f>
        <v>2240</v>
      </c>
      <c r="D20" s="5">
        <f t="shared" ca="1" si="0"/>
        <v>106.66666666666667</v>
      </c>
      <c r="E20" s="5">
        <f t="shared" ca="1" si="1"/>
        <v>2346.666666666667</v>
      </c>
    </row>
    <row r="21" spans="1:5" x14ac:dyDescent="0.25">
      <c r="A21">
        <v>130155</v>
      </c>
      <c r="B21" t="s">
        <v>16</v>
      </c>
      <c r="C21">
        <f>'[1]VENTAS CONSOLIDADA ANZOATEGUI'!C21</f>
        <v>1788</v>
      </c>
      <c r="D21" s="5">
        <f t="shared" ca="1" si="0"/>
        <v>85.142857142857139</v>
      </c>
      <c r="E21" s="5">
        <f t="shared" ca="1" si="1"/>
        <v>1873.1428571428571</v>
      </c>
    </row>
    <row r="22" spans="1:5" x14ac:dyDescent="0.25">
      <c r="A22">
        <v>130157</v>
      </c>
      <c r="B22" t="s">
        <v>43</v>
      </c>
      <c r="C22">
        <f>'[1]VENTAS CONSOLIDADA ANZOATEGUI'!C22</f>
        <v>596</v>
      </c>
      <c r="D22" s="5">
        <f t="shared" ca="1" si="0"/>
        <v>28.38095238095238</v>
      </c>
      <c r="E22" s="5">
        <f t="shared" ca="1" si="1"/>
        <v>624.38095238095229</v>
      </c>
    </row>
    <row r="23" spans="1:5" x14ac:dyDescent="0.25">
      <c r="A23">
        <v>130158</v>
      </c>
      <c r="B23" t="s">
        <v>44</v>
      </c>
      <c r="C23">
        <f>'[1]VENTAS CONSOLIDADA ANZOATEGUI'!C23</f>
        <v>860</v>
      </c>
      <c r="D23" s="5">
        <f t="shared" ca="1" si="0"/>
        <v>40.952380952380949</v>
      </c>
      <c r="E23" s="5">
        <f t="shared" ca="1" si="1"/>
        <v>900.95238095238085</v>
      </c>
    </row>
    <row r="24" spans="1:5" x14ac:dyDescent="0.25">
      <c r="A24">
        <v>130159</v>
      </c>
      <c r="B24" t="s">
        <v>45</v>
      </c>
      <c r="C24">
        <f>'[1]VENTAS CONSOLIDADA ANZOATEGUI'!C24</f>
        <v>878</v>
      </c>
      <c r="D24" s="5">
        <f t="shared" ca="1" si="0"/>
        <v>41.80952380952381</v>
      </c>
      <c r="E24" s="5">
        <f t="shared" ca="1" si="1"/>
        <v>919.80952380952385</v>
      </c>
    </row>
    <row r="25" spans="1:5" x14ac:dyDescent="0.25">
      <c r="A25">
        <v>130700</v>
      </c>
      <c r="B25" t="s">
        <v>3</v>
      </c>
      <c r="C25">
        <f>'[1]VENTAS CONSOLIDADA ANZOATEGUI'!C25</f>
        <v>125</v>
      </c>
      <c r="D25" s="5">
        <f t="shared" ca="1" si="0"/>
        <v>5.9523809523809526</v>
      </c>
      <c r="E25" s="5">
        <f t="shared" ca="1" si="1"/>
        <v>130.95238095238096</v>
      </c>
    </row>
    <row r="26" spans="1:5" x14ac:dyDescent="0.25">
      <c r="A26">
        <v>130701</v>
      </c>
      <c r="B26" t="s">
        <v>30</v>
      </c>
      <c r="C26">
        <f>'[1]VENTAS CONSOLIDADA ANZOATEGUI'!C26</f>
        <v>18</v>
      </c>
      <c r="D26" s="5">
        <f t="shared" ca="1" si="0"/>
        <v>0.8571428571428571</v>
      </c>
      <c r="E26" s="5">
        <f t="shared" ca="1" si="1"/>
        <v>18.857142857142858</v>
      </c>
    </row>
    <row r="27" spans="1:5" x14ac:dyDescent="0.25">
      <c r="A27">
        <v>130702</v>
      </c>
      <c r="B27" t="s">
        <v>12</v>
      </c>
      <c r="C27">
        <f>'[1]VENTAS CONSOLIDADA ANZOATEGUI'!C27</f>
        <v>289</v>
      </c>
      <c r="D27" s="5">
        <f t="shared" ca="1" si="0"/>
        <v>13.761904761904763</v>
      </c>
      <c r="E27" s="5">
        <f t="shared" ca="1" si="1"/>
        <v>302.76190476190476</v>
      </c>
    </row>
    <row r="28" spans="1:5" x14ac:dyDescent="0.25">
      <c r="A28">
        <v>130703</v>
      </c>
      <c r="B28" t="s">
        <v>17</v>
      </c>
      <c r="C28">
        <f>'[1]VENTAS CONSOLIDADA ANZOATEGUI'!C28</f>
        <v>401</v>
      </c>
      <c r="D28" s="5">
        <f t="shared" ca="1" si="0"/>
        <v>19.095238095238095</v>
      </c>
      <c r="E28" s="5">
        <f t="shared" ca="1" si="1"/>
        <v>420.09523809523807</v>
      </c>
    </row>
    <row r="29" spans="1:5" x14ac:dyDescent="0.25">
      <c r="A29">
        <v>130707</v>
      </c>
      <c r="B29" t="s">
        <v>42</v>
      </c>
      <c r="C29">
        <f>'[1]VENTAS CONSOLIDADA ANZOATEGUI'!C29</f>
        <v>80</v>
      </c>
      <c r="D29" s="5">
        <f t="shared" ca="1" si="0"/>
        <v>3.8095238095238093</v>
      </c>
      <c r="E29" s="5">
        <f t="shared" ca="1" si="1"/>
        <v>83.80952380952381</v>
      </c>
    </row>
    <row r="30" spans="1:5" x14ac:dyDescent="0.25">
      <c r="A30">
        <v>131150</v>
      </c>
      <c r="B30" t="s">
        <v>22</v>
      </c>
      <c r="C30">
        <f>'[1]VENTAS CONSOLIDADA ANZOATEGUI'!C30</f>
        <v>743</v>
      </c>
      <c r="D30" s="5">
        <f t="shared" ca="1" si="0"/>
        <v>35.38095238095238</v>
      </c>
      <c r="E30" s="5">
        <f t="shared" ca="1" si="1"/>
        <v>778.38095238095229</v>
      </c>
    </row>
    <row r="31" spans="1:5" x14ac:dyDescent="0.25">
      <c r="A31">
        <v>131151</v>
      </c>
      <c r="B31" t="s">
        <v>19</v>
      </c>
      <c r="C31">
        <f>'[1]VENTAS CONSOLIDADA ANZOATEGUI'!C31</f>
        <v>1865</v>
      </c>
      <c r="D31" s="5">
        <f t="shared" ca="1" si="0"/>
        <v>88.80952380952381</v>
      </c>
      <c r="E31" s="5">
        <f t="shared" ca="1" si="1"/>
        <v>1953.8095238095239</v>
      </c>
    </row>
    <row r="32" spans="1:5" x14ac:dyDescent="0.25">
      <c r="A32">
        <v>131152</v>
      </c>
      <c r="B32" t="s">
        <v>32</v>
      </c>
      <c r="C32">
        <f>'[1]VENTAS CONSOLIDADA ANZOATEGUI'!C32</f>
        <v>1200</v>
      </c>
      <c r="D32" s="5">
        <f t="shared" ca="1" si="0"/>
        <v>57.142857142857146</v>
      </c>
      <c r="E32" s="5">
        <f t="shared" ca="1" si="1"/>
        <v>1257.1428571428571</v>
      </c>
    </row>
    <row r="33" spans="1:5" x14ac:dyDescent="0.25">
      <c r="A33">
        <v>131153</v>
      </c>
      <c r="B33" t="s">
        <v>11</v>
      </c>
      <c r="C33">
        <f>'[1]VENTAS CONSOLIDADA ANZOATEGUI'!C33</f>
        <v>786</v>
      </c>
      <c r="D33" s="5">
        <f t="shared" ca="1" si="0"/>
        <v>37.428571428571431</v>
      </c>
      <c r="E33" s="5">
        <f t="shared" ca="1" si="1"/>
        <v>823.42857142857144</v>
      </c>
    </row>
    <row r="34" spans="1:5" x14ac:dyDescent="0.25">
      <c r="A34">
        <v>131154</v>
      </c>
      <c r="B34" t="s">
        <v>48</v>
      </c>
      <c r="C34">
        <f>'[1]VENTAS CONSOLIDADA ANZOATEGUI'!C34</f>
        <v>573</v>
      </c>
      <c r="D34" s="5">
        <f t="shared" ca="1" si="0"/>
        <v>27.285714285714285</v>
      </c>
      <c r="E34" s="5">
        <f t="shared" ca="1" si="1"/>
        <v>600.28571428571422</v>
      </c>
    </row>
    <row r="35" spans="1:5" x14ac:dyDescent="0.25">
      <c r="A35">
        <v>131155</v>
      </c>
      <c r="B35" t="s">
        <v>57</v>
      </c>
      <c r="C35">
        <f>'[1]VENTAS CONSOLIDADA ANZOATEGUI'!C35</f>
        <v>726</v>
      </c>
      <c r="D35" s="5">
        <f t="shared" ca="1" si="0"/>
        <v>34.571428571428569</v>
      </c>
      <c r="E35" s="5">
        <f t="shared" ca="1" si="1"/>
        <v>760.57142857142856</v>
      </c>
    </row>
    <row r="36" spans="1:5" x14ac:dyDescent="0.25">
      <c r="A36">
        <v>131700</v>
      </c>
      <c r="B36" t="s">
        <v>20</v>
      </c>
      <c r="C36">
        <f>'[1]VENTAS CONSOLIDADA ANZOATEGUI'!C36</f>
        <v>95</v>
      </c>
      <c r="D36" s="5">
        <f t="shared" ca="1" si="0"/>
        <v>4.5238095238095237</v>
      </c>
      <c r="E36" s="5">
        <f t="shared" ca="1" si="1"/>
        <v>99.523809523809518</v>
      </c>
    </row>
    <row r="37" spans="1:5" x14ac:dyDescent="0.25">
      <c r="A37">
        <v>131701</v>
      </c>
      <c r="B37" t="s">
        <v>24</v>
      </c>
      <c r="C37">
        <f>'[1]VENTAS CONSOLIDADA ANZOATEGUI'!C37</f>
        <v>140</v>
      </c>
      <c r="D37" s="5">
        <f t="shared" ca="1" si="0"/>
        <v>6.666666666666667</v>
      </c>
      <c r="E37" s="5">
        <f t="shared" ca="1" si="1"/>
        <v>146.66666666666669</v>
      </c>
    </row>
    <row r="38" spans="1:5" x14ac:dyDescent="0.25">
      <c r="A38">
        <v>132150</v>
      </c>
      <c r="B38" t="s">
        <v>25</v>
      </c>
      <c r="C38">
        <f>'[1]VENTAS CONSOLIDADA ANZOATEGUI'!C38</f>
        <v>967</v>
      </c>
      <c r="D38" s="5">
        <f t="shared" ca="1" si="0"/>
        <v>46.047619047619051</v>
      </c>
      <c r="E38" s="5">
        <f t="shared" ca="1" si="1"/>
        <v>1013.0476190476192</v>
      </c>
    </row>
    <row r="39" spans="1:5" x14ac:dyDescent="0.25">
      <c r="A39">
        <v>132151</v>
      </c>
      <c r="B39" t="s">
        <v>26</v>
      </c>
      <c r="C39">
        <f>'[1]VENTAS CONSOLIDADA ANZOATEGUI'!C39</f>
        <v>554</v>
      </c>
      <c r="D39" s="5">
        <f t="shared" ca="1" si="0"/>
        <v>26.38095238095238</v>
      </c>
      <c r="E39" s="5">
        <f t="shared" ca="1" si="1"/>
        <v>580.38095238095229</v>
      </c>
    </row>
    <row r="40" spans="1:5" x14ac:dyDescent="0.25">
      <c r="A40">
        <v>132152</v>
      </c>
      <c r="B40" t="s">
        <v>27</v>
      </c>
      <c r="C40">
        <f>'[1]VENTAS CONSOLIDADA ANZOATEGUI'!C40</f>
        <v>907</v>
      </c>
      <c r="D40" s="5">
        <f t="shared" ca="1" si="0"/>
        <v>43.19047619047619</v>
      </c>
      <c r="E40" s="5">
        <f t="shared" ca="1" si="1"/>
        <v>950.19047619047615</v>
      </c>
    </row>
    <row r="41" spans="1:5" x14ac:dyDescent="0.25">
      <c r="A41">
        <v>132153</v>
      </c>
      <c r="B41" t="s">
        <v>40</v>
      </c>
      <c r="C41">
        <f>'[1]VENTAS CONSOLIDADA ANZOATEGUI'!C41</f>
        <v>541</v>
      </c>
      <c r="D41" s="5">
        <f t="shared" ca="1" si="0"/>
        <v>25.761904761904763</v>
      </c>
      <c r="E41" s="5">
        <f t="shared" ca="1" si="1"/>
        <v>566.76190476190482</v>
      </c>
    </row>
    <row r="42" spans="1:5" x14ac:dyDescent="0.25">
      <c r="A42">
        <v>134000</v>
      </c>
      <c r="B42" t="s">
        <v>35</v>
      </c>
      <c r="C42">
        <f>'[1]VENTAS CONSOLIDADA ANZOATEGUI'!C42</f>
        <v>0</v>
      </c>
      <c r="D42" s="5">
        <f t="shared" ca="1" si="0"/>
        <v>0</v>
      </c>
      <c r="E42" s="5">
        <f t="shared" ca="1" si="1"/>
        <v>0</v>
      </c>
    </row>
    <row r="43" spans="1:5" x14ac:dyDescent="0.25">
      <c r="A43">
        <v>134001</v>
      </c>
      <c r="B43" t="s">
        <v>47</v>
      </c>
      <c r="C43">
        <f>'[1]VENTAS CONSOLIDADA ANZOATEGUI'!C43</f>
        <v>0</v>
      </c>
      <c r="D43" s="5">
        <f t="shared" ca="1" si="0"/>
        <v>0</v>
      </c>
      <c r="E43" s="5">
        <f t="shared" ca="1" si="1"/>
        <v>0</v>
      </c>
    </row>
    <row r="44" spans="1:5" x14ac:dyDescent="0.25">
      <c r="A44">
        <v>140230</v>
      </c>
      <c r="B44" t="s">
        <v>18</v>
      </c>
      <c r="C44">
        <f>'[1]VENTAS CONSOLIDADA ANZOATEGUI'!C44</f>
        <v>157</v>
      </c>
      <c r="D44" s="5">
        <f t="shared" ca="1" si="0"/>
        <v>7.4761904761904763</v>
      </c>
      <c r="E44" s="5">
        <f t="shared" ca="1" si="1"/>
        <v>164.47619047619048</v>
      </c>
    </row>
    <row r="45" spans="1:5" x14ac:dyDescent="0.25">
      <c r="A45">
        <v>140231</v>
      </c>
      <c r="B45" t="s">
        <v>10</v>
      </c>
      <c r="C45">
        <f>'[1]VENTAS CONSOLIDADA ANZOATEGUI'!C45</f>
        <v>883</v>
      </c>
      <c r="D45" s="5">
        <f t="shared" ca="1" si="0"/>
        <v>42.047619047619051</v>
      </c>
      <c r="E45" s="5">
        <f t="shared" ca="1" si="1"/>
        <v>925.04761904761915</v>
      </c>
    </row>
    <row r="46" spans="1:5" x14ac:dyDescent="0.25">
      <c r="A46">
        <v>140232</v>
      </c>
      <c r="B46" t="s">
        <v>9</v>
      </c>
      <c r="C46">
        <f>'[1]VENTAS CONSOLIDADA ANZOATEGUI'!C46</f>
        <v>274</v>
      </c>
      <c r="D46" s="5">
        <f t="shared" ca="1" si="0"/>
        <v>13.047619047619047</v>
      </c>
      <c r="E46" s="5">
        <f t="shared" ca="1" si="1"/>
        <v>287.04761904761904</v>
      </c>
    </row>
    <row r="47" spans="1:5" x14ac:dyDescent="0.25">
      <c r="A47">
        <v>150360</v>
      </c>
      <c r="B47" t="s">
        <v>28</v>
      </c>
      <c r="C47">
        <f>'[1]VENTAS CONSOLIDADA ANZOATEGUI'!C47</f>
        <v>251</v>
      </c>
      <c r="D47" s="5">
        <f t="shared" ca="1" si="0"/>
        <v>11.952380952380953</v>
      </c>
      <c r="E47" s="5">
        <f t="shared" ca="1" si="1"/>
        <v>262.95238095238096</v>
      </c>
    </row>
    <row r="48" spans="1:5" x14ac:dyDescent="0.25">
      <c r="A48">
        <v>150361</v>
      </c>
      <c r="B48" t="s">
        <v>29</v>
      </c>
      <c r="C48">
        <f>'[1]VENTAS CONSOLIDADA ANZOATEGUI'!C48</f>
        <v>650</v>
      </c>
      <c r="D48" s="5">
        <f t="shared" ca="1" si="0"/>
        <v>30.952380952380953</v>
      </c>
      <c r="E48" s="5">
        <f t="shared" ca="1" si="1"/>
        <v>680.95238095238096</v>
      </c>
    </row>
    <row r="49" spans="1:5" x14ac:dyDescent="0.25">
      <c r="A49">
        <v>150362</v>
      </c>
      <c r="B49" t="s">
        <v>36</v>
      </c>
      <c r="C49">
        <f>'[1]VENTAS CONSOLIDADA ANZOATEGUI'!C49</f>
        <v>262</v>
      </c>
      <c r="D49" s="5">
        <f t="shared" ca="1" si="0"/>
        <v>12.476190476190476</v>
      </c>
      <c r="E49" s="5">
        <f t="shared" ca="1" si="1"/>
        <v>274.47619047619048</v>
      </c>
    </row>
    <row r="50" spans="1:5" x14ac:dyDescent="0.25">
      <c r="A50">
        <v>150363</v>
      </c>
      <c r="B50" t="s">
        <v>31</v>
      </c>
      <c r="C50">
        <f>'[1]VENTAS CONSOLIDADA ANZOATEGUI'!C50</f>
        <v>359</v>
      </c>
      <c r="D50" s="5">
        <f t="shared" ca="1" si="0"/>
        <v>17.095238095238095</v>
      </c>
      <c r="E50" s="5">
        <f t="shared" ca="1" si="1"/>
        <v>376.09523809523807</v>
      </c>
    </row>
    <row r="51" spans="1:5" x14ac:dyDescent="0.25">
      <c r="A51">
        <v>151500</v>
      </c>
      <c r="B51" t="s">
        <v>41</v>
      </c>
      <c r="C51">
        <f>'[1]VENTAS CONSOLIDADA ANZOATEGUI'!C51</f>
        <v>60</v>
      </c>
      <c r="D51" s="5">
        <f t="shared" ca="1" si="0"/>
        <v>2.8571428571428572</v>
      </c>
      <c r="E51" s="5">
        <f t="shared" ca="1" si="1"/>
        <v>62.857142857142861</v>
      </c>
    </row>
    <row r="52" spans="1:5" x14ac:dyDescent="0.25">
      <c r="A52">
        <v>151501</v>
      </c>
      <c r="B52" t="s">
        <v>33</v>
      </c>
      <c r="C52">
        <f>'[1]VENTAS CONSOLIDADA ANZOATEGUI'!C52</f>
        <v>146</v>
      </c>
      <c r="D52" s="5">
        <f t="shared" ca="1" si="0"/>
        <v>6.9523809523809526</v>
      </c>
      <c r="E52" s="5">
        <f t="shared" ca="1" si="1"/>
        <v>152.95238095238096</v>
      </c>
    </row>
    <row r="53" spans="1:5" x14ac:dyDescent="0.25">
      <c r="A53">
        <v>151502</v>
      </c>
      <c r="B53" t="s">
        <v>37</v>
      </c>
      <c r="C53">
        <f>'[1]VENTAS CONSOLIDADA ANZOATEGUI'!C53</f>
        <v>32</v>
      </c>
      <c r="D53" s="5">
        <f t="shared" ca="1" si="0"/>
        <v>1.5238095238095237</v>
      </c>
      <c r="E53" s="5">
        <f t="shared" ca="1" si="1"/>
        <v>33.523809523809518</v>
      </c>
    </row>
    <row r="54" spans="1:5" x14ac:dyDescent="0.25">
      <c r="A54">
        <v>151503</v>
      </c>
      <c r="B54" t="s">
        <v>34</v>
      </c>
      <c r="C54">
        <f>'[1]VENTAS CONSOLIDADA ANZOATEGUI'!C54</f>
        <v>69</v>
      </c>
      <c r="D54" s="5">
        <f t="shared" ca="1" si="0"/>
        <v>3.2857142857142856</v>
      </c>
      <c r="E54" s="5">
        <f t="shared" ca="1" si="1"/>
        <v>72.285714285714278</v>
      </c>
    </row>
    <row r="55" spans="1:5" x14ac:dyDescent="0.25">
      <c r="D55" s="7">
        <f ca="1">SUM(D8:D54)</f>
        <v>1333.2380952380956</v>
      </c>
      <c r="E55" s="7">
        <f ca="1">SUM(E8:E54)</f>
        <v>29331.238095238092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4" spans="1:5" x14ac:dyDescent="0.25">
      <c r="D64" s="5"/>
      <c r="E64" s="5"/>
    </row>
    <row r="65" spans="4:5" x14ac:dyDescent="0.25">
      <c r="D65" s="5"/>
      <c r="E65" s="5"/>
    </row>
    <row r="67" spans="4:5" x14ac:dyDescent="0.25">
      <c r="D67" s="5"/>
      <c r="E67" s="5"/>
    </row>
    <row r="68" spans="4:5" x14ac:dyDescent="0.25">
      <c r="D68" s="5"/>
      <c r="E68" s="5"/>
    </row>
    <row r="69" spans="4:5" x14ac:dyDescent="0.25">
      <c r="D69" s="5"/>
      <c r="E69" s="5"/>
    </row>
    <row r="70" spans="4:5" x14ac:dyDescent="0.25">
      <c r="D70" s="5"/>
      <c r="E70" s="5"/>
    </row>
    <row r="71" spans="4:5" x14ac:dyDescent="0.25">
      <c r="D71" s="5"/>
      <c r="E71" s="5"/>
    </row>
    <row r="72" spans="4:5" x14ac:dyDescent="0.25">
      <c r="D72" s="5"/>
      <c r="E7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AE0D-BC42-446D-91D6-EB8288AF0E70}">
  <sheetPr>
    <tabColor theme="5" tint="0.79998168889431442"/>
  </sheetPr>
  <dimension ref="A1:E63"/>
  <sheetViews>
    <sheetView tabSelected="1" workbookViewId="0">
      <selection activeCell="I11" sqref="I11"/>
    </sheetView>
  </sheetViews>
  <sheetFormatPr baseColWidth="10" defaultRowHeight="15" x14ac:dyDescent="0.25"/>
  <cols>
    <col min="1" max="1" width="17.5703125" bestFit="1" customWidth="1"/>
    <col min="2" max="2" width="35.5703125" customWidth="1"/>
    <col min="3" max="3" width="17" bestFit="1" customWidth="1"/>
    <col min="4" max="4" width="14.42578125" customWidth="1"/>
  </cols>
  <sheetData>
    <row r="1" spans="1:5" ht="21" x14ac:dyDescent="0.35">
      <c r="B1" s="8" t="s">
        <v>61</v>
      </c>
      <c r="C1" s="2" t="str">
        <f>'[1]VENTAS CONSOLIDADA 1,0'!C1</f>
        <v>INICIO VENTAS</v>
      </c>
      <c r="D1" s="3">
        <f>'[1]VENTAS CONSOLIDADA 1,0'!D1</f>
        <v>46266</v>
      </c>
    </row>
    <row r="2" spans="1:5" x14ac:dyDescent="0.25">
      <c r="B2" s="9" t="s">
        <v>55</v>
      </c>
      <c r="C2" s="2" t="str">
        <f>'[1]VENTAS CONSOLIDADA 1,0'!C2</f>
        <v>TRASCURSO VENTAS</v>
      </c>
      <c r="D2" s="3">
        <f ca="1">'[1]VENTAS CONSOLIDADA 1,0'!D2</f>
        <v>46295</v>
      </c>
      <c r="E2" s="4">
        <f ca="1">'[1]VENTAS CONSOLIDADA 1,0'!E2</f>
        <v>21</v>
      </c>
    </row>
    <row r="3" spans="1:5" x14ac:dyDescent="0.25">
      <c r="B3" s="9"/>
      <c r="C3" s="2" t="str">
        <f>'[1]VENTAS CONSOLIDADA 1,0'!C3</f>
        <v>FINAL VENTAS</v>
      </c>
      <c r="D3" s="3">
        <f>'[1]VENTAS CONSOLIDADA 1,0'!D3</f>
        <v>46295</v>
      </c>
      <c r="E3" s="4">
        <f ca="1">'[1]VENTAS CONSOLIDADA 1,0'!E3</f>
        <v>1</v>
      </c>
    </row>
    <row r="4" spans="1:5" x14ac:dyDescent="0.25">
      <c r="B4" s="10"/>
    </row>
    <row r="7" spans="1:5" x14ac:dyDescent="0.25">
      <c r="C7" s="6" t="s">
        <v>56</v>
      </c>
      <c r="D7" s="6" t="s">
        <v>49</v>
      </c>
      <c r="E7" s="6" t="s">
        <v>50</v>
      </c>
    </row>
    <row r="8" spans="1:5" x14ac:dyDescent="0.25">
      <c r="A8">
        <v>110150</v>
      </c>
      <c r="B8" t="s">
        <v>2</v>
      </c>
      <c r="C8">
        <f>'[1]VENTAS CONSOLIDADA 1,0'!C8</f>
        <v>24787</v>
      </c>
      <c r="D8" s="5">
        <f t="shared" ref="D8:D54" ca="1" si="0">C8/$E$2</f>
        <v>1180.3333333333333</v>
      </c>
      <c r="E8" s="5">
        <f ca="1">D8*($E$2+$E$3)</f>
        <v>25967.333333333332</v>
      </c>
    </row>
    <row r="9" spans="1:5" x14ac:dyDescent="0.25">
      <c r="A9">
        <v>110151</v>
      </c>
      <c r="B9" t="s">
        <v>5</v>
      </c>
      <c r="C9">
        <f>'[1]VENTAS CONSOLIDADA 1,0'!C9</f>
        <v>937</v>
      </c>
      <c r="D9" s="5">
        <f t="shared" ca="1" si="0"/>
        <v>44.61904761904762</v>
      </c>
      <c r="E9" s="5">
        <f t="shared" ref="E9:E54" ca="1" si="1">D9*($E$2+$E$3)</f>
        <v>981.61904761904771</v>
      </c>
    </row>
    <row r="10" spans="1:5" x14ac:dyDescent="0.25">
      <c r="A10">
        <v>110230</v>
      </c>
      <c r="B10" t="s">
        <v>1</v>
      </c>
      <c r="C10">
        <f>'[1]VENTAS CONSOLIDADA 1,0'!C10</f>
        <v>10278</v>
      </c>
      <c r="D10" s="5">
        <f t="shared" ca="1" si="0"/>
        <v>489.42857142857144</v>
      </c>
      <c r="E10" s="5">
        <f t="shared" ca="1" si="1"/>
        <v>10767.428571428572</v>
      </c>
    </row>
    <row r="11" spans="1:5" x14ac:dyDescent="0.25">
      <c r="A11">
        <v>110400</v>
      </c>
      <c r="B11" t="s">
        <v>13</v>
      </c>
      <c r="C11">
        <f>'[1]VENTAS CONSOLIDADA 1,0'!C11</f>
        <v>2257</v>
      </c>
      <c r="D11" s="5">
        <f t="shared" ca="1" si="0"/>
        <v>107.47619047619048</v>
      </c>
      <c r="E11" s="5">
        <f t="shared" ca="1" si="1"/>
        <v>2364.4761904761908</v>
      </c>
    </row>
    <row r="12" spans="1:5" x14ac:dyDescent="0.25">
      <c r="A12">
        <v>111000</v>
      </c>
      <c r="B12" t="s">
        <v>14</v>
      </c>
      <c r="C12">
        <f>'[1]VENTAS CONSOLIDADA 1,0'!C12</f>
        <v>306</v>
      </c>
      <c r="D12" s="5">
        <f t="shared" ca="1" si="0"/>
        <v>14.571428571428571</v>
      </c>
      <c r="E12" s="5">
        <f t="shared" ca="1" si="1"/>
        <v>320.57142857142856</v>
      </c>
    </row>
    <row r="13" spans="1:5" x14ac:dyDescent="0.25">
      <c r="A13">
        <v>120130</v>
      </c>
      <c r="B13" t="s">
        <v>15</v>
      </c>
      <c r="C13">
        <f>'[1]VENTAS CONSOLIDADA 1,0'!C13</f>
        <v>29227</v>
      </c>
      <c r="D13" s="5">
        <f t="shared" ca="1" si="0"/>
        <v>1391.7619047619048</v>
      </c>
      <c r="E13" s="5">
        <f t="shared" ca="1" si="1"/>
        <v>30618.761904761905</v>
      </c>
    </row>
    <row r="14" spans="1:5" x14ac:dyDescent="0.25">
      <c r="A14">
        <v>120131</v>
      </c>
      <c r="B14" t="s">
        <v>23</v>
      </c>
      <c r="C14">
        <f>'[1]VENTAS CONSOLIDADA 1,0'!C14</f>
        <v>3113</v>
      </c>
      <c r="D14" s="5">
        <f t="shared" ca="1" si="0"/>
        <v>148.23809523809524</v>
      </c>
      <c r="E14" s="5">
        <f t="shared" ca="1" si="1"/>
        <v>3261.2380952380954</v>
      </c>
    </row>
    <row r="15" spans="1:5" x14ac:dyDescent="0.25">
      <c r="A15">
        <v>120132</v>
      </c>
      <c r="B15" t="s">
        <v>21</v>
      </c>
      <c r="C15">
        <f>'[1]VENTAS CONSOLIDADA 1,0'!C15</f>
        <v>6747</v>
      </c>
      <c r="D15" s="5">
        <f t="shared" ca="1" si="0"/>
        <v>321.28571428571428</v>
      </c>
      <c r="E15" s="5">
        <f t="shared" ca="1" si="1"/>
        <v>7068.2857142857138</v>
      </c>
    </row>
    <row r="16" spans="1:5" x14ac:dyDescent="0.25">
      <c r="A16">
        <v>130150</v>
      </c>
      <c r="B16" t="s">
        <v>0</v>
      </c>
      <c r="C16">
        <f>'[1]VENTAS CONSOLIDADA 1,0'!C16</f>
        <v>16541</v>
      </c>
      <c r="D16" s="5">
        <f t="shared" ca="1" si="0"/>
        <v>787.66666666666663</v>
      </c>
      <c r="E16" s="5">
        <f t="shared" ca="1" si="1"/>
        <v>17328.666666666664</v>
      </c>
    </row>
    <row r="17" spans="1:5" x14ac:dyDescent="0.25">
      <c r="A17">
        <v>130151</v>
      </c>
      <c r="B17" t="s">
        <v>4</v>
      </c>
      <c r="C17">
        <f>'[1]VENTAS CONSOLIDADA 1,0'!C17</f>
        <v>8151</v>
      </c>
      <c r="D17" s="5">
        <f t="shared" ca="1" si="0"/>
        <v>388.14285714285717</v>
      </c>
      <c r="E17" s="5">
        <f t="shared" ca="1" si="1"/>
        <v>8539.1428571428569</v>
      </c>
    </row>
    <row r="18" spans="1:5" x14ac:dyDescent="0.25">
      <c r="A18">
        <v>130152</v>
      </c>
      <c r="B18" t="s">
        <v>51</v>
      </c>
      <c r="C18">
        <f>'[1]VENTAS CONSOLIDADA 1,0'!C18</f>
        <v>70692</v>
      </c>
      <c r="D18" s="5">
        <f t="shared" ca="1" si="0"/>
        <v>3366.2857142857142</v>
      </c>
      <c r="E18" s="5">
        <f t="shared" ca="1" si="1"/>
        <v>74058.28571428571</v>
      </c>
    </row>
    <row r="19" spans="1:5" x14ac:dyDescent="0.25">
      <c r="A19">
        <v>130153</v>
      </c>
      <c r="B19" t="s">
        <v>52</v>
      </c>
      <c r="C19">
        <f>'[1]VENTAS CONSOLIDADA 1,0'!C19</f>
        <v>44499</v>
      </c>
      <c r="D19" s="5">
        <f t="shared" ca="1" si="0"/>
        <v>2119</v>
      </c>
      <c r="E19" s="5">
        <f t="shared" ca="1" si="1"/>
        <v>46618</v>
      </c>
    </row>
    <row r="20" spans="1:5" x14ac:dyDescent="0.25">
      <c r="A20">
        <v>130154</v>
      </c>
      <c r="B20" t="s">
        <v>53</v>
      </c>
      <c r="C20">
        <f>'[1]VENTAS CONSOLIDADA 1,0'!C20</f>
        <v>44630</v>
      </c>
      <c r="D20" s="5">
        <f t="shared" ca="1" si="0"/>
        <v>2125.2380952380954</v>
      </c>
      <c r="E20" s="5">
        <f t="shared" ca="1" si="1"/>
        <v>46755.238095238099</v>
      </c>
    </row>
    <row r="21" spans="1:5" x14ac:dyDescent="0.25">
      <c r="A21">
        <v>130155</v>
      </c>
      <c r="B21" t="s">
        <v>16</v>
      </c>
      <c r="C21">
        <f>'[1]VENTAS CONSOLIDADA 1,0'!C21</f>
        <v>55127</v>
      </c>
      <c r="D21" s="5">
        <f t="shared" ca="1" si="0"/>
        <v>2625.0952380952381</v>
      </c>
      <c r="E21" s="5">
        <f t="shared" ca="1" si="1"/>
        <v>57752.095238095237</v>
      </c>
    </row>
    <row r="22" spans="1:5" x14ac:dyDescent="0.25">
      <c r="A22">
        <v>130157</v>
      </c>
      <c r="B22" t="s">
        <v>43</v>
      </c>
      <c r="C22">
        <f>'[1]VENTAS CONSOLIDADA 1,0'!C22</f>
        <v>14905</v>
      </c>
      <c r="D22" s="5">
        <f t="shared" ca="1" si="0"/>
        <v>709.76190476190482</v>
      </c>
      <c r="E22" s="5">
        <f t="shared" ca="1" si="1"/>
        <v>15614.761904761906</v>
      </c>
    </row>
    <row r="23" spans="1:5" x14ac:dyDescent="0.25">
      <c r="A23">
        <v>130158</v>
      </c>
      <c r="B23" t="s">
        <v>44</v>
      </c>
      <c r="C23">
        <f>'[1]VENTAS CONSOLIDADA 1,0'!C23</f>
        <v>17819</v>
      </c>
      <c r="D23" s="5">
        <f t="shared" ca="1" si="0"/>
        <v>848.52380952380952</v>
      </c>
      <c r="E23" s="5">
        <f t="shared" ca="1" si="1"/>
        <v>18667.523809523809</v>
      </c>
    </row>
    <row r="24" spans="1:5" x14ac:dyDescent="0.25">
      <c r="A24">
        <v>130159</v>
      </c>
      <c r="B24" t="s">
        <v>45</v>
      </c>
      <c r="C24">
        <f>'[1]VENTAS CONSOLIDADA 1,0'!C24</f>
        <v>17897</v>
      </c>
      <c r="D24" s="5">
        <f t="shared" ca="1" si="0"/>
        <v>852.23809523809518</v>
      </c>
      <c r="E24" s="5">
        <f t="shared" ca="1" si="1"/>
        <v>18749.238095238095</v>
      </c>
    </row>
    <row r="25" spans="1:5" x14ac:dyDescent="0.25">
      <c r="A25">
        <v>130700</v>
      </c>
      <c r="B25" t="s">
        <v>3</v>
      </c>
      <c r="C25">
        <f>'[1]VENTAS CONSOLIDADA 1,0'!C25</f>
        <v>5809</v>
      </c>
      <c r="D25" s="5">
        <f t="shared" ca="1" si="0"/>
        <v>276.61904761904759</v>
      </c>
      <c r="E25" s="5">
        <f t="shared" ca="1" si="1"/>
        <v>6085.6190476190468</v>
      </c>
    </row>
    <row r="26" spans="1:5" x14ac:dyDescent="0.25">
      <c r="A26">
        <v>130701</v>
      </c>
      <c r="B26" t="s">
        <v>30</v>
      </c>
      <c r="C26">
        <f>'[1]VENTAS CONSOLIDADA 1,0'!C26</f>
        <v>2873</v>
      </c>
      <c r="D26" s="5">
        <f t="shared" ca="1" si="0"/>
        <v>136.8095238095238</v>
      </c>
      <c r="E26" s="5">
        <f t="shared" ca="1" si="1"/>
        <v>3009.8095238095234</v>
      </c>
    </row>
    <row r="27" spans="1:5" x14ac:dyDescent="0.25">
      <c r="A27">
        <v>130702</v>
      </c>
      <c r="B27" t="s">
        <v>12</v>
      </c>
      <c r="C27">
        <f>'[1]VENTAS CONSOLIDADA 1,0'!C27</f>
        <v>10830</v>
      </c>
      <c r="D27" s="5">
        <f t="shared" ca="1" si="0"/>
        <v>515.71428571428567</v>
      </c>
      <c r="E27" s="5">
        <f t="shared" ca="1" si="1"/>
        <v>11345.714285714284</v>
      </c>
    </row>
    <row r="28" spans="1:5" x14ac:dyDescent="0.25">
      <c r="A28">
        <v>130703</v>
      </c>
      <c r="B28" t="s">
        <v>17</v>
      </c>
      <c r="C28">
        <f>'[1]VENTAS CONSOLIDADA 1,0'!C28</f>
        <v>18374</v>
      </c>
      <c r="D28" s="5">
        <f t="shared" ca="1" si="0"/>
        <v>874.95238095238096</v>
      </c>
      <c r="E28" s="5">
        <f t="shared" ca="1" si="1"/>
        <v>19248.952380952382</v>
      </c>
    </row>
    <row r="29" spans="1:5" x14ac:dyDescent="0.25">
      <c r="A29">
        <v>130707</v>
      </c>
      <c r="B29" t="s">
        <v>42</v>
      </c>
      <c r="C29">
        <f>'[1]VENTAS CONSOLIDADA 1,0'!C29</f>
        <v>1440</v>
      </c>
      <c r="D29" s="5">
        <f t="shared" ca="1" si="0"/>
        <v>68.571428571428569</v>
      </c>
      <c r="E29" s="5">
        <f t="shared" ca="1" si="1"/>
        <v>1508.5714285714284</v>
      </c>
    </row>
    <row r="30" spans="1:5" x14ac:dyDescent="0.25">
      <c r="A30">
        <v>131150</v>
      </c>
      <c r="B30" t="s">
        <v>22</v>
      </c>
      <c r="C30">
        <f>'[1]VENTAS CONSOLIDADA 1,0'!C30</f>
        <v>14758</v>
      </c>
      <c r="D30" s="5">
        <f t="shared" ca="1" si="0"/>
        <v>702.76190476190482</v>
      </c>
      <c r="E30" s="5">
        <f t="shared" ca="1" si="1"/>
        <v>15460.761904761906</v>
      </c>
    </row>
    <row r="31" spans="1:5" x14ac:dyDescent="0.25">
      <c r="A31">
        <v>131151</v>
      </c>
      <c r="B31" t="s">
        <v>19</v>
      </c>
      <c r="C31">
        <f>'[1]VENTAS CONSOLIDADA 1,0'!C31</f>
        <v>22794</v>
      </c>
      <c r="D31" s="5">
        <f t="shared" ca="1" si="0"/>
        <v>1085.4285714285713</v>
      </c>
      <c r="E31" s="5">
        <f t="shared" ca="1" si="1"/>
        <v>23879.428571428569</v>
      </c>
    </row>
    <row r="32" spans="1:5" x14ac:dyDescent="0.25">
      <c r="A32">
        <v>131152</v>
      </c>
      <c r="B32" t="s">
        <v>32</v>
      </c>
      <c r="C32">
        <f>'[1]VENTAS CONSOLIDADA 1,0'!C32</f>
        <v>11895</v>
      </c>
      <c r="D32" s="5">
        <f t="shared" ca="1" si="0"/>
        <v>566.42857142857144</v>
      </c>
      <c r="E32" s="5">
        <f t="shared" ca="1" si="1"/>
        <v>12461.428571428572</v>
      </c>
    </row>
    <row r="33" spans="1:5" x14ac:dyDescent="0.25">
      <c r="A33">
        <v>131153</v>
      </c>
      <c r="B33" t="s">
        <v>11</v>
      </c>
      <c r="C33">
        <f>'[1]VENTAS CONSOLIDADA 1,0'!C33</f>
        <v>9458</v>
      </c>
      <c r="D33" s="5">
        <f t="shared" ca="1" si="0"/>
        <v>450.38095238095241</v>
      </c>
      <c r="E33" s="5">
        <f t="shared" ca="1" si="1"/>
        <v>9908.3809523809523</v>
      </c>
    </row>
    <row r="34" spans="1:5" x14ac:dyDescent="0.25">
      <c r="A34">
        <v>131154</v>
      </c>
      <c r="B34" t="s">
        <v>48</v>
      </c>
      <c r="C34">
        <f>'[1]VENTAS CONSOLIDADA 1,0'!C34</f>
        <v>5248</v>
      </c>
      <c r="D34" s="5">
        <f t="shared" ca="1" si="0"/>
        <v>249.9047619047619</v>
      </c>
      <c r="E34" s="5">
        <f t="shared" ca="1" si="1"/>
        <v>5497.9047619047615</v>
      </c>
    </row>
    <row r="35" spans="1:5" x14ac:dyDescent="0.25">
      <c r="A35">
        <v>131155</v>
      </c>
      <c r="B35" t="s">
        <v>57</v>
      </c>
      <c r="C35">
        <f>'[1]VENTAS CONSOLIDADA 1,0'!C35</f>
        <v>6416</v>
      </c>
      <c r="D35" s="5">
        <f t="shared" ca="1" si="0"/>
        <v>305.52380952380952</v>
      </c>
      <c r="E35" s="5">
        <f t="shared" ca="1" si="1"/>
        <v>6721.5238095238092</v>
      </c>
    </row>
    <row r="36" spans="1:5" x14ac:dyDescent="0.25">
      <c r="A36">
        <v>131700</v>
      </c>
      <c r="B36" t="s">
        <v>20</v>
      </c>
      <c r="C36">
        <f>'[1]VENTAS CONSOLIDADA 1,0'!C36</f>
        <v>2790</v>
      </c>
      <c r="D36" s="5">
        <f t="shared" ca="1" si="0"/>
        <v>132.85714285714286</v>
      </c>
      <c r="E36" s="5">
        <f t="shared" ca="1" si="1"/>
        <v>2922.8571428571431</v>
      </c>
    </row>
    <row r="37" spans="1:5" x14ac:dyDescent="0.25">
      <c r="A37">
        <v>131701</v>
      </c>
      <c r="B37" t="s">
        <v>24</v>
      </c>
      <c r="C37">
        <f>'[1]VENTAS CONSOLIDADA 1,0'!C37</f>
        <v>3099</v>
      </c>
      <c r="D37" s="5">
        <f t="shared" ca="1" si="0"/>
        <v>147.57142857142858</v>
      </c>
      <c r="E37" s="5">
        <f t="shared" ca="1" si="1"/>
        <v>3246.5714285714289</v>
      </c>
    </row>
    <row r="38" spans="1:5" x14ac:dyDescent="0.25">
      <c r="A38">
        <v>132150</v>
      </c>
      <c r="B38" t="s">
        <v>25</v>
      </c>
      <c r="C38">
        <f>'[1]VENTAS CONSOLIDADA 1,0'!C38</f>
        <v>16707</v>
      </c>
      <c r="D38" s="5">
        <f t="shared" ca="1" si="0"/>
        <v>795.57142857142856</v>
      </c>
      <c r="E38" s="5">
        <f t="shared" ca="1" si="1"/>
        <v>17502.571428571428</v>
      </c>
    </row>
    <row r="39" spans="1:5" x14ac:dyDescent="0.25">
      <c r="A39">
        <v>132151</v>
      </c>
      <c r="B39" t="s">
        <v>26</v>
      </c>
      <c r="C39">
        <f>'[1]VENTAS CONSOLIDADA 1,0'!C39</f>
        <v>12836</v>
      </c>
      <c r="D39" s="5">
        <f t="shared" ca="1" si="0"/>
        <v>611.23809523809518</v>
      </c>
      <c r="E39" s="5">
        <f t="shared" ca="1" si="1"/>
        <v>13447.238095238094</v>
      </c>
    </row>
    <row r="40" spans="1:5" x14ac:dyDescent="0.25">
      <c r="A40">
        <v>132152</v>
      </c>
      <c r="B40" t="s">
        <v>27</v>
      </c>
      <c r="C40">
        <f>'[1]VENTAS CONSOLIDADA 1,0'!C40</f>
        <v>17012</v>
      </c>
      <c r="D40" s="5">
        <f t="shared" ca="1" si="0"/>
        <v>810.09523809523807</v>
      </c>
      <c r="E40" s="5">
        <f t="shared" ca="1" si="1"/>
        <v>17822.095238095237</v>
      </c>
    </row>
    <row r="41" spans="1:5" x14ac:dyDescent="0.25">
      <c r="A41">
        <v>132153</v>
      </c>
      <c r="B41" t="s">
        <v>40</v>
      </c>
      <c r="C41">
        <f>'[1]VENTAS CONSOLIDADA 1,0'!C41</f>
        <v>11324</v>
      </c>
      <c r="D41" s="5">
        <f t="shared" ca="1" si="0"/>
        <v>539.23809523809518</v>
      </c>
      <c r="E41" s="5">
        <f t="shared" ca="1" si="1"/>
        <v>11863.238095238094</v>
      </c>
    </row>
    <row r="42" spans="1:5" x14ac:dyDescent="0.25">
      <c r="A42">
        <v>134000</v>
      </c>
      <c r="B42" t="s">
        <v>35</v>
      </c>
      <c r="C42">
        <f>'[1]VENTAS CONSOLIDADA 1,0'!C42</f>
        <v>80</v>
      </c>
      <c r="D42" s="5">
        <f t="shared" ca="1" si="0"/>
        <v>3.8095238095238093</v>
      </c>
      <c r="E42" s="5">
        <f t="shared" ca="1" si="1"/>
        <v>83.80952380952381</v>
      </c>
    </row>
    <row r="43" spans="1:5" x14ac:dyDescent="0.25">
      <c r="A43">
        <v>134001</v>
      </c>
      <c r="B43" t="s">
        <v>47</v>
      </c>
      <c r="C43">
        <f>'[1]VENTAS CONSOLIDADA 1,0'!C43</f>
        <v>11</v>
      </c>
      <c r="D43" s="5">
        <f t="shared" ca="1" si="0"/>
        <v>0.52380952380952384</v>
      </c>
      <c r="E43" s="5">
        <f t="shared" ca="1" si="1"/>
        <v>11.523809523809524</v>
      </c>
    </row>
    <row r="44" spans="1:5" x14ac:dyDescent="0.25">
      <c r="A44">
        <v>140230</v>
      </c>
      <c r="B44" t="s">
        <v>18</v>
      </c>
      <c r="C44">
        <f>'[1]VENTAS CONSOLIDADA 1,0'!C44</f>
        <v>2705</v>
      </c>
      <c r="D44" s="5">
        <f t="shared" ca="1" si="0"/>
        <v>128.8095238095238</v>
      </c>
      <c r="E44" s="5">
        <f t="shared" ca="1" si="1"/>
        <v>2833.8095238095234</v>
      </c>
    </row>
    <row r="45" spans="1:5" x14ac:dyDescent="0.25">
      <c r="A45">
        <v>140231</v>
      </c>
      <c r="B45" t="s">
        <v>10</v>
      </c>
      <c r="C45">
        <f>'[1]VENTAS CONSOLIDADA 1,0'!C45</f>
        <v>12255</v>
      </c>
      <c r="D45" s="5">
        <f t="shared" ca="1" si="0"/>
        <v>583.57142857142856</v>
      </c>
      <c r="E45" s="5">
        <f t="shared" ca="1" si="1"/>
        <v>12838.571428571428</v>
      </c>
    </row>
    <row r="46" spans="1:5" x14ac:dyDescent="0.25">
      <c r="A46">
        <v>140232</v>
      </c>
      <c r="B46" t="s">
        <v>9</v>
      </c>
      <c r="C46">
        <f>'[1]VENTAS CONSOLIDADA 1,0'!C46</f>
        <v>8738</v>
      </c>
      <c r="D46" s="5">
        <f t="shared" ca="1" si="0"/>
        <v>416.09523809523807</v>
      </c>
      <c r="E46" s="5">
        <f t="shared" ca="1" si="1"/>
        <v>9154.0952380952367</v>
      </c>
    </row>
    <row r="47" spans="1:5" x14ac:dyDescent="0.25">
      <c r="A47">
        <v>150360</v>
      </c>
      <c r="B47" t="s">
        <v>28</v>
      </c>
      <c r="C47">
        <f>'[1]VENTAS CONSOLIDADA 1,0'!C47</f>
        <v>5325</v>
      </c>
      <c r="D47" s="5">
        <f t="shared" ca="1" si="0"/>
        <v>253.57142857142858</v>
      </c>
      <c r="E47" s="5">
        <f t="shared" ca="1" si="1"/>
        <v>5578.5714285714284</v>
      </c>
    </row>
    <row r="48" spans="1:5" x14ac:dyDescent="0.25">
      <c r="A48">
        <v>150361</v>
      </c>
      <c r="B48" t="s">
        <v>29</v>
      </c>
      <c r="C48">
        <f>'[1]VENTAS CONSOLIDADA 1,0'!C48</f>
        <v>10342</v>
      </c>
      <c r="D48" s="5">
        <f t="shared" ca="1" si="0"/>
        <v>492.47619047619048</v>
      </c>
      <c r="E48" s="5">
        <f t="shared" ca="1" si="1"/>
        <v>10834.476190476191</v>
      </c>
    </row>
    <row r="49" spans="1:5" x14ac:dyDescent="0.25">
      <c r="A49">
        <v>150362</v>
      </c>
      <c r="B49" t="s">
        <v>36</v>
      </c>
      <c r="C49">
        <f>'[1]VENTAS CONSOLIDADA 1,0'!C49</f>
        <v>6148</v>
      </c>
      <c r="D49" s="5">
        <f t="shared" ca="1" si="0"/>
        <v>292.76190476190476</v>
      </c>
      <c r="E49" s="5">
        <f t="shared" ca="1" si="1"/>
        <v>6440.7619047619046</v>
      </c>
    </row>
    <row r="50" spans="1:5" x14ac:dyDescent="0.25">
      <c r="A50">
        <v>150363</v>
      </c>
      <c r="B50" t="s">
        <v>31</v>
      </c>
      <c r="C50">
        <f>'[1]VENTAS CONSOLIDADA 1,0'!C50</f>
        <v>6035</v>
      </c>
      <c r="D50" s="5">
        <f t="shared" ca="1" si="0"/>
        <v>287.38095238095241</v>
      </c>
      <c r="E50" s="5">
        <f t="shared" ca="1" si="1"/>
        <v>6322.3809523809532</v>
      </c>
    </row>
    <row r="51" spans="1:5" x14ac:dyDescent="0.25">
      <c r="A51">
        <v>151500</v>
      </c>
      <c r="B51" t="s">
        <v>41</v>
      </c>
      <c r="C51">
        <f>'[1]VENTAS CONSOLIDADA 1,0'!C51</f>
        <v>1124</v>
      </c>
      <c r="D51" s="5">
        <f t="shared" ca="1" si="0"/>
        <v>53.523809523809526</v>
      </c>
      <c r="E51" s="5">
        <f t="shared" ca="1" si="1"/>
        <v>1177.5238095238096</v>
      </c>
    </row>
    <row r="52" spans="1:5" x14ac:dyDescent="0.25">
      <c r="A52">
        <v>151501</v>
      </c>
      <c r="B52" t="s">
        <v>33</v>
      </c>
      <c r="C52">
        <f>'[1]VENTAS CONSOLIDADA 1,0'!C52</f>
        <v>2523</v>
      </c>
      <c r="D52" s="5">
        <f t="shared" ca="1" si="0"/>
        <v>120.14285714285714</v>
      </c>
      <c r="E52" s="5">
        <f t="shared" ca="1" si="1"/>
        <v>2643.1428571428569</v>
      </c>
    </row>
    <row r="53" spans="1:5" x14ac:dyDescent="0.25">
      <c r="A53">
        <v>151502</v>
      </c>
      <c r="B53" t="s">
        <v>37</v>
      </c>
      <c r="C53">
        <f>'[1]VENTAS CONSOLIDADA 1,0'!C53</f>
        <v>872</v>
      </c>
      <c r="D53" s="5">
        <f t="shared" ca="1" si="0"/>
        <v>41.523809523809526</v>
      </c>
      <c r="E53" s="5">
        <f t="shared" ca="1" si="1"/>
        <v>913.52380952380952</v>
      </c>
    </row>
    <row r="54" spans="1:5" x14ac:dyDescent="0.25">
      <c r="A54">
        <v>151503</v>
      </c>
      <c r="B54" t="s">
        <v>34</v>
      </c>
      <c r="C54">
        <f>'[1]VENTAS CONSOLIDADA 1,0'!C54</f>
        <v>1066</v>
      </c>
      <c r="D54" s="5">
        <f t="shared" ca="1" si="0"/>
        <v>50.761904761904759</v>
      </c>
      <c r="E54" s="5">
        <f t="shared" ca="1" si="1"/>
        <v>1116.7619047619046</v>
      </c>
    </row>
    <row r="55" spans="1:5" x14ac:dyDescent="0.25">
      <c r="C55">
        <f>SUM(C8:C54)</f>
        <v>598800</v>
      </c>
      <c r="D55" s="5">
        <f ca="1">SUM(D8:D54)</f>
        <v>28514.28571428571</v>
      </c>
      <c r="E55" s="5">
        <f ca="1">SUM(E8:E54)</f>
        <v>627314.28571428556</v>
      </c>
    </row>
    <row r="56" spans="1:5" x14ac:dyDescent="0.25">
      <c r="D56" s="5"/>
      <c r="E56" s="5"/>
    </row>
    <row r="57" spans="1:5" x14ac:dyDescent="0.25">
      <c r="D57" s="5"/>
      <c r="E57" s="5"/>
    </row>
    <row r="58" spans="1:5" x14ac:dyDescent="0.25">
      <c r="D58" s="5"/>
      <c r="E58" s="5"/>
    </row>
    <row r="59" spans="1:5" x14ac:dyDescent="0.25">
      <c r="D59" s="5"/>
      <c r="E59" s="5"/>
    </row>
    <row r="60" spans="1:5" x14ac:dyDescent="0.25">
      <c r="D60" s="5"/>
      <c r="E60" s="5"/>
    </row>
    <row r="61" spans="1:5" x14ac:dyDescent="0.25">
      <c r="D61" s="5"/>
      <c r="E61" s="5"/>
    </row>
    <row r="62" spans="1:5" x14ac:dyDescent="0.25">
      <c r="D62" s="5"/>
      <c r="E62" s="5"/>
    </row>
    <row r="63" spans="1:5" x14ac:dyDescent="0.25">
      <c r="D63" s="5"/>
      <c r="E6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DF253BA-E348-4CD2-AA4E-97FB2A32A7F0}">
  <ds:schemaRefs/>
</ds:datastoreItem>
</file>

<file path=customXml/itemProps2.xml><?xml version="1.0" encoding="utf-8"?>
<ds:datastoreItem xmlns:ds="http://schemas.openxmlformats.org/officeDocument/2006/customXml" ds:itemID="{DB2ACCEB-6CC9-4D35-BDF4-AC9EF8C2F118}">
  <ds:schemaRefs/>
</ds:datastoreItem>
</file>

<file path=customXml/itemProps3.xml><?xml version="1.0" encoding="utf-8"?>
<ds:datastoreItem xmlns:ds="http://schemas.openxmlformats.org/officeDocument/2006/customXml" ds:itemID="{B0CC2B14-7DD7-4033-8A48-822C26B12A45}">
  <ds:schemaRefs/>
</ds:datastoreItem>
</file>

<file path=customXml/itemProps4.xml><?xml version="1.0" encoding="utf-8"?>
<ds:datastoreItem xmlns:ds="http://schemas.openxmlformats.org/officeDocument/2006/customXml" ds:itemID="{1624F75C-FD6B-41DE-81B8-76266AB6E660}">
  <ds:schemaRefs/>
</ds:datastoreItem>
</file>

<file path=customXml/itemProps5.xml><?xml version="1.0" encoding="utf-8"?>
<ds:datastoreItem xmlns:ds="http://schemas.openxmlformats.org/officeDocument/2006/customXml" ds:itemID="{CC2043D8-989E-412C-8862-ACDB973E448B}">
  <ds:schemaRefs/>
</ds:datastoreItem>
</file>

<file path=customXml/itemProps6.xml><?xml version="1.0" encoding="utf-8"?>
<ds:datastoreItem xmlns:ds="http://schemas.openxmlformats.org/officeDocument/2006/customXml" ds:itemID="{7845B0CC-F2DA-4435-B3A8-0B67EEA59E3E}">
  <ds:schemaRefs/>
</ds:datastoreItem>
</file>

<file path=customXml/itemProps7.xml><?xml version="1.0" encoding="utf-8"?>
<ds:datastoreItem xmlns:ds="http://schemas.openxmlformats.org/officeDocument/2006/customXml" ds:itemID="{7AE93A93-CA27-4BDA-AA62-2C35967BA493}">
  <ds:schemaRefs/>
</ds:datastoreItem>
</file>

<file path=customXml/itemProps8.xml><?xml version="1.0" encoding="utf-8"?>
<ds:datastoreItem xmlns:ds="http://schemas.openxmlformats.org/officeDocument/2006/customXml" ds:itemID="{2FB7461A-5A6D-4ED3-B35C-48147355CFC0}">
  <ds:schemaRefs/>
</ds:datastoreItem>
</file>

<file path=customXml/itemProps9.xml><?xml version="1.0" encoding="utf-8"?>
<ds:datastoreItem xmlns:ds="http://schemas.openxmlformats.org/officeDocument/2006/customXml" ds:itemID="{65BE5737-5D13-4B92-9A1E-66AAD091BECC}">
  <ds:schemaRefs/>
</ds:datastoreItem>
</file>

<file path=customXml/itemProps10.xml><?xml version="1.0" encoding="utf-8"?>
<ds:datastoreItem xmlns:ds="http://schemas.openxmlformats.org/officeDocument/2006/customXml" ds:itemID="{DEFC51E7-3E67-4621-B139-07F56E3C51B6}">
  <ds:schemaRefs/>
</ds:datastoreItem>
</file>

<file path=customXml/itemProps11.xml><?xml version="1.0" encoding="utf-8"?>
<ds:datastoreItem xmlns:ds="http://schemas.openxmlformats.org/officeDocument/2006/customXml" ds:itemID="{CFB06E3D-1317-4F60-85DB-890000D02217}">
  <ds:schemaRefs/>
</ds:datastoreItem>
</file>

<file path=customXml/itemProps12.xml><?xml version="1.0" encoding="utf-8"?>
<ds:datastoreItem xmlns:ds="http://schemas.openxmlformats.org/officeDocument/2006/customXml" ds:itemID="{CAB6C292-B853-467D-B711-6EBB7D36CC58}">
  <ds:schemaRefs/>
</ds:datastoreItem>
</file>

<file path=customXml/itemProps13.xml><?xml version="1.0" encoding="utf-8"?>
<ds:datastoreItem xmlns:ds="http://schemas.openxmlformats.org/officeDocument/2006/customXml" ds:itemID="{F5D7323A-644E-4D3D-8486-43C2FFAD8146}">
  <ds:schemaRefs/>
</ds:datastoreItem>
</file>

<file path=customXml/itemProps14.xml><?xml version="1.0" encoding="utf-8"?>
<ds:datastoreItem xmlns:ds="http://schemas.openxmlformats.org/officeDocument/2006/customXml" ds:itemID="{084C0BCB-4732-44D2-A228-50E994334BF1}">
  <ds:schemaRefs/>
</ds:datastoreItem>
</file>

<file path=customXml/itemProps15.xml><?xml version="1.0" encoding="utf-8"?>
<ds:datastoreItem xmlns:ds="http://schemas.openxmlformats.org/officeDocument/2006/customXml" ds:itemID="{8E0207D3-36B0-4047-99FA-B78F3EBADFAC}">
  <ds:schemaRefs/>
</ds:datastoreItem>
</file>

<file path=customXml/itemProps16.xml><?xml version="1.0" encoding="utf-8"?>
<ds:datastoreItem xmlns:ds="http://schemas.openxmlformats.org/officeDocument/2006/customXml" ds:itemID="{8FA6FD56-56DE-469C-889D-F10D376C281E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38DB5A37-2218-4EAC-B67D-146D68E76E36}">
  <ds:schemaRefs/>
</ds:datastoreItem>
</file>

<file path=customXml/itemProps18.xml><?xml version="1.0" encoding="utf-8"?>
<ds:datastoreItem xmlns:ds="http://schemas.openxmlformats.org/officeDocument/2006/customXml" ds:itemID="{0AD6CB95-564A-49A8-92C3-BDDCD21D69FF}">
  <ds:schemaRefs/>
</ds:datastoreItem>
</file>

<file path=customXml/itemProps19.xml><?xml version="1.0" encoding="utf-8"?>
<ds:datastoreItem xmlns:ds="http://schemas.openxmlformats.org/officeDocument/2006/customXml" ds:itemID="{52FA8FE5-D878-4A8D-B664-9568032292DD}">
  <ds:schemaRefs/>
</ds:datastoreItem>
</file>

<file path=customXml/itemProps20.xml><?xml version="1.0" encoding="utf-8"?>
<ds:datastoreItem xmlns:ds="http://schemas.openxmlformats.org/officeDocument/2006/customXml" ds:itemID="{AF2AF42B-D484-4F26-B929-D7FB2E56F7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Soporte</vt:lpstr>
      <vt:lpstr>VENTAS CONSOLIDADA ZULIA</vt:lpstr>
      <vt:lpstr>VENTAS CONSOLIDADA CARABOBO</vt:lpstr>
      <vt:lpstr>VENTAS CONSOLIDADA CARACAS</vt:lpstr>
      <vt:lpstr>VENTAS CONSOLIDADA LARA</vt:lpstr>
      <vt:lpstr>VENTAS CONSOLIDADA ORIENTE</vt:lpstr>
      <vt:lpstr>VENTAS 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Administrador@sapori.local</dc:creator>
  <cp:lastModifiedBy>Orbit</cp:lastModifiedBy>
  <dcterms:created xsi:type="dcterms:W3CDTF">2024-08-12T19:54:46Z</dcterms:created>
  <dcterms:modified xsi:type="dcterms:W3CDTF">2026-09-30T12:16:13Z</dcterms:modified>
</cp:coreProperties>
</file>