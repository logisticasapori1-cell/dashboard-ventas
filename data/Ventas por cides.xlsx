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1C52347-0D30-4D48-A064-D6BA7715493A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18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3" i="55"/>
  <c r="E3" i="50"/>
  <c r="E2" i="50"/>
  <c r="D46" i="50" s="1"/>
  <c r="E3" i="51"/>
  <c r="E2" i="51"/>
  <c r="E3" i="52"/>
  <c r="E2" i="52"/>
  <c r="E2" i="54"/>
  <c r="E3" i="54"/>
  <c r="E3" i="53"/>
  <c r="E2" i="55" l="1"/>
  <c r="E2" i="53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<sst xmlns="http://schemas.openxmlformats.org/spreadsheetml/2006/main" count="320" uniqueCount="62">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</sst>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46290</v>
          </cell>
          <cell r="E2">
            <v>18</v>
          </cell>
        </row>
        <row r="3">
          <cell r="C3" t="str">
            <v>FINAL VENTAS</v>
          </cell>
          <cell r="D3">
            <v>46295</v>
          </cell>
          <cell r="E3">
            <v>4</v>
          </cell>
        </row>
        <row r="8">
          <cell r="C8">
            <v>838</v>
          </cell>
        </row>
        <row r="9">
          <cell r="C9">
            <v>104</v>
          </cell>
        </row>
        <row r="10">
          <cell r="C10">
            <v>209</v>
          </cell>
        </row>
        <row r="11">
          <cell r="C11">
            <v>44</v>
          </cell>
        </row>
        <row r="12">
          <cell r="C12">
            <v>11</v>
          </cell>
        </row>
        <row r="13">
          <cell r="C13">
            <v>1051</v>
          </cell>
        </row>
        <row r="14">
          <cell r="C14">
            <v>92</v>
          </cell>
        </row>
        <row r="15">
          <cell r="C15">
            <v>174</v>
          </cell>
        </row>
        <row r="16">
          <cell r="C16">
            <v>478</v>
          </cell>
        </row>
        <row r="17">
          <cell r="C17">
            <v>145</v>
          </cell>
        </row>
        <row r="18">
          <cell r="C18">
            <v>2702</v>
          </cell>
        </row>
        <row r="19">
          <cell r="C19">
            <v>1595</v>
          </cell>
        </row>
        <row r="20">
          <cell r="C20">
            <v>1922</v>
          </cell>
        </row>
        <row r="21">
          <cell r="C21">
            <v>1531</v>
          </cell>
        </row>
        <row r="22">
          <cell r="C22">
            <v>534</v>
          </cell>
        </row>
        <row r="23">
          <cell r="C23">
            <v>733</v>
          </cell>
        </row>
        <row r="24">
          <cell r="C24">
            <v>737</v>
          </cell>
        </row>
        <row r="25">
          <cell r="C25">
            <v>109</v>
          </cell>
        </row>
        <row r="26">
          <cell r="C26">
            <v>18</v>
          </cell>
        </row>
        <row r="27">
          <cell r="C27">
            <v>246</v>
          </cell>
        </row>
        <row r="28">
          <cell r="C28">
            <v>346</v>
          </cell>
        </row>
        <row r="29">
          <cell r="C29">
            <v>32</v>
          </cell>
        </row>
        <row r="30">
          <cell r="C30">
            <v>688</v>
          </cell>
        </row>
        <row r="31">
          <cell r="C31">
            <v>1639</v>
          </cell>
        </row>
        <row r="32">
          <cell r="C32">
            <v>1012</v>
          </cell>
        </row>
        <row r="33">
          <cell r="C33">
            <v>664</v>
          </cell>
        </row>
        <row r="34">
          <cell r="C34">
            <v>539</v>
          </cell>
        </row>
        <row r="35">
          <cell r="C35">
            <v>672</v>
          </cell>
        </row>
        <row r="36">
          <cell r="C36">
            <v>82</v>
          </cell>
        </row>
        <row r="37">
          <cell r="C37">
            <v>116</v>
          </cell>
        </row>
        <row r="38">
          <cell r="C38">
            <v>813</v>
          </cell>
        </row>
        <row r="39">
          <cell r="C39">
            <v>499</v>
          </cell>
        </row>
        <row r="40">
          <cell r="C40">
            <v>740</v>
          </cell>
        </row>
        <row r="41">
          <cell r="C41">
            <v>451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134</v>
          </cell>
        </row>
        <row r="45">
          <cell r="C45">
            <v>760</v>
          </cell>
        </row>
        <row r="46">
          <cell r="C46">
            <v>260</v>
          </cell>
        </row>
        <row r="47">
          <cell r="C47">
            <v>117</v>
          </cell>
        </row>
        <row r="48">
          <cell r="C48">
            <v>471</v>
          </cell>
        </row>
        <row r="49">
          <cell r="C49">
            <v>222</v>
          </cell>
        </row>
        <row r="50">
          <cell r="C50">
            <v>312</v>
          </cell>
        </row>
        <row r="51">
          <cell r="C51">
            <v>48</v>
          </cell>
        </row>
        <row r="52">
          <cell r="C52">
            <v>110</v>
          </cell>
        </row>
        <row r="53">
          <cell r="C53">
            <v>32</v>
          </cell>
        </row>
        <row r="54">
          <cell r="C54">
            <v>51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46290</v>
          </cell>
          <cell r="E2">
            <v>18</v>
          </cell>
        </row>
        <row r="3">
          <cell r="C3" t="str">
            <v>FINAL VENTAS</v>
          </cell>
          <cell r="D3">
            <v>46295</v>
          </cell>
          <cell r="E3">
            <v>4</v>
          </cell>
        </row>
        <row r="8">
          <cell r="C8">
            <v>893</v>
          </cell>
        </row>
        <row r="9">
          <cell r="C9">
            <v>27</v>
          </cell>
        </row>
        <row r="10">
          <cell r="C10">
            <v>309</v>
          </cell>
        </row>
        <row r="11">
          <cell r="C11">
            <v>21</v>
          </cell>
        </row>
        <row r="12">
          <cell r="C12">
            <v>0</v>
          </cell>
        </row>
        <row r="13">
          <cell r="C13">
            <v>2959</v>
          </cell>
        </row>
        <row r="14">
          <cell r="C14">
            <v>246</v>
          </cell>
        </row>
        <row r="15">
          <cell r="C15">
            <v>540</v>
          </cell>
        </row>
        <row r="16">
          <cell r="C16">
            <v>1496</v>
          </cell>
        </row>
        <row r="17">
          <cell r="C17">
            <v>453</v>
          </cell>
        </row>
        <row r="18">
          <cell r="C18">
            <v>10149</v>
          </cell>
        </row>
        <row r="19">
          <cell r="C19">
            <v>5401</v>
          </cell>
        </row>
        <row r="20">
          <cell r="C20">
            <v>5462</v>
          </cell>
        </row>
        <row r="21">
          <cell r="C21">
            <v>6894</v>
          </cell>
        </row>
        <row r="22">
          <cell r="C22">
            <v>2172</v>
          </cell>
        </row>
        <row r="23">
          <cell r="C23">
            <v>2639</v>
          </cell>
        </row>
        <row r="24">
          <cell r="C24">
            <v>2665</v>
          </cell>
        </row>
        <row r="25">
          <cell r="C25">
            <v>542</v>
          </cell>
        </row>
        <row r="26">
          <cell r="C26">
            <v>172</v>
          </cell>
        </row>
        <row r="27">
          <cell r="C27">
            <v>1484</v>
          </cell>
        </row>
        <row r="28">
          <cell r="C28">
            <v>1953</v>
          </cell>
        </row>
        <row r="29">
          <cell r="C29">
            <v>110</v>
          </cell>
        </row>
        <row r="30">
          <cell r="C30">
            <v>827</v>
          </cell>
        </row>
        <row r="31">
          <cell r="C31">
            <v>1884</v>
          </cell>
        </row>
        <row r="32">
          <cell r="C32">
            <v>1017</v>
          </cell>
        </row>
        <row r="33">
          <cell r="C33">
            <v>654</v>
          </cell>
        </row>
        <row r="34">
          <cell r="C34">
            <v>1025</v>
          </cell>
        </row>
        <row r="35">
          <cell r="C35">
            <v>1179</v>
          </cell>
        </row>
        <row r="36">
          <cell r="C36">
            <v>200</v>
          </cell>
        </row>
        <row r="37">
          <cell r="C37">
            <v>292</v>
          </cell>
        </row>
        <row r="38">
          <cell r="C38">
            <v>2134</v>
          </cell>
        </row>
        <row r="39">
          <cell r="C39">
            <v>1148</v>
          </cell>
        </row>
        <row r="40">
          <cell r="C40">
            <v>1695</v>
          </cell>
        </row>
        <row r="41">
          <cell r="C41">
            <v>710</v>
          </cell>
        </row>
        <row r="42">
          <cell r="C42">
            <v>19</v>
          </cell>
        </row>
        <row r="43">
          <cell r="C43">
            <v>0</v>
          </cell>
        </row>
        <row r="44">
          <cell r="C44">
            <v>230</v>
          </cell>
        </row>
        <row r="45">
          <cell r="C45">
            <v>649</v>
          </cell>
        </row>
        <row r="46">
          <cell r="C46">
            <v>619</v>
          </cell>
        </row>
        <row r="47">
          <cell r="C47">
            <v>366</v>
          </cell>
        </row>
        <row r="48">
          <cell r="C48">
            <v>910</v>
          </cell>
        </row>
        <row r="49">
          <cell r="C49">
            <v>418</v>
          </cell>
        </row>
        <row r="50">
          <cell r="C50">
            <v>460</v>
          </cell>
        </row>
        <row r="51">
          <cell r="C51">
            <v>123</v>
          </cell>
        </row>
        <row r="52">
          <cell r="C52">
            <v>332</v>
          </cell>
        </row>
        <row r="53">
          <cell r="C53">
            <v>93</v>
          </cell>
        </row>
        <row r="54">
          <cell r="C54">
            <v>102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46290</v>
          </cell>
          <cell r="E2">
            <v>18</v>
          </cell>
        </row>
        <row r="3">
          <cell r="C3" t="str">
            <v>FINAL VENTAS</v>
          </cell>
          <cell r="D3">
            <v>46295</v>
          </cell>
          <cell r="E3">
            <v>4</v>
          </cell>
        </row>
        <row r="8">
          <cell r="C8">
            <v>14173</v>
          </cell>
        </row>
        <row r="9">
          <cell r="C9">
            <v>466</v>
          </cell>
        </row>
        <row r="10">
          <cell r="C10">
            <v>6060</v>
          </cell>
        </row>
        <row r="11">
          <cell r="C11">
            <v>1339</v>
          </cell>
        </row>
        <row r="12">
          <cell r="C12">
            <v>187</v>
          </cell>
        </row>
        <row r="13">
          <cell r="C13">
            <v>15028</v>
          </cell>
        </row>
        <row r="14">
          <cell r="C14">
            <v>1174</v>
          </cell>
        </row>
        <row r="15">
          <cell r="C15">
            <v>2423</v>
          </cell>
        </row>
        <row r="16">
          <cell r="C16">
            <v>5581</v>
          </cell>
        </row>
        <row r="17">
          <cell r="C17">
            <v>3327</v>
          </cell>
        </row>
        <row r="18">
          <cell r="C18">
            <v>29786</v>
          </cell>
        </row>
        <row r="19">
          <cell r="C19">
            <v>19772</v>
          </cell>
        </row>
        <row r="20">
          <cell r="C20">
            <v>19221</v>
          </cell>
        </row>
        <row r="21">
          <cell r="C21">
            <v>24985</v>
          </cell>
        </row>
        <row r="22">
          <cell r="C22">
            <v>6483</v>
          </cell>
        </row>
        <row r="23">
          <cell r="C23">
            <v>6563</v>
          </cell>
        </row>
        <row r="24">
          <cell r="C24">
            <v>7047</v>
          </cell>
        </row>
        <row r="25">
          <cell r="C25">
            <v>1931</v>
          </cell>
        </row>
        <row r="26">
          <cell r="C26">
            <v>900</v>
          </cell>
        </row>
        <row r="27">
          <cell r="C27">
            <v>4002</v>
          </cell>
        </row>
        <row r="28">
          <cell r="C28">
            <v>7992</v>
          </cell>
        </row>
        <row r="29">
          <cell r="C29">
            <v>1010</v>
          </cell>
        </row>
        <row r="30">
          <cell r="C30">
            <v>7633</v>
          </cell>
        </row>
        <row r="31">
          <cell r="C31">
            <v>11152</v>
          </cell>
        </row>
        <row r="32">
          <cell r="C32">
            <v>5220</v>
          </cell>
        </row>
        <row r="33">
          <cell r="C33">
            <v>3553</v>
          </cell>
        </row>
        <row r="34">
          <cell r="C34">
            <v>1613</v>
          </cell>
        </row>
        <row r="35">
          <cell r="C35">
            <v>2131</v>
          </cell>
        </row>
        <row r="36">
          <cell r="C36">
            <v>1237</v>
          </cell>
        </row>
        <row r="37">
          <cell r="C37">
            <v>1254</v>
          </cell>
        </row>
        <row r="38">
          <cell r="C38">
            <v>5902</v>
          </cell>
        </row>
        <row r="39">
          <cell r="C39">
            <v>5220</v>
          </cell>
        </row>
        <row r="40">
          <cell r="C40">
            <v>6772</v>
          </cell>
        </row>
        <row r="41">
          <cell r="C41">
            <v>5010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1001</v>
          </cell>
        </row>
        <row r="45">
          <cell r="C45">
            <v>5164</v>
          </cell>
        </row>
        <row r="46">
          <cell r="C46">
            <v>3476</v>
          </cell>
        </row>
        <row r="47">
          <cell r="C47">
            <v>2821</v>
          </cell>
        </row>
        <row r="48">
          <cell r="C48">
            <v>5027</v>
          </cell>
        </row>
        <row r="49">
          <cell r="C49">
            <v>3443</v>
          </cell>
        </row>
        <row r="50">
          <cell r="C50">
            <v>3067</v>
          </cell>
        </row>
        <row r="51">
          <cell r="C51">
            <v>573</v>
          </cell>
        </row>
        <row r="52">
          <cell r="C52">
            <v>1240</v>
          </cell>
        </row>
        <row r="53">
          <cell r="C53">
            <v>460</v>
          </cell>
        </row>
        <row r="54">
          <cell r="C54">
            <v>598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46290</v>
          </cell>
          <cell r="E2">
            <v>18</v>
          </cell>
        </row>
        <row r="3">
          <cell r="C3" t="str">
            <v>FINAL VENTAS</v>
          </cell>
          <cell r="D3">
            <v>46295</v>
          </cell>
          <cell r="E3">
            <v>4</v>
          </cell>
        </row>
        <row r="8">
          <cell r="C8">
            <v>4529</v>
          </cell>
        </row>
        <row r="9">
          <cell r="C9">
            <v>249</v>
          </cell>
        </row>
        <row r="10">
          <cell r="C10">
            <v>2059</v>
          </cell>
        </row>
        <row r="11">
          <cell r="C11">
            <v>492</v>
          </cell>
        </row>
        <row r="12">
          <cell r="C12">
            <v>38</v>
          </cell>
        </row>
        <row r="13">
          <cell r="C13">
            <v>6300</v>
          </cell>
        </row>
        <row r="14">
          <cell r="C14">
            <v>1046</v>
          </cell>
        </row>
        <row r="15">
          <cell r="C15">
            <v>2384</v>
          </cell>
        </row>
        <row r="16">
          <cell r="C16">
            <v>6238</v>
          </cell>
        </row>
        <row r="17">
          <cell r="C17">
            <v>2786</v>
          </cell>
        </row>
        <row r="18">
          <cell r="C18">
            <v>17699</v>
          </cell>
        </row>
        <row r="19">
          <cell r="C19">
            <v>10827</v>
          </cell>
        </row>
        <row r="20">
          <cell r="C20">
            <v>11494</v>
          </cell>
        </row>
        <row r="21">
          <cell r="C21">
            <v>13515</v>
          </cell>
        </row>
        <row r="22">
          <cell r="C22">
            <v>3664</v>
          </cell>
        </row>
        <row r="23">
          <cell r="C23">
            <v>5160</v>
          </cell>
        </row>
        <row r="24">
          <cell r="C24">
            <v>4899</v>
          </cell>
        </row>
        <row r="25">
          <cell r="C25">
            <v>2222</v>
          </cell>
        </row>
        <row r="26">
          <cell r="C26">
            <v>1266</v>
          </cell>
        </row>
        <row r="27">
          <cell r="C27">
            <v>3355</v>
          </cell>
        </row>
        <row r="28">
          <cell r="C28">
            <v>5058</v>
          </cell>
        </row>
        <row r="29">
          <cell r="C29">
            <v>0</v>
          </cell>
        </row>
        <row r="30">
          <cell r="C30">
            <v>3109</v>
          </cell>
        </row>
        <row r="31">
          <cell r="C31">
            <v>4244</v>
          </cell>
        </row>
        <row r="32">
          <cell r="C32">
            <v>2567</v>
          </cell>
        </row>
        <row r="33">
          <cell r="C33">
            <v>2135</v>
          </cell>
        </row>
        <row r="34">
          <cell r="C34">
            <v>1045</v>
          </cell>
        </row>
        <row r="35">
          <cell r="C35">
            <v>1223</v>
          </cell>
        </row>
        <row r="36">
          <cell r="C36">
            <v>732</v>
          </cell>
        </row>
        <row r="37">
          <cell r="C37">
            <v>758</v>
          </cell>
        </row>
        <row r="38">
          <cell r="C38">
            <v>4538</v>
          </cell>
        </row>
        <row r="39">
          <cell r="C39">
            <v>3489</v>
          </cell>
        </row>
        <row r="40">
          <cell r="C40">
            <v>4675</v>
          </cell>
        </row>
        <row r="41">
          <cell r="C41">
            <v>2929</v>
          </cell>
        </row>
        <row r="42">
          <cell r="C42">
            <v>58</v>
          </cell>
        </row>
        <row r="43">
          <cell r="C43">
            <v>11</v>
          </cell>
        </row>
        <row r="44">
          <cell r="C44">
            <v>1121</v>
          </cell>
        </row>
        <row r="45">
          <cell r="C45">
            <v>3419</v>
          </cell>
        </row>
        <row r="46">
          <cell r="C46">
            <v>3094</v>
          </cell>
        </row>
        <row r="47">
          <cell r="C47">
            <v>875</v>
          </cell>
        </row>
        <row r="48">
          <cell r="C48">
            <v>2315</v>
          </cell>
        </row>
        <row r="49">
          <cell r="C49">
            <v>1134</v>
          </cell>
        </row>
        <row r="50">
          <cell r="C50">
            <v>1402</v>
          </cell>
        </row>
        <row r="51">
          <cell r="C51">
            <v>239</v>
          </cell>
        </row>
        <row r="52">
          <cell r="C52">
            <v>525</v>
          </cell>
        </row>
        <row r="53">
          <cell r="C53">
            <v>168</v>
          </cell>
        </row>
        <row r="54">
          <cell r="C54">
            <v>210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46290</v>
          </cell>
          <cell r="E2">
            <v>18</v>
          </cell>
        </row>
        <row r="3">
          <cell r="C3" t="str">
            <v>FINAL VENTAS</v>
          </cell>
          <cell r="D3">
            <v>46295</v>
          </cell>
          <cell r="E3">
            <v>4</v>
          </cell>
        </row>
        <row r="8">
          <cell r="C8">
            <v>572</v>
          </cell>
        </row>
        <row r="9">
          <cell r="C9">
            <v>75</v>
          </cell>
        </row>
        <row r="10">
          <cell r="C10">
            <v>169</v>
          </cell>
        </row>
        <row r="11">
          <cell r="C11">
            <v>57</v>
          </cell>
        </row>
        <row r="12">
          <cell r="C12">
            <v>9</v>
          </cell>
        </row>
        <row r="13">
          <cell r="C13">
            <v>258</v>
          </cell>
        </row>
        <row r="14">
          <cell r="C14">
            <v>191</v>
          </cell>
        </row>
        <row r="15">
          <cell r="C15">
            <v>247</v>
          </cell>
        </row>
        <row r="16">
          <cell r="C16">
            <v>340</v>
          </cell>
        </row>
        <row r="17">
          <cell r="C17">
            <v>149</v>
          </cell>
        </row>
        <row r="18">
          <cell r="C18">
            <v>911</v>
          </cell>
        </row>
        <row r="19">
          <cell r="C19">
            <v>726</v>
          </cell>
        </row>
        <row r="20">
          <cell r="C20">
            <v>525</v>
          </cell>
        </row>
        <row r="21">
          <cell r="C21">
            <v>796</v>
          </cell>
        </row>
        <row r="22">
          <cell r="C22">
            <v>236</v>
          </cell>
        </row>
        <row r="23">
          <cell r="C23">
            <v>323</v>
          </cell>
        </row>
        <row r="24">
          <cell r="C24">
            <v>311</v>
          </cell>
        </row>
        <row r="25">
          <cell r="C25">
            <v>93</v>
          </cell>
        </row>
        <row r="26">
          <cell r="C26">
            <v>24</v>
          </cell>
        </row>
        <row r="27">
          <cell r="C27">
            <v>72</v>
          </cell>
        </row>
        <row r="28">
          <cell r="C28">
            <v>233</v>
          </cell>
        </row>
        <row r="29">
          <cell r="C29">
            <v>0</v>
          </cell>
        </row>
        <row r="30">
          <cell r="C30">
            <v>253</v>
          </cell>
        </row>
        <row r="31">
          <cell r="C31">
            <v>468</v>
          </cell>
        </row>
        <row r="32">
          <cell r="C32">
            <v>246</v>
          </cell>
        </row>
        <row r="33">
          <cell r="C33">
            <v>522</v>
          </cell>
        </row>
        <row r="34">
          <cell r="C34">
            <v>83</v>
          </cell>
        </row>
        <row r="35">
          <cell r="C35">
            <v>84</v>
          </cell>
        </row>
        <row r="36">
          <cell r="C36">
            <v>82</v>
          </cell>
        </row>
        <row r="37">
          <cell r="C37">
            <v>59</v>
          </cell>
        </row>
        <row r="38">
          <cell r="C38">
            <v>551</v>
          </cell>
        </row>
        <row r="39">
          <cell r="C39">
            <v>538</v>
          </cell>
        </row>
        <row r="40">
          <cell r="C40">
            <v>511</v>
          </cell>
        </row>
        <row r="41">
          <cell r="C41">
            <v>426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90</v>
          </cell>
        </row>
        <row r="45">
          <cell r="C45">
            <v>210</v>
          </cell>
        </row>
        <row r="46">
          <cell r="C46">
            <v>79</v>
          </cell>
        </row>
        <row r="47">
          <cell r="C47">
            <v>23</v>
          </cell>
        </row>
        <row r="48">
          <cell r="C48">
            <v>119</v>
          </cell>
        </row>
        <row r="49">
          <cell r="C49">
            <v>158</v>
          </cell>
        </row>
        <row r="50">
          <cell r="C50">
            <v>161</v>
          </cell>
        </row>
        <row r="51">
          <cell r="C51">
            <v>31</v>
          </cell>
        </row>
        <row r="52">
          <cell r="C52">
            <v>32</v>
          </cell>
        </row>
        <row r="53">
          <cell r="C53">
            <v>27</v>
          </cell>
        </row>
        <row r="54">
          <cell r="C54">
            <v>15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46290</v>
          </cell>
          <cell r="E2">
            <v>18</v>
          </cell>
        </row>
        <row r="3">
          <cell r="C3" t="str">
            <v>FINAL VENTAS</v>
          </cell>
          <cell r="D3">
            <v>46295</v>
          </cell>
          <cell r="E3">
            <v>4</v>
          </cell>
        </row>
        <row r="8">
          <cell r="C8">
            <v>21607</v>
          </cell>
        </row>
        <row r="9">
          <cell r="C9">
            <v>924</v>
          </cell>
        </row>
        <row r="10">
          <cell r="C10">
            <v>8894</v>
          </cell>
        </row>
        <row r="11">
          <cell r="C11">
            <v>1966</v>
          </cell>
        </row>
        <row r="12">
          <cell r="C12">
            <v>251</v>
          </cell>
        </row>
        <row r="13">
          <cell r="C13">
            <v>25770</v>
          </cell>
        </row>
        <row r="14">
          <cell r="C14">
            <v>2770</v>
          </cell>
        </row>
        <row r="15">
          <cell r="C15">
            <v>5811</v>
          </cell>
        </row>
        <row r="16">
          <cell r="C16">
            <v>14298</v>
          </cell>
        </row>
        <row r="17">
          <cell r="C17">
            <v>6984</v>
          </cell>
        </row>
        <row r="18">
          <cell r="C18">
            <v>61667</v>
          </cell>
        </row>
        <row r="19">
          <cell r="C19">
            <v>38596</v>
          </cell>
        </row>
        <row r="20">
          <cell r="C20">
            <v>38910</v>
          </cell>
        </row>
        <row r="21">
          <cell r="C21">
            <v>48079</v>
          </cell>
        </row>
        <row r="22">
          <cell r="C22">
            <v>13117</v>
          </cell>
        </row>
        <row r="23">
          <cell r="C23">
            <v>15459</v>
          </cell>
        </row>
        <row r="24">
          <cell r="C24">
            <v>15699</v>
          </cell>
        </row>
        <row r="25">
          <cell r="C25">
            <v>5001</v>
          </cell>
        </row>
        <row r="26">
          <cell r="C26">
            <v>2410</v>
          </cell>
        </row>
        <row r="27">
          <cell r="C27">
            <v>9224</v>
          </cell>
        </row>
        <row r="28">
          <cell r="C28">
            <v>15801</v>
          </cell>
        </row>
        <row r="29">
          <cell r="C29">
            <v>1152</v>
          </cell>
        </row>
        <row r="30">
          <cell r="C30">
            <v>12694</v>
          </cell>
        </row>
        <row r="31">
          <cell r="C31">
            <v>19520</v>
          </cell>
        </row>
        <row r="32">
          <cell r="C32">
            <v>10201</v>
          </cell>
        </row>
        <row r="33">
          <cell r="C33">
            <v>7886</v>
          </cell>
        </row>
        <row r="34">
          <cell r="C34">
            <v>4372</v>
          </cell>
        </row>
        <row r="35">
          <cell r="C35">
            <v>5317</v>
          </cell>
        </row>
        <row r="36">
          <cell r="C36">
            <v>2376</v>
          </cell>
        </row>
        <row r="37">
          <cell r="C37">
            <v>2517</v>
          </cell>
        </row>
        <row r="38">
          <cell r="C38">
            <v>14151</v>
          </cell>
        </row>
        <row r="39">
          <cell r="C39">
            <v>11067</v>
          </cell>
        </row>
        <row r="40">
          <cell r="C40">
            <v>14485</v>
          </cell>
        </row>
        <row r="41">
          <cell r="C41">
            <v>9640</v>
          </cell>
        </row>
        <row r="42">
          <cell r="C42">
            <v>77</v>
          </cell>
        </row>
        <row r="43">
          <cell r="C43">
            <v>11</v>
          </cell>
        </row>
        <row r="44">
          <cell r="C44">
            <v>2613</v>
          </cell>
        </row>
        <row r="45">
          <cell r="C45">
            <v>10273</v>
          </cell>
        </row>
        <row r="46">
          <cell r="C46">
            <v>7576</v>
          </cell>
        </row>
        <row r="47">
          <cell r="C47">
            <v>4279</v>
          </cell>
        </row>
        <row r="48">
          <cell r="C48">
            <v>8920</v>
          </cell>
        </row>
        <row r="49">
          <cell r="C49">
            <v>5405</v>
          </cell>
        </row>
        <row r="50">
          <cell r="C50">
            <v>5388</v>
          </cell>
        </row>
        <row r="51">
          <cell r="C51">
            <v>992</v>
          </cell>
        </row>
        <row r="52">
          <cell r="C52">
            <v>2283</v>
          </cell>
        </row>
        <row r="53">
          <cell r="C53">
            <v>784</v>
          </cell>
        </row>
        <row r="54">
          <cell r="C54">
            <v>980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46290</v>
      </c>
      <c r="E2" s="4">
        <f ca="1">'[1]VENTAS CONSOLIDADA ZULIA'!E2</f>
        <v>18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4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572</v>
      </c>
      <c r="D8" s="5">
        <f t="shared" ref="D8:D54" ca="1" si="0">C8/$E$2</f>
        <v>31.777777777777779</v>
      </c>
      <c r="E8" s="5">
        <f ca="1">D8*($E$2+$E$3)</f>
        <v>699.11111111111109</v>
      </c>
    </row>
    <row r="9" spans="1:5" x14ac:dyDescent="0.25">
      <c r="A9">
        <v>110151</v>
      </c>
      <c r="B9" t="s">
        <v>5</v>
      </c>
      <c r="C9">
        <f>'[1]VENTAS CONSOLIDADA ZULIA'!C9</f>
        <v>75</v>
      </c>
      <c r="D9" s="5">
        <f t="shared" ca="1" si="0"/>
        <v>4.166666666666667</v>
      </c>
      <c r="E9" s="5">
        <f t="shared" ref="E9:E54" ca="1" si="1">D9*($E$2+$E$3)</f>
        <v>91.666666666666671</v>
      </c>
    </row>
    <row r="10" spans="1:5" x14ac:dyDescent="0.25">
      <c r="A10">
        <v>110230</v>
      </c>
      <c r="B10" t="s">
        <v>1</v>
      </c>
      <c r="C10">
        <f>'[1]VENTAS CONSOLIDADA ZULIA'!C10</f>
        <v>169</v>
      </c>
      <c r="D10" s="5">
        <f t="shared" ca="1" si="0"/>
        <v>9.3888888888888893</v>
      </c>
      <c r="E10" s="5">
        <f t="shared" ca="1" si="1"/>
        <v>206.55555555555557</v>
      </c>
    </row>
    <row r="11" spans="1:5" x14ac:dyDescent="0.25">
      <c r="A11">
        <v>110400</v>
      </c>
      <c r="B11" t="s">
        <v>13</v>
      </c>
      <c r="C11">
        <f>'[1]VENTAS CONSOLIDADA ZULIA'!C11</f>
        <v>57</v>
      </c>
      <c r="D11" s="5">
        <f t="shared" ca="1" si="0"/>
        <v>3.1666666666666665</v>
      </c>
      <c r="E11" s="5">
        <f t="shared" ca="1" si="1"/>
        <v>69.666666666666657</v>
      </c>
    </row>
    <row r="12" spans="1:5" x14ac:dyDescent="0.25">
      <c r="A12">
        <v>111000</v>
      </c>
      <c r="B12" t="s">
        <v>14</v>
      </c>
      <c r="C12">
        <f>'[1]VENTAS CONSOLIDADA ZULIA'!C12</f>
        <v>9</v>
      </c>
      <c r="D12" s="5">
        <f t="shared" ca="1" si="0"/>
        <v>0.5</v>
      </c>
      <c r="E12" s="5">
        <f t="shared" ca="1" si="1"/>
        <v>11</v>
      </c>
    </row>
    <row r="13" spans="1:5" x14ac:dyDescent="0.25">
      <c r="A13">
        <v>120130</v>
      </c>
      <c r="B13" t="s">
        <v>15</v>
      </c>
      <c r="C13">
        <f>'[1]VENTAS CONSOLIDADA ZULIA'!C13</f>
        <v>258</v>
      </c>
      <c r="D13" s="5">
        <f t="shared" ca="1" si="0"/>
        <v>14.333333333333334</v>
      </c>
      <c r="E13" s="5">
        <f t="shared" ca="1" si="1"/>
        <v>315.33333333333337</v>
      </c>
    </row>
    <row r="14" spans="1:5" x14ac:dyDescent="0.25">
      <c r="A14">
        <v>120131</v>
      </c>
      <c r="B14" t="s">
        <v>23</v>
      </c>
      <c r="C14">
        <f>'[1]VENTAS CONSOLIDADA ZULIA'!C14</f>
        <v>191</v>
      </c>
      <c r="D14" s="5">
        <f t="shared" ca="1" si="0"/>
        <v>10.611111111111111</v>
      </c>
      <c r="E14" s="5">
        <f t="shared" ca="1" si="1"/>
        <v>233.44444444444443</v>
      </c>
    </row>
    <row r="15" spans="1:5" x14ac:dyDescent="0.25">
      <c r="A15">
        <v>120132</v>
      </c>
      <c r="B15" t="s">
        <v>21</v>
      </c>
      <c r="C15">
        <f>'[1]VENTAS CONSOLIDADA ZULIA'!C15</f>
        <v>247</v>
      </c>
      <c r="D15" s="5">
        <f t="shared" ca="1" si="0"/>
        <v>13.722222222222221</v>
      </c>
      <c r="E15" s="5">
        <f t="shared" ca="1" si="1"/>
        <v>301.88888888888886</v>
      </c>
    </row>
    <row r="16" spans="1:5" x14ac:dyDescent="0.25">
      <c r="A16">
        <v>130150</v>
      </c>
      <c r="B16" t="s">
        <v>0</v>
      </c>
      <c r="C16">
        <f>'[1]VENTAS CONSOLIDADA ZULIA'!C16</f>
        <v>340</v>
      </c>
      <c r="D16" s="5">
        <f t="shared" ca="1" si="0"/>
        <v>18.888888888888889</v>
      </c>
      <c r="E16" s="5">
        <f t="shared" ca="1" si="1"/>
        <v>415.55555555555554</v>
      </c>
    </row>
    <row r="17" spans="1:5" x14ac:dyDescent="0.25">
      <c r="A17">
        <v>130151</v>
      </c>
      <c r="B17" t="s">
        <v>4</v>
      </c>
      <c r="C17">
        <f>'[1]VENTAS CONSOLIDADA ZULIA'!C17</f>
        <v>149</v>
      </c>
      <c r="D17" s="5">
        <f t="shared" ca="1" si="0"/>
        <v>8.2777777777777786</v>
      </c>
      <c r="E17" s="5">
        <f t="shared" ca="1" si="1"/>
        <v>182.11111111111114</v>
      </c>
    </row>
    <row r="18" spans="1:5" x14ac:dyDescent="0.25">
      <c r="A18">
        <v>130152</v>
      </c>
      <c r="B18" t="s">
        <v>51</v>
      </c>
      <c r="C18">
        <f>'[1]VENTAS CONSOLIDADA ZULIA'!C18</f>
        <v>911</v>
      </c>
      <c r="D18" s="5">
        <f t="shared" ca="1" si="0"/>
        <v>50.611111111111114</v>
      </c>
      <c r="E18" s="5">
        <f t="shared" ca="1" si="1"/>
        <v>1113.4444444444446</v>
      </c>
    </row>
    <row r="19" spans="1:5" x14ac:dyDescent="0.25">
      <c r="A19">
        <v>130153</v>
      </c>
      <c r="B19" t="s">
        <v>52</v>
      </c>
      <c r="C19">
        <f>'[1]VENTAS CONSOLIDADA ZULIA'!C19</f>
        <v>726</v>
      </c>
      <c r="D19" s="5">
        <f t="shared" ca="1" si="0"/>
        <v>40.333333333333336</v>
      </c>
      <c r="E19" s="5">
        <f t="shared" ca="1" si="1"/>
        <v>887.33333333333337</v>
      </c>
    </row>
    <row r="20" spans="1:5" x14ac:dyDescent="0.25">
      <c r="A20">
        <v>130154</v>
      </c>
      <c r="B20" t="s">
        <v>53</v>
      </c>
      <c r="C20">
        <f>'[1]VENTAS CONSOLIDADA ZULIA'!C20</f>
        <v>525</v>
      </c>
      <c r="D20" s="5">
        <f t="shared" ca="1" si="0"/>
        <v>29.166666666666668</v>
      </c>
      <c r="E20" s="5">
        <f t="shared" ca="1" si="1"/>
        <v>641.66666666666674</v>
      </c>
    </row>
    <row r="21" spans="1:5" x14ac:dyDescent="0.25">
      <c r="A21">
        <v>130155</v>
      </c>
      <c r="B21" t="s">
        <v>16</v>
      </c>
      <c r="C21">
        <f>'[1]VENTAS CONSOLIDADA ZULIA'!C21</f>
        <v>796</v>
      </c>
      <c r="D21" s="5">
        <f t="shared" ca="1" si="0"/>
        <v>44.222222222222221</v>
      </c>
      <c r="E21" s="5">
        <f t="shared" ca="1" si="1"/>
        <v>972.88888888888891</v>
      </c>
    </row>
    <row r="22" spans="1:5" x14ac:dyDescent="0.25">
      <c r="A22">
        <v>130157</v>
      </c>
      <c r="B22" t="s">
        <v>43</v>
      </c>
      <c r="C22">
        <f>'[1]VENTAS CONSOLIDADA ZULIA'!C22</f>
        <v>236</v>
      </c>
      <c r="D22" s="5">
        <f t="shared" ca="1" si="0"/>
        <v>13.111111111111111</v>
      </c>
      <c r="E22" s="5">
        <f t="shared" ca="1" si="1"/>
        <v>288.44444444444446</v>
      </c>
    </row>
    <row r="23" spans="1:5" x14ac:dyDescent="0.25">
      <c r="A23">
        <v>130158</v>
      </c>
      <c r="B23" t="s">
        <v>44</v>
      </c>
      <c r="C23">
        <f>'[1]VENTAS CONSOLIDADA ZULIA'!C23</f>
        <v>323</v>
      </c>
      <c r="D23" s="5">
        <f t="shared" ca="1" si="0"/>
        <v>17.944444444444443</v>
      </c>
      <c r="E23" s="5">
        <f t="shared" ca="1" si="1"/>
        <v>394.77777777777771</v>
      </c>
    </row>
    <row r="24" spans="1:5" x14ac:dyDescent="0.25">
      <c r="A24">
        <v>130159</v>
      </c>
      <c r="B24" t="s">
        <v>45</v>
      </c>
      <c r="C24">
        <f>'[1]VENTAS CONSOLIDADA ZULIA'!C24</f>
        <v>311</v>
      </c>
      <c r="D24" s="5">
        <f t="shared" ca="1" si="0"/>
        <v>17.277777777777779</v>
      </c>
      <c r="E24" s="5">
        <f t="shared" ca="1" si="1"/>
        <v>380.11111111111114</v>
      </c>
    </row>
    <row r="25" spans="1:5" x14ac:dyDescent="0.25">
      <c r="A25">
        <v>130700</v>
      </c>
      <c r="B25" t="s">
        <v>3</v>
      </c>
      <c r="C25">
        <f>'[1]VENTAS CONSOLIDADA ZULIA'!C25</f>
        <v>93</v>
      </c>
      <c r="D25" s="5">
        <f t="shared" ca="1" si="0"/>
        <v>5.166666666666667</v>
      </c>
      <c r="E25" s="5">
        <f t="shared" ca="1" si="1"/>
        <v>113.66666666666667</v>
      </c>
    </row>
    <row r="26" spans="1:5" x14ac:dyDescent="0.25">
      <c r="A26">
        <v>130701</v>
      </c>
      <c r="B26" t="s">
        <v>30</v>
      </c>
      <c r="C26">
        <f>'[1]VENTAS CONSOLIDADA ZULIA'!C26</f>
        <v>24</v>
      </c>
      <c r="D26" s="5">
        <f t="shared" ca="1" si="0"/>
        <v>1.3333333333333333</v>
      </c>
      <c r="E26" s="5">
        <f t="shared" ca="1" si="1"/>
        <v>29.333333333333332</v>
      </c>
    </row>
    <row r="27" spans="1:5" x14ac:dyDescent="0.25">
      <c r="A27">
        <v>130702</v>
      </c>
      <c r="B27" t="s">
        <v>12</v>
      </c>
      <c r="C27">
        <f>'[1]VENTAS CONSOLIDADA ZULIA'!C27</f>
        <v>72</v>
      </c>
      <c r="D27" s="5">
        <f t="shared" ca="1" si="0"/>
        <v>4</v>
      </c>
      <c r="E27" s="5">
        <f t="shared" ca="1" si="1"/>
        <v>88</v>
      </c>
    </row>
    <row r="28" spans="1:5" x14ac:dyDescent="0.25">
      <c r="A28">
        <v>130703</v>
      </c>
      <c r="B28" t="s">
        <v>17</v>
      </c>
      <c r="C28">
        <f>'[1]VENTAS CONSOLIDADA ZULIA'!C28</f>
        <v>233</v>
      </c>
      <c r="D28" s="5">
        <f t="shared" ca="1" si="0"/>
        <v>12.944444444444445</v>
      </c>
      <c r="E28" s="5">
        <f t="shared" ca="1" si="1"/>
        <v>284.77777777777777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253</v>
      </c>
      <c r="D30" s="5">
        <f t="shared" ca="1" si="0"/>
        <v>14.055555555555555</v>
      </c>
      <c r="E30" s="5">
        <f t="shared" ca="1" si="1"/>
        <v>309.22222222222223</v>
      </c>
    </row>
    <row r="31" spans="1:5" x14ac:dyDescent="0.25">
      <c r="A31">
        <v>131151</v>
      </c>
      <c r="B31" t="s">
        <v>19</v>
      </c>
      <c r="C31">
        <f>'[1]VENTAS CONSOLIDADA ZULIA'!C31</f>
        <v>468</v>
      </c>
      <c r="D31" s="5">
        <f t="shared" ca="1" si="0"/>
        <v>26</v>
      </c>
      <c r="E31" s="5">
        <f t="shared" ca="1" si="1"/>
        <v>572</v>
      </c>
    </row>
    <row r="32" spans="1:5" x14ac:dyDescent="0.25">
      <c r="A32">
        <v>131152</v>
      </c>
      <c r="B32" t="s">
        <v>32</v>
      </c>
      <c r="C32">
        <f>'[1]VENTAS CONSOLIDADA ZULIA'!C32</f>
        <v>246</v>
      </c>
      <c r="D32" s="5">
        <f t="shared" ca="1" si="0"/>
        <v>13.666666666666666</v>
      </c>
      <c r="E32" s="5">
        <f t="shared" ca="1" si="1"/>
        <v>300.66666666666663</v>
      </c>
    </row>
    <row r="33" spans="1:5" x14ac:dyDescent="0.25">
      <c r="A33">
        <v>131153</v>
      </c>
      <c r="B33" t="s">
        <v>11</v>
      </c>
      <c r="C33">
        <f>'[1]VENTAS CONSOLIDADA ZULIA'!C33</f>
        <v>522</v>
      </c>
      <c r="D33" s="5">
        <f t="shared" ca="1" si="0"/>
        <v>29</v>
      </c>
      <c r="E33" s="5">
        <f t="shared" ca="1" si="1"/>
        <v>638</v>
      </c>
    </row>
    <row r="34" spans="1:5" x14ac:dyDescent="0.25">
      <c r="A34">
        <v>131154</v>
      </c>
      <c r="B34" t="s">
        <v>48</v>
      </c>
      <c r="C34">
        <f>'[1]VENTAS CONSOLIDADA ZULIA'!C34</f>
        <v>83</v>
      </c>
      <c r="D34" s="5">
        <f t="shared" ca="1" si="0"/>
        <v>4.6111111111111107</v>
      </c>
      <c r="E34" s="5">
        <f t="shared" ca="1" si="1"/>
        <v>101.44444444444443</v>
      </c>
    </row>
    <row r="35" spans="1:5" x14ac:dyDescent="0.25">
      <c r="A35">
        <v>131155</v>
      </c>
      <c r="B35" t="s">
        <v>57</v>
      </c>
      <c r="C35">
        <f>'[1]VENTAS CONSOLIDADA ZULIA'!C35</f>
        <v>84</v>
      </c>
      <c r="D35" s="5">
        <f t="shared" ca="1" si="0"/>
        <v>4.666666666666667</v>
      </c>
      <c r="E35" s="5">
        <f t="shared" ca="1" si="1"/>
        <v>102.66666666666667</v>
      </c>
    </row>
    <row r="36" spans="1:5" x14ac:dyDescent="0.25">
      <c r="A36">
        <v>131700</v>
      </c>
      <c r="B36" t="s">
        <v>20</v>
      </c>
      <c r="C36">
        <f>'[1]VENTAS CONSOLIDADA ZULIA'!C36</f>
        <v>82</v>
      </c>
      <c r="D36" s="5">
        <f t="shared" ca="1" si="0"/>
        <v>4.5555555555555554</v>
      </c>
      <c r="E36" s="5">
        <f t="shared" ca="1" si="1"/>
        <v>100.22222222222221</v>
      </c>
    </row>
    <row r="37" spans="1:5" x14ac:dyDescent="0.25">
      <c r="A37">
        <v>131701</v>
      </c>
      <c r="B37" t="s">
        <v>24</v>
      </c>
      <c r="C37">
        <f>'[1]VENTAS CONSOLIDADA ZULIA'!C37</f>
        <v>59</v>
      </c>
      <c r="D37" s="5">
        <f t="shared" ca="1" si="0"/>
        <v>3.2777777777777777</v>
      </c>
      <c r="E37" s="5">
        <f t="shared" ca="1" si="1"/>
        <v>72.111111111111114</v>
      </c>
    </row>
    <row r="38" spans="1:5" x14ac:dyDescent="0.25">
      <c r="A38">
        <v>132150</v>
      </c>
      <c r="B38" t="s">
        <v>25</v>
      </c>
      <c r="C38">
        <f>'[1]VENTAS CONSOLIDADA ZULIA'!C38</f>
        <v>551</v>
      </c>
      <c r="D38" s="5">
        <f t="shared" ca="1" si="0"/>
        <v>30.611111111111111</v>
      </c>
      <c r="E38" s="5">
        <f t="shared" ca="1" si="1"/>
        <v>673.44444444444446</v>
      </c>
    </row>
    <row r="39" spans="1:5" x14ac:dyDescent="0.25">
      <c r="A39">
        <v>132151</v>
      </c>
      <c r="B39" t="s">
        <v>26</v>
      </c>
      <c r="C39">
        <f>'[1]VENTAS CONSOLIDADA ZULIA'!C39</f>
        <v>538</v>
      </c>
      <c r="D39" s="5">
        <f t="shared" ca="1" si="0"/>
        <v>29.888888888888889</v>
      </c>
      <c r="E39" s="5">
        <f t="shared" ca="1" si="1"/>
        <v>657.55555555555554</v>
      </c>
    </row>
    <row r="40" spans="1:5" x14ac:dyDescent="0.25">
      <c r="A40">
        <v>132152</v>
      </c>
      <c r="B40" t="s">
        <v>27</v>
      </c>
      <c r="C40">
        <f>'[1]VENTAS CONSOLIDADA ZULIA'!C40</f>
        <v>511</v>
      </c>
      <c r="D40" s="5">
        <f t="shared" ca="1" si="0"/>
        <v>28.388888888888889</v>
      </c>
      <c r="E40" s="5">
        <f t="shared" ca="1" si="1"/>
        <v>624.55555555555554</v>
      </c>
    </row>
    <row r="41" spans="1:5" x14ac:dyDescent="0.25">
      <c r="A41">
        <v>132153</v>
      </c>
      <c r="B41" t="s">
        <v>40</v>
      </c>
      <c r="C41">
        <f>'[1]VENTAS CONSOLIDADA ZULIA'!C41</f>
        <v>426</v>
      </c>
      <c r="D41" s="5">
        <f t="shared" ca="1" si="0"/>
        <v>23.666666666666668</v>
      </c>
      <c r="E41" s="5">
        <f t="shared" ca="1" si="1"/>
        <v>520.66666666666674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90</v>
      </c>
      <c r="D44" s="5">
        <f t="shared" ca="1" si="0"/>
        <v>5</v>
      </c>
      <c r="E44" s="5">
        <f t="shared" ca="1" si="1"/>
        <v>110</v>
      </c>
    </row>
    <row r="45" spans="1:5" x14ac:dyDescent="0.25">
      <c r="A45">
        <v>140231</v>
      </c>
      <c r="B45" t="s">
        <v>10</v>
      </c>
      <c r="C45">
        <f>'[1]VENTAS CONSOLIDADA ZULIA'!C45</f>
        <v>210</v>
      </c>
      <c r="D45" s="5">
        <f t="shared" ca="1" si="0"/>
        <v>11.666666666666666</v>
      </c>
      <c r="E45" s="5">
        <f t="shared" ca="1" si="1"/>
        <v>256.66666666666663</v>
      </c>
    </row>
    <row r="46" spans="1:5" x14ac:dyDescent="0.25">
      <c r="A46">
        <v>140232</v>
      </c>
      <c r="B46" t="s">
        <v>9</v>
      </c>
      <c r="C46">
        <f>'[1]VENTAS CONSOLIDADA ZULIA'!C46</f>
        <v>79</v>
      </c>
      <c r="D46" s="5">
        <f t="shared" ca="1" si="0"/>
        <v>4.3888888888888893</v>
      </c>
      <c r="E46" s="5">
        <f t="shared" ca="1" si="1"/>
        <v>96.555555555555571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1.2777777777777777</v>
      </c>
      <c r="E47" s="5">
        <f t="shared" ca="1" si="1"/>
        <v>28.111111111111107</v>
      </c>
    </row>
    <row r="48" spans="1:5" x14ac:dyDescent="0.25">
      <c r="A48">
        <v>150361</v>
      </c>
      <c r="B48" t="s">
        <v>29</v>
      </c>
      <c r="C48">
        <f>'[1]VENTAS CONSOLIDADA ZULIA'!C48</f>
        <v>119</v>
      </c>
      <c r="D48" s="5">
        <f t="shared" ca="1" si="0"/>
        <v>6.6111111111111107</v>
      </c>
      <c r="E48" s="5">
        <f t="shared" ca="1" si="1"/>
        <v>145.44444444444443</v>
      </c>
    </row>
    <row r="49" spans="1:5" x14ac:dyDescent="0.25">
      <c r="A49">
        <v>150362</v>
      </c>
      <c r="B49" t="s">
        <v>36</v>
      </c>
      <c r="C49">
        <f>'[1]VENTAS CONSOLIDADA ZULIA'!C49</f>
        <v>158</v>
      </c>
      <c r="D49" s="5">
        <f t="shared" ca="1" si="0"/>
        <v>8.7777777777777786</v>
      </c>
      <c r="E49" s="5">
        <f t="shared" ca="1" si="1"/>
        <v>193.11111111111114</v>
      </c>
    </row>
    <row r="50" spans="1:5" x14ac:dyDescent="0.25">
      <c r="A50">
        <v>150363</v>
      </c>
      <c r="B50" t="s">
        <v>31</v>
      </c>
      <c r="C50">
        <f>'[1]VENTAS CONSOLIDADA ZULIA'!C50</f>
        <v>161</v>
      </c>
      <c r="D50" s="5">
        <f t="shared" ca="1" si="0"/>
        <v>8.9444444444444446</v>
      </c>
      <c r="E50" s="5">
        <f t="shared" ca="1" si="1"/>
        <v>196.77777777777777</v>
      </c>
    </row>
    <row r="51" spans="1:5" x14ac:dyDescent="0.25">
      <c r="A51">
        <v>151500</v>
      </c>
      <c r="B51" t="s">
        <v>41</v>
      </c>
      <c r="C51">
        <f>'[1]VENTAS CONSOLIDADA ZULIA'!C51</f>
        <v>31</v>
      </c>
      <c r="D51" s="5">
        <f t="shared" ca="1" si="0"/>
        <v>1.7222222222222223</v>
      </c>
      <c r="E51" s="5">
        <f t="shared" ca="1" si="1"/>
        <v>37.888888888888893</v>
      </c>
    </row>
    <row r="52" spans="1:5" x14ac:dyDescent="0.25">
      <c r="A52">
        <v>151501</v>
      </c>
      <c r="B52" t="s">
        <v>33</v>
      </c>
      <c r="C52">
        <f>'[1]VENTAS CONSOLIDADA ZULIA'!C52</f>
        <v>32</v>
      </c>
      <c r="D52" s="5">
        <f t="shared" ca="1" si="0"/>
        <v>1.7777777777777777</v>
      </c>
      <c r="E52" s="5">
        <f t="shared" ca="1" si="1"/>
        <v>39.111111111111107</v>
      </c>
    </row>
    <row r="53" spans="1:5" x14ac:dyDescent="0.25">
      <c r="A53">
        <v>151502</v>
      </c>
      <c r="B53" t="s">
        <v>37</v>
      </c>
      <c r="C53">
        <f>'[1]VENTAS CONSOLIDADA ZULIA'!C53</f>
        <v>27</v>
      </c>
      <c r="D53" s="5">
        <f t="shared" ca="1" si="0"/>
        <v>1.5</v>
      </c>
      <c r="E53" s="5">
        <f t="shared" ca="1" si="1"/>
        <v>33</v>
      </c>
    </row>
    <row r="54" spans="1:5" x14ac:dyDescent="0.25">
      <c r="A54">
        <v>151503</v>
      </c>
      <c r="B54" t="s">
        <v>34</v>
      </c>
      <c r="C54">
        <f>'[1]VENTAS CONSOLIDADA ZULIA'!C54</f>
        <v>15</v>
      </c>
      <c r="D54" s="5">
        <f t="shared" ca="1" si="0"/>
        <v>0.83333333333333337</v>
      </c>
      <c r="E54" s="5">
        <f t="shared" ca="1" si="1"/>
        <v>18.333333333333336</v>
      </c>
    </row>
    <row r="55" spans="1:5" x14ac:dyDescent="0.25">
      <c r="D55" s="5">
        <f ca="1">SUM(D8:D54)</f>
        <v>615.83333333333337</v>
      </c>
      <c r="E55" s="5">
        <f ca="1">SUM(E8:E54)</f>
        <v>13548.333333333332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46290</v>
      </c>
      <c r="E2" s="4">
        <f ca="1">'[1]VENTAS CONSOLIDADA VALENCIA'!E2</f>
        <v>18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4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4529</v>
      </c>
      <c r="D8" s="5">
        <f t="shared" ref="D8:D54" ca="1" si="0">C8/$E$2</f>
        <v>251.61111111111111</v>
      </c>
      <c r="E8" s="5">
        <f ca="1">D8*($E$2+$E$3)</f>
        <v>5535.4444444444443</v>
      </c>
    </row>
    <row r="9" spans="1:5" x14ac:dyDescent="0.25">
      <c r="A9">
        <v>110151</v>
      </c>
      <c r="B9" t="s">
        <v>5</v>
      </c>
      <c r="C9">
        <f>'[1]VENTAS CONSOLIDADA VALENCIA'!C9</f>
        <v>249</v>
      </c>
      <c r="D9" s="5">
        <f t="shared" ca="1" si="0"/>
        <v>13.833333333333334</v>
      </c>
      <c r="E9" s="5">
        <f t="shared" ref="E9:E54" ca="1" si="1">D9*($E$2+$E$3)</f>
        <v>304.33333333333337</v>
      </c>
    </row>
    <row r="10" spans="1:5" x14ac:dyDescent="0.25">
      <c r="A10">
        <v>110230</v>
      </c>
      <c r="B10" t="s">
        <v>1</v>
      </c>
      <c r="C10">
        <f>'[1]VENTAS CONSOLIDADA VALENCIA'!C10</f>
        <v>2059</v>
      </c>
      <c r="D10" s="5">
        <f t="shared" ca="1" si="0"/>
        <v>114.38888888888889</v>
      </c>
      <c r="E10" s="5">
        <f t="shared" ca="1" si="1"/>
        <v>2516.5555555555557</v>
      </c>
    </row>
    <row r="11" spans="1:5" x14ac:dyDescent="0.25">
      <c r="A11">
        <v>110400</v>
      </c>
      <c r="B11" t="s">
        <v>13</v>
      </c>
      <c r="C11">
        <f>'[1]VENTAS CONSOLIDADA VALENCIA'!C11</f>
        <v>492</v>
      </c>
      <c r="D11" s="5">
        <f t="shared" ca="1" si="0"/>
        <v>27.333333333333332</v>
      </c>
      <c r="E11" s="5">
        <f t="shared" ca="1" si="1"/>
        <v>601.33333333333326</v>
      </c>
    </row>
    <row r="12" spans="1:5" x14ac:dyDescent="0.25">
      <c r="A12">
        <v>111000</v>
      </c>
      <c r="B12" t="s">
        <v>14</v>
      </c>
      <c r="C12">
        <f>'[1]VENTAS CONSOLIDADA VALENCIA'!C12</f>
        <v>38</v>
      </c>
      <c r="D12" s="5">
        <f t="shared" ca="1" si="0"/>
        <v>2.1111111111111112</v>
      </c>
      <c r="E12" s="5">
        <f t="shared" ca="1" si="1"/>
        <v>46.444444444444443</v>
      </c>
    </row>
    <row r="13" spans="1:5" x14ac:dyDescent="0.25">
      <c r="A13">
        <v>120130</v>
      </c>
      <c r="B13" t="s">
        <v>15</v>
      </c>
      <c r="C13">
        <f>'[1]VENTAS CONSOLIDADA VALENCIA'!C13</f>
        <v>6300</v>
      </c>
      <c r="D13" s="5">
        <f t="shared" ca="1" si="0"/>
        <v>350</v>
      </c>
      <c r="E13" s="5">
        <f t="shared" ca="1" si="1"/>
        <v>7700</v>
      </c>
    </row>
    <row r="14" spans="1:5" x14ac:dyDescent="0.25">
      <c r="A14">
        <v>120131</v>
      </c>
      <c r="B14" t="s">
        <v>23</v>
      </c>
      <c r="C14">
        <f>'[1]VENTAS CONSOLIDADA VALENCIA'!C14</f>
        <v>1046</v>
      </c>
      <c r="D14" s="5">
        <f t="shared" ca="1" si="0"/>
        <v>58.111111111111114</v>
      </c>
      <c r="E14" s="5">
        <f t="shared" ca="1" si="1"/>
        <v>1278.4444444444446</v>
      </c>
    </row>
    <row r="15" spans="1:5" x14ac:dyDescent="0.25">
      <c r="A15">
        <v>120132</v>
      </c>
      <c r="B15" t="s">
        <v>21</v>
      </c>
      <c r="C15">
        <f>'[1]VENTAS CONSOLIDADA VALENCIA'!C15</f>
        <v>2384</v>
      </c>
      <c r="D15" s="5">
        <f t="shared" ca="1" si="0"/>
        <v>132.44444444444446</v>
      </c>
      <c r="E15" s="5">
        <f t="shared" ca="1" si="1"/>
        <v>2913.7777777777783</v>
      </c>
    </row>
    <row r="16" spans="1:5" x14ac:dyDescent="0.25">
      <c r="A16">
        <v>130150</v>
      </c>
      <c r="B16" t="s">
        <v>0</v>
      </c>
      <c r="C16">
        <f>'[1]VENTAS CONSOLIDADA VALENCIA'!C16</f>
        <v>6238</v>
      </c>
      <c r="D16" s="5">
        <f t="shared" ca="1" si="0"/>
        <v>346.55555555555554</v>
      </c>
      <c r="E16" s="5">
        <f t="shared" ca="1" si="1"/>
        <v>7624.2222222222217</v>
      </c>
    </row>
    <row r="17" spans="1:5" x14ac:dyDescent="0.25">
      <c r="A17">
        <v>130151</v>
      </c>
      <c r="B17" t="s">
        <v>4</v>
      </c>
      <c r="C17">
        <f>'[1]VENTAS CONSOLIDADA VALENCIA'!C17</f>
        <v>2786</v>
      </c>
      <c r="D17" s="5">
        <f t="shared" ca="1" si="0"/>
        <v>154.77777777777777</v>
      </c>
      <c r="E17" s="5">
        <f t="shared" ca="1" si="1"/>
        <v>3405.1111111111109</v>
      </c>
    </row>
    <row r="18" spans="1:5" x14ac:dyDescent="0.25">
      <c r="A18">
        <v>130152</v>
      </c>
      <c r="B18" t="s">
        <v>51</v>
      </c>
      <c r="C18">
        <f>'[1]VENTAS CONSOLIDADA VALENCIA'!C18</f>
        <v>17699</v>
      </c>
      <c r="D18" s="5">
        <f t="shared" ca="1" si="0"/>
        <v>983.27777777777783</v>
      </c>
      <c r="E18" s="5">
        <f t="shared" ca="1" si="1"/>
        <v>21632.111111111113</v>
      </c>
    </row>
    <row r="19" spans="1:5" x14ac:dyDescent="0.25">
      <c r="A19">
        <v>130153</v>
      </c>
      <c r="B19" t="s">
        <v>52</v>
      </c>
      <c r="C19">
        <f>'[1]VENTAS CONSOLIDADA VALENCIA'!C19</f>
        <v>10827</v>
      </c>
      <c r="D19" s="5">
        <f t="shared" ca="1" si="0"/>
        <v>601.5</v>
      </c>
      <c r="E19" s="5">
        <f t="shared" ca="1" si="1"/>
        <v>13233</v>
      </c>
    </row>
    <row r="20" spans="1:5" x14ac:dyDescent="0.25">
      <c r="A20">
        <v>130154</v>
      </c>
      <c r="B20" t="s">
        <v>53</v>
      </c>
      <c r="C20">
        <f>'[1]VENTAS CONSOLIDADA VALENCIA'!C20</f>
        <v>11494</v>
      </c>
      <c r="D20" s="5">
        <f t="shared" ca="1" si="0"/>
        <v>638.55555555555554</v>
      </c>
      <c r="E20" s="5">
        <f t="shared" ca="1" si="1"/>
        <v>14048.222222222223</v>
      </c>
    </row>
    <row r="21" spans="1:5" x14ac:dyDescent="0.25">
      <c r="A21">
        <v>130155</v>
      </c>
      <c r="B21" t="s">
        <v>16</v>
      </c>
      <c r="C21">
        <f>'[1]VENTAS CONSOLIDADA VALENCIA'!C21</f>
        <v>13515</v>
      </c>
      <c r="D21" s="5">
        <f t="shared" ca="1" si="0"/>
        <v>750.83333333333337</v>
      </c>
      <c r="E21" s="5">
        <f t="shared" ca="1" si="1"/>
        <v>16518.333333333336</v>
      </c>
    </row>
    <row r="22" spans="1:5" x14ac:dyDescent="0.25">
      <c r="A22">
        <v>130157</v>
      </c>
      <c r="B22" t="s">
        <v>43</v>
      </c>
      <c r="C22">
        <f>'[1]VENTAS CONSOLIDADA VALENCIA'!C22</f>
        <v>3664</v>
      </c>
      <c r="D22" s="5">
        <f t="shared" ca="1" si="0"/>
        <v>203.55555555555554</v>
      </c>
      <c r="E22" s="5">
        <f t="shared" ca="1" si="1"/>
        <v>4478.2222222222217</v>
      </c>
    </row>
    <row r="23" spans="1:5" x14ac:dyDescent="0.25">
      <c r="A23">
        <v>130158</v>
      </c>
      <c r="B23" t="s">
        <v>44</v>
      </c>
      <c r="C23">
        <f>'[1]VENTAS CONSOLIDADA VALENCIA'!C23</f>
        <v>5160</v>
      </c>
      <c r="D23" s="5">
        <f t="shared" ca="1" si="0"/>
        <v>286.66666666666669</v>
      </c>
      <c r="E23" s="5">
        <f t="shared" ca="1" si="1"/>
        <v>6306.666666666667</v>
      </c>
    </row>
    <row r="24" spans="1:5" x14ac:dyDescent="0.25">
      <c r="A24">
        <v>130159</v>
      </c>
      <c r="B24" t="s">
        <v>45</v>
      </c>
      <c r="C24">
        <f>'[1]VENTAS CONSOLIDADA VALENCIA'!C24</f>
        <v>4899</v>
      </c>
      <c r="D24" s="5">
        <f t="shared" ca="1" si="0"/>
        <v>272.16666666666669</v>
      </c>
      <c r="E24" s="5">
        <f t="shared" ca="1" si="1"/>
        <v>5987.666666666667</v>
      </c>
    </row>
    <row r="25" spans="1:5" x14ac:dyDescent="0.25">
      <c r="A25">
        <v>130700</v>
      </c>
      <c r="B25" t="s">
        <v>3</v>
      </c>
      <c r="C25">
        <f>'[1]VENTAS CONSOLIDADA VALENCIA'!C25</f>
        <v>2222</v>
      </c>
      <c r="D25" s="5">
        <f t="shared" ca="1" si="0"/>
        <v>123.44444444444444</v>
      </c>
      <c r="E25" s="5">
        <f t="shared" ca="1" si="1"/>
        <v>2715.7777777777778</v>
      </c>
    </row>
    <row r="26" spans="1:5" x14ac:dyDescent="0.25">
      <c r="A26">
        <v>130701</v>
      </c>
      <c r="B26" t="s">
        <v>30</v>
      </c>
      <c r="C26">
        <f>'[1]VENTAS CONSOLIDADA VALENCIA'!C26</f>
        <v>1266</v>
      </c>
      <c r="D26" s="5">
        <f t="shared" ca="1" si="0"/>
        <v>70.333333333333329</v>
      </c>
      <c r="E26" s="5">
        <f t="shared" ca="1" si="1"/>
        <v>1547.3333333333333</v>
      </c>
    </row>
    <row r="27" spans="1:5" x14ac:dyDescent="0.25">
      <c r="A27">
        <v>130702</v>
      </c>
      <c r="B27" t="s">
        <v>12</v>
      </c>
      <c r="C27">
        <f>'[1]VENTAS CONSOLIDADA VALENCIA'!C27</f>
        <v>3355</v>
      </c>
      <c r="D27" s="5">
        <f t="shared" ca="1" si="0"/>
        <v>186.38888888888889</v>
      </c>
      <c r="E27" s="5">
        <f t="shared" ca="1" si="1"/>
        <v>4100.5555555555557</v>
      </c>
    </row>
    <row r="28" spans="1:5" x14ac:dyDescent="0.25">
      <c r="A28">
        <v>130703</v>
      </c>
      <c r="B28" t="s">
        <v>17</v>
      </c>
      <c r="C28">
        <f>'[1]VENTAS CONSOLIDADA VALENCIA'!C28</f>
        <v>5058</v>
      </c>
      <c r="D28" s="5">
        <f t="shared" ca="1" si="0"/>
        <v>281</v>
      </c>
      <c r="E28" s="5">
        <f t="shared" ca="1" si="1"/>
        <v>6182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3109</v>
      </c>
      <c r="D30" s="5">
        <f t="shared" ca="1" si="0"/>
        <v>172.72222222222223</v>
      </c>
      <c r="E30" s="5">
        <f t="shared" ca="1" si="1"/>
        <v>3799.8888888888891</v>
      </c>
    </row>
    <row r="31" spans="1:5" x14ac:dyDescent="0.25">
      <c r="A31">
        <v>131151</v>
      </c>
      <c r="B31" t="s">
        <v>19</v>
      </c>
      <c r="C31">
        <f>'[1]VENTAS CONSOLIDADA VALENCIA'!C31</f>
        <v>4244</v>
      </c>
      <c r="D31" s="5">
        <f t="shared" ca="1" si="0"/>
        <v>235.77777777777777</v>
      </c>
      <c r="E31" s="5">
        <f t="shared" ca="1" si="1"/>
        <v>5187.1111111111113</v>
      </c>
    </row>
    <row r="32" spans="1:5" x14ac:dyDescent="0.25">
      <c r="A32">
        <v>131152</v>
      </c>
      <c r="B32" t="s">
        <v>32</v>
      </c>
      <c r="C32">
        <f>'[1]VENTAS CONSOLIDADA VALENCIA'!C32</f>
        <v>2567</v>
      </c>
      <c r="D32" s="5">
        <f t="shared" ca="1" si="0"/>
        <v>142.61111111111111</v>
      </c>
      <c r="E32" s="5">
        <f t="shared" ca="1" si="1"/>
        <v>3137.4444444444443</v>
      </c>
    </row>
    <row r="33" spans="1:5" x14ac:dyDescent="0.25">
      <c r="A33">
        <v>131153</v>
      </c>
      <c r="B33" t="s">
        <v>11</v>
      </c>
      <c r="C33">
        <f>'[1]VENTAS CONSOLIDADA VALENCIA'!C33</f>
        <v>2135</v>
      </c>
      <c r="D33" s="5">
        <f t="shared" ca="1" si="0"/>
        <v>118.61111111111111</v>
      </c>
      <c r="E33" s="5">
        <f t="shared" ca="1" si="1"/>
        <v>2609.4444444444443</v>
      </c>
    </row>
    <row r="34" spans="1:5" x14ac:dyDescent="0.25">
      <c r="A34">
        <v>131154</v>
      </c>
      <c r="B34" t="s">
        <v>48</v>
      </c>
      <c r="C34">
        <f>'[1]VENTAS CONSOLIDADA VALENCIA'!C34</f>
        <v>1045</v>
      </c>
      <c r="D34" s="5">
        <f t="shared" ca="1" si="0"/>
        <v>58.055555555555557</v>
      </c>
      <c r="E34" s="5">
        <f t="shared" ca="1" si="1"/>
        <v>1277.2222222222222</v>
      </c>
    </row>
    <row r="35" spans="1:5" x14ac:dyDescent="0.25">
      <c r="A35">
        <v>131155</v>
      </c>
      <c r="B35" t="s">
        <v>57</v>
      </c>
      <c r="C35">
        <f>'[1]VENTAS CONSOLIDADA VALENCIA'!C35</f>
        <v>1223</v>
      </c>
      <c r="D35" s="5">
        <f t="shared" ca="1" si="0"/>
        <v>67.944444444444443</v>
      </c>
      <c r="E35" s="5">
        <f t="shared" ca="1" si="1"/>
        <v>1494.7777777777778</v>
      </c>
    </row>
    <row r="36" spans="1:5" x14ac:dyDescent="0.25">
      <c r="A36">
        <v>131700</v>
      </c>
      <c r="B36" t="s">
        <v>20</v>
      </c>
      <c r="C36">
        <f>'[1]VENTAS CONSOLIDADA VALENCIA'!C36</f>
        <v>732</v>
      </c>
      <c r="D36" s="5">
        <f t="shared" ca="1" si="0"/>
        <v>40.666666666666664</v>
      </c>
      <c r="E36" s="5">
        <f t="shared" ca="1" si="1"/>
        <v>894.66666666666663</v>
      </c>
    </row>
    <row r="37" spans="1:5" x14ac:dyDescent="0.25">
      <c r="A37">
        <v>131701</v>
      </c>
      <c r="B37" t="s">
        <v>24</v>
      </c>
      <c r="C37">
        <f>'[1]VENTAS CONSOLIDADA VALENCIA'!C37</f>
        <v>758</v>
      </c>
      <c r="D37" s="5">
        <f t="shared" ca="1" si="0"/>
        <v>42.111111111111114</v>
      </c>
      <c r="E37" s="5">
        <f t="shared" ca="1" si="1"/>
        <v>926.44444444444457</v>
      </c>
    </row>
    <row r="38" spans="1:5" x14ac:dyDescent="0.25">
      <c r="A38">
        <v>132150</v>
      </c>
      <c r="B38" t="s">
        <v>25</v>
      </c>
      <c r="C38">
        <f>'[1]VENTAS CONSOLIDADA VALENCIA'!C38</f>
        <v>4538</v>
      </c>
      <c r="D38" s="5">
        <f t="shared" ca="1" si="0"/>
        <v>252.11111111111111</v>
      </c>
      <c r="E38" s="5">
        <f t="shared" ca="1" si="1"/>
        <v>5546.4444444444443</v>
      </c>
    </row>
    <row r="39" spans="1:5" x14ac:dyDescent="0.25">
      <c r="A39">
        <v>132151</v>
      </c>
      <c r="B39" t="s">
        <v>26</v>
      </c>
      <c r="C39">
        <f>'[1]VENTAS CONSOLIDADA VALENCIA'!C39</f>
        <v>3489</v>
      </c>
      <c r="D39" s="5">
        <f t="shared" ca="1" si="0"/>
        <v>193.83333333333334</v>
      </c>
      <c r="E39" s="5">
        <f t="shared" ca="1" si="1"/>
        <v>4264.3333333333339</v>
      </c>
    </row>
    <row r="40" spans="1:5" x14ac:dyDescent="0.25">
      <c r="A40">
        <v>132152</v>
      </c>
      <c r="B40" t="s">
        <v>27</v>
      </c>
      <c r="C40">
        <f>'[1]VENTAS CONSOLIDADA VALENCIA'!C40</f>
        <v>4675</v>
      </c>
      <c r="D40" s="5">
        <f t="shared" ca="1" si="0"/>
        <v>259.72222222222223</v>
      </c>
      <c r="E40" s="5">
        <f t="shared" ca="1" si="1"/>
        <v>5713.8888888888887</v>
      </c>
    </row>
    <row r="41" spans="1:5" x14ac:dyDescent="0.25">
      <c r="A41">
        <v>132153</v>
      </c>
      <c r="B41" t="s">
        <v>40</v>
      </c>
      <c r="C41">
        <f>'[1]VENTAS CONSOLIDADA VALENCIA'!C41</f>
        <v>2929</v>
      </c>
      <c r="D41" s="5">
        <f t="shared" ca="1" si="0"/>
        <v>162.72222222222223</v>
      </c>
      <c r="E41" s="5">
        <f t="shared" ca="1" si="1"/>
        <v>3579.8888888888891</v>
      </c>
    </row>
    <row r="42" spans="1:5" x14ac:dyDescent="0.25">
      <c r="A42">
        <v>134000</v>
      </c>
      <c r="B42" t="s">
        <v>35</v>
      </c>
      <c r="C42">
        <f>'[1]VENTAS CONSOLIDADA VALENCIA'!C42</f>
        <v>58</v>
      </c>
      <c r="D42" s="5">
        <f t="shared" ca="1" si="0"/>
        <v>3.2222222222222223</v>
      </c>
      <c r="E42" s="5">
        <f t="shared" ca="1" si="1"/>
        <v>70.888888888888886</v>
      </c>
    </row>
    <row r="43" spans="1:5" x14ac:dyDescent="0.25">
      <c r="A43">
        <v>134001</v>
      </c>
      <c r="B43" t="s">
        <v>47</v>
      </c>
      <c r="C43">
        <f>'[1]VENTAS CONSOLIDADA VALENCIA'!C43</f>
        <v>11</v>
      </c>
      <c r="D43" s="5">
        <f t="shared" ca="1" si="0"/>
        <v>0.61111111111111116</v>
      </c>
      <c r="E43" s="5">
        <f t="shared" ca="1" si="1"/>
        <v>13.444444444444446</v>
      </c>
    </row>
    <row r="44" spans="1:5" x14ac:dyDescent="0.25">
      <c r="A44">
        <v>140230</v>
      </c>
      <c r="B44" t="s">
        <v>18</v>
      </c>
      <c r="C44">
        <f>'[1]VENTAS CONSOLIDADA VALENCIA'!C44</f>
        <v>1121</v>
      </c>
      <c r="D44" s="5">
        <f t="shared" ca="1" si="0"/>
        <v>62.277777777777779</v>
      </c>
      <c r="E44" s="5">
        <f t="shared" ca="1" si="1"/>
        <v>1370.1111111111111</v>
      </c>
    </row>
    <row r="45" spans="1:5" x14ac:dyDescent="0.25">
      <c r="A45">
        <v>140231</v>
      </c>
      <c r="B45" t="s">
        <v>10</v>
      </c>
      <c r="C45">
        <f>'[1]VENTAS CONSOLIDADA VALENCIA'!C45</f>
        <v>3419</v>
      </c>
      <c r="D45" s="5">
        <f t="shared" ca="1" si="0"/>
        <v>189.94444444444446</v>
      </c>
      <c r="E45" s="5">
        <f t="shared" ca="1" si="1"/>
        <v>4178.7777777777783</v>
      </c>
    </row>
    <row r="46" spans="1:5" x14ac:dyDescent="0.25">
      <c r="A46">
        <v>140232</v>
      </c>
      <c r="B46" t="s">
        <v>9</v>
      </c>
      <c r="C46">
        <f>'[1]VENTAS CONSOLIDADA VALENCIA'!C46</f>
        <v>3094</v>
      </c>
      <c r="D46" s="5">
        <f t="shared" ca="1" si="0"/>
        <v>171.88888888888889</v>
      </c>
      <c r="E46" s="5">
        <f t="shared" ca="1" si="1"/>
        <v>3781.5555555555557</v>
      </c>
    </row>
    <row r="47" spans="1:5" x14ac:dyDescent="0.25">
      <c r="A47">
        <v>150360</v>
      </c>
      <c r="B47" t="s">
        <v>28</v>
      </c>
      <c r="C47">
        <f>'[1]VENTAS CONSOLIDADA VALENCIA'!C47</f>
        <v>875</v>
      </c>
      <c r="D47" s="5">
        <f t="shared" ca="1" si="0"/>
        <v>48.611111111111114</v>
      </c>
      <c r="E47" s="5">
        <f t="shared" ca="1" si="1"/>
        <v>1069.4444444444446</v>
      </c>
    </row>
    <row r="48" spans="1:5" x14ac:dyDescent="0.25">
      <c r="A48">
        <v>150361</v>
      </c>
      <c r="B48" t="s">
        <v>29</v>
      </c>
      <c r="C48">
        <f>'[1]VENTAS CONSOLIDADA VALENCIA'!C48</f>
        <v>2315</v>
      </c>
      <c r="D48" s="5">
        <f t="shared" ca="1" si="0"/>
        <v>128.61111111111111</v>
      </c>
      <c r="E48" s="5">
        <f t="shared" ca="1" si="1"/>
        <v>2829.4444444444443</v>
      </c>
    </row>
    <row r="49" spans="1:5" x14ac:dyDescent="0.25">
      <c r="A49">
        <v>150362</v>
      </c>
      <c r="B49" t="s">
        <v>36</v>
      </c>
      <c r="C49">
        <f>'[1]VENTAS CONSOLIDADA VALENCIA'!C49</f>
        <v>1134</v>
      </c>
      <c r="D49" s="5">
        <f t="shared" ca="1" si="0"/>
        <v>63</v>
      </c>
      <c r="E49" s="5">
        <f t="shared" ca="1" si="1"/>
        <v>1386</v>
      </c>
    </row>
    <row r="50" spans="1:5" x14ac:dyDescent="0.25">
      <c r="A50">
        <v>150363</v>
      </c>
      <c r="B50" t="s">
        <v>31</v>
      </c>
      <c r="C50">
        <f>'[1]VENTAS CONSOLIDADA VALENCIA'!C50</f>
        <v>1402</v>
      </c>
      <c r="D50" s="5">
        <f t="shared" ca="1" si="0"/>
        <v>77.888888888888886</v>
      </c>
      <c r="E50" s="5">
        <f t="shared" ca="1" si="1"/>
        <v>1713.5555555555554</v>
      </c>
    </row>
    <row r="51" spans="1:5" x14ac:dyDescent="0.25">
      <c r="A51">
        <v>151500</v>
      </c>
      <c r="B51" t="s">
        <v>41</v>
      </c>
      <c r="C51">
        <f>'[1]VENTAS CONSOLIDADA VALENCIA'!C51</f>
        <v>239</v>
      </c>
      <c r="D51" s="5">
        <f t="shared" ca="1" si="0"/>
        <v>13.277777777777779</v>
      </c>
      <c r="E51" s="5">
        <f t="shared" ca="1" si="1"/>
        <v>292.11111111111114</v>
      </c>
    </row>
    <row r="52" spans="1:5" x14ac:dyDescent="0.25">
      <c r="A52">
        <v>151501</v>
      </c>
      <c r="B52" t="s">
        <v>33</v>
      </c>
      <c r="C52">
        <f>'[1]VENTAS CONSOLIDADA VALENCIA'!C52</f>
        <v>525</v>
      </c>
      <c r="D52" s="5">
        <f t="shared" ca="1" si="0"/>
        <v>29.166666666666668</v>
      </c>
      <c r="E52" s="5">
        <f t="shared" ca="1" si="1"/>
        <v>641.66666666666674</v>
      </c>
    </row>
    <row r="53" spans="1:5" x14ac:dyDescent="0.25">
      <c r="A53">
        <v>151502</v>
      </c>
      <c r="B53" t="s">
        <v>37</v>
      </c>
      <c r="C53">
        <f>'[1]VENTAS CONSOLIDADA VALENCIA'!C53</f>
        <v>168</v>
      </c>
      <c r="D53" s="5">
        <f t="shared" ca="1" si="0"/>
        <v>9.3333333333333339</v>
      </c>
      <c r="E53" s="5">
        <f t="shared" ca="1" si="1"/>
        <v>205.33333333333334</v>
      </c>
    </row>
    <row r="54" spans="1:5" x14ac:dyDescent="0.25">
      <c r="A54">
        <v>151503</v>
      </c>
      <c r="B54" t="s">
        <v>34</v>
      </c>
      <c r="C54">
        <f>'[1]VENTAS CONSOLIDADA VALENCIA'!C54</f>
        <v>210</v>
      </c>
      <c r="D54" s="5">
        <f t="shared" ca="1" si="0"/>
        <v>11.666666666666666</v>
      </c>
      <c r="E54" s="5">
        <f t="shared" ca="1" si="1"/>
        <v>256.66666666666663</v>
      </c>
    </row>
    <row r="55" spans="1:5" x14ac:dyDescent="0.25">
      <c r="D55" s="5">
        <f ca="1">SUM(D8:D54)</f>
        <v>8405.2777777777774</v>
      </c>
      <c r="E55" s="5">
        <f ca="1">SUM(E8:E54)</f>
        <v>184916.11111111109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46290</v>
      </c>
      <c r="E2" s="4">
        <f ca="1">'[1]VENTAS CONSOLIDADA CARACAS'!E2</f>
        <v>18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4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14173</v>
      </c>
      <c r="D8" s="5">
        <f t="shared" ref="D8:D54" ca="1" si="0">C8/$E$2</f>
        <v>787.38888888888891</v>
      </c>
      <c r="E8" s="5">
        <f ca="1">D8*($E$2+$E$3)</f>
        <v>17322.555555555555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466</v>
      </c>
      <c r="D9" s="5">
        <f t="shared" ca="1" si="0"/>
        <v>25.888888888888889</v>
      </c>
      <c r="E9" s="5">
        <f t="shared" ref="E9:E54" ca="1" si="1">D9*($E$2+$E$3)</f>
        <v>569.55555555555554</v>
      </c>
    </row>
    <row r="10" spans="1:6" x14ac:dyDescent="0.25">
      <c r="A10">
        <v>110230</v>
      </c>
      <c r="B10" t="s">
        <v>1</v>
      </c>
      <c r="C10">
        <f>'[1]VENTAS CONSOLIDADA CARACAS'!C10</f>
        <v>6060</v>
      </c>
      <c r="D10" s="5">
        <f t="shared" ca="1" si="0"/>
        <v>336.66666666666669</v>
      </c>
      <c r="E10" s="5">
        <f t="shared" ca="1" si="1"/>
        <v>7406.666666666667</v>
      </c>
    </row>
    <row r="11" spans="1:6" x14ac:dyDescent="0.25">
      <c r="A11">
        <v>110400</v>
      </c>
      <c r="B11" t="s">
        <v>13</v>
      </c>
      <c r="C11">
        <f>'[1]VENTAS CONSOLIDADA CARACAS'!C11</f>
        <v>1339</v>
      </c>
      <c r="D11" s="5">
        <f t="shared" ca="1" si="0"/>
        <v>74.388888888888886</v>
      </c>
      <c r="E11" s="5">
        <f t="shared" ca="1" si="1"/>
        <v>1636.5555555555554</v>
      </c>
    </row>
    <row r="12" spans="1:6" x14ac:dyDescent="0.25">
      <c r="A12">
        <v>111000</v>
      </c>
      <c r="B12" t="s">
        <v>14</v>
      </c>
      <c r="C12">
        <f>'[1]VENTAS CONSOLIDADA CARACAS'!C12</f>
        <v>187</v>
      </c>
      <c r="D12" s="5">
        <f t="shared" ca="1" si="0"/>
        <v>10.388888888888889</v>
      </c>
      <c r="E12" s="5">
        <f t="shared" ca="1" si="1"/>
        <v>228.55555555555557</v>
      </c>
    </row>
    <row r="13" spans="1:6" x14ac:dyDescent="0.25">
      <c r="A13">
        <v>120130</v>
      </c>
      <c r="B13" t="s">
        <v>15</v>
      </c>
      <c r="C13">
        <f>'[1]VENTAS CONSOLIDADA CARACAS'!C13</f>
        <v>15028</v>
      </c>
      <c r="D13" s="5">
        <f t="shared" ca="1" si="0"/>
        <v>834.88888888888891</v>
      </c>
      <c r="E13" s="5">
        <f t="shared" ca="1" si="1"/>
        <v>18367.555555555555</v>
      </c>
    </row>
    <row r="14" spans="1:6" x14ac:dyDescent="0.25">
      <c r="A14">
        <v>120131</v>
      </c>
      <c r="B14" t="s">
        <v>23</v>
      </c>
      <c r="C14">
        <f>'[1]VENTAS CONSOLIDADA CARACAS'!C14</f>
        <v>1174</v>
      </c>
      <c r="D14" s="5">
        <f t="shared" ca="1" si="0"/>
        <v>65.222222222222229</v>
      </c>
      <c r="E14" s="5">
        <f t="shared" ca="1" si="1"/>
        <v>1434.8888888888891</v>
      </c>
    </row>
    <row r="15" spans="1:6" x14ac:dyDescent="0.25">
      <c r="A15">
        <v>120132</v>
      </c>
      <c r="B15" t="s">
        <v>21</v>
      </c>
      <c r="C15">
        <f>'[1]VENTAS CONSOLIDADA CARACAS'!C15</f>
        <v>2423</v>
      </c>
      <c r="D15" s="5">
        <f t="shared" ca="1" si="0"/>
        <v>134.61111111111111</v>
      </c>
      <c r="E15" s="5">
        <f t="shared" ca="1" si="1"/>
        <v>2961.4444444444443</v>
      </c>
    </row>
    <row r="16" spans="1:6" x14ac:dyDescent="0.25">
      <c r="A16">
        <v>130150</v>
      </c>
      <c r="B16" t="s">
        <v>0</v>
      </c>
      <c r="C16">
        <f>'[1]VENTAS CONSOLIDADA CARACAS'!C16</f>
        <v>5581</v>
      </c>
      <c r="D16" s="5">
        <f t="shared" ca="1" si="0"/>
        <v>310.05555555555554</v>
      </c>
      <c r="E16" s="5">
        <f t="shared" ca="1" si="1"/>
        <v>6821.2222222222217</v>
      </c>
    </row>
    <row r="17" spans="1:5" x14ac:dyDescent="0.25">
      <c r="A17">
        <v>130151</v>
      </c>
      <c r="B17" t="s">
        <v>4</v>
      </c>
      <c r="C17">
        <f>'[1]VENTAS CONSOLIDADA CARACAS'!C17</f>
        <v>3327</v>
      </c>
      <c r="D17" s="5">
        <f t="shared" ca="1" si="0"/>
        <v>184.83333333333334</v>
      </c>
      <c r="E17" s="5">
        <f t="shared" ca="1" si="1"/>
        <v>4066.3333333333335</v>
      </c>
    </row>
    <row r="18" spans="1:5" x14ac:dyDescent="0.25">
      <c r="A18">
        <v>130152</v>
      </c>
      <c r="B18" t="s">
        <v>51</v>
      </c>
      <c r="C18">
        <f>'[1]VENTAS CONSOLIDADA CARACAS'!C18</f>
        <v>29786</v>
      </c>
      <c r="D18" s="5">
        <f t="shared" ca="1" si="0"/>
        <v>1654.7777777777778</v>
      </c>
      <c r="E18" s="5">
        <f t="shared" ca="1" si="1"/>
        <v>36405.111111111109</v>
      </c>
    </row>
    <row r="19" spans="1:5" x14ac:dyDescent="0.25">
      <c r="A19">
        <v>130153</v>
      </c>
      <c r="B19" t="s">
        <v>52</v>
      </c>
      <c r="C19">
        <f>'[1]VENTAS CONSOLIDADA CARACAS'!C19</f>
        <v>19772</v>
      </c>
      <c r="D19" s="5">
        <f t="shared" ca="1" si="0"/>
        <v>1098.4444444444443</v>
      </c>
      <c r="E19" s="5">
        <f t="shared" ca="1" si="1"/>
        <v>24165.777777777774</v>
      </c>
    </row>
    <row r="20" spans="1:5" x14ac:dyDescent="0.25">
      <c r="A20">
        <v>130154</v>
      </c>
      <c r="B20" t="s">
        <v>53</v>
      </c>
      <c r="C20">
        <f>'[1]VENTAS CONSOLIDADA CARACAS'!C20</f>
        <v>19221</v>
      </c>
      <c r="D20" s="5">
        <f t="shared" ca="1" si="0"/>
        <v>1067.8333333333333</v>
      </c>
      <c r="E20" s="5">
        <f t="shared" ca="1" si="1"/>
        <v>23492.333333333332</v>
      </c>
    </row>
    <row r="21" spans="1:5" x14ac:dyDescent="0.25">
      <c r="A21">
        <v>130155</v>
      </c>
      <c r="B21" t="s">
        <v>16</v>
      </c>
      <c r="C21">
        <f>'[1]VENTAS CONSOLIDADA CARACAS'!C21</f>
        <v>24985</v>
      </c>
      <c r="D21" s="5">
        <f t="shared" ca="1" si="0"/>
        <v>1388.0555555555557</v>
      </c>
      <c r="E21" s="5">
        <f t="shared" ca="1" si="1"/>
        <v>30537.222222222226</v>
      </c>
    </row>
    <row r="22" spans="1:5" x14ac:dyDescent="0.25">
      <c r="A22">
        <v>130157</v>
      </c>
      <c r="B22" t="s">
        <v>43</v>
      </c>
      <c r="C22">
        <f>'[1]VENTAS CONSOLIDADA CARACAS'!C22</f>
        <v>6483</v>
      </c>
      <c r="D22" s="5">
        <f t="shared" ca="1" si="0"/>
        <v>360.16666666666669</v>
      </c>
      <c r="E22" s="5">
        <f t="shared" ca="1" si="1"/>
        <v>7923.666666666667</v>
      </c>
    </row>
    <row r="23" spans="1:5" x14ac:dyDescent="0.25">
      <c r="A23">
        <v>130158</v>
      </c>
      <c r="B23" t="s">
        <v>44</v>
      </c>
      <c r="C23">
        <f>'[1]VENTAS CONSOLIDADA CARACAS'!C23</f>
        <v>6563</v>
      </c>
      <c r="D23" s="5">
        <f t="shared" ca="1" si="0"/>
        <v>364.61111111111109</v>
      </c>
      <c r="E23" s="5">
        <f t="shared" ca="1" si="1"/>
        <v>8021.4444444444434</v>
      </c>
    </row>
    <row r="24" spans="1:5" x14ac:dyDescent="0.25">
      <c r="A24">
        <v>130159</v>
      </c>
      <c r="B24" t="s">
        <v>45</v>
      </c>
      <c r="C24">
        <f>'[1]VENTAS CONSOLIDADA CARACAS'!C24</f>
        <v>7047</v>
      </c>
      <c r="D24" s="5">
        <f t="shared" ca="1" si="0"/>
        <v>391.5</v>
      </c>
      <c r="E24" s="5">
        <f t="shared" ca="1" si="1"/>
        <v>8613</v>
      </c>
    </row>
    <row r="25" spans="1:5" x14ac:dyDescent="0.25">
      <c r="A25">
        <v>130700</v>
      </c>
      <c r="B25" t="s">
        <v>3</v>
      </c>
      <c r="C25">
        <f>'[1]VENTAS CONSOLIDADA CARACAS'!C25</f>
        <v>1931</v>
      </c>
      <c r="D25" s="5">
        <f t="shared" ca="1" si="0"/>
        <v>107.27777777777777</v>
      </c>
      <c r="E25" s="5">
        <f t="shared" ca="1" si="1"/>
        <v>2360.1111111111109</v>
      </c>
    </row>
    <row r="26" spans="1:5" x14ac:dyDescent="0.25">
      <c r="A26">
        <v>130701</v>
      </c>
      <c r="B26" t="s">
        <v>30</v>
      </c>
      <c r="C26">
        <f>'[1]VENTAS CONSOLIDADA CARACAS'!C26</f>
        <v>900</v>
      </c>
      <c r="D26" s="5">
        <f t="shared" ca="1" si="0"/>
        <v>50</v>
      </c>
      <c r="E26" s="5">
        <f t="shared" ca="1" si="1"/>
        <v>1100</v>
      </c>
    </row>
    <row r="27" spans="1:5" x14ac:dyDescent="0.25">
      <c r="A27">
        <v>130702</v>
      </c>
      <c r="B27" t="s">
        <v>12</v>
      </c>
      <c r="C27">
        <f>'[1]VENTAS CONSOLIDADA CARACAS'!C27</f>
        <v>4002</v>
      </c>
      <c r="D27" s="5">
        <f t="shared" ca="1" si="0"/>
        <v>222.33333333333334</v>
      </c>
      <c r="E27" s="5">
        <f t="shared" ca="1" si="1"/>
        <v>4891.3333333333339</v>
      </c>
    </row>
    <row r="28" spans="1:5" x14ac:dyDescent="0.25">
      <c r="A28">
        <v>130703</v>
      </c>
      <c r="B28" t="s">
        <v>17</v>
      </c>
      <c r="C28">
        <f>'[1]VENTAS CONSOLIDADA CARACAS'!C28</f>
        <v>7992</v>
      </c>
      <c r="D28" s="5">
        <f t="shared" ca="1" si="0"/>
        <v>444</v>
      </c>
      <c r="E28" s="5">
        <f t="shared" ca="1" si="1"/>
        <v>9768</v>
      </c>
    </row>
    <row r="29" spans="1:5" x14ac:dyDescent="0.25">
      <c r="A29">
        <v>130707</v>
      </c>
      <c r="B29" t="s">
        <v>42</v>
      </c>
      <c r="C29">
        <f>'[1]VENTAS CONSOLIDADA CARACAS'!C29</f>
        <v>1010</v>
      </c>
      <c r="D29" s="5">
        <f t="shared" ca="1" si="0"/>
        <v>56.111111111111114</v>
      </c>
      <c r="E29" s="5">
        <f t="shared" ca="1" si="1"/>
        <v>1234.4444444444446</v>
      </c>
    </row>
    <row r="30" spans="1:5" x14ac:dyDescent="0.25">
      <c r="A30">
        <v>131150</v>
      </c>
      <c r="B30" t="s">
        <v>22</v>
      </c>
      <c r="C30">
        <f>'[1]VENTAS CONSOLIDADA CARACAS'!C30</f>
        <v>7633</v>
      </c>
      <c r="D30" s="5">
        <f t="shared" ca="1" si="0"/>
        <v>424.05555555555554</v>
      </c>
      <c r="E30" s="5">
        <f t="shared" ca="1" si="1"/>
        <v>9329.2222222222226</v>
      </c>
    </row>
    <row r="31" spans="1:5" x14ac:dyDescent="0.25">
      <c r="A31">
        <v>131151</v>
      </c>
      <c r="B31" t="s">
        <v>19</v>
      </c>
      <c r="C31">
        <f>'[1]VENTAS CONSOLIDADA CARACAS'!C31</f>
        <v>11152</v>
      </c>
      <c r="D31" s="5">
        <f t="shared" ca="1" si="0"/>
        <v>619.55555555555554</v>
      </c>
      <c r="E31" s="5">
        <f t="shared" ca="1" si="1"/>
        <v>13630.222222222223</v>
      </c>
    </row>
    <row r="32" spans="1:5" x14ac:dyDescent="0.25">
      <c r="A32">
        <v>131152</v>
      </c>
      <c r="B32" t="s">
        <v>32</v>
      </c>
      <c r="C32">
        <f>'[1]VENTAS CONSOLIDADA CARACAS'!C32</f>
        <v>5220</v>
      </c>
      <c r="D32" s="5">
        <f t="shared" ca="1" si="0"/>
        <v>290</v>
      </c>
      <c r="E32" s="5">
        <f t="shared" ca="1" si="1"/>
        <v>6380</v>
      </c>
    </row>
    <row r="33" spans="1:5" x14ac:dyDescent="0.25">
      <c r="A33">
        <v>131153</v>
      </c>
      <c r="B33" t="s">
        <v>11</v>
      </c>
      <c r="C33">
        <f>'[1]VENTAS CONSOLIDADA CARACAS'!C33</f>
        <v>3553</v>
      </c>
      <c r="D33" s="5">
        <f t="shared" ca="1" si="0"/>
        <v>197.38888888888889</v>
      </c>
      <c r="E33" s="5">
        <f t="shared" ca="1" si="1"/>
        <v>4342.5555555555557</v>
      </c>
    </row>
    <row r="34" spans="1:5" x14ac:dyDescent="0.25">
      <c r="A34">
        <v>131154</v>
      </c>
      <c r="B34" t="s">
        <v>48</v>
      </c>
      <c r="C34">
        <f>'[1]VENTAS CONSOLIDADA CARACAS'!C34</f>
        <v>1613</v>
      </c>
      <c r="D34" s="5">
        <f t="shared" ca="1" si="0"/>
        <v>89.611111111111114</v>
      </c>
      <c r="E34" s="5">
        <f t="shared" ca="1" si="1"/>
        <v>1971.4444444444446</v>
      </c>
    </row>
    <row r="35" spans="1:5" x14ac:dyDescent="0.25">
      <c r="A35">
        <v>131155</v>
      </c>
      <c r="B35" t="s">
        <v>57</v>
      </c>
      <c r="C35">
        <f>'[1]VENTAS CONSOLIDADA CARACAS'!C35</f>
        <v>2131</v>
      </c>
      <c r="D35" s="5">
        <f t="shared" ca="1" si="0"/>
        <v>118.38888888888889</v>
      </c>
      <c r="E35" s="5">
        <f t="shared" ca="1" si="1"/>
        <v>2604.5555555555557</v>
      </c>
    </row>
    <row r="36" spans="1:5" x14ac:dyDescent="0.25">
      <c r="A36">
        <v>131700</v>
      </c>
      <c r="B36" t="s">
        <v>20</v>
      </c>
      <c r="C36">
        <f>'[1]VENTAS CONSOLIDADA CARACAS'!C36</f>
        <v>1237</v>
      </c>
      <c r="D36" s="5">
        <f t="shared" ca="1" si="0"/>
        <v>68.722222222222229</v>
      </c>
      <c r="E36" s="5">
        <f t="shared" ca="1" si="1"/>
        <v>1511.8888888888891</v>
      </c>
    </row>
    <row r="37" spans="1:5" x14ac:dyDescent="0.25">
      <c r="A37">
        <v>131701</v>
      </c>
      <c r="B37" t="s">
        <v>24</v>
      </c>
      <c r="C37">
        <f>'[1]VENTAS CONSOLIDADA CARACAS'!C37</f>
        <v>1254</v>
      </c>
      <c r="D37" s="5">
        <f t="shared" ca="1" si="0"/>
        <v>69.666666666666671</v>
      </c>
      <c r="E37" s="5">
        <f t="shared" ca="1" si="1"/>
        <v>1532.6666666666667</v>
      </c>
    </row>
    <row r="38" spans="1:5" x14ac:dyDescent="0.25">
      <c r="A38">
        <v>132150</v>
      </c>
      <c r="B38" t="s">
        <v>25</v>
      </c>
      <c r="C38">
        <f>'[1]VENTAS CONSOLIDADA CARACAS'!C38</f>
        <v>5902</v>
      </c>
      <c r="D38" s="5">
        <f t="shared" ca="1" si="0"/>
        <v>327.88888888888891</v>
      </c>
      <c r="E38" s="5">
        <f t="shared" ca="1" si="1"/>
        <v>7213.5555555555566</v>
      </c>
    </row>
    <row r="39" spans="1:5" x14ac:dyDescent="0.25">
      <c r="A39">
        <v>132151</v>
      </c>
      <c r="B39" t="s">
        <v>26</v>
      </c>
      <c r="C39">
        <f>'[1]VENTAS CONSOLIDADA CARACAS'!C39</f>
        <v>5220</v>
      </c>
      <c r="D39" s="5">
        <f t="shared" ca="1" si="0"/>
        <v>290</v>
      </c>
      <c r="E39" s="5">
        <f t="shared" ca="1" si="1"/>
        <v>6380</v>
      </c>
    </row>
    <row r="40" spans="1:5" x14ac:dyDescent="0.25">
      <c r="A40">
        <v>132152</v>
      </c>
      <c r="B40" t="s">
        <v>27</v>
      </c>
      <c r="C40">
        <f>'[1]VENTAS CONSOLIDADA CARACAS'!C40</f>
        <v>6772</v>
      </c>
      <c r="D40" s="5">
        <f t="shared" ca="1" si="0"/>
        <v>376.22222222222223</v>
      </c>
      <c r="E40" s="5">
        <f t="shared" ca="1" si="1"/>
        <v>8276.8888888888887</v>
      </c>
    </row>
    <row r="41" spans="1:5" x14ac:dyDescent="0.25">
      <c r="A41">
        <v>132153</v>
      </c>
      <c r="B41" t="s">
        <v>40</v>
      </c>
      <c r="C41">
        <f>'[1]VENTAS CONSOLIDADA CARACAS'!C41</f>
        <v>5010</v>
      </c>
      <c r="D41" s="5">
        <f t="shared" ca="1" si="0"/>
        <v>278.33333333333331</v>
      </c>
      <c r="E41" s="5">
        <f t="shared" ca="1" si="1"/>
        <v>6123.333333333333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1001</v>
      </c>
      <c r="D44" s="5">
        <f t="shared" ca="1" si="0"/>
        <v>55.611111111111114</v>
      </c>
      <c r="E44" s="5">
        <f t="shared" ca="1" si="1"/>
        <v>1223.4444444444446</v>
      </c>
    </row>
    <row r="45" spans="1:5" x14ac:dyDescent="0.25">
      <c r="A45">
        <v>140231</v>
      </c>
      <c r="B45" t="s">
        <v>10</v>
      </c>
      <c r="C45">
        <f>'[1]VENTAS CONSOLIDADA CARACAS'!C45</f>
        <v>5164</v>
      </c>
      <c r="D45" s="5">
        <f t="shared" ca="1" si="0"/>
        <v>286.88888888888891</v>
      </c>
      <c r="E45" s="5">
        <f t="shared" ca="1" si="1"/>
        <v>6311.5555555555566</v>
      </c>
    </row>
    <row r="46" spans="1:5" x14ac:dyDescent="0.25">
      <c r="A46">
        <v>140232</v>
      </c>
      <c r="B46" t="s">
        <v>9</v>
      </c>
      <c r="C46">
        <f>'[1]VENTAS CONSOLIDADA CARACAS'!C46</f>
        <v>3476</v>
      </c>
      <c r="D46" s="5">
        <f t="shared" ca="1" si="0"/>
        <v>193.11111111111111</v>
      </c>
      <c r="E46" s="5">
        <f t="shared" ca="1" si="1"/>
        <v>4248.4444444444443</v>
      </c>
    </row>
    <row r="47" spans="1:5" x14ac:dyDescent="0.25">
      <c r="A47">
        <v>150360</v>
      </c>
      <c r="B47" t="s">
        <v>28</v>
      </c>
      <c r="C47">
        <f>'[1]VENTAS CONSOLIDADA CARACAS'!C47</f>
        <v>2821</v>
      </c>
      <c r="D47" s="5">
        <f t="shared" ca="1" si="0"/>
        <v>156.72222222222223</v>
      </c>
      <c r="E47" s="5">
        <f t="shared" ca="1" si="1"/>
        <v>3447.8888888888891</v>
      </c>
    </row>
    <row r="48" spans="1:5" x14ac:dyDescent="0.25">
      <c r="A48">
        <v>150361</v>
      </c>
      <c r="B48" t="s">
        <v>29</v>
      </c>
      <c r="C48">
        <f>'[1]VENTAS CONSOLIDADA CARACAS'!C48</f>
        <v>5027</v>
      </c>
      <c r="D48" s="5">
        <f t="shared" ca="1" si="0"/>
        <v>279.27777777777777</v>
      </c>
      <c r="E48" s="5">
        <f t="shared" ca="1" si="1"/>
        <v>6144.1111111111113</v>
      </c>
    </row>
    <row r="49" spans="1:5" x14ac:dyDescent="0.25">
      <c r="A49">
        <v>150362</v>
      </c>
      <c r="B49" t="s">
        <v>36</v>
      </c>
      <c r="C49">
        <f>'[1]VENTAS CONSOLIDADA CARACAS'!C49</f>
        <v>3443</v>
      </c>
      <c r="D49" s="5">
        <f t="shared" ca="1" si="0"/>
        <v>191.27777777777777</v>
      </c>
      <c r="E49" s="5">
        <f t="shared" ca="1" si="1"/>
        <v>4208.1111111111113</v>
      </c>
    </row>
    <row r="50" spans="1:5" x14ac:dyDescent="0.25">
      <c r="A50">
        <v>150363</v>
      </c>
      <c r="B50" t="s">
        <v>31</v>
      </c>
      <c r="C50">
        <f>'[1]VENTAS CONSOLIDADA CARACAS'!C50</f>
        <v>3067</v>
      </c>
      <c r="D50" s="5">
        <f t="shared" ca="1" si="0"/>
        <v>170.38888888888889</v>
      </c>
      <c r="E50" s="5">
        <f t="shared" ca="1" si="1"/>
        <v>3748.5555555555557</v>
      </c>
    </row>
    <row r="51" spans="1:5" x14ac:dyDescent="0.25">
      <c r="A51">
        <v>151500</v>
      </c>
      <c r="B51" t="s">
        <v>41</v>
      </c>
      <c r="C51">
        <f>'[1]VENTAS CONSOLIDADA CARACAS'!C51</f>
        <v>573</v>
      </c>
      <c r="D51" s="5">
        <f t="shared" ca="1" si="0"/>
        <v>31.833333333333332</v>
      </c>
      <c r="E51" s="5">
        <f t="shared" ca="1" si="1"/>
        <v>700.33333333333326</v>
      </c>
    </row>
    <row r="52" spans="1:5" x14ac:dyDescent="0.25">
      <c r="A52">
        <v>151501</v>
      </c>
      <c r="B52" t="s">
        <v>33</v>
      </c>
      <c r="C52">
        <f>'[1]VENTAS CONSOLIDADA CARACAS'!C52</f>
        <v>1240</v>
      </c>
      <c r="D52" s="5">
        <f t="shared" ca="1" si="0"/>
        <v>68.888888888888886</v>
      </c>
      <c r="E52" s="5">
        <f t="shared" ca="1" si="1"/>
        <v>1515.5555555555554</v>
      </c>
    </row>
    <row r="53" spans="1:5" x14ac:dyDescent="0.25">
      <c r="A53">
        <v>151502</v>
      </c>
      <c r="B53" t="s">
        <v>37</v>
      </c>
      <c r="C53">
        <f>'[1]VENTAS CONSOLIDADA CARACAS'!C53</f>
        <v>460</v>
      </c>
      <c r="D53" s="5">
        <f t="shared" ca="1" si="0"/>
        <v>25.555555555555557</v>
      </c>
      <c r="E53" s="5">
        <f t="shared" ca="1" si="1"/>
        <v>562.22222222222229</v>
      </c>
    </row>
    <row r="54" spans="1:5" x14ac:dyDescent="0.25">
      <c r="A54">
        <v>151503</v>
      </c>
      <c r="B54" t="s">
        <v>34</v>
      </c>
      <c r="C54">
        <f>'[1]VENTAS CONSOLIDADA CARACAS'!C54</f>
        <v>598</v>
      </c>
      <c r="D54" s="5">
        <f t="shared" ca="1" si="0"/>
        <v>33.222222222222221</v>
      </c>
      <c r="E54" s="5">
        <f t="shared" ca="1" si="1"/>
        <v>730.88888888888891</v>
      </c>
    </row>
    <row r="55" spans="1:5" x14ac:dyDescent="0.25">
      <c r="D55" s="5">
        <f ca="1">SUM(D8:D54)</f>
        <v>14612.055555555555</v>
      </c>
      <c r="E55" s="5">
        <f ca="1">SUM(E8:E54)</f>
        <v>321465.22222222219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46290</v>
      </c>
      <c r="E2" s="4">
        <f ca="1">'[1]VENTAS CONSOLIDADA LARA'!E2</f>
        <v>18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4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893</v>
      </c>
      <c r="D8" s="5">
        <f t="shared" ref="D8:D54" ca="1" si="0">C8/$E$2</f>
        <v>49.611111111111114</v>
      </c>
      <c r="E8" s="5">
        <f ca="1">D8*($E$2+$E$3)</f>
        <v>1091.4444444444446</v>
      </c>
    </row>
    <row r="9" spans="1:5" x14ac:dyDescent="0.25">
      <c r="A9">
        <v>110151</v>
      </c>
      <c r="B9" t="s">
        <v>5</v>
      </c>
      <c r="C9">
        <f>'[1]VENTAS CONSOLIDADA LARA'!C9</f>
        <v>27</v>
      </c>
      <c r="D9" s="5">
        <f t="shared" ca="1" si="0"/>
        <v>1.5</v>
      </c>
      <c r="E9" s="5">
        <f t="shared" ref="E9:E54" ca="1" si="1">D9*($E$2+$E$3)</f>
        <v>33</v>
      </c>
    </row>
    <row r="10" spans="1:5" x14ac:dyDescent="0.25">
      <c r="A10">
        <v>110230</v>
      </c>
      <c r="B10" t="s">
        <v>1</v>
      </c>
      <c r="C10">
        <f>'[1]VENTAS CONSOLIDADA LARA'!C10</f>
        <v>309</v>
      </c>
      <c r="D10" s="5">
        <f t="shared" ca="1" si="0"/>
        <v>17.166666666666668</v>
      </c>
      <c r="E10" s="5">
        <f t="shared" ca="1" si="1"/>
        <v>377.66666666666669</v>
      </c>
    </row>
    <row r="11" spans="1:5" x14ac:dyDescent="0.25">
      <c r="A11">
        <v>110400</v>
      </c>
      <c r="B11" t="s">
        <v>13</v>
      </c>
      <c r="C11">
        <f>'[1]VENTAS CONSOLIDADA LARA'!C11</f>
        <v>21</v>
      </c>
      <c r="D11" s="5">
        <f t="shared" ca="1" si="0"/>
        <v>1.1666666666666667</v>
      </c>
      <c r="E11" s="5">
        <f t="shared" ca="1" si="1"/>
        <v>25.666666666666668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2959</v>
      </c>
      <c r="D13" s="5">
        <f t="shared" ca="1" si="0"/>
        <v>164.38888888888889</v>
      </c>
      <c r="E13" s="5">
        <f t="shared" ca="1" si="1"/>
        <v>3616.5555555555557</v>
      </c>
    </row>
    <row r="14" spans="1:5" x14ac:dyDescent="0.25">
      <c r="A14">
        <v>120131</v>
      </c>
      <c r="B14" t="s">
        <v>23</v>
      </c>
      <c r="C14">
        <f>'[1]VENTAS CONSOLIDADA LARA'!C14</f>
        <v>246</v>
      </c>
      <c r="D14" s="5">
        <f t="shared" ca="1" si="0"/>
        <v>13.666666666666666</v>
      </c>
      <c r="E14" s="5">
        <f t="shared" ca="1" si="1"/>
        <v>300.66666666666663</v>
      </c>
    </row>
    <row r="15" spans="1:5" x14ac:dyDescent="0.25">
      <c r="A15">
        <v>120132</v>
      </c>
      <c r="B15" t="s">
        <v>21</v>
      </c>
      <c r="C15">
        <f>'[1]VENTAS CONSOLIDADA LARA'!C15</f>
        <v>540</v>
      </c>
      <c r="D15" s="5">
        <f t="shared" ca="1" si="0"/>
        <v>30</v>
      </c>
      <c r="E15" s="5">
        <f t="shared" ca="1" si="1"/>
        <v>660</v>
      </c>
    </row>
    <row r="16" spans="1:5" x14ac:dyDescent="0.25">
      <c r="A16">
        <v>130150</v>
      </c>
      <c r="B16" t="s">
        <v>0</v>
      </c>
      <c r="C16">
        <f>'[1]VENTAS CONSOLIDADA LARA'!C16</f>
        <v>1496</v>
      </c>
      <c r="D16" s="5">
        <f t="shared" ca="1" si="0"/>
        <v>83.111111111111114</v>
      </c>
      <c r="E16" s="5">
        <f t="shared" ca="1" si="1"/>
        <v>1828.4444444444446</v>
      </c>
    </row>
    <row r="17" spans="1:5" x14ac:dyDescent="0.25">
      <c r="A17">
        <v>130151</v>
      </c>
      <c r="B17" t="s">
        <v>4</v>
      </c>
      <c r="C17">
        <f>'[1]VENTAS CONSOLIDADA LARA'!C17</f>
        <v>453</v>
      </c>
      <c r="D17" s="5">
        <f t="shared" ca="1" si="0"/>
        <v>25.166666666666668</v>
      </c>
      <c r="E17" s="5">
        <f t="shared" ca="1" si="1"/>
        <v>553.66666666666674</v>
      </c>
    </row>
    <row r="18" spans="1:5" x14ac:dyDescent="0.25">
      <c r="A18">
        <v>130152</v>
      </c>
      <c r="B18" t="s">
        <v>51</v>
      </c>
      <c r="C18">
        <f>'[1]VENTAS CONSOLIDADA LARA'!C18</f>
        <v>10149</v>
      </c>
      <c r="D18" s="5">
        <f t="shared" ca="1" si="0"/>
        <v>563.83333333333337</v>
      </c>
      <c r="E18" s="5">
        <f t="shared" ca="1" si="1"/>
        <v>12404.333333333334</v>
      </c>
    </row>
    <row r="19" spans="1:5" x14ac:dyDescent="0.25">
      <c r="A19">
        <v>130153</v>
      </c>
      <c r="B19" t="s">
        <v>52</v>
      </c>
      <c r="C19">
        <f>'[1]VENTAS CONSOLIDADA LARA'!C19</f>
        <v>5401</v>
      </c>
      <c r="D19" s="5">
        <f t="shared" ca="1" si="0"/>
        <v>300.05555555555554</v>
      </c>
      <c r="E19" s="5">
        <f t="shared" ca="1" si="1"/>
        <v>6601.2222222222217</v>
      </c>
    </row>
    <row r="20" spans="1:5" x14ac:dyDescent="0.25">
      <c r="A20">
        <v>130154</v>
      </c>
      <c r="B20" t="s">
        <v>53</v>
      </c>
      <c r="C20">
        <f>'[1]VENTAS CONSOLIDADA LARA'!C20</f>
        <v>5462</v>
      </c>
      <c r="D20" s="5">
        <f t="shared" ca="1" si="0"/>
        <v>303.44444444444446</v>
      </c>
      <c r="E20" s="5">
        <f t="shared" ca="1" si="1"/>
        <v>6675.7777777777783</v>
      </c>
    </row>
    <row r="21" spans="1:5" x14ac:dyDescent="0.25">
      <c r="A21">
        <v>130155</v>
      </c>
      <c r="B21" t="s">
        <v>16</v>
      </c>
      <c r="C21">
        <f>'[1]VENTAS CONSOLIDADA LARA'!C21</f>
        <v>6894</v>
      </c>
      <c r="D21" s="5">
        <f t="shared" ca="1" si="0"/>
        <v>383</v>
      </c>
      <c r="E21" s="5">
        <f t="shared" ca="1" si="1"/>
        <v>8426</v>
      </c>
    </row>
    <row r="22" spans="1:5" x14ac:dyDescent="0.25">
      <c r="A22">
        <v>130157</v>
      </c>
      <c r="B22" t="s">
        <v>43</v>
      </c>
      <c r="C22">
        <f>'[1]VENTAS CONSOLIDADA LARA'!C22</f>
        <v>2172</v>
      </c>
      <c r="D22" s="5">
        <f t="shared" ca="1" si="0"/>
        <v>120.66666666666667</v>
      </c>
      <c r="E22" s="5">
        <f t="shared" ca="1" si="1"/>
        <v>2654.666666666667</v>
      </c>
    </row>
    <row r="23" spans="1:5" x14ac:dyDescent="0.25">
      <c r="A23">
        <v>130158</v>
      </c>
      <c r="B23" t="s">
        <v>44</v>
      </c>
      <c r="C23">
        <f>'[1]VENTAS CONSOLIDADA LARA'!C23</f>
        <v>2639</v>
      </c>
      <c r="D23" s="5">
        <f t="shared" ca="1" si="0"/>
        <v>146.61111111111111</v>
      </c>
      <c r="E23" s="5">
        <f t="shared" ca="1" si="1"/>
        <v>3225.4444444444443</v>
      </c>
    </row>
    <row r="24" spans="1:5" x14ac:dyDescent="0.25">
      <c r="A24">
        <v>130159</v>
      </c>
      <c r="B24" t="s">
        <v>45</v>
      </c>
      <c r="C24">
        <f>'[1]VENTAS CONSOLIDADA LARA'!C24</f>
        <v>2665</v>
      </c>
      <c r="D24" s="5">
        <f t="shared" ca="1" si="0"/>
        <v>148.05555555555554</v>
      </c>
      <c r="E24" s="5">
        <f t="shared" ca="1" si="1"/>
        <v>3257.2222222222217</v>
      </c>
    </row>
    <row r="25" spans="1:5" x14ac:dyDescent="0.25">
      <c r="A25">
        <v>130700</v>
      </c>
      <c r="B25" t="s">
        <v>3</v>
      </c>
      <c r="C25">
        <f>'[1]VENTAS CONSOLIDADA LARA'!C25</f>
        <v>542</v>
      </c>
      <c r="D25" s="5">
        <f t="shared" ca="1" si="0"/>
        <v>30.111111111111111</v>
      </c>
      <c r="E25" s="5">
        <f t="shared" ca="1" si="1"/>
        <v>662.44444444444446</v>
      </c>
    </row>
    <row r="26" spans="1:5" x14ac:dyDescent="0.25">
      <c r="A26">
        <v>130701</v>
      </c>
      <c r="B26" t="s">
        <v>30</v>
      </c>
      <c r="C26">
        <f>'[1]VENTAS CONSOLIDADA LARA'!C26</f>
        <v>172</v>
      </c>
      <c r="D26" s="5">
        <f t="shared" ca="1" si="0"/>
        <v>9.5555555555555554</v>
      </c>
      <c r="E26" s="5">
        <f t="shared" ca="1" si="1"/>
        <v>210.22222222222223</v>
      </c>
    </row>
    <row r="27" spans="1:5" x14ac:dyDescent="0.25">
      <c r="A27">
        <v>130702</v>
      </c>
      <c r="B27" t="s">
        <v>12</v>
      </c>
      <c r="C27">
        <f>'[1]VENTAS CONSOLIDADA LARA'!C27</f>
        <v>1484</v>
      </c>
      <c r="D27" s="5">
        <f t="shared" ca="1" si="0"/>
        <v>82.444444444444443</v>
      </c>
      <c r="E27" s="5">
        <f t="shared" ca="1" si="1"/>
        <v>1813.7777777777778</v>
      </c>
    </row>
    <row r="28" spans="1:5" x14ac:dyDescent="0.25">
      <c r="A28">
        <v>130703</v>
      </c>
      <c r="B28" t="s">
        <v>17</v>
      </c>
      <c r="C28">
        <f>'[1]VENTAS CONSOLIDADA LARA'!C28</f>
        <v>1953</v>
      </c>
      <c r="D28" s="5">
        <f t="shared" ca="1" si="0"/>
        <v>108.5</v>
      </c>
      <c r="E28" s="5">
        <f t="shared" ca="1" si="1"/>
        <v>2387</v>
      </c>
    </row>
    <row r="29" spans="1:5" x14ac:dyDescent="0.25">
      <c r="A29">
        <v>130707</v>
      </c>
      <c r="B29" t="s">
        <v>42</v>
      </c>
      <c r="C29">
        <f>'[1]VENTAS CONSOLIDADA LARA'!C29</f>
        <v>110</v>
      </c>
      <c r="D29" s="5">
        <f t="shared" ca="1" si="0"/>
        <v>6.1111111111111107</v>
      </c>
      <c r="E29" s="5">
        <f t="shared" ca="1" si="1"/>
        <v>134.44444444444443</v>
      </c>
    </row>
    <row r="30" spans="1:5" x14ac:dyDescent="0.25">
      <c r="A30">
        <v>131150</v>
      </c>
      <c r="B30" t="s">
        <v>22</v>
      </c>
      <c r="C30">
        <f>'[1]VENTAS CONSOLIDADA LARA'!C30</f>
        <v>827</v>
      </c>
      <c r="D30" s="5">
        <f t="shared" ca="1" si="0"/>
        <v>45.944444444444443</v>
      </c>
      <c r="E30" s="5">
        <f t="shared" ca="1" si="1"/>
        <v>1010.7777777777777</v>
      </c>
    </row>
    <row r="31" spans="1:5" x14ac:dyDescent="0.25">
      <c r="A31">
        <v>131151</v>
      </c>
      <c r="B31" t="s">
        <v>19</v>
      </c>
      <c r="C31">
        <f>'[1]VENTAS CONSOLIDADA LARA'!C31</f>
        <v>1884</v>
      </c>
      <c r="D31" s="5">
        <f t="shared" ca="1" si="0"/>
        <v>104.66666666666667</v>
      </c>
      <c r="E31" s="5">
        <f t="shared" ca="1" si="1"/>
        <v>2302.666666666667</v>
      </c>
    </row>
    <row r="32" spans="1:5" x14ac:dyDescent="0.25">
      <c r="A32">
        <v>131152</v>
      </c>
      <c r="B32" t="s">
        <v>32</v>
      </c>
      <c r="C32">
        <f>'[1]VENTAS CONSOLIDADA LARA'!C32</f>
        <v>1017</v>
      </c>
      <c r="D32" s="5">
        <f t="shared" ca="1" si="0"/>
        <v>56.5</v>
      </c>
      <c r="E32" s="5">
        <f t="shared" ca="1" si="1"/>
        <v>1243</v>
      </c>
    </row>
    <row r="33" spans="1:5" x14ac:dyDescent="0.25">
      <c r="A33">
        <v>131153</v>
      </c>
      <c r="B33" t="s">
        <v>11</v>
      </c>
      <c r="C33">
        <f>'[1]VENTAS CONSOLIDADA LARA'!C33</f>
        <v>654</v>
      </c>
      <c r="D33" s="5">
        <f t="shared" ca="1" si="0"/>
        <v>36.333333333333336</v>
      </c>
      <c r="E33" s="5">
        <f t="shared" ca="1" si="1"/>
        <v>799.33333333333337</v>
      </c>
    </row>
    <row r="34" spans="1:5" x14ac:dyDescent="0.25">
      <c r="A34">
        <v>131154</v>
      </c>
      <c r="B34" t="s">
        <v>48</v>
      </c>
      <c r="C34">
        <f>'[1]VENTAS CONSOLIDADA LARA'!C34</f>
        <v>1025</v>
      </c>
      <c r="D34" s="5">
        <f t="shared" ca="1" si="0"/>
        <v>56.944444444444443</v>
      </c>
      <c r="E34" s="5">
        <f t="shared" ca="1" si="1"/>
        <v>1252.7777777777778</v>
      </c>
    </row>
    <row r="35" spans="1:5" x14ac:dyDescent="0.25">
      <c r="A35">
        <v>131155</v>
      </c>
      <c r="B35" t="s">
        <v>57</v>
      </c>
      <c r="C35">
        <f>'[1]VENTAS CONSOLIDADA LARA'!C35</f>
        <v>1179</v>
      </c>
      <c r="D35" s="5">
        <f t="shared" ca="1" si="0"/>
        <v>65.5</v>
      </c>
      <c r="E35" s="5">
        <f t="shared" ca="1" si="1"/>
        <v>1441</v>
      </c>
    </row>
    <row r="36" spans="1:5" x14ac:dyDescent="0.25">
      <c r="A36">
        <v>131700</v>
      </c>
      <c r="B36" t="s">
        <v>20</v>
      </c>
      <c r="C36">
        <f>'[1]VENTAS CONSOLIDADA LARA'!C36</f>
        <v>200</v>
      </c>
      <c r="D36" s="5">
        <f t="shared" ca="1" si="0"/>
        <v>11.111111111111111</v>
      </c>
      <c r="E36" s="5">
        <f t="shared" ca="1" si="1"/>
        <v>244.44444444444443</v>
      </c>
    </row>
    <row r="37" spans="1:5" x14ac:dyDescent="0.25">
      <c r="A37">
        <v>131701</v>
      </c>
      <c r="B37" t="s">
        <v>24</v>
      </c>
      <c r="C37">
        <f>'[1]VENTAS CONSOLIDADA LARA'!C37</f>
        <v>292</v>
      </c>
      <c r="D37" s="5">
        <f t="shared" ca="1" si="0"/>
        <v>16.222222222222221</v>
      </c>
      <c r="E37" s="5">
        <f t="shared" ca="1" si="1"/>
        <v>356.88888888888886</v>
      </c>
    </row>
    <row r="38" spans="1:5" x14ac:dyDescent="0.25">
      <c r="A38">
        <v>132150</v>
      </c>
      <c r="B38" t="s">
        <v>25</v>
      </c>
      <c r="C38">
        <f>'[1]VENTAS CONSOLIDADA LARA'!C38</f>
        <v>2134</v>
      </c>
      <c r="D38" s="5">
        <f t="shared" ca="1" si="0"/>
        <v>118.55555555555556</v>
      </c>
      <c r="E38" s="5">
        <f t="shared" ca="1" si="1"/>
        <v>2608.2222222222222</v>
      </c>
    </row>
    <row r="39" spans="1:5" x14ac:dyDescent="0.25">
      <c r="A39">
        <v>132151</v>
      </c>
      <c r="B39" t="s">
        <v>26</v>
      </c>
      <c r="C39">
        <f>'[1]VENTAS CONSOLIDADA LARA'!C39</f>
        <v>1148</v>
      </c>
      <c r="D39" s="5">
        <f t="shared" ca="1" si="0"/>
        <v>63.777777777777779</v>
      </c>
      <c r="E39" s="5">
        <f t="shared" ca="1" si="1"/>
        <v>1403.1111111111111</v>
      </c>
    </row>
    <row r="40" spans="1:5" x14ac:dyDescent="0.25">
      <c r="A40">
        <v>132152</v>
      </c>
      <c r="B40" t="s">
        <v>27</v>
      </c>
      <c r="C40">
        <f>'[1]VENTAS CONSOLIDADA LARA'!C40</f>
        <v>1695</v>
      </c>
      <c r="D40" s="5">
        <f t="shared" ca="1" si="0"/>
        <v>94.166666666666671</v>
      </c>
      <c r="E40" s="5">
        <f t="shared" ca="1" si="1"/>
        <v>2071.666666666667</v>
      </c>
    </row>
    <row r="41" spans="1:5" x14ac:dyDescent="0.25">
      <c r="A41">
        <v>132153</v>
      </c>
      <c r="B41" t="s">
        <v>40</v>
      </c>
      <c r="C41">
        <f>'[1]VENTAS CONSOLIDADA LARA'!C41</f>
        <v>710</v>
      </c>
      <c r="D41" s="5">
        <f t="shared" ca="1" si="0"/>
        <v>39.444444444444443</v>
      </c>
      <c r="E41" s="5">
        <f t="shared" ca="1" si="1"/>
        <v>867.77777777777771</v>
      </c>
    </row>
    <row r="42" spans="1:5" x14ac:dyDescent="0.25">
      <c r="A42">
        <v>134000</v>
      </c>
      <c r="B42" t="s">
        <v>35</v>
      </c>
      <c r="C42">
        <f>'[1]VENTAS CONSOLIDADA LARA'!C42</f>
        <v>19</v>
      </c>
      <c r="D42" s="5">
        <f t="shared" ca="1" si="0"/>
        <v>1.0555555555555556</v>
      </c>
      <c r="E42" s="5">
        <f t="shared" ca="1" si="1"/>
        <v>23.222222222222221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230</v>
      </c>
      <c r="D44" s="5">
        <f t="shared" ca="1" si="0"/>
        <v>12.777777777777779</v>
      </c>
      <c r="E44" s="5">
        <f t="shared" ca="1" si="1"/>
        <v>281.11111111111114</v>
      </c>
    </row>
    <row r="45" spans="1:5" x14ac:dyDescent="0.25">
      <c r="A45">
        <v>140231</v>
      </c>
      <c r="B45" t="s">
        <v>10</v>
      </c>
      <c r="C45">
        <f>'[1]VENTAS CONSOLIDADA LARA'!C45</f>
        <v>649</v>
      </c>
      <c r="D45" s="5">
        <f t="shared" ca="1" si="0"/>
        <v>36.055555555555557</v>
      </c>
      <c r="E45" s="5">
        <f t="shared" ca="1" si="1"/>
        <v>793.22222222222229</v>
      </c>
    </row>
    <row r="46" spans="1:5" x14ac:dyDescent="0.25">
      <c r="A46">
        <v>140232</v>
      </c>
      <c r="B46" t="s">
        <v>9</v>
      </c>
      <c r="C46">
        <f>'[1]VENTAS CONSOLIDADA LARA'!C46</f>
        <v>619</v>
      </c>
      <c r="D46" s="5">
        <f t="shared" ca="1" si="0"/>
        <v>34.388888888888886</v>
      </c>
      <c r="E46" s="5">
        <f t="shared" ca="1" si="1"/>
        <v>756.55555555555543</v>
      </c>
    </row>
    <row r="47" spans="1:5" x14ac:dyDescent="0.25">
      <c r="A47">
        <v>150360</v>
      </c>
      <c r="B47" t="s">
        <v>28</v>
      </c>
      <c r="C47">
        <f>'[1]VENTAS CONSOLIDADA LARA'!C47</f>
        <v>366</v>
      </c>
      <c r="D47" s="5">
        <f t="shared" ca="1" si="0"/>
        <v>20.333333333333332</v>
      </c>
      <c r="E47" s="5">
        <f t="shared" ca="1" si="1"/>
        <v>447.33333333333331</v>
      </c>
    </row>
    <row r="48" spans="1:5" x14ac:dyDescent="0.25">
      <c r="A48">
        <v>150361</v>
      </c>
      <c r="B48" t="s">
        <v>29</v>
      </c>
      <c r="C48">
        <f>'[1]VENTAS CONSOLIDADA LARA'!C48</f>
        <v>910</v>
      </c>
      <c r="D48" s="5">
        <f t="shared" ca="1" si="0"/>
        <v>50.555555555555557</v>
      </c>
      <c r="E48" s="5">
        <f t="shared" ca="1" si="1"/>
        <v>1112.2222222222222</v>
      </c>
    </row>
    <row r="49" spans="1:5" x14ac:dyDescent="0.25">
      <c r="A49">
        <v>150362</v>
      </c>
      <c r="B49" t="s">
        <v>36</v>
      </c>
      <c r="C49">
        <f>'[1]VENTAS CONSOLIDADA LARA'!C49</f>
        <v>418</v>
      </c>
      <c r="D49" s="5">
        <f t="shared" ca="1" si="0"/>
        <v>23.222222222222221</v>
      </c>
      <c r="E49" s="5">
        <f t="shared" ca="1" si="1"/>
        <v>510.88888888888886</v>
      </c>
    </row>
    <row r="50" spans="1:5" x14ac:dyDescent="0.25">
      <c r="A50">
        <v>150363</v>
      </c>
      <c r="B50" t="s">
        <v>31</v>
      </c>
      <c r="C50">
        <f>'[1]VENTAS CONSOLIDADA LARA'!C50</f>
        <v>460</v>
      </c>
      <c r="D50" s="5">
        <f t="shared" ca="1" si="0"/>
        <v>25.555555555555557</v>
      </c>
      <c r="E50" s="5">
        <f t="shared" ca="1" si="1"/>
        <v>562.22222222222229</v>
      </c>
    </row>
    <row r="51" spans="1:5" x14ac:dyDescent="0.25">
      <c r="A51">
        <v>151500</v>
      </c>
      <c r="B51" t="s">
        <v>41</v>
      </c>
      <c r="C51">
        <f>'[1]VENTAS CONSOLIDADA LARA'!C51</f>
        <v>123</v>
      </c>
      <c r="D51" s="5">
        <f t="shared" ca="1" si="0"/>
        <v>6.833333333333333</v>
      </c>
      <c r="E51" s="5">
        <f t="shared" ca="1" si="1"/>
        <v>150.33333333333331</v>
      </c>
    </row>
    <row r="52" spans="1:5" x14ac:dyDescent="0.25">
      <c r="A52">
        <v>151501</v>
      </c>
      <c r="B52" t="s">
        <v>33</v>
      </c>
      <c r="C52">
        <f>'[1]VENTAS CONSOLIDADA LARA'!C52</f>
        <v>332</v>
      </c>
      <c r="D52" s="5">
        <f t="shared" ca="1" si="0"/>
        <v>18.444444444444443</v>
      </c>
      <c r="E52" s="5">
        <f t="shared" ca="1" si="1"/>
        <v>405.77777777777771</v>
      </c>
    </row>
    <row r="53" spans="1:5" x14ac:dyDescent="0.25">
      <c r="A53">
        <v>151502</v>
      </c>
      <c r="B53" t="s">
        <v>37</v>
      </c>
      <c r="C53">
        <f>'[1]VENTAS CONSOLIDADA LARA'!C53</f>
        <v>93</v>
      </c>
      <c r="D53" s="5">
        <f t="shared" ca="1" si="0"/>
        <v>5.166666666666667</v>
      </c>
      <c r="E53" s="5">
        <f t="shared" ca="1" si="1"/>
        <v>113.66666666666667</v>
      </c>
    </row>
    <row r="54" spans="1:5" x14ac:dyDescent="0.25">
      <c r="A54">
        <v>151503</v>
      </c>
      <c r="B54" t="s">
        <v>34</v>
      </c>
      <c r="C54">
        <f>'[1]VENTAS CONSOLIDADA LARA'!C54</f>
        <v>102</v>
      </c>
      <c r="D54" s="5">
        <f t="shared" ca="1" si="0"/>
        <v>5.666666666666667</v>
      </c>
      <c r="E54" s="5">
        <f t="shared" ca="1" si="1"/>
        <v>124.66666666666667</v>
      </c>
    </row>
    <row r="55" spans="1:5" x14ac:dyDescent="0.25">
      <c r="D55" s="5">
        <f ca="1">SUM(D8:D54)</f>
        <v>3537.3888888888891</v>
      </c>
      <c r="E55" s="5">
        <f ca="1">SUM(E8:E54)</f>
        <v>77822.555555555562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46290</v>
      </c>
      <c r="E2" s="4">
        <f ca="1">'[1]VENTAS CONSOLIDADA ANZOATEGUI'!E2</f>
        <v>18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4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838</v>
      </c>
      <c r="D8" s="5">
        <f t="shared" ref="D8:D54" ca="1" si="0">C8/$E$2</f>
        <v>46.555555555555557</v>
      </c>
      <c r="E8" s="5">
        <f t="shared" ref="E8:E54" ca="1" si="1">D8*($E$2+$E$3)</f>
        <v>1024.2222222222222</v>
      </c>
    </row>
    <row r="9" spans="1:5" x14ac:dyDescent="0.25">
      <c r="A9">
        <v>110151</v>
      </c>
      <c r="B9" t="s">
        <v>5</v>
      </c>
      <c r="C9">
        <f>'[1]VENTAS CONSOLIDADA ANZOATEGUI'!C9</f>
        <v>104</v>
      </c>
      <c r="D9" s="5">
        <f t="shared" ca="1" si="0"/>
        <v>5.7777777777777777</v>
      </c>
      <c r="E9" s="5">
        <f t="shared" ca="1" si="1"/>
        <v>127.11111111111111</v>
      </c>
    </row>
    <row r="10" spans="1:5" x14ac:dyDescent="0.25">
      <c r="A10">
        <v>110230</v>
      </c>
      <c r="B10" t="s">
        <v>1</v>
      </c>
      <c r="C10">
        <f>'[1]VENTAS CONSOLIDADA ANZOATEGUI'!C10</f>
        <v>209</v>
      </c>
      <c r="D10" s="5">
        <f t="shared" ca="1" si="0"/>
        <v>11.611111111111111</v>
      </c>
      <c r="E10" s="5">
        <f t="shared" ca="1" si="1"/>
        <v>255.44444444444443</v>
      </c>
    </row>
    <row r="11" spans="1:5" x14ac:dyDescent="0.25">
      <c r="A11">
        <v>110400</v>
      </c>
      <c r="B11" t="s">
        <v>13</v>
      </c>
      <c r="C11">
        <f>'[1]VENTAS CONSOLIDADA ANZOATEGUI'!C11</f>
        <v>44</v>
      </c>
      <c r="D11" s="5">
        <f t="shared" ca="1" si="0"/>
        <v>2.4444444444444446</v>
      </c>
      <c r="E11" s="5">
        <f t="shared" ca="1" si="1"/>
        <v>53.777777777777786</v>
      </c>
    </row>
    <row r="12" spans="1:5" x14ac:dyDescent="0.25">
      <c r="A12">
        <v>111000</v>
      </c>
      <c r="B12" t="s">
        <v>14</v>
      </c>
      <c r="C12">
        <f>'[1]VENTAS CONSOLIDADA ANZOATEGUI'!C12</f>
        <v>11</v>
      </c>
      <c r="D12" s="5">
        <f t="shared" ca="1" si="0"/>
        <v>0.61111111111111116</v>
      </c>
      <c r="E12" s="5">
        <f t="shared" ca="1" si="1"/>
        <v>13.444444444444446</v>
      </c>
    </row>
    <row r="13" spans="1:5" x14ac:dyDescent="0.25">
      <c r="A13">
        <v>120130</v>
      </c>
      <c r="B13" t="s">
        <v>15</v>
      </c>
      <c r="C13">
        <f>'[1]VENTAS CONSOLIDADA ANZOATEGUI'!C13</f>
        <v>1051</v>
      </c>
      <c r="D13" s="5">
        <f t="shared" ca="1" si="0"/>
        <v>58.388888888888886</v>
      </c>
      <c r="E13" s="5">
        <f t="shared" ca="1" si="1"/>
        <v>1284.5555555555554</v>
      </c>
    </row>
    <row r="14" spans="1:5" x14ac:dyDescent="0.25">
      <c r="A14">
        <v>120131</v>
      </c>
      <c r="B14" t="s">
        <v>23</v>
      </c>
      <c r="C14">
        <f>'[1]VENTAS CONSOLIDADA ANZOATEGUI'!C14</f>
        <v>92</v>
      </c>
      <c r="D14" s="5">
        <f t="shared" ca="1" si="0"/>
        <v>5.1111111111111107</v>
      </c>
      <c r="E14" s="5">
        <f t="shared" ca="1" si="1"/>
        <v>112.44444444444443</v>
      </c>
    </row>
    <row r="15" spans="1:5" x14ac:dyDescent="0.25">
      <c r="A15">
        <v>120132</v>
      </c>
      <c r="B15" t="s">
        <v>21</v>
      </c>
      <c r="C15">
        <f>'[1]VENTAS CONSOLIDADA ANZOATEGUI'!C15</f>
        <v>174</v>
      </c>
      <c r="D15" s="5">
        <f t="shared" ca="1" si="0"/>
        <v>9.6666666666666661</v>
      </c>
      <c r="E15" s="5">
        <f t="shared" ca="1" si="1"/>
        <v>212.66666666666666</v>
      </c>
    </row>
    <row r="16" spans="1:5" x14ac:dyDescent="0.25">
      <c r="A16">
        <v>130150</v>
      </c>
      <c r="B16" t="s">
        <v>0</v>
      </c>
      <c r="C16">
        <f>'[1]VENTAS CONSOLIDADA ANZOATEGUI'!C16</f>
        <v>478</v>
      </c>
      <c r="D16" s="5">
        <f t="shared" ca="1" si="0"/>
        <v>26.555555555555557</v>
      </c>
      <c r="E16" s="5">
        <f t="shared" ca="1" si="1"/>
        <v>584.22222222222229</v>
      </c>
    </row>
    <row r="17" spans="1:5" x14ac:dyDescent="0.25">
      <c r="A17">
        <v>130151</v>
      </c>
      <c r="B17" t="s">
        <v>4</v>
      </c>
      <c r="C17">
        <f>'[1]VENTAS CONSOLIDADA ANZOATEGUI'!C17</f>
        <v>145</v>
      </c>
      <c r="D17" s="5">
        <f t="shared" ca="1" si="0"/>
        <v>8.0555555555555554</v>
      </c>
      <c r="E17" s="5">
        <f t="shared" ca="1" si="1"/>
        <v>177.22222222222223</v>
      </c>
    </row>
    <row r="18" spans="1:5" x14ac:dyDescent="0.25">
      <c r="A18">
        <v>130152</v>
      </c>
      <c r="B18" t="s">
        <v>51</v>
      </c>
      <c r="C18">
        <f>'[1]VENTAS CONSOLIDADA ANZOATEGUI'!C18</f>
        <v>2702</v>
      </c>
      <c r="D18" s="5">
        <f t="shared" ca="1" si="0"/>
        <v>150.11111111111111</v>
      </c>
      <c r="E18" s="5">
        <f t="shared" ca="1" si="1"/>
        <v>3302.4444444444443</v>
      </c>
    </row>
    <row r="19" spans="1:5" x14ac:dyDescent="0.25">
      <c r="A19">
        <v>130153</v>
      </c>
      <c r="B19" t="s">
        <v>52</v>
      </c>
      <c r="C19">
        <f>'[1]VENTAS CONSOLIDADA ANZOATEGUI'!C19</f>
        <v>1595</v>
      </c>
      <c r="D19" s="5">
        <f t="shared" ca="1" si="0"/>
        <v>88.611111111111114</v>
      </c>
      <c r="E19" s="5">
        <f t="shared" ca="1" si="1"/>
        <v>1949.4444444444446</v>
      </c>
    </row>
    <row r="20" spans="1:5" x14ac:dyDescent="0.25">
      <c r="A20">
        <v>130154</v>
      </c>
      <c r="B20" t="s">
        <v>53</v>
      </c>
      <c r="C20">
        <f>'[1]VENTAS CONSOLIDADA ANZOATEGUI'!C20</f>
        <v>1922</v>
      </c>
      <c r="D20" s="5">
        <f t="shared" ca="1" si="0"/>
        <v>106.77777777777777</v>
      </c>
      <c r="E20" s="5">
        <f t="shared" ca="1" si="1"/>
        <v>2349.1111111111109</v>
      </c>
    </row>
    <row r="21" spans="1:5" x14ac:dyDescent="0.25">
      <c r="A21">
        <v>130155</v>
      </c>
      <c r="B21" t="s">
        <v>16</v>
      </c>
      <c r="C21">
        <f>'[1]VENTAS CONSOLIDADA ANZOATEGUI'!C21</f>
        <v>1531</v>
      </c>
      <c r="D21" s="5">
        <f t="shared" ca="1" si="0"/>
        <v>85.055555555555557</v>
      </c>
      <c r="E21" s="5">
        <f t="shared" ca="1" si="1"/>
        <v>1871.2222222222222</v>
      </c>
    </row>
    <row r="22" spans="1:5" x14ac:dyDescent="0.25">
      <c r="A22">
        <v>130157</v>
      </c>
      <c r="B22" t="s">
        <v>43</v>
      </c>
      <c r="C22">
        <f>'[1]VENTAS CONSOLIDADA ANZOATEGUI'!C22</f>
        <v>534</v>
      </c>
      <c r="D22" s="5">
        <f t="shared" ca="1" si="0"/>
        <v>29.666666666666668</v>
      </c>
      <c r="E22" s="5">
        <f t="shared" ca="1" si="1"/>
        <v>652.66666666666674</v>
      </c>
    </row>
    <row r="23" spans="1:5" x14ac:dyDescent="0.25">
      <c r="A23">
        <v>130158</v>
      </c>
      <c r="B23" t="s">
        <v>44</v>
      </c>
      <c r="C23">
        <f>'[1]VENTAS CONSOLIDADA ANZOATEGUI'!C23</f>
        <v>733</v>
      </c>
      <c r="D23" s="5">
        <f t="shared" ca="1" si="0"/>
        <v>40.722222222222221</v>
      </c>
      <c r="E23" s="5">
        <f t="shared" ca="1" si="1"/>
        <v>895.88888888888891</v>
      </c>
    </row>
    <row r="24" spans="1:5" x14ac:dyDescent="0.25">
      <c r="A24">
        <v>130159</v>
      </c>
      <c r="B24" t="s">
        <v>45</v>
      </c>
      <c r="C24">
        <f>'[1]VENTAS CONSOLIDADA ANZOATEGUI'!C24</f>
        <v>737</v>
      </c>
      <c r="D24" s="5">
        <f t="shared" ca="1" si="0"/>
        <v>40.944444444444443</v>
      </c>
      <c r="E24" s="5">
        <f t="shared" ca="1" si="1"/>
        <v>900.77777777777771</v>
      </c>
    </row>
    <row r="25" spans="1:5" x14ac:dyDescent="0.25">
      <c r="A25">
        <v>130700</v>
      </c>
      <c r="B25" t="s">
        <v>3</v>
      </c>
      <c r="C25">
        <f>'[1]VENTAS CONSOLIDADA ANZOATEGUI'!C25</f>
        <v>109</v>
      </c>
      <c r="D25" s="5">
        <f t="shared" ca="1" si="0"/>
        <v>6.0555555555555554</v>
      </c>
      <c r="E25" s="5">
        <f t="shared" ca="1" si="1"/>
        <v>133.22222222222223</v>
      </c>
    </row>
    <row r="26" spans="1:5" x14ac:dyDescent="0.25">
      <c r="A26">
        <v>130701</v>
      </c>
      <c r="B26" t="s">
        <v>30</v>
      </c>
      <c r="C26">
        <f>'[1]VENTAS CONSOLIDADA ANZOATEGUI'!C26</f>
        <v>18</v>
      </c>
      <c r="D26" s="5">
        <f t="shared" ca="1" si="0"/>
        <v>1</v>
      </c>
      <c r="E26" s="5">
        <f t="shared" ca="1" si="1"/>
        <v>22</v>
      </c>
    </row>
    <row r="27" spans="1:5" x14ac:dyDescent="0.25">
      <c r="A27">
        <v>130702</v>
      </c>
      <c r="B27" t="s">
        <v>12</v>
      </c>
      <c r="C27">
        <f>'[1]VENTAS CONSOLIDADA ANZOATEGUI'!C27</f>
        <v>246</v>
      </c>
      <c r="D27" s="5">
        <f t="shared" ca="1" si="0"/>
        <v>13.666666666666666</v>
      </c>
      <c r="E27" s="5">
        <f t="shared" ca="1" si="1"/>
        <v>300.66666666666663</v>
      </c>
    </row>
    <row r="28" spans="1:5" x14ac:dyDescent="0.25">
      <c r="A28">
        <v>130703</v>
      </c>
      <c r="B28" t="s">
        <v>17</v>
      </c>
      <c r="C28">
        <f>'[1]VENTAS CONSOLIDADA ANZOATEGUI'!C28</f>
        <v>346</v>
      </c>
      <c r="D28" s="5">
        <f t="shared" ca="1" si="0"/>
        <v>19.222222222222221</v>
      </c>
      <c r="E28" s="5">
        <f t="shared" ca="1" si="1"/>
        <v>422.88888888888886</v>
      </c>
    </row>
    <row r="29" spans="1:5" x14ac:dyDescent="0.25">
      <c r="A29">
        <v>130707</v>
      </c>
      <c r="B29" t="s">
        <v>42</v>
      </c>
      <c r="C29">
        <f>'[1]VENTAS CONSOLIDADA ANZOATEGUI'!C29</f>
        <v>32</v>
      </c>
      <c r="D29" s="5">
        <f t="shared" ca="1" si="0"/>
        <v>1.7777777777777777</v>
      </c>
      <c r="E29" s="5">
        <f t="shared" ca="1" si="1"/>
        <v>39.111111111111107</v>
      </c>
    </row>
    <row r="30" spans="1:5" x14ac:dyDescent="0.25">
      <c r="A30">
        <v>131150</v>
      </c>
      <c r="B30" t="s">
        <v>22</v>
      </c>
      <c r="C30">
        <f>'[1]VENTAS CONSOLIDADA ANZOATEGUI'!C30</f>
        <v>688</v>
      </c>
      <c r="D30" s="5">
        <f t="shared" ca="1" si="0"/>
        <v>38.222222222222221</v>
      </c>
      <c r="E30" s="5">
        <f t="shared" ca="1" si="1"/>
        <v>840.88888888888891</v>
      </c>
    </row>
    <row r="31" spans="1:5" x14ac:dyDescent="0.25">
      <c r="A31">
        <v>131151</v>
      </c>
      <c r="B31" t="s">
        <v>19</v>
      </c>
      <c r="C31">
        <f>'[1]VENTAS CONSOLIDADA ANZOATEGUI'!C31</f>
        <v>1639</v>
      </c>
      <c r="D31" s="5">
        <f t="shared" ca="1" si="0"/>
        <v>91.055555555555557</v>
      </c>
      <c r="E31" s="5">
        <f t="shared" ca="1" si="1"/>
        <v>2003.2222222222222</v>
      </c>
    </row>
    <row r="32" spans="1:5" x14ac:dyDescent="0.25">
      <c r="A32">
        <v>131152</v>
      </c>
      <c r="B32" t="s">
        <v>32</v>
      </c>
      <c r="C32">
        <f>'[1]VENTAS CONSOLIDADA ANZOATEGUI'!C32</f>
        <v>1012</v>
      </c>
      <c r="D32" s="5">
        <f t="shared" ca="1" si="0"/>
        <v>56.222222222222221</v>
      </c>
      <c r="E32" s="5">
        <f t="shared" ca="1" si="1"/>
        <v>1236.8888888888889</v>
      </c>
    </row>
    <row r="33" spans="1:5" x14ac:dyDescent="0.25">
      <c r="A33">
        <v>131153</v>
      </c>
      <c r="B33" t="s">
        <v>11</v>
      </c>
      <c r="C33">
        <f>'[1]VENTAS CONSOLIDADA ANZOATEGUI'!C33</f>
        <v>664</v>
      </c>
      <c r="D33" s="5">
        <f t="shared" ca="1" si="0"/>
        <v>36.888888888888886</v>
      </c>
      <c r="E33" s="5">
        <f t="shared" ca="1" si="1"/>
        <v>811.55555555555543</v>
      </c>
    </row>
    <row r="34" spans="1:5" x14ac:dyDescent="0.25">
      <c r="A34">
        <v>131154</v>
      </c>
      <c r="B34" t="s">
        <v>48</v>
      </c>
      <c r="C34">
        <f>'[1]VENTAS CONSOLIDADA ANZOATEGUI'!C34</f>
        <v>539</v>
      </c>
      <c r="D34" s="5">
        <f t="shared" ca="1" si="0"/>
        <v>29.944444444444443</v>
      </c>
      <c r="E34" s="5">
        <f t="shared" ca="1" si="1"/>
        <v>658.77777777777771</v>
      </c>
    </row>
    <row r="35" spans="1:5" x14ac:dyDescent="0.25">
      <c r="A35">
        <v>131155</v>
      </c>
      <c r="B35" t="s">
        <v>57</v>
      </c>
      <c r="C35">
        <f>'[1]VENTAS CONSOLIDADA ANZOATEGUI'!C35</f>
        <v>672</v>
      </c>
      <c r="D35" s="5">
        <f t="shared" ca="1" si="0"/>
        <v>37.333333333333336</v>
      </c>
      <c r="E35" s="5">
        <f t="shared" ca="1" si="1"/>
        <v>821.33333333333337</v>
      </c>
    </row>
    <row r="36" spans="1:5" x14ac:dyDescent="0.25">
      <c r="A36">
        <v>131700</v>
      </c>
      <c r="B36" t="s">
        <v>20</v>
      </c>
      <c r="C36">
        <f>'[1]VENTAS CONSOLIDADA ANZOATEGUI'!C36</f>
        <v>82</v>
      </c>
      <c r="D36" s="5">
        <f t="shared" ca="1" si="0"/>
        <v>4.5555555555555554</v>
      </c>
      <c r="E36" s="5">
        <f t="shared" ca="1" si="1"/>
        <v>100.22222222222221</v>
      </c>
    </row>
    <row r="37" spans="1:5" x14ac:dyDescent="0.25">
      <c r="A37">
        <v>131701</v>
      </c>
      <c r="B37" t="s">
        <v>24</v>
      </c>
      <c r="C37">
        <f>'[1]VENTAS CONSOLIDADA ANZOATEGUI'!C37</f>
        <v>116</v>
      </c>
      <c r="D37" s="5">
        <f t="shared" ca="1" si="0"/>
        <v>6.4444444444444446</v>
      </c>
      <c r="E37" s="5">
        <f t="shared" ca="1" si="1"/>
        <v>141.77777777777777</v>
      </c>
    </row>
    <row r="38" spans="1:5" x14ac:dyDescent="0.25">
      <c r="A38">
        <v>132150</v>
      </c>
      <c r="B38" t="s">
        <v>25</v>
      </c>
      <c r="C38">
        <f>'[1]VENTAS CONSOLIDADA ANZOATEGUI'!C38</f>
        <v>813</v>
      </c>
      <c r="D38" s="5">
        <f t="shared" ca="1" si="0"/>
        <v>45.166666666666664</v>
      </c>
      <c r="E38" s="5">
        <f t="shared" ca="1" si="1"/>
        <v>993.66666666666663</v>
      </c>
    </row>
    <row r="39" spans="1:5" x14ac:dyDescent="0.25">
      <c r="A39">
        <v>132151</v>
      </c>
      <c r="B39" t="s">
        <v>26</v>
      </c>
      <c r="C39">
        <f>'[1]VENTAS CONSOLIDADA ANZOATEGUI'!C39</f>
        <v>499</v>
      </c>
      <c r="D39" s="5">
        <f t="shared" ca="1" si="0"/>
        <v>27.722222222222221</v>
      </c>
      <c r="E39" s="5">
        <f t="shared" ca="1" si="1"/>
        <v>609.88888888888891</v>
      </c>
    </row>
    <row r="40" spans="1:5" x14ac:dyDescent="0.25">
      <c r="A40">
        <v>132152</v>
      </c>
      <c r="B40" t="s">
        <v>27</v>
      </c>
      <c r="C40">
        <f>'[1]VENTAS CONSOLIDADA ANZOATEGUI'!C40</f>
        <v>740</v>
      </c>
      <c r="D40" s="5">
        <f t="shared" ca="1" si="0"/>
        <v>41.111111111111114</v>
      </c>
      <c r="E40" s="5">
        <f t="shared" ca="1" si="1"/>
        <v>904.44444444444457</v>
      </c>
    </row>
    <row r="41" spans="1:5" x14ac:dyDescent="0.25">
      <c r="A41">
        <v>132153</v>
      </c>
      <c r="B41" t="s">
        <v>40</v>
      </c>
      <c r="C41">
        <f>'[1]VENTAS CONSOLIDADA ANZOATEGUI'!C41</f>
        <v>451</v>
      </c>
      <c r="D41" s="5">
        <f t="shared" ca="1" si="0"/>
        <v>25.055555555555557</v>
      </c>
      <c r="E41" s="5">
        <f t="shared" ca="1" si="1"/>
        <v>551.22222222222229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134</v>
      </c>
      <c r="D44" s="5">
        <f t="shared" ca="1" si="0"/>
        <v>7.4444444444444446</v>
      </c>
      <c r="E44" s="5">
        <f t="shared" ca="1" si="1"/>
        <v>163.77777777777777</v>
      </c>
    </row>
    <row r="45" spans="1:5" x14ac:dyDescent="0.25">
      <c r="A45">
        <v>140231</v>
      </c>
      <c r="B45" t="s">
        <v>10</v>
      </c>
      <c r="C45">
        <f>'[1]VENTAS CONSOLIDADA ANZOATEGUI'!C45</f>
        <v>760</v>
      </c>
      <c r="D45" s="5">
        <f t="shared" ca="1" si="0"/>
        <v>42.222222222222221</v>
      </c>
      <c r="E45" s="5">
        <f t="shared" ca="1" si="1"/>
        <v>928.88888888888891</v>
      </c>
    </row>
    <row r="46" spans="1:5" x14ac:dyDescent="0.25">
      <c r="A46">
        <v>140232</v>
      </c>
      <c r="B46" t="s">
        <v>9</v>
      </c>
      <c r="C46">
        <f>'[1]VENTAS CONSOLIDADA ANZOATEGUI'!C46</f>
        <v>260</v>
      </c>
      <c r="D46" s="5">
        <f t="shared" ca="1" si="0"/>
        <v>14.444444444444445</v>
      </c>
      <c r="E46" s="5">
        <f t="shared" ca="1" si="1"/>
        <v>317.77777777777777</v>
      </c>
    </row>
    <row r="47" spans="1:5" x14ac:dyDescent="0.25">
      <c r="A47">
        <v>150360</v>
      </c>
      <c r="B47" t="s">
        <v>28</v>
      </c>
      <c r="C47">
        <f>'[1]VENTAS CONSOLIDADA ANZOATEGUI'!C47</f>
        <v>117</v>
      </c>
      <c r="D47" s="5">
        <f t="shared" ca="1" si="0"/>
        <v>6.5</v>
      </c>
      <c r="E47" s="5">
        <f t="shared" ca="1" si="1"/>
        <v>143</v>
      </c>
    </row>
    <row r="48" spans="1:5" x14ac:dyDescent="0.25">
      <c r="A48">
        <v>150361</v>
      </c>
      <c r="B48" t="s">
        <v>29</v>
      </c>
      <c r="C48">
        <f>'[1]VENTAS CONSOLIDADA ANZOATEGUI'!C48</f>
        <v>471</v>
      </c>
      <c r="D48" s="5">
        <f t="shared" ca="1" si="0"/>
        <v>26.166666666666668</v>
      </c>
      <c r="E48" s="5">
        <f t="shared" ca="1" si="1"/>
        <v>575.66666666666674</v>
      </c>
    </row>
    <row r="49" spans="1:5" x14ac:dyDescent="0.25">
      <c r="A49">
        <v>150362</v>
      </c>
      <c r="B49" t="s">
        <v>36</v>
      </c>
      <c r="C49">
        <f>'[1]VENTAS CONSOLIDADA ANZOATEGUI'!C49</f>
        <v>222</v>
      </c>
      <c r="D49" s="5">
        <f t="shared" ca="1" si="0"/>
        <v>12.333333333333334</v>
      </c>
      <c r="E49" s="5">
        <f t="shared" ca="1" si="1"/>
        <v>271.33333333333337</v>
      </c>
    </row>
    <row r="50" spans="1:5" x14ac:dyDescent="0.25">
      <c r="A50">
        <v>150363</v>
      </c>
      <c r="B50" t="s">
        <v>31</v>
      </c>
      <c r="C50">
        <f>'[1]VENTAS CONSOLIDADA ANZOATEGUI'!C50</f>
        <v>312</v>
      </c>
      <c r="D50" s="5">
        <f t="shared" ca="1" si="0"/>
        <v>17.333333333333332</v>
      </c>
      <c r="E50" s="5">
        <f t="shared" ca="1" si="1"/>
        <v>381.33333333333331</v>
      </c>
    </row>
    <row r="51" spans="1:5" x14ac:dyDescent="0.25">
      <c r="A51">
        <v>151500</v>
      </c>
      <c r="B51" t="s">
        <v>41</v>
      </c>
      <c r="C51">
        <f>'[1]VENTAS CONSOLIDADA ANZOATEGUI'!C51</f>
        <v>48</v>
      </c>
      <c r="D51" s="5">
        <f t="shared" ca="1" si="0"/>
        <v>2.6666666666666665</v>
      </c>
      <c r="E51" s="5">
        <f t="shared" ca="1" si="1"/>
        <v>58.666666666666664</v>
      </c>
    </row>
    <row r="52" spans="1:5" x14ac:dyDescent="0.25">
      <c r="A52">
        <v>151501</v>
      </c>
      <c r="B52" t="s">
        <v>33</v>
      </c>
      <c r="C52">
        <f>'[1]VENTAS CONSOLIDADA ANZOATEGUI'!C52</f>
        <v>110</v>
      </c>
      <c r="D52" s="5">
        <f t="shared" ca="1" si="0"/>
        <v>6.1111111111111107</v>
      </c>
      <c r="E52" s="5">
        <f t="shared" ca="1" si="1"/>
        <v>134.44444444444443</v>
      </c>
    </row>
    <row r="53" spans="1:5" x14ac:dyDescent="0.25">
      <c r="A53">
        <v>151502</v>
      </c>
      <c r="B53" t="s">
        <v>37</v>
      </c>
      <c r="C53">
        <f>'[1]VENTAS CONSOLIDADA ANZOATEGUI'!C53</f>
        <v>32</v>
      </c>
      <c r="D53" s="5">
        <f t="shared" ca="1" si="0"/>
        <v>1.7777777777777777</v>
      </c>
      <c r="E53" s="5">
        <f t="shared" ca="1" si="1"/>
        <v>39.111111111111107</v>
      </c>
    </row>
    <row r="54" spans="1:5" x14ac:dyDescent="0.25">
      <c r="A54">
        <v>151503</v>
      </c>
      <c r="B54" t="s">
        <v>34</v>
      </c>
      <c r="C54">
        <f>'[1]VENTAS CONSOLIDADA ANZOATEGUI'!C54</f>
        <v>51</v>
      </c>
      <c r="D54" s="5">
        <f t="shared" ca="1" si="0"/>
        <v>2.8333333333333335</v>
      </c>
      <c r="E54" s="5">
        <f t="shared" ca="1" si="1"/>
        <v>62.333333333333336</v>
      </c>
    </row>
    <row r="55" spans="1:5" x14ac:dyDescent="0.25">
      <c r="D55" s="7">
        <f ca="1">SUM(D8:D54)</f>
        <v>1337.9444444444441</v>
      </c>
      <c r="E55" s="7">
        <f ca="1">SUM(E8:E54)</f>
        <v>29434.777777777781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G14" sqref="G14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46290</v>
      </c>
      <c r="E2" s="4">
        <f ca="1">'[1]VENTAS CONSOLIDADA 1,0'!E2</f>
        <v>18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4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21607</v>
      </c>
      <c r="D8" s="5">
        <f t="shared" ref="D8:D54" ca="1" si="0">C8/$E$2</f>
        <v>1200.3888888888889</v>
      </c>
      <c r="E8" s="5">
        <f ca="1">D8*($E$2+$E$3)</f>
        <v>26408.555555555555</v>
      </c>
    </row>
    <row r="9" spans="1:5" x14ac:dyDescent="0.25">
      <c r="A9">
        <v>110151</v>
      </c>
      <c r="B9" t="s">
        <v>5</v>
      </c>
      <c r="C9">
        <f>'[1]VENTAS CONSOLIDADA 1,0'!C9</f>
        <v>924</v>
      </c>
      <c r="D9" s="5">
        <f t="shared" ca="1" si="0"/>
        <v>51.333333333333336</v>
      </c>
      <c r="E9" s="5">
        <f t="shared" ref="E9:E54" ca="1" si="1">D9*($E$2+$E$3)</f>
        <v>1129.3333333333335</v>
      </c>
    </row>
    <row r="10" spans="1:5" x14ac:dyDescent="0.25">
      <c r="A10">
        <v>110230</v>
      </c>
      <c r="B10" t="s">
        <v>1</v>
      </c>
      <c r="C10">
        <f>'[1]VENTAS CONSOLIDADA 1,0'!C10</f>
        <v>8894</v>
      </c>
      <c r="D10" s="5">
        <f t="shared" ca="1" si="0"/>
        <v>494.11111111111109</v>
      </c>
      <c r="E10" s="5">
        <f t="shared" ca="1" si="1"/>
        <v>10870.444444444443</v>
      </c>
    </row>
    <row r="11" spans="1:5" x14ac:dyDescent="0.25">
      <c r="A11">
        <v>110400</v>
      </c>
      <c r="B11" t="s">
        <v>13</v>
      </c>
      <c r="C11">
        <f>'[1]VENTAS CONSOLIDADA 1,0'!C11</f>
        <v>1966</v>
      </c>
      <c r="D11" s="5">
        <f t="shared" ca="1" si="0"/>
        <v>109.22222222222223</v>
      </c>
      <c r="E11" s="5">
        <f t="shared" ca="1" si="1"/>
        <v>2402.8888888888891</v>
      </c>
    </row>
    <row r="12" spans="1:5" x14ac:dyDescent="0.25">
      <c r="A12">
        <v>111000</v>
      </c>
      <c r="B12" t="s">
        <v>14</v>
      </c>
      <c r="C12">
        <f>'[1]VENTAS CONSOLIDADA 1,0'!C12</f>
        <v>251</v>
      </c>
      <c r="D12" s="5">
        <f t="shared" ca="1" si="0"/>
        <v>13.944444444444445</v>
      </c>
      <c r="E12" s="5">
        <f t="shared" ca="1" si="1"/>
        <v>306.77777777777777</v>
      </c>
    </row>
    <row r="13" spans="1:5" x14ac:dyDescent="0.25">
      <c r="A13">
        <v>120130</v>
      </c>
      <c r="B13" t="s">
        <v>15</v>
      </c>
      <c r="C13">
        <f>'[1]VENTAS CONSOLIDADA 1,0'!C13</f>
        <v>25770</v>
      </c>
      <c r="D13" s="5">
        <f t="shared" ca="1" si="0"/>
        <v>1431.6666666666667</v>
      </c>
      <c r="E13" s="5">
        <f t="shared" ca="1" si="1"/>
        <v>31496.666666666668</v>
      </c>
    </row>
    <row r="14" spans="1:5" x14ac:dyDescent="0.25">
      <c r="A14">
        <v>120131</v>
      </c>
      <c r="B14" t="s">
        <v>23</v>
      </c>
      <c r="C14">
        <f>'[1]VENTAS CONSOLIDADA 1,0'!C14</f>
        <v>2770</v>
      </c>
      <c r="D14" s="5">
        <f t="shared" ca="1" si="0"/>
        <v>153.88888888888889</v>
      </c>
      <c r="E14" s="5">
        <f t="shared" ca="1" si="1"/>
        <v>3385.5555555555557</v>
      </c>
    </row>
    <row r="15" spans="1:5" x14ac:dyDescent="0.25">
      <c r="A15">
        <v>120132</v>
      </c>
      <c r="B15" t="s">
        <v>21</v>
      </c>
      <c r="C15">
        <f>'[1]VENTAS CONSOLIDADA 1,0'!C15</f>
        <v>5811</v>
      </c>
      <c r="D15" s="5">
        <f t="shared" ca="1" si="0"/>
        <v>322.83333333333331</v>
      </c>
      <c r="E15" s="5">
        <f t="shared" ca="1" si="1"/>
        <v>7102.333333333333</v>
      </c>
    </row>
    <row r="16" spans="1:5" x14ac:dyDescent="0.25">
      <c r="A16">
        <v>130150</v>
      </c>
      <c r="B16" t="s">
        <v>0</v>
      </c>
      <c r="C16">
        <f>'[1]VENTAS CONSOLIDADA 1,0'!C16</f>
        <v>14298</v>
      </c>
      <c r="D16" s="5">
        <f t="shared" ca="1" si="0"/>
        <v>794.33333333333337</v>
      </c>
      <c r="E16" s="5">
        <f t="shared" ca="1" si="1"/>
        <v>17475.333333333336</v>
      </c>
    </row>
    <row r="17" spans="1:5" x14ac:dyDescent="0.25">
      <c r="A17">
        <v>130151</v>
      </c>
      <c r="B17" t="s">
        <v>4</v>
      </c>
      <c r="C17">
        <f>'[1]VENTAS CONSOLIDADA 1,0'!C17</f>
        <v>6984</v>
      </c>
      <c r="D17" s="5">
        <f t="shared" ca="1" si="0"/>
        <v>388</v>
      </c>
      <c r="E17" s="5">
        <f t="shared" ca="1" si="1"/>
        <v>8536</v>
      </c>
    </row>
    <row r="18" spans="1:5" x14ac:dyDescent="0.25">
      <c r="A18">
        <v>130152</v>
      </c>
      <c r="B18" t="s">
        <v>51</v>
      </c>
      <c r="C18">
        <f>'[1]VENTAS CONSOLIDADA 1,0'!C18</f>
        <v>61667</v>
      </c>
      <c r="D18" s="5">
        <f t="shared" ca="1" si="0"/>
        <v>3425.9444444444443</v>
      </c>
      <c r="E18" s="5">
        <f t="shared" ca="1" si="1"/>
        <v>75370.777777777781</v>
      </c>
    </row>
    <row r="19" spans="1:5" x14ac:dyDescent="0.25">
      <c r="A19">
        <v>130153</v>
      </c>
      <c r="B19" t="s">
        <v>52</v>
      </c>
      <c r="C19">
        <f>'[1]VENTAS CONSOLIDADA 1,0'!C19</f>
        <v>38596</v>
      </c>
      <c r="D19" s="5">
        <f t="shared" ca="1" si="0"/>
        <v>2144.2222222222222</v>
      </c>
      <c r="E19" s="5">
        <f t="shared" ca="1" si="1"/>
        <v>47172.888888888891</v>
      </c>
    </row>
    <row r="20" spans="1:5" x14ac:dyDescent="0.25">
      <c r="A20">
        <v>130154</v>
      </c>
      <c r="B20" t="s">
        <v>53</v>
      </c>
      <c r="C20">
        <f>'[1]VENTAS CONSOLIDADA 1,0'!C20</f>
        <v>38910</v>
      </c>
      <c r="D20" s="5">
        <f t="shared" ca="1" si="0"/>
        <v>2161.6666666666665</v>
      </c>
      <c r="E20" s="5">
        <f t="shared" ca="1" si="1"/>
        <v>47556.666666666664</v>
      </c>
    </row>
    <row r="21" spans="1:5" x14ac:dyDescent="0.25">
      <c r="A21">
        <v>130155</v>
      </c>
      <c r="B21" t="s">
        <v>16</v>
      </c>
      <c r="C21">
        <f>'[1]VENTAS CONSOLIDADA 1,0'!C21</f>
        <v>48079</v>
      </c>
      <c r="D21" s="5">
        <f t="shared" ca="1" si="0"/>
        <v>2671.0555555555557</v>
      </c>
      <c r="E21" s="5">
        <f t="shared" ca="1" si="1"/>
        <v>58763.222222222226</v>
      </c>
    </row>
    <row r="22" spans="1:5" x14ac:dyDescent="0.25">
      <c r="A22">
        <v>130157</v>
      </c>
      <c r="B22" t="s">
        <v>43</v>
      </c>
      <c r="C22">
        <f>'[1]VENTAS CONSOLIDADA 1,0'!C22</f>
        <v>13117</v>
      </c>
      <c r="D22" s="5">
        <f t="shared" ca="1" si="0"/>
        <v>728.72222222222217</v>
      </c>
      <c r="E22" s="5">
        <f t="shared" ca="1" si="1"/>
        <v>16031.888888888887</v>
      </c>
    </row>
    <row r="23" spans="1:5" x14ac:dyDescent="0.25">
      <c r="A23">
        <v>130158</v>
      </c>
      <c r="B23" t="s">
        <v>44</v>
      </c>
      <c r="C23">
        <f>'[1]VENTAS CONSOLIDADA 1,0'!C23</f>
        <v>15459</v>
      </c>
      <c r="D23" s="5">
        <f t="shared" ca="1" si="0"/>
        <v>858.83333333333337</v>
      </c>
      <c r="E23" s="5">
        <f t="shared" ca="1" si="1"/>
        <v>18894.333333333336</v>
      </c>
    </row>
    <row r="24" spans="1:5" x14ac:dyDescent="0.25">
      <c r="A24">
        <v>130159</v>
      </c>
      <c r="B24" t="s">
        <v>45</v>
      </c>
      <c r="C24">
        <f>'[1]VENTAS CONSOLIDADA 1,0'!C24</f>
        <v>15699</v>
      </c>
      <c r="D24" s="5">
        <f t="shared" ca="1" si="0"/>
        <v>872.16666666666663</v>
      </c>
      <c r="E24" s="5">
        <f t="shared" ca="1" si="1"/>
        <v>19187.666666666664</v>
      </c>
    </row>
    <row r="25" spans="1:5" x14ac:dyDescent="0.25">
      <c r="A25">
        <v>130700</v>
      </c>
      <c r="B25" t="s">
        <v>3</v>
      </c>
      <c r="C25">
        <f>'[1]VENTAS CONSOLIDADA 1,0'!C25</f>
        <v>5001</v>
      </c>
      <c r="D25" s="5">
        <f t="shared" ca="1" si="0"/>
        <v>277.83333333333331</v>
      </c>
      <c r="E25" s="5">
        <f t="shared" ca="1" si="1"/>
        <v>6112.333333333333</v>
      </c>
    </row>
    <row r="26" spans="1:5" x14ac:dyDescent="0.25">
      <c r="A26">
        <v>130701</v>
      </c>
      <c r="B26" t="s">
        <v>30</v>
      </c>
      <c r="C26">
        <f>'[1]VENTAS CONSOLIDADA 1,0'!C26</f>
        <v>2410</v>
      </c>
      <c r="D26" s="5">
        <f t="shared" ca="1" si="0"/>
        <v>133.88888888888889</v>
      </c>
      <c r="E26" s="5">
        <f t="shared" ca="1" si="1"/>
        <v>2945.5555555555557</v>
      </c>
    </row>
    <row r="27" spans="1:5" x14ac:dyDescent="0.25">
      <c r="A27">
        <v>130702</v>
      </c>
      <c r="B27" t="s">
        <v>12</v>
      </c>
      <c r="C27">
        <f>'[1]VENTAS CONSOLIDADA 1,0'!C27</f>
        <v>9224</v>
      </c>
      <c r="D27" s="5">
        <f t="shared" ca="1" si="0"/>
        <v>512.44444444444446</v>
      </c>
      <c r="E27" s="5">
        <f t="shared" ca="1" si="1"/>
        <v>11273.777777777777</v>
      </c>
    </row>
    <row r="28" spans="1:5" x14ac:dyDescent="0.25">
      <c r="A28">
        <v>130703</v>
      </c>
      <c r="B28" t="s">
        <v>17</v>
      </c>
      <c r="C28">
        <f>'[1]VENTAS CONSOLIDADA 1,0'!C28</f>
        <v>15801</v>
      </c>
      <c r="D28" s="5">
        <f t="shared" ca="1" si="0"/>
        <v>877.83333333333337</v>
      </c>
      <c r="E28" s="5">
        <f t="shared" ca="1" si="1"/>
        <v>19312.333333333336</v>
      </c>
    </row>
    <row r="29" spans="1:5" x14ac:dyDescent="0.25">
      <c r="A29">
        <v>130707</v>
      </c>
      <c r="B29" t="s">
        <v>42</v>
      </c>
      <c r="C29">
        <f>'[1]VENTAS CONSOLIDADA 1,0'!C29</f>
        <v>1152</v>
      </c>
      <c r="D29" s="5">
        <f t="shared" ca="1" si="0"/>
        <v>64</v>
      </c>
      <c r="E29" s="5">
        <f t="shared" ca="1" si="1"/>
        <v>1408</v>
      </c>
    </row>
    <row r="30" spans="1:5" x14ac:dyDescent="0.25">
      <c r="A30">
        <v>131150</v>
      </c>
      <c r="B30" t="s">
        <v>22</v>
      </c>
      <c r="C30">
        <f>'[1]VENTAS CONSOLIDADA 1,0'!C30</f>
        <v>12694</v>
      </c>
      <c r="D30" s="5">
        <f t="shared" ca="1" si="0"/>
        <v>705.22222222222217</v>
      </c>
      <c r="E30" s="5">
        <f t="shared" ca="1" si="1"/>
        <v>15514.888888888887</v>
      </c>
    </row>
    <row r="31" spans="1:5" x14ac:dyDescent="0.25">
      <c r="A31">
        <v>131151</v>
      </c>
      <c r="B31" t="s">
        <v>19</v>
      </c>
      <c r="C31">
        <f>'[1]VENTAS CONSOLIDADA 1,0'!C31</f>
        <v>19520</v>
      </c>
      <c r="D31" s="5">
        <f t="shared" ca="1" si="0"/>
        <v>1084.4444444444443</v>
      </c>
      <c r="E31" s="5">
        <f t="shared" ca="1" si="1"/>
        <v>23857.777777777774</v>
      </c>
    </row>
    <row r="32" spans="1:5" x14ac:dyDescent="0.25">
      <c r="A32">
        <v>131152</v>
      </c>
      <c r="B32" t="s">
        <v>32</v>
      </c>
      <c r="C32">
        <f>'[1]VENTAS CONSOLIDADA 1,0'!C32</f>
        <v>10201</v>
      </c>
      <c r="D32" s="5">
        <f t="shared" ca="1" si="0"/>
        <v>566.72222222222217</v>
      </c>
      <c r="E32" s="5">
        <f t="shared" ca="1" si="1"/>
        <v>12467.888888888887</v>
      </c>
    </row>
    <row r="33" spans="1:5" x14ac:dyDescent="0.25">
      <c r="A33">
        <v>131153</v>
      </c>
      <c r="B33" t="s">
        <v>11</v>
      </c>
      <c r="C33">
        <f>'[1]VENTAS CONSOLIDADA 1,0'!C33</f>
        <v>7886</v>
      </c>
      <c r="D33" s="5">
        <f t="shared" ca="1" si="0"/>
        <v>438.11111111111109</v>
      </c>
      <c r="E33" s="5">
        <f t="shared" ca="1" si="1"/>
        <v>9638.4444444444434</v>
      </c>
    </row>
    <row r="34" spans="1:5" x14ac:dyDescent="0.25">
      <c r="A34">
        <v>131154</v>
      </c>
      <c r="B34" t="s">
        <v>48</v>
      </c>
      <c r="C34">
        <f>'[1]VENTAS CONSOLIDADA 1,0'!C34</f>
        <v>4372</v>
      </c>
      <c r="D34" s="5">
        <f t="shared" ca="1" si="0"/>
        <v>242.88888888888889</v>
      </c>
      <c r="E34" s="5">
        <f t="shared" ca="1" si="1"/>
        <v>5343.5555555555557</v>
      </c>
    </row>
    <row r="35" spans="1:5" x14ac:dyDescent="0.25">
      <c r="A35">
        <v>131155</v>
      </c>
      <c r="B35" t="s">
        <v>57</v>
      </c>
      <c r="C35">
        <f>'[1]VENTAS CONSOLIDADA 1,0'!C35</f>
        <v>5317</v>
      </c>
      <c r="D35" s="5">
        <f t="shared" ca="1" si="0"/>
        <v>295.38888888888891</v>
      </c>
      <c r="E35" s="5">
        <f t="shared" ca="1" si="1"/>
        <v>6498.5555555555566</v>
      </c>
    </row>
    <row r="36" spans="1:5" x14ac:dyDescent="0.25">
      <c r="A36">
        <v>131700</v>
      </c>
      <c r="B36" t="s">
        <v>20</v>
      </c>
      <c r="C36">
        <f>'[1]VENTAS CONSOLIDADA 1,0'!C36</f>
        <v>2376</v>
      </c>
      <c r="D36" s="5">
        <f t="shared" ca="1" si="0"/>
        <v>132</v>
      </c>
      <c r="E36" s="5">
        <f t="shared" ca="1" si="1"/>
        <v>2904</v>
      </c>
    </row>
    <row r="37" spans="1:5" x14ac:dyDescent="0.25">
      <c r="A37">
        <v>131701</v>
      </c>
      <c r="B37" t="s">
        <v>24</v>
      </c>
      <c r="C37">
        <f>'[1]VENTAS CONSOLIDADA 1,0'!C37</f>
        <v>2517</v>
      </c>
      <c r="D37" s="5">
        <f t="shared" ca="1" si="0"/>
        <v>139.83333333333334</v>
      </c>
      <c r="E37" s="5">
        <f t="shared" ca="1" si="1"/>
        <v>3076.3333333333335</v>
      </c>
    </row>
    <row r="38" spans="1:5" x14ac:dyDescent="0.25">
      <c r="A38">
        <v>132150</v>
      </c>
      <c r="B38" t="s">
        <v>25</v>
      </c>
      <c r="C38">
        <f>'[1]VENTAS CONSOLIDADA 1,0'!C38</f>
        <v>14151</v>
      </c>
      <c r="D38" s="5">
        <f t="shared" ca="1" si="0"/>
        <v>786.16666666666663</v>
      </c>
      <c r="E38" s="5">
        <f t="shared" ca="1" si="1"/>
        <v>17295.666666666664</v>
      </c>
    </row>
    <row r="39" spans="1:5" x14ac:dyDescent="0.25">
      <c r="A39">
        <v>132151</v>
      </c>
      <c r="B39" t="s">
        <v>26</v>
      </c>
      <c r="C39">
        <f>'[1]VENTAS CONSOLIDADA 1,0'!C39</f>
        <v>11067</v>
      </c>
      <c r="D39" s="5">
        <f t="shared" ca="1" si="0"/>
        <v>614.83333333333337</v>
      </c>
      <c r="E39" s="5">
        <f t="shared" ca="1" si="1"/>
        <v>13526.333333333334</v>
      </c>
    </row>
    <row r="40" spans="1:5" x14ac:dyDescent="0.25">
      <c r="A40">
        <v>132152</v>
      </c>
      <c r="B40" t="s">
        <v>27</v>
      </c>
      <c r="C40">
        <f>'[1]VENTAS CONSOLIDADA 1,0'!C40</f>
        <v>14485</v>
      </c>
      <c r="D40" s="5">
        <f t="shared" ca="1" si="0"/>
        <v>804.72222222222217</v>
      </c>
      <c r="E40" s="5">
        <f t="shared" ca="1" si="1"/>
        <v>17703.888888888887</v>
      </c>
    </row>
    <row r="41" spans="1:5" x14ac:dyDescent="0.25">
      <c r="A41">
        <v>132153</v>
      </c>
      <c r="B41" t="s">
        <v>40</v>
      </c>
      <c r="C41">
        <f>'[1]VENTAS CONSOLIDADA 1,0'!C41</f>
        <v>9640</v>
      </c>
      <c r="D41" s="5">
        <f t="shared" ca="1" si="0"/>
        <v>535.55555555555554</v>
      </c>
      <c r="E41" s="5">
        <f t="shared" ca="1" si="1"/>
        <v>11782.222222222223</v>
      </c>
    </row>
    <row r="42" spans="1:5" x14ac:dyDescent="0.25">
      <c r="A42">
        <v>134000</v>
      </c>
      <c r="B42" t="s">
        <v>35</v>
      </c>
      <c r="C42">
        <f>'[1]VENTAS CONSOLIDADA 1,0'!C42</f>
        <v>77</v>
      </c>
      <c r="D42" s="5">
        <f t="shared" ca="1" si="0"/>
        <v>4.2777777777777777</v>
      </c>
      <c r="E42" s="5">
        <f t="shared" ca="1" si="1"/>
        <v>94.111111111111114</v>
      </c>
    </row>
    <row r="43" spans="1:5" x14ac:dyDescent="0.25">
      <c r="A43">
        <v>134001</v>
      </c>
      <c r="B43" t="s">
        <v>47</v>
      </c>
      <c r="C43">
        <f>'[1]VENTAS CONSOLIDADA 1,0'!C43</f>
        <v>11</v>
      </c>
      <c r="D43" s="5">
        <f t="shared" ca="1" si="0"/>
        <v>0.61111111111111116</v>
      </c>
      <c r="E43" s="5">
        <f t="shared" ca="1" si="1"/>
        <v>13.444444444444446</v>
      </c>
    </row>
    <row r="44" spans="1:5" x14ac:dyDescent="0.25">
      <c r="A44">
        <v>140230</v>
      </c>
      <c r="B44" t="s">
        <v>18</v>
      </c>
      <c r="C44">
        <f>'[1]VENTAS CONSOLIDADA 1,0'!C44</f>
        <v>2613</v>
      </c>
      <c r="D44" s="5">
        <f t="shared" ca="1" si="0"/>
        <v>145.16666666666666</v>
      </c>
      <c r="E44" s="5">
        <f t="shared" ca="1" si="1"/>
        <v>3193.6666666666665</v>
      </c>
    </row>
    <row r="45" spans="1:5" x14ac:dyDescent="0.25">
      <c r="A45">
        <v>140231</v>
      </c>
      <c r="B45" t="s">
        <v>10</v>
      </c>
      <c r="C45">
        <f>'[1]VENTAS CONSOLIDADA 1,0'!C45</f>
        <v>10273</v>
      </c>
      <c r="D45" s="5">
        <f t="shared" ca="1" si="0"/>
        <v>570.72222222222217</v>
      </c>
      <c r="E45" s="5">
        <f t="shared" ca="1" si="1"/>
        <v>12555.888888888887</v>
      </c>
    </row>
    <row r="46" spans="1:5" x14ac:dyDescent="0.25">
      <c r="A46">
        <v>140232</v>
      </c>
      <c r="B46" t="s">
        <v>9</v>
      </c>
      <c r="C46">
        <f>'[1]VENTAS CONSOLIDADA 1,0'!C46</f>
        <v>7576</v>
      </c>
      <c r="D46" s="5">
        <f t="shared" ca="1" si="0"/>
        <v>420.88888888888891</v>
      </c>
      <c r="E46" s="5">
        <f t="shared" ca="1" si="1"/>
        <v>9259.5555555555566</v>
      </c>
    </row>
    <row r="47" spans="1:5" x14ac:dyDescent="0.25">
      <c r="A47">
        <v>150360</v>
      </c>
      <c r="B47" t="s">
        <v>28</v>
      </c>
      <c r="C47">
        <f>'[1]VENTAS CONSOLIDADA 1,0'!C47</f>
        <v>4279</v>
      </c>
      <c r="D47" s="5">
        <f t="shared" ca="1" si="0"/>
        <v>237.72222222222223</v>
      </c>
      <c r="E47" s="5">
        <f t="shared" ca="1" si="1"/>
        <v>5229.8888888888887</v>
      </c>
    </row>
    <row r="48" spans="1:5" x14ac:dyDescent="0.25">
      <c r="A48">
        <v>150361</v>
      </c>
      <c r="B48" t="s">
        <v>29</v>
      </c>
      <c r="C48">
        <f>'[1]VENTAS CONSOLIDADA 1,0'!C48</f>
        <v>8920</v>
      </c>
      <c r="D48" s="5">
        <f t="shared" ca="1" si="0"/>
        <v>495.55555555555554</v>
      </c>
      <c r="E48" s="5">
        <f t="shared" ca="1" si="1"/>
        <v>10902.222222222223</v>
      </c>
    </row>
    <row r="49" spans="1:5" x14ac:dyDescent="0.25">
      <c r="A49">
        <v>150362</v>
      </c>
      <c r="B49" t="s">
        <v>36</v>
      </c>
      <c r="C49">
        <f>'[1]VENTAS CONSOLIDADA 1,0'!C49</f>
        <v>5405</v>
      </c>
      <c r="D49" s="5">
        <f t="shared" ca="1" si="0"/>
        <v>300.27777777777777</v>
      </c>
      <c r="E49" s="5">
        <f t="shared" ca="1" si="1"/>
        <v>6606.1111111111113</v>
      </c>
    </row>
    <row r="50" spans="1:5" x14ac:dyDescent="0.25">
      <c r="A50">
        <v>150363</v>
      </c>
      <c r="B50" t="s">
        <v>31</v>
      </c>
      <c r="C50">
        <f>'[1]VENTAS CONSOLIDADA 1,0'!C50</f>
        <v>5388</v>
      </c>
      <c r="D50" s="5">
        <f t="shared" ca="1" si="0"/>
        <v>299.33333333333331</v>
      </c>
      <c r="E50" s="5">
        <f t="shared" ca="1" si="1"/>
        <v>6585.333333333333</v>
      </c>
    </row>
    <row r="51" spans="1:5" x14ac:dyDescent="0.25">
      <c r="A51">
        <v>151500</v>
      </c>
      <c r="B51" t="s">
        <v>41</v>
      </c>
      <c r="C51">
        <f>'[1]VENTAS CONSOLIDADA 1,0'!C51</f>
        <v>992</v>
      </c>
      <c r="D51" s="5">
        <f t="shared" ca="1" si="0"/>
        <v>55.111111111111114</v>
      </c>
      <c r="E51" s="5">
        <f t="shared" ca="1" si="1"/>
        <v>1212.4444444444446</v>
      </c>
    </row>
    <row r="52" spans="1:5" x14ac:dyDescent="0.25">
      <c r="A52">
        <v>151501</v>
      </c>
      <c r="B52" t="s">
        <v>33</v>
      </c>
      <c r="C52">
        <f>'[1]VENTAS CONSOLIDADA 1,0'!C52</f>
        <v>2283</v>
      </c>
      <c r="D52" s="5">
        <f t="shared" ca="1" si="0"/>
        <v>126.83333333333333</v>
      </c>
      <c r="E52" s="5">
        <f t="shared" ca="1" si="1"/>
        <v>2790.333333333333</v>
      </c>
    </row>
    <row r="53" spans="1:5" x14ac:dyDescent="0.25">
      <c r="A53">
        <v>151502</v>
      </c>
      <c r="B53" t="s">
        <v>37</v>
      </c>
      <c r="C53">
        <f>'[1]VENTAS CONSOLIDADA 1,0'!C53</f>
        <v>784</v>
      </c>
      <c r="D53" s="5">
        <f t="shared" ca="1" si="0"/>
        <v>43.555555555555557</v>
      </c>
      <c r="E53" s="5">
        <f t="shared" ca="1" si="1"/>
        <v>958.22222222222229</v>
      </c>
    </row>
    <row r="54" spans="1:5" x14ac:dyDescent="0.25">
      <c r="A54">
        <v>151503</v>
      </c>
      <c r="B54" t="s">
        <v>34</v>
      </c>
      <c r="C54">
        <f>'[1]VENTAS CONSOLIDADA 1,0'!C54</f>
        <v>980</v>
      </c>
      <c r="D54" s="5">
        <f t="shared" ca="1" si="0"/>
        <v>54.444444444444443</v>
      </c>
      <c r="E54" s="5">
        <f t="shared" ca="1" si="1"/>
        <v>1197.7777777777778</v>
      </c>
    </row>
    <row r="55" spans="1:5" x14ac:dyDescent="0.25">
      <c r="C55">
        <f>SUM(C8:C54)</f>
        <v>518197</v>
      </c>
      <c r="D55" s="5">
        <f ca="1">SUM(D8:D54)</f>
        <v>28788.722222222219</v>
      </c>
      <c r="E55" s="5">
        <f ca="1">SUM(E8:E54)</f>
        <v>633351.88888888899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65BE5737-5D13-4B92-9A1E-66AAD091BECC}">
  <ds:schemaRefs/>
</ds:datastoreItem>
</file>

<file path=customXml/itemProps2.xml><?xml version="1.0" encoding="utf-8"?>
<ds:datastoreItem xmlns:ds="http://schemas.openxmlformats.org/officeDocument/2006/customXml" ds:itemID="{084C0BCB-4732-44D2-A228-50E994334BF1}">
  <ds:schemaRefs/>
</ds:datastoreItem>
</file>

<file path=customXml/itemProps3.xml><?xml version="1.0" encoding="utf-8"?>
<ds:datastoreItem xmlns:ds="http://schemas.openxmlformats.org/officeDocument/2006/customXml" ds:itemID="{CC2043D8-989E-412C-8862-ACDB973E448B}">
  <ds:schemaRefs/>
</ds:datastoreItem>
</file>

<file path=customXml/itemProps4.xml><?xml version="1.0" encoding="utf-8"?>
<ds:datastoreItem xmlns:ds="http://schemas.openxmlformats.org/officeDocument/2006/customXml" ds:itemID="{1624F75C-FD6B-41DE-81B8-76266AB6E660}">
  <ds:schemaRefs/>
</ds:datastoreItem>
</file>

<file path=customXml/itemProps5.xml><?xml version="1.0" encoding="utf-8"?>
<ds:datastoreItem xmlns:ds="http://schemas.openxmlformats.org/officeDocument/2006/customXml" ds:itemID="{CAB6C292-B853-467D-B711-6EBB7D36CC58}">
  <ds:schemaRefs/>
</ds:datastoreItem>
</file>

<file path=customXml/itemProps6.xml><?xml version="1.0" encoding="utf-8"?>
<ds:datastoreItem xmlns:ds="http://schemas.openxmlformats.org/officeDocument/2006/customXml" ds:itemID="{4DF253BA-E348-4CD2-AA4E-97FB2A32A7F0}">
  <ds:schemaRefs/>
</ds:datastoreItem>
</file>

<file path=customXml/itemProps7.xml><?xml version="1.0" encoding="utf-8"?>
<ds:datastoreItem xmlns:ds="http://schemas.openxmlformats.org/officeDocument/2006/customXml" ds:itemID="{7845B0CC-F2DA-4435-B3A8-0B67EEA59E3E}">
  <ds:schemaRefs/>
</ds:datastoreItem>
</file>

<file path=customXml/itemProps8.xml><?xml version="1.0" encoding="utf-8"?>
<ds:datastoreItem xmlns:ds="http://schemas.openxmlformats.org/officeDocument/2006/customXml" ds:itemID="{CFB06E3D-1317-4F60-85DB-890000D02217}">
  <ds:schemaRefs/>
</ds:datastoreItem>
</file>

<file path=customXml/itemProps9.xml><?xml version="1.0" encoding="utf-8"?>
<ds:datastoreItem xmlns:ds="http://schemas.openxmlformats.org/officeDocument/2006/customXml" ds:itemID="{F5D7323A-644E-4D3D-8486-43C2FFAD8146}">
  <ds:schemaRefs/>
</ds:datastoreItem>
</file>

<file path=customXml/itemProps10.xml><?xml version="1.0" encoding="utf-8"?>
<ds:datastoreItem xmlns:ds="http://schemas.openxmlformats.org/officeDocument/2006/customXml" ds:itemID="{DEFC51E7-3E67-4621-B139-07F56E3C51B6}">
  <ds:schemaRefs/>
</ds:datastoreItem>
</file>

<file path=customXml/itemProps11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2FB7461A-5A6D-4ED3-B35C-48147355CFC0}">
  <ds:schemaRefs/>
</ds:datastoreItem>
</file>

<file path=customXml/itemProps13.xml><?xml version="1.0" encoding="utf-8"?>
<ds:datastoreItem xmlns:ds="http://schemas.openxmlformats.org/officeDocument/2006/customXml" ds:itemID="{7AE93A93-CA27-4BDA-AA62-2C35967BA493}">
  <ds:schemaRefs/>
</ds:datastoreItem>
</file>

<file path=customXml/itemProps14.xml><?xml version="1.0" encoding="utf-8"?>
<ds:datastoreItem xmlns:ds="http://schemas.openxmlformats.org/officeDocument/2006/customXml" ds:itemID="{0AD6CB95-564A-49A8-92C3-BDDCD21D69FF}">
  <ds:schemaRefs/>
</ds:datastoreItem>
</file>

<file path=customXml/itemProps15.xml><?xml version="1.0" encoding="utf-8"?>
<ds:datastoreItem xmlns:ds="http://schemas.openxmlformats.org/officeDocument/2006/customXml" ds:itemID="{AF2AF42B-D484-4F26-B929-D7FB2E56F71D}">
  <ds:schemaRefs/>
</ds:datastoreItem>
</file>

<file path=customXml/itemProps16.xml><?xml version="1.0" encoding="utf-8"?>
<ds:datastoreItem xmlns:ds="http://schemas.openxmlformats.org/officeDocument/2006/customXml" ds:itemID="{52FA8FE5-D878-4A8D-B664-9568032292DD}">
  <ds:schemaRefs/>
</ds:datastoreItem>
</file>

<file path=customXml/itemProps17.xml><?xml version="1.0" encoding="utf-8"?>
<ds:datastoreItem xmlns:ds="http://schemas.openxmlformats.org/officeDocument/2006/customXml" ds:itemID="{B0CC2B14-7DD7-4033-8A48-822C26B12A45}">
  <ds:schemaRefs/>
</ds:datastoreItem>
</file>

<file path=customXml/itemProps18.xml><?xml version="1.0" encoding="utf-8"?>
<ds:datastoreItem xmlns:ds="http://schemas.openxmlformats.org/officeDocument/2006/customXml" ds:itemID="{38DB5A37-2218-4EAC-B67D-146D68E76E36}">
  <ds:schemaRefs/>
</ds:datastoreItem>
</file>

<file path=customXml/itemProps19.xml><?xml version="1.0" encoding="utf-8"?>
<ds:datastoreItem xmlns:ds="http://schemas.openxmlformats.org/officeDocument/2006/customXml" ds:itemID="{8E0207D3-36B0-4047-99FA-B78F3EBADFAC}">
  <ds:schemaRefs/>
</ds:datastoreItem>
</file>

<file path=customXml/itemProps20.xml><?xml version="1.0" encoding="utf-8"?>
<ds:datastoreItem xmlns:ds="http://schemas.openxmlformats.org/officeDocument/2006/customXml" ds:itemID="{DB2ACCEB-6CC9-4D35-BDF4-AC9EF8C2F11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2026-09-25T14:30:05Z</dcterms:modified>
</cp:coreProperties>
</file>