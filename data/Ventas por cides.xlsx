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56EB6444-9AE9-445F-9412-EE963E087446}" xr6:coauthVersionLast="47" xr6:coauthVersionMax="47" xr10:uidLastSave="{00000000-0000-0000-0000-000000000000}"/>
  <bookViews>
    <workbookView xWindow="-120" yWindow="-120" windowWidth="29040" windowHeight="15720" tabRatio="679" firstSheet="3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externalReferences>
    <externalReference r:id="rId8"/>
  </externalReferences>
  <calcPr calcId="191029"/>
  <pivotCaches>
    <pivotCache cacheId="13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55" l="1"/>
  <c r="D1" i="55"/>
  <c r="C2" i="55"/>
  <c r="C3" i="55"/>
  <c r="D3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1" i="54"/>
  <c r="D1" i="54"/>
  <c r="C2" i="54"/>
  <c r="C3" i="54"/>
  <c r="D3" i="54"/>
  <c r="C8" i="54"/>
  <c r="C9" i="54"/>
  <c r="C10" i="54"/>
  <c r="C11" i="54"/>
  <c r="C12" i="54"/>
  <c r="C13" i="54"/>
  <c r="C14" i="54"/>
  <c r="C15" i="54"/>
  <c r="C16" i="54"/>
  <c r="C17" i="54"/>
  <c r="C18" i="54"/>
  <c r="C19" i="54"/>
  <c r="C20" i="54"/>
  <c r="C21" i="54"/>
  <c r="C22" i="54"/>
  <c r="C23" i="54"/>
  <c r="C24" i="54"/>
  <c r="C25" i="54"/>
  <c r="C26" i="54"/>
  <c r="C27" i="54"/>
  <c r="C28" i="54"/>
  <c r="C29" i="54"/>
  <c r="C30" i="54"/>
  <c r="C31" i="54"/>
  <c r="C32" i="54"/>
  <c r="C33" i="54"/>
  <c r="C34" i="54"/>
  <c r="C35" i="54"/>
  <c r="C36" i="54"/>
  <c r="C37" i="54"/>
  <c r="C38" i="54"/>
  <c r="C39" i="54"/>
  <c r="C40" i="54"/>
  <c r="C41" i="54"/>
  <c r="C42" i="54"/>
  <c r="C43" i="54"/>
  <c r="C44" i="54"/>
  <c r="C45" i="54"/>
  <c r="C46" i="54"/>
  <c r="C47" i="54"/>
  <c r="C48" i="54"/>
  <c r="C49" i="54"/>
  <c r="C50" i="54"/>
  <c r="C51" i="54"/>
  <c r="C52" i="54"/>
  <c r="C53" i="54"/>
  <c r="C54" i="54"/>
  <c r="C1" i="53"/>
  <c r="D1" i="53"/>
  <c r="C2" i="53"/>
  <c r="C3" i="53"/>
  <c r="D3" i="53"/>
  <c r="C8" i="53"/>
  <c r="C9" i="53"/>
  <c r="C10" i="53"/>
  <c r="C11" i="53"/>
  <c r="C12" i="53"/>
  <c r="C13" i="53"/>
  <c r="C14" i="53"/>
  <c r="C15" i="53"/>
  <c r="C16" i="53"/>
  <c r="C17" i="53"/>
  <c r="C18" i="53"/>
  <c r="C19" i="53"/>
  <c r="C20" i="53"/>
  <c r="C21" i="53"/>
  <c r="C22" i="53"/>
  <c r="C23" i="53"/>
  <c r="C24" i="53"/>
  <c r="C25" i="53"/>
  <c r="C26" i="53"/>
  <c r="C27" i="53"/>
  <c r="C28" i="53"/>
  <c r="C29" i="53"/>
  <c r="C30" i="53"/>
  <c r="C31" i="53"/>
  <c r="C32" i="53"/>
  <c r="C33" i="53"/>
  <c r="C34" i="53"/>
  <c r="C35" i="53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8" i="52"/>
  <c r="C9" i="52"/>
  <c r="C10" i="52"/>
  <c r="C11" i="52"/>
  <c r="C12" i="52"/>
  <c r="C13" i="52"/>
  <c r="C14" i="52"/>
  <c r="C15" i="52"/>
  <c r="C16" i="52"/>
  <c r="C17" i="52"/>
  <c r="C18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36" i="52"/>
  <c r="C37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51" i="52"/>
  <c r="C52" i="52"/>
  <c r="C53" i="52"/>
  <c r="C54" i="52"/>
  <c r="C1" i="52"/>
  <c r="D1" i="52"/>
  <c r="C2" i="52"/>
  <c r="C3" i="52"/>
  <c r="D3" i="52"/>
  <c r="C8" i="51"/>
  <c r="C9" i="51"/>
  <c r="C10" i="51"/>
  <c r="C11" i="51"/>
  <c r="C12" i="51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31" i="51"/>
  <c r="C32" i="51"/>
  <c r="C33" i="51"/>
  <c r="C34" i="51"/>
  <c r="C35" i="51"/>
  <c r="C36" i="51"/>
  <c r="C37" i="51"/>
  <c r="C38" i="51"/>
  <c r="C39" i="51"/>
  <c r="C40" i="51"/>
  <c r="C41" i="51"/>
  <c r="C42" i="51"/>
  <c r="C43" i="51"/>
  <c r="C44" i="51"/>
  <c r="C45" i="51"/>
  <c r="C46" i="51"/>
  <c r="C47" i="51"/>
  <c r="C48" i="51"/>
  <c r="C49" i="51"/>
  <c r="C50" i="51"/>
  <c r="C51" i="51"/>
  <c r="C52" i="51"/>
  <c r="C53" i="51"/>
  <c r="C54" i="51"/>
  <c r="C1" i="51"/>
  <c r="D1" i="51"/>
  <c r="C2" i="51"/>
  <c r="C3" i="51"/>
  <c r="D3" i="51"/>
  <c r="C8" i="50"/>
  <c r="C9" i="50"/>
  <c r="C10" i="50"/>
  <c r="C11" i="50"/>
  <c r="C12" i="50"/>
  <c r="C13" i="50"/>
  <c r="C14" i="50"/>
  <c r="C15" i="50"/>
  <c r="C16" i="50"/>
  <c r="C17" i="50"/>
  <c r="C18" i="50"/>
  <c r="C19" i="50"/>
  <c r="C20" i="50"/>
  <c r="C21" i="50"/>
  <c r="C22" i="50"/>
  <c r="C23" i="50"/>
  <c r="C24" i="50"/>
  <c r="C25" i="50"/>
  <c r="C26" i="50"/>
  <c r="C27" i="50"/>
  <c r="C28" i="50"/>
  <c r="C29" i="50"/>
  <c r="C30" i="50"/>
  <c r="C31" i="50"/>
  <c r="C32" i="50"/>
  <c r="C33" i="50"/>
  <c r="C34" i="50"/>
  <c r="C35" i="50"/>
  <c r="C36" i="50"/>
  <c r="C37" i="50"/>
  <c r="C38" i="50"/>
  <c r="C39" i="50"/>
  <c r="C40" i="50"/>
  <c r="C41" i="50"/>
  <c r="C42" i="50"/>
  <c r="C43" i="50"/>
  <c r="C44" i="50"/>
  <c r="C45" i="50"/>
  <c r="C46" i="50"/>
  <c r="C47" i="50"/>
  <c r="C48" i="50"/>
  <c r="C49" i="50"/>
  <c r="C50" i="50"/>
  <c r="C51" i="50"/>
  <c r="C52" i="50"/>
  <c r="C53" i="50"/>
  <c r="C54" i="50"/>
  <c r="C1" i="50"/>
  <c r="D1" i="50"/>
  <c r="C2" i="50"/>
  <c r="C3" i="50"/>
  <c r="D3" i="50"/>
  <c r="D2" i="50"/>
  <c r="D2" i="54"/>
  <c r="D2" i="52"/>
  <c r="D2" i="51"/>
  <c r="D2" i="53"/>
  <c r="C55" i="55" l="1"/>
  <c r="D2" i="55"/>
  <c r="E3" i="55"/>
  <c r="E3" i="50"/>
  <c r="E2" i="50"/>
  <c r="D46" i="50" s="1"/>
  <c r="E3" i="51"/>
  <c r="E2" i="51"/>
  <c r="E3" i="52"/>
  <c r="E2" i="52"/>
  <c r="E2" i="54"/>
  <c r="E3" i="54"/>
  <c r="E3" i="53"/>
  <c r="E2" i="55" l="1"/>
  <c r="E2" i="53"/>
  <c r="E46" i="50"/>
  <c r="D43" i="52"/>
  <c r="E43" i="52" s="1"/>
  <c r="D8" i="52"/>
  <c r="D44" i="52"/>
  <c r="E44" i="52" s="1"/>
  <c r="D33" i="55"/>
  <c r="E33" i="55" s="1"/>
  <c r="D30" i="55"/>
  <c r="E30" i="55" s="1"/>
  <c r="D28" i="55"/>
  <c r="E28" i="55" s="1"/>
  <c r="D27" i="55"/>
  <c r="E27" i="55" s="1"/>
  <c r="D26" i="55"/>
  <c r="E26" i="55" s="1"/>
  <c r="D24" i="55"/>
  <c r="E24" i="55" s="1"/>
  <c r="D23" i="55"/>
  <c r="E23" i="55" s="1"/>
  <c r="D21" i="55"/>
  <c r="E21" i="55" s="1"/>
  <c r="D19" i="55"/>
  <c r="E19" i="55" s="1"/>
  <c r="D18" i="55"/>
  <c r="E18" i="55" s="1"/>
  <c r="D16" i="55"/>
  <c r="E16" i="55" s="1"/>
  <c r="D14" i="55"/>
  <c r="E14" i="55" s="1"/>
  <c r="D13" i="55"/>
  <c r="E13" i="55" s="1"/>
  <c r="D9" i="55"/>
  <c r="E9" i="55" s="1"/>
  <c r="D32" i="55"/>
  <c r="E32" i="55" s="1"/>
  <c r="D29" i="55"/>
  <c r="E29" i="55" s="1"/>
  <c r="D25" i="55"/>
  <c r="E25" i="55" s="1"/>
  <c r="D22" i="55"/>
  <c r="E22" i="55" s="1"/>
  <c r="D20" i="55"/>
  <c r="E20" i="55" s="1"/>
  <c r="D17" i="55"/>
  <c r="E17" i="55" s="1"/>
  <c r="D15" i="55"/>
  <c r="E15" i="55" s="1"/>
  <c r="D12" i="55"/>
  <c r="E12" i="55" s="1"/>
  <c r="D11" i="55"/>
  <c r="E11" i="55" s="1"/>
  <c r="D10" i="55"/>
  <c r="E10" i="55" s="1"/>
  <c r="D43" i="54"/>
  <c r="E43" i="54" s="1"/>
  <c r="D46" i="54"/>
  <c r="E46" i="54" s="1"/>
  <c r="D35" i="54"/>
  <c r="E35" i="54" s="1"/>
  <c r="D42" i="54"/>
  <c r="E42" i="54" s="1"/>
  <c r="D39" i="55"/>
  <c r="E39" i="55" s="1"/>
  <c r="D36" i="55"/>
  <c r="E36" i="55" s="1"/>
  <c r="D35" i="55"/>
  <c r="E35" i="55" s="1"/>
  <c r="D34" i="55"/>
  <c r="E34" i="55" s="1"/>
  <c r="D31" i="55"/>
  <c r="E31" i="55" s="1"/>
  <c r="D37" i="55"/>
  <c r="E37" i="55" s="1"/>
  <c r="D38" i="55"/>
  <c r="E38" i="55" s="1"/>
  <c r="D29" i="54"/>
  <c r="E29" i="54" s="1"/>
  <c r="D34" i="54"/>
  <c r="E34" i="54" s="1"/>
  <c r="D12" i="53"/>
  <c r="E12" i="53" s="1"/>
  <c r="D43" i="53"/>
  <c r="E43" i="53" s="1"/>
  <c r="D8" i="55"/>
  <c r="E8" i="55" s="1"/>
  <c r="D40" i="55"/>
  <c r="E40" i="55" s="1"/>
  <c r="D42" i="50"/>
  <c r="E42" i="50" s="1"/>
  <c r="D43" i="50"/>
  <c r="E43" i="50" s="1"/>
  <c r="D29" i="50"/>
  <c r="E29" i="50" s="1"/>
  <c r="D8" i="50"/>
  <c r="E8" i="50" s="1"/>
  <c r="D17" i="50"/>
  <c r="E17" i="50" s="1"/>
  <c r="D43" i="55"/>
  <c r="E43" i="55" s="1"/>
  <c r="D41" i="55"/>
  <c r="E41" i="55" s="1"/>
  <c r="D42" i="55"/>
  <c r="E42" i="55" s="1"/>
  <c r="D44" i="55"/>
  <c r="E44" i="55" s="1"/>
  <c r="D46" i="55"/>
  <c r="E46" i="55" s="1"/>
  <c r="D45" i="55"/>
  <c r="E45" i="55" s="1"/>
  <c r="D49" i="55"/>
  <c r="E49" i="55" s="1"/>
  <c r="D47" i="55"/>
  <c r="E47" i="55" s="1"/>
  <c r="D48" i="55"/>
  <c r="E48" i="55" s="1"/>
  <c r="D51" i="55"/>
  <c r="E51" i="55" s="1"/>
  <c r="D50" i="55"/>
  <c r="E50" i="55" s="1"/>
  <c r="D52" i="55"/>
  <c r="E52" i="55" s="1"/>
  <c r="D53" i="55"/>
  <c r="E53" i="55" s="1"/>
  <c r="D54" i="55"/>
  <c r="E54" i="55" s="1"/>
  <c r="D50" i="50"/>
  <c r="E50" i="50" s="1"/>
  <c r="D51" i="50"/>
  <c r="E51" i="50" s="1"/>
  <c r="D52" i="50"/>
  <c r="E52" i="50" s="1"/>
  <c r="D53" i="50"/>
  <c r="E53" i="50" s="1"/>
  <c r="D54" i="50"/>
  <c r="E54" i="50" s="1"/>
  <c r="D45" i="50"/>
  <c r="E45" i="50" s="1"/>
  <c r="D49" i="50"/>
  <c r="E49" i="50" s="1"/>
  <c r="D47" i="50"/>
  <c r="E47" i="50" s="1"/>
  <c r="D48" i="50"/>
  <c r="E48" i="50" s="1"/>
  <c r="D41" i="50"/>
  <c r="E41" i="50" s="1"/>
  <c r="D44" i="50"/>
  <c r="E44" i="50" s="1"/>
  <c r="D36" i="50"/>
  <c r="E36" i="50" s="1"/>
  <c r="D39" i="50"/>
  <c r="E39" i="50" s="1"/>
  <c r="D31" i="50"/>
  <c r="E31" i="50" s="1"/>
  <c r="D38" i="50"/>
  <c r="E38" i="50" s="1"/>
  <c r="D40" i="50"/>
  <c r="E40" i="50" s="1"/>
  <c r="D37" i="50"/>
  <c r="E37" i="50" s="1"/>
  <c r="D34" i="50"/>
  <c r="E34" i="50" s="1"/>
  <c r="D33" i="50"/>
  <c r="E33" i="50" s="1"/>
  <c r="D32" i="50"/>
  <c r="E32" i="50" s="1"/>
  <c r="D35" i="50"/>
  <c r="E35" i="50" s="1"/>
  <c r="D9" i="50"/>
  <c r="E9" i="50" s="1"/>
  <c r="D11" i="50"/>
  <c r="E11" i="50" s="1"/>
  <c r="D15" i="50"/>
  <c r="E15" i="50" s="1"/>
  <c r="D18" i="50"/>
  <c r="E18" i="50" s="1"/>
  <c r="D23" i="50"/>
  <c r="E23" i="50" s="1"/>
  <c r="D26" i="50"/>
  <c r="E26" i="50" s="1"/>
  <c r="D30" i="50"/>
  <c r="E30" i="50" s="1"/>
  <c r="D10" i="50"/>
  <c r="E10" i="50" s="1"/>
  <c r="D13" i="50"/>
  <c r="E13" i="50" s="1"/>
  <c r="D14" i="50"/>
  <c r="E14" i="50" s="1"/>
  <c r="D16" i="50"/>
  <c r="E16" i="50" s="1"/>
  <c r="D19" i="50"/>
  <c r="E19" i="50" s="1"/>
  <c r="D21" i="50"/>
  <c r="E21" i="50" s="1"/>
  <c r="D25" i="50"/>
  <c r="E25" i="50" s="1"/>
  <c r="D28" i="50"/>
  <c r="E28" i="50" s="1"/>
  <c r="D12" i="50"/>
  <c r="E12" i="50" s="1"/>
  <c r="D20" i="50"/>
  <c r="E20" i="50" s="1"/>
  <c r="D22" i="50"/>
  <c r="E22" i="50" s="1"/>
  <c r="D24" i="50"/>
  <c r="E24" i="50" s="1"/>
  <c r="D27" i="50"/>
  <c r="E27" i="50" s="1"/>
  <c r="D8" i="51"/>
  <c r="D51" i="51"/>
  <c r="E51" i="51" s="1"/>
  <c r="D53" i="51"/>
  <c r="E53" i="51" s="1"/>
  <c r="D50" i="51"/>
  <c r="E50" i="51" s="1"/>
  <c r="D52" i="51"/>
  <c r="E52" i="51" s="1"/>
  <c r="D54" i="51"/>
  <c r="E54" i="51" s="1"/>
  <c r="D45" i="51"/>
  <c r="E45" i="51" s="1"/>
  <c r="D46" i="51"/>
  <c r="E46" i="51" s="1"/>
  <c r="D47" i="51"/>
  <c r="E47" i="51" s="1"/>
  <c r="D49" i="51"/>
  <c r="E49" i="51" s="1"/>
  <c r="D48" i="51"/>
  <c r="E48" i="51" s="1"/>
  <c r="D42" i="51"/>
  <c r="E42" i="51" s="1"/>
  <c r="D44" i="51"/>
  <c r="E44" i="51" s="1"/>
  <c r="D43" i="51"/>
  <c r="E43" i="51" s="1"/>
  <c r="D11" i="51"/>
  <c r="E11" i="51" s="1"/>
  <c r="D16" i="51"/>
  <c r="E16" i="51" s="1"/>
  <c r="D20" i="51"/>
  <c r="E20" i="51" s="1"/>
  <c r="D22" i="51"/>
  <c r="E22" i="51" s="1"/>
  <c r="D25" i="51"/>
  <c r="E25" i="51" s="1"/>
  <c r="D29" i="51"/>
  <c r="E29" i="51" s="1"/>
  <c r="D34" i="51"/>
  <c r="E34" i="51" s="1"/>
  <c r="D39" i="51"/>
  <c r="E39" i="51" s="1"/>
  <c r="D41" i="51"/>
  <c r="E41" i="51" s="1"/>
  <c r="D12" i="51"/>
  <c r="E12" i="51" s="1"/>
  <c r="D13" i="51"/>
  <c r="E13" i="51" s="1"/>
  <c r="D18" i="51"/>
  <c r="E18" i="51" s="1"/>
  <c r="D21" i="51"/>
  <c r="E21" i="51" s="1"/>
  <c r="D24" i="51"/>
  <c r="E24" i="51" s="1"/>
  <c r="D26" i="51"/>
  <c r="E26" i="51" s="1"/>
  <c r="D32" i="51"/>
  <c r="E32" i="51" s="1"/>
  <c r="D37" i="51"/>
  <c r="E37" i="51" s="1"/>
  <c r="D9" i="51"/>
  <c r="E9" i="51" s="1"/>
  <c r="D14" i="51"/>
  <c r="E14" i="51" s="1"/>
  <c r="D19" i="51"/>
  <c r="E19" i="51" s="1"/>
  <c r="D23" i="51"/>
  <c r="E23" i="51" s="1"/>
  <c r="D27" i="51"/>
  <c r="E27" i="51" s="1"/>
  <c r="D31" i="51"/>
  <c r="E31" i="51" s="1"/>
  <c r="D35" i="51"/>
  <c r="E35" i="51" s="1"/>
  <c r="D38" i="51"/>
  <c r="E38" i="51" s="1"/>
  <c r="D10" i="51"/>
  <c r="E10" i="51" s="1"/>
  <c r="D15" i="51"/>
  <c r="E15" i="51" s="1"/>
  <c r="D17" i="51"/>
  <c r="E17" i="51" s="1"/>
  <c r="D28" i="51"/>
  <c r="E28" i="51" s="1"/>
  <c r="D30" i="51"/>
  <c r="E30" i="51" s="1"/>
  <c r="D33" i="51"/>
  <c r="E33" i="51" s="1"/>
  <c r="D36" i="51"/>
  <c r="E36" i="51" s="1"/>
  <c r="D40" i="51"/>
  <c r="E40" i="51" s="1"/>
  <c r="D9" i="52"/>
  <c r="E9" i="52" s="1"/>
  <c r="D10" i="52"/>
  <c r="E10" i="52" s="1"/>
  <c r="D11" i="52"/>
  <c r="E11" i="52" s="1"/>
  <c r="D12" i="52"/>
  <c r="E12" i="52" s="1"/>
  <c r="D13" i="52"/>
  <c r="E13" i="52" s="1"/>
  <c r="D14" i="52"/>
  <c r="E14" i="52" s="1"/>
  <c r="D15" i="52"/>
  <c r="E15" i="52" s="1"/>
  <c r="D16" i="52"/>
  <c r="E16" i="52" s="1"/>
  <c r="D17" i="52"/>
  <c r="E17" i="52" s="1"/>
  <c r="D18" i="52"/>
  <c r="E18" i="52" s="1"/>
  <c r="D19" i="52"/>
  <c r="E19" i="52" s="1"/>
  <c r="D20" i="52"/>
  <c r="E20" i="52" s="1"/>
  <c r="D21" i="52"/>
  <c r="E21" i="52" s="1"/>
  <c r="D22" i="52"/>
  <c r="E22" i="52" s="1"/>
  <c r="D23" i="52"/>
  <c r="E23" i="52" s="1"/>
  <c r="D24" i="52"/>
  <c r="E24" i="52" s="1"/>
  <c r="D25" i="52"/>
  <c r="E25" i="52" s="1"/>
  <c r="D26" i="52"/>
  <c r="E26" i="52" s="1"/>
  <c r="D27" i="52"/>
  <c r="E27" i="52" s="1"/>
  <c r="D28" i="52"/>
  <c r="E28" i="52" s="1"/>
  <c r="D29" i="52"/>
  <c r="E29" i="52" s="1"/>
  <c r="D30" i="52"/>
  <c r="E30" i="52" s="1"/>
  <c r="D31" i="52"/>
  <c r="E31" i="52" s="1"/>
  <c r="D32" i="52"/>
  <c r="E32" i="52" s="1"/>
  <c r="D33" i="52"/>
  <c r="E33" i="52" s="1"/>
  <c r="D34" i="52"/>
  <c r="E34" i="52" s="1"/>
  <c r="D35" i="52"/>
  <c r="E35" i="52" s="1"/>
  <c r="D36" i="52"/>
  <c r="E36" i="52" s="1"/>
  <c r="D37" i="52"/>
  <c r="E37" i="52" s="1"/>
  <c r="D38" i="52"/>
  <c r="E38" i="52" s="1"/>
  <c r="D39" i="52"/>
  <c r="E39" i="52" s="1"/>
  <c r="D40" i="52"/>
  <c r="E40" i="52" s="1"/>
  <c r="D41" i="52"/>
  <c r="E41" i="52" s="1"/>
  <c r="D42" i="52"/>
  <c r="E42" i="52" s="1"/>
  <c r="D45" i="52"/>
  <c r="E45" i="52" s="1"/>
  <c r="D46" i="52"/>
  <c r="E46" i="52" s="1"/>
  <c r="D47" i="52"/>
  <c r="E47" i="52" s="1"/>
  <c r="D48" i="52"/>
  <c r="E48" i="52" s="1"/>
  <c r="D49" i="52"/>
  <c r="E49" i="52" s="1"/>
  <c r="D50" i="52"/>
  <c r="E50" i="52" s="1"/>
  <c r="D51" i="52"/>
  <c r="E51" i="52" s="1"/>
  <c r="D52" i="52"/>
  <c r="E52" i="52" s="1"/>
  <c r="D53" i="52"/>
  <c r="E53" i="52" s="1"/>
  <c r="D54" i="52"/>
  <c r="E54" i="52" s="1"/>
  <c r="D18" i="54"/>
  <c r="E18" i="54" s="1"/>
  <c r="D9" i="54"/>
  <c r="E9" i="54" s="1"/>
  <c r="D10" i="54"/>
  <c r="E10" i="54" s="1"/>
  <c r="D19" i="54"/>
  <c r="E19" i="54" s="1"/>
  <c r="D16" i="54"/>
  <c r="E16" i="54" s="1"/>
  <c r="D11" i="54"/>
  <c r="E11" i="54" s="1"/>
  <c r="D22" i="54"/>
  <c r="E22" i="54" s="1"/>
  <c r="D17" i="54"/>
  <c r="E17" i="54" s="1"/>
  <c r="D14" i="54"/>
  <c r="E14" i="54" s="1"/>
  <c r="D13" i="54"/>
  <c r="E13" i="54" s="1"/>
  <c r="D15" i="54"/>
  <c r="E15" i="54" s="1"/>
  <c r="D12" i="54"/>
  <c r="E12" i="54" s="1"/>
  <c r="D53" i="54"/>
  <c r="E53" i="54" s="1"/>
  <c r="D23" i="54"/>
  <c r="E23" i="54" s="1"/>
  <c r="D45" i="54"/>
  <c r="E45" i="54" s="1"/>
  <c r="D48" i="54"/>
  <c r="E48" i="54" s="1"/>
  <c r="D41" i="54"/>
  <c r="E41" i="54" s="1"/>
  <c r="D50" i="54"/>
  <c r="E50" i="54" s="1"/>
  <c r="D33" i="54"/>
  <c r="E33" i="54" s="1"/>
  <c r="D37" i="54"/>
  <c r="E37" i="54" s="1"/>
  <c r="D31" i="54"/>
  <c r="E31" i="54" s="1"/>
  <c r="D27" i="54"/>
  <c r="E27" i="54" s="1"/>
  <c r="D54" i="54"/>
  <c r="E54" i="54" s="1"/>
  <c r="D21" i="54"/>
  <c r="E21" i="54" s="1"/>
  <c r="D39" i="54"/>
  <c r="E39" i="54" s="1"/>
  <c r="D24" i="54"/>
  <c r="E24" i="54" s="1"/>
  <c r="D51" i="54"/>
  <c r="E51" i="54" s="1"/>
  <c r="D47" i="54"/>
  <c r="E47" i="54" s="1"/>
  <c r="D44" i="54"/>
  <c r="E44" i="54" s="1"/>
  <c r="D49" i="54"/>
  <c r="E49" i="54" s="1"/>
  <c r="D52" i="54"/>
  <c r="E52" i="54" s="1"/>
  <c r="D36" i="54"/>
  <c r="E36" i="54" s="1"/>
  <c r="D32" i="54"/>
  <c r="E32" i="54" s="1"/>
  <c r="D38" i="54"/>
  <c r="E38" i="54" s="1"/>
  <c r="D40" i="54"/>
  <c r="E40" i="54" s="1"/>
  <c r="D28" i="54"/>
  <c r="E28" i="54" s="1"/>
  <c r="D30" i="54"/>
  <c r="E30" i="54" s="1"/>
  <c r="D8" i="54"/>
  <c r="D20" i="54"/>
  <c r="E20" i="54" s="1"/>
  <c r="D25" i="54"/>
  <c r="E25" i="54" s="1"/>
  <c r="D26" i="54"/>
  <c r="E26" i="54" s="1"/>
  <c r="E8" i="54" l="1"/>
  <c r="E55" i="54" s="1"/>
  <c r="D55" i="54"/>
  <c r="D23" i="53"/>
  <c r="E23" i="53" s="1"/>
  <c r="D24" i="53"/>
  <c r="E24" i="53" s="1"/>
  <c r="D25" i="53"/>
  <c r="E25" i="53" s="1"/>
  <c r="D26" i="53"/>
  <c r="E26" i="53" s="1"/>
  <c r="D27" i="53"/>
  <c r="E27" i="53" s="1"/>
  <c r="D28" i="53"/>
  <c r="E28" i="53" s="1"/>
  <c r="D29" i="53"/>
  <c r="E29" i="53" s="1"/>
  <c r="D30" i="53"/>
  <c r="E30" i="53" s="1"/>
  <c r="D31" i="53"/>
  <c r="E31" i="53" s="1"/>
  <c r="D32" i="53"/>
  <c r="E32" i="53" s="1"/>
  <c r="D19" i="53"/>
  <c r="E19" i="53" s="1"/>
  <c r="D17" i="53"/>
  <c r="E17" i="53" s="1"/>
  <c r="D16" i="53"/>
  <c r="E16" i="53" s="1"/>
  <c r="D14" i="53"/>
  <c r="E14" i="53" s="1"/>
  <c r="D15" i="53"/>
  <c r="E15" i="53" s="1"/>
  <c r="D13" i="53"/>
  <c r="E13" i="53" s="1"/>
  <c r="D9" i="53"/>
  <c r="E9" i="53" s="1"/>
  <c r="D11" i="53"/>
  <c r="E11" i="53" s="1"/>
  <c r="D10" i="53"/>
  <c r="E10" i="53" s="1"/>
  <c r="D8" i="53"/>
  <c r="E8" i="53" s="1"/>
  <c r="D34" i="53"/>
  <c r="E34" i="53" s="1"/>
  <c r="D36" i="53"/>
  <c r="E36" i="53" s="1"/>
  <c r="D37" i="53"/>
  <c r="E37" i="53" s="1"/>
  <c r="D38" i="53"/>
  <c r="E38" i="53" s="1"/>
  <c r="D39" i="53"/>
  <c r="D41" i="53"/>
  <c r="E41" i="53" s="1"/>
  <c r="D44" i="53"/>
  <c r="E44" i="53" s="1"/>
  <c r="D46" i="53"/>
  <c r="E46" i="53" s="1"/>
  <c r="D49" i="53"/>
  <c r="E49" i="53" s="1"/>
  <c r="D52" i="53"/>
  <c r="E52" i="53" s="1"/>
  <c r="D33" i="53"/>
  <c r="E33" i="53" s="1"/>
  <c r="D42" i="53"/>
  <c r="E42" i="53" s="1"/>
  <c r="D47" i="53"/>
  <c r="E47" i="53" s="1"/>
  <c r="D50" i="53"/>
  <c r="E50" i="53" s="1"/>
  <c r="D53" i="53"/>
  <c r="E53" i="53" s="1"/>
  <c r="D35" i="53"/>
  <c r="E35" i="53" s="1"/>
  <c r="D40" i="53"/>
  <c r="E40" i="53" s="1"/>
  <c r="D45" i="53"/>
  <c r="E45" i="53" s="1"/>
  <c r="D48" i="53"/>
  <c r="E48" i="53" s="1"/>
  <c r="D51" i="53"/>
  <c r="E51" i="53" s="1"/>
  <c r="D54" i="53"/>
  <c r="E54" i="53" s="1"/>
  <c r="D18" i="53"/>
  <c r="E18" i="53" s="1"/>
  <c r="D20" i="53"/>
  <c r="E20" i="53" s="1"/>
  <c r="D21" i="53"/>
  <c r="E21" i="53" s="1"/>
  <c r="D22" i="53"/>
  <c r="E22" i="53" s="1"/>
  <c r="E55" i="50"/>
  <c r="E8" i="51"/>
  <c r="D55" i="51"/>
  <c r="E8" i="52"/>
  <c r="E55" i="52" s="1"/>
  <c r="D55" i="52"/>
  <c r="E55" i="51"/>
  <c r="E55" i="55"/>
  <c r="D55" i="55"/>
  <c r="D55" i="50"/>
  <c r="E39" i="53" l="1"/>
  <c r="D55" i="53"/>
  <c r="E55" i="5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<sst xmlns="http://schemas.openxmlformats.org/spreadsheetml/2006/main" count="320" uniqueCount="62">
  <si>
    <t>Cremigurt Natural 150g</t>
  </si>
  <si>
    <t>Cremosillo Tradicional 230g</t>
  </si>
  <si>
    <t>Cremosillo Tradicional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</si>
  <si>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</si>
  <si>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</si>
  <si>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</si>
  <si>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</si>
  <si>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</si>
  <si>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</si>
  <si>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</si>
  <si>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</si>
  <si>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</si>
  <si>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</si>
  <si>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</si>
  <si>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</si>
  <si>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</si>
  <si>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</si>
  <si>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</si>
  <si>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</si>
  <si>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</si>
  <si>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</si>
  <si>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</si>
  <si>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</si>
  <si>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</si>
  <si>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</si>
  <si>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</si>
  <si>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</si>
  <si>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</si>
  <si>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</si>
  <si>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</si>
  <si>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</si>
  <si>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</si>
  <si>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</si>
  <si>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</si>
  <si>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</si>
  <si>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</si>
  <si>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</si>
  <si>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</si>
  <si>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</si>
  <si>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</si>
  <si>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</si>
  <si>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</si>
  <si>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</si>
  <si>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</si>
  <si>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</si>
  <si>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</si>
  <si>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</si>
  <si>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</si>
  <si>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</si>
  <si>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</si>
  <si>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</si>
  <si>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</si>
  <si>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</si>
  <si>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</si>
  <si>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</si>
  <si>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</si>
  <si>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VENTA BRUTA</t>
  </si>
  <si>
    <t>Cremigurt Power Dulce de Leche 150g</t>
  </si>
  <si>
    <t>CARACAS</t>
  </si>
  <si>
    <t>LARA</t>
  </si>
  <si>
    <t>ZULIA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</si>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</sst>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Sales\Ventas%20por%20cides%20SEPTIEMBRE.xlsx" TargetMode="External"/><Relationship Id="rId1" Type="http://schemas.openxmlformats.org/officeDocument/2006/relationships/externalLinkPath" Target="file:///R:\SUPPLY%20CHAIN\Sales\Ventas%20por%20cides%20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46289</v>
          </cell>
          <cell r="E2">
            <v>17</v>
          </cell>
        </row>
        <row r="3">
          <cell r="C3" t="str">
            <v>FINAL VENTAS</v>
          </cell>
          <cell r="D3">
            <v>46295</v>
          </cell>
          <cell r="E3">
            <v>5</v>
          </cell>
        </row>
        <row r="8">
          <cell r="C8">
            <v>809</v>
          </cell>
        </row>
        <row r="9">
          <cell r="C9">
            <v>104</v>
          </cell>
        </row>
        <row r="10">
          <cell r="C10">
            <v>198</v>
          </cell>
        </row>
        <row r="11">
          <cell r="C11">
            <v>44</v>
          </cell>
        </row>
        <row r="12">
          <cell r="C12">
            <v>11</v>
          </cell>
        </row>
        <row r="13">
          <cell r="C13">
            <v>946</v>
          </cell>
        </row>
        <row r="14">
          <cell r="C14">
            <v>79</v>
          </cell>
        </row>
        <row r="15">
          <cell r="C15">
            <v>159</v>
          </cell>
        </row>
        <row r="16">
          <cell r="C16">
            <v>465</v>
          </cell>
        </row>
        <row r="17">
          <cell r="C17">
            <v>138</v>
          </cell>
        </row>
        <row r="18">
          <cell r="C18">
            <v>2506</v>
          </cell>
        </row>
        <row r="19">
          <cell r="C19">
            <v>1486</v>
          </cell>
        </row>
        <row r="20">
          <cell r="C20">
            <v>1796</v>
          </cell>
        </row>
        <row r="21">
          <cell r="C21">
            <v>1422</v>
          </cell>
        </row>
        <row r="22">
          <cell r="C22">
            <v>501</v>
          </cell>
        </row>
        <row r="23">
          <cell r="C23">
            <v>682</v>
          </cell>
        </row>
        <row r="24">
          <cell r="C24">
            <v>700</v>
          </cell>
        </row>
        <row r="25">
          <cell r="C25">
            <v>109</v>
          </cell>
        </row>
        <row r="26">
          <cell r="C26">
            <v>18</v>
          </cell>
        </row>
        <row r="27">
          <cell r="C27">
            <v>246</v>
          </cell>
        </row>
        <row r="28">
          <cell r="C28">
            <v>344</v>
          </cell>
        </row>
        <row r="29">
          <cell r="C29">
            <v>32</v>
          </cell>
        </row>
        <row r="30">
          <cell r="C30">
            <v>628</v>
          </cell>
        </row>
        <row r="31">
          <cell r="C31">
            <v>1555</v>
          </cell>
        </row>
        <row r="32">
          <cell r="C32">
            <v>999</v>
          </cell>
        </row>
        <row r="33">
          <cell r="C33">
            <v>651</v>
          </cell>
        </row>
        <row r="34">
          <cell r="C34">
            <v>498</v>
          </cell>
        </row>
        <row r="35">
          <cell r="C35">
            <v>623</v>
          </cell>
        </row>
        <row r="36">
          <cell r="C36">
            <v>82</v>
          </cell>
        </row>
        <row r="37">
          <cell r="C37">
            <v>116</v>
          </cell>
        </row>
        <row r="38">
          <cell r="C38">
            <v>801</v>
          </cell>
        </row>
        <row r="39">
          <cell r="C39">
            <v>487</v>
          </cell>
        </row>
        <row r="40">
          <cell r="C40">
            <v>739</v>
          </cell>
        </row>
        <row r="41">
          <cell r="C41">
            <v>439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128</v>
          </cell>
        </row>
        <row r="45">
          <cell r="C45">
            <v>725</v>
          </cell>
        </row>
        <row r="46">
          <cell r="C46">
            <v>234</v>
          </cell>
        </row>
        <row r="47">
          <cell r="C47">
            <v>117</v>
          </cell>
        </row>
        <row r="48">
          <cell r="C48">
            <v>471</v>
          </cell>
        </row>
        <row r="49">
          <cell r="C49">
            <v>222</v>
          </cell>
        </row>
        <row r="50">
          <cell r="C50">
            <v>312</v>
          </cell>
        </row>
        <row r="51">
          <cell r="C51">
            <v>48</v>
          </cell>
        </row>
        <row r="52">
          <cell r="C52">
            <v>110</v>
          </cell>
        </row>
        <row r="53">
          <cell r="C53">
            <v>32</v>
          </cell>
        </row>
        <row r="54">
          <cell r="C54">
            <v>51</v>
          </cell>
        </row>
      </sheetData>
      <sheetData sheetId="2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46289</v>
          </cell>
          <cell r="E2">
            <v>17</v>
          </cell>
        </row>
        <row r="3">
          <cell r="C3" t="str">
            <v>FINAL VENTAS</v>
          </cell>
          <cell r="D3">
            <v>46295</v>
          </cell>
          <cell r="E3">
            <v>5</v>
          </cell>
        </row>
        <row r="8">
          <cell r="C8">
            <v>817</v>
          </cell>
        </row>
        <row r="9">
          <cell r="C9">
            <v>27</v>
          </cell>
        </row>
        <row r="10">
          <cell r="C10">
            <v>258</v>
          </cell>
        </row>
        <row r="11">
          <cell r="C11">
            <v>14</v>
          </cell>
        </row>
        <row r="12">
          <cell r="C12">
            <v>0</v>
          </cell>
        </row>
        <row r="13">
          <cell r="C13">
            <v>2724</v>
          </cell>
        </row>
        <row r="14">
          <cell r="C14">
            <v>218</v>
          </cell>
        </row>
        <row r="15">
          <cell r="C15">
            <v>457</v>
          </cell>
        </row>
        <row r="16">
          <cell r="C16">
            <v>1341</v>
          </cell>
        </row>
        <row r="17">
          <cell r="C17">
            <v>417</v>
          </cell>
        </row>
        <row r="18">
          <cell r="C18">
            <v>9563</v>
          </cell>
        </row>
        <row r="19">
          <cell r="C19">
            <v>5006</v>
          </cell>
        </row>
        <row r="20">
          <cell r="C20">
            <v>5106</v>
          </cell>
        </row>
        <row r="21">
          <cell r="C21">
            <v>6404</v>
          </cell>
        </row>
        <row r="22">
          <cell r="C22">
            <v>2052</v>
          </cell>
        </row>
        <row r="23">
          <cell r="C23">
            <v>2448</v>
          </cell>
        </row>
        <row r="24">
          <cell r="C24">
            <v>2500</v>
          </cell>
        </row>
        <row r="25">
          <cell r="C25">
            <v>500</v>
          </cell>
        </row>
        <row r="26">
          <cell r="C26">
            <v>148</v>
          </cell>
        </row>
        <row r="27">
          <cell r="C27">
            <v>1425</v>
          </cell>
        </row>
        <row r="28">
          <cell r="C28">
            <v>1843</v>
          </cell>
        </row>
        <row r="29">
          <cell r="C29">
            <v>110</v>
          </cell>
        </row>
        <row r="30">
          <cell r="C30">
            <v>725</v>
          </cell>
        </row>
        <row r="31">
          <cell r="C31">
            <v>1752</v>
          </cell>
        </row>
        <row r="32">
          <cell r="C32">
            <v>954</v>
          </cell>
        </row>
        <row r="33">
          <cell r="C33">
            <v>618</v>
          </cell>
        </row>
        <row r="34">
          <cell r="C34">
            <v>890</v>
          </cell>
        </row>
        <row r="35">
          <cell r="C35">
            <v>1049</v>
          </cell>
        </row>
        <row r="36">
          <cell r="C36">
            <v>180</v>
          </cell>
        </row>
        <row r="37">
          <cell r="C37">
            <v>274</v>
          </cell>
        </row>
        <row r="38">
          <cell r="C38">
            <v>2001</v>
          </cell>
        </row>
        <row r="39">
          <cell r="C39">
            <v>1086</v>
          </cell>
        </row>
        <row r="40">
          <cell r="C40">
            <v>1611</v>
          </cell>
        </row>
        <row r="41">
          <cell r="C41">
            <v>663</v>
          </cell>
        </row>
        <row r="42">
          <cell r="C42">
            <v>19</v>
          </cell>
        </row>
        <row r="43">
          <cell r="C43">
            <v>0</v>
          </cell>
        </row>
        <row r="44">
          <cell r="C44">
            <v>206</v>
          </cell>
        </row>
        <row r="45">
          <cell r="C45">
            <v>573</v>
          </cell>
        </row>
        <row r="46">
          <cell r="C46">
            <v>576</v>
          </cell>
        </row>
        <row r="47">
          <cell r="C47">
            <v>360</v>
          </cell>
        </row>
        <row r="48">
          <cell r="C48">
            <v>898</v>
          </cell>
        </row>
        <row r="49">
          <cell r="C49">
            <v>418</v>
          </cell>
        </row>
        <row r="50">
          <cell r="C50">
            <v>460</v>
          </cell>
        </row>
        <row r="51">
          <cell r="C51">
            <v>123</v>
          </cell>
        </row>
        <row r="52">
          <cell r="C52">
            <v>332</v>
          </cell>
        </row>
        <row r="53">
          <cell r="C53">
            <v>93</v>
          </cell>
        </row>
        <row r="54">
          <cell r="C54">
            <v>102</v>
          </cell>
        </row>
      </sheetData>
      <sheetData sheetId="3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46289</v>
          </cell>
          <cell r="E2">
            <v>17</v>
          </cell>
        </row>
        <row r="3">
          <cell r="C3" t="str">
            <v>FINAL VENTAS</v>
          </cell>
          <cell r="D3">
            <v>46295</v>
          </cell>
          <cell r="E3">
            <v>5</v>
          </cell>
        </row>
        <row r="8">
          <cell r="C8">
            <v>13503</v>
          </cell>
        </row>
        <row r="9">
          <cell r="C9">
            <v>466</v>
          </cell>
        </row>
        <row r="10">
          <cell r="C10">
            <v>5753</v>
          </cell>
        </row>
        <row r="11">
          <cell r="C11">
            <v>1251</v>
          </cell>
        </row>
        <row r="12">
          <cell r="C12">
            <v>177</v>
          </cell>
        </row>
        <row r="13">
          <cell r="C13">
            <v>14150</v>
          </cell>
        </row>
        <row r="14">
          <cell r="C14">
            <v>1052</v>
          </cell>
        </row>
        <row r="15">
          <cell r="C15">
            <v>2302</v>
          </cell>
        </row>
        <row r="16">
          <cell r="C16">
            <v>5269</v>
          </cell>
        </row>
        <row r="17">
          <cell r="C17">
            <v>3094</v>
          </cell>
        </row>
        <row r="18">
          <cell r="C18">
            <v>28146</v>
          </cell>
        </row>
        <row r="19">
          <cell r="C19">
            <v>18565</v>
          </cell>
        </row>
        <row r="20">
          <cell r="C20">
            <v>18078</v>
          </cell>
        </row>
        <row r="21">
          <cell r="C21">
            <v>23612</v>
          </cell>
        </row>
        <row r="22">
          <cell r="C22">
            <v>6055</v>
          </cell>
        </row>
        <row r="23">
          <cell r="C23">
            <v>6085</v>
          </cell>
        </row>
        <row r="24">
          <cell r="C24">
            <v>6550</v>
          </cell>
        </row>
        <row r="25">
          <cell r="C25">
            <v>1834</v>
          </cell>
        </row>
        <row r="26">
          <cell r="C26">
            <v>829</v>
          </cell>
        </row>
        <row r="27">
          <cell r="C27">
            <v>3811</v>
          </cell>
        </row>
        <row r="28">
          <cell r="C28">
            <v>7521</v>
          </cell>
        </row>
        <row r="29">
          <cell r="C29">
            <v>890</v>
          </cell>
        </row>
        <row r="30">
          <cell r="C30">
            <v>7176</v>
          </cell>
        </row>
        <row r="31">
          <cell r="C31">
            <v>10410</v>
          </cell>
        </row>
        <row r="32">
          <cell r="C32">
            <v>4932</v>
          </cell>
        </row>
        <row r="33">
          <cell r="C33">
            <v>3262</v>
          </cell>
        </row>
        <row r="34">
          <cell r="C34">
            <v>1481</v>
          </cell>
        </row>
        <row r="35">
          <cell r="C35">
            <v>1951</v>
          </cell>
        </row>
        <row r="36">
          <cell r="C36">
            <v>1172</v>
          </cell>
        </row>
        <row r="37">
          <cell r="C37">
            <v>1172</v>
          </cell>
        </row>
        <row r="38">
          <cell r="C38">
            <v>5562</v>
          </cell>
        </row>
        <row r="39">
          <cell r="C39">
            <v>4862</v>
          </cell>
        </row>
        <row r="40">
          <cell r="C40">
            <v>6409</v>
          </cell>
        </row>
        <row r="41">
          <cell r="C41">
            <v>4697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960</v>
          </cell>
        </row>
        <row r="45">
          <cell r="C45">
            <v>4918</v>
          </cell>
        </row>
        <row r="46">
          <cell r="C46">
            <v>3225</v>
          </cell>
        </row>
        <row r="47">
          <cell r="C47">
            <v>2655</v>
          </cell>
        </row>
        <row r="48">
          <cell r="C48">
            <v>4796</v>
          </cell>
        </row>
        <row r="49">
          <cell r="C49">
            <v>3197</v>
          </cell>
        </row>
        <row r="50">
          <cell r="C50">
            <v>2875</v>
          </cell>
        </row>
        <row r="51">
          <cell r="C51">
            <v>561</v>
          </cell>
        </row>
        <row r="52">
          <cell r="C52">
            <v>1115</v>
          </cell>
        </row>
        <row r="53">
          <cell r="C53">
            <v>424</v>
          </cell>
        </row>
        <row r="54">
          <cell r="C54">
            <v>544</v>
          </cell>
        </row>
      </sheetData>
      <sheetData sheetId="4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46289</v>
          </cell>
          <cell r="E2">
            <v>17</v>
          </cell>
        </row>
        <row r="3">
          <cell r="C3" t="str">
            <v>FINAL VENTAS</v>
          </cell>
          <cell r="D3">
            <v>46295</v>
          </cell>
          <cell r="E3">
            <v>5</v>
          </cell>
        </row>
        <row r="8">
          <cell r="C8">
            <v>4262</v>
          </cell>
        </row>
        <row r="9">
          <cell r="C9">
            <v>249</v>
          </cell>
        </row>
        <row r="10">
          <cell r="C10">
            <v>1916</v>
          </cell>
        </row>
        <row r="11">
          <cell r="C11">
            <v>469</v>
          </cell>
        </row>
        <row r="12">
          <cell r="C12">
            <v>38</v>
          </cell>
        </row>
        <row r="13">
          <cell r="C13">
            <v>5795</v>
          </cell>
        </row>
        <row r="14">
          <cell r="C14">
            <v>964</v>
          </cell>
        </row>
        <row r="15">
          <cell r="C15">
            <v>2233</v>
          </cell>
        </row>
        <row r="16">
          <cell r="C16">
            <v>5846</v>
          </cell>
        </row>
        <row r="17">
          <cell r="C17">
            <v>2660</v>
          </cell>
        </row>
        <row r="18">
          <cell r="C18">
            <v>16586</v>
          </cell>
        </row>
        <row r="19">
          <cell r="C19">
            <v>10063</v>
          </cell>
        </row>
        <row r="20">
          <cell r="C20">
            <v>10783</v>
          </cell>
        </row>
        <row r="21">
          <cell r="C21">
            <v>12642</v>
          </cell>
        </row>
        <row r="22">
          <cell r="C22">
            <v>3397</v>
          </cell>
        </row>
        <row r="23">
          <cell r="C23">
            <v>4773</v>
          </cell>
        </row>
        <row r="24">
          <cell r="C24">
            <v>4627</v>
          </cell>
        </row>
        <row r="25">
          <cell r="C25">
            <v>2137</v>
          </cell>
        </row>
        <row r="26">
          <cell r="C26">
            <v>1206</v>
          </cell>
        </row>
        <row r="27">
          <cell r="C27">
            <v>3211</v>
          </cell>
        </row>
        <row r="28">
          <cell r="C28">
            <v>4712</v>
          </cell>
        </row>
        <row r="29">
          <cell r="C29">
            <v>0</v>
          </cell>
        </row>
        <row r="30">
          <cell r="C30">
            <v>2924</v>
          </cell>
        </row>
        <row r="31">
          <cell r="C31">
            <v>3990</v>
          </cell>
        </row>
        <row r="32">
          <cell r="C32">
            <v>2445</v>
          </cell>
        </row>
        <row r="33">
          <cell r="C33">
            <v>1971</v>
          </cell>
        </row>
        <row r="34">
          <cell r="C34">
            <v>990</v>
          </cell>
        </row>
        <row r="35">
          <cell r="C35">
            <v>1169</v>
          </cell>
        </row>
        <row r="36">
          <cell r="C36">
            <v>693</v>
          </cell>
        </row>
        <row r="37">
          <cell r="C37">
            <v>697</v>
          </cell>
        </row>
        <row r="38">
          <cell r="C38">
            <v>4166</v>
          </cell>
        </row>
        <row r="39">
          <cell r="C39">
            <v>3237</v>
          </cell>
        </row>
        <row r="40">
          <cell r="C40">
            <v>4334</v>
          </cell>
        </row>
        <row r="41">
          <cell r="C41">
            <v>2687</v>
          </cell>
        </row>
        <row r="42">
          <cell r="C42">
            <v>50</v>
          </cell>
        </row>
        <row r="43">
          <cell r="C43">
            <v>11</v>
          </cell>
        </row>
        <row r="44">
          <cell r="C44">
            <v>1121</v>
          </cell>
        </row>
        <row r="45">
          <cell r="C45">
            <v>3259</v>
          </cell>
        </row>
        <row r="46">
          <cell r="C46">
            <v>2919</v>
          </cell>
        </row>
        <row r="47">
          <cell r="C47">
            <v>764</v>
          </cell>
        </row>
        <row r="48">
          <cell r="C48">
            <v>2134</v>
          </cell>
        </row>
        <row r="49">
          <cell r="C49">
            <v>1078</v>
          </cell>
        </row>
        <row r="50">
          <cell r="C50">
            <v>1329</v>
          </cell>
        </row>
        <row r="51">
          <cell r="C51">
            <v>239</v>
          </cell>
        </row>
        <row r="52">
          <cell r="C52">
            <v>503</v>
          </cell>
        </row>
        <row r="53">
          <cell r="C53">
            <v>163</v>
          </cell>
        </row>
        <row r="54">
          <cell r="C54">
            <v>193</v>
          </cell>
        </row>
      </sheetData>
      <sheetData sheetId="5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46289</v>
          </cell>
          <cell r="E2">
            <v>17</v>
          </cell>
        </row>
        <row r="3">
          <cell r="C3" t="str">
            <v>FINAL VENTAS</v>
          </cell>
          <cell r="D3">
            <v>46295</v>
          </cell>
          <cell r="E3">
            <v>5</v>
          </cell>
        </row>
        <row r="8">
          <cell r="C8">
            <v>497</v>
          </cell>
        </row>
        <row r="9">
          <cell r="C9">
            <v>66</v>
          </cell>
        </row>
        <row r="10">
          <cell r="C10">
            <v>154</v>
          </cell>
        </row>
        <row r="11">
          <cell r="C11">
            <v>57</v>
          </cell>
        </row>
        <row r="12">
          <cell r="C12">
            <v>9</v>
          </cell>
        </row>
        <row r="13">
          <cell r="C13">
            <v>230</v>
          </cell>
        </row>
        <row r="14">
          <cell r="C14">
            <v>174</v>
          </cell>
        </row>
        <row r="15">
          <cell r="C15">
            <v>219</v>
          </cell>
        </row>
        <row r="16">
          <cell r="C16">
            <v>318</v>
          </cell>
        </row>
        <row r="17">
          <cell r="C17">
            <v>92</v>
          </cell>
        </row>
        <row r="18">
          <cell r="C18">
            <v>911</v>
          </cell>
        </row>
        <row r="19">
          <cell r="C19">
            <v>636</v>
          </cell>
        </row>
        <row r="20">
          <cell r="C20">
            <v>452</v>
          </cell>
        </row>
        <row r="21">
          <cell r="C21">
            <v>717</v>
          </cell>
        </row>
        <row r="22">
          <cell r="C22">
            <v>206</v>
          </cell>
        </row>
        <row r="23">
          <cell r="C23">
            <v>293</v>
          </cell>
        </row>
        <row r="24">
          <cell r="C24">
            <v>281</v>
          </cell>
        </row>
        <row r="25">
          <cell r="C25">
            <v>93</v>
          </cell>
        </row>
        <row r="26">
          <cell r="C26">
            <v>24</v>
          </cell>
        </row>
        <row r="27">
          <cell r="C27">
            <v>67</v>
          </cell>
        </row>
        <row r="28">
          <cell r="C28">
            <v>226</v>
          </cell>
        </row>
        <row r="29">
          <cell r="C29">
            <v>0</v>
          </cell>
        </row>
        <row r="30">
          <cell r="C30">
            <v>224</v>
          </cell>
        </row>
        <row r="31">
          <cell r="C31">
            <v>424</v>
          </cell>
        </row>
        <row r="32">
          <cell r="C32">
            <v>246</v>
          </cell>
        </row>
        <row r="33">
          <cell r="C33">
            <v>435</v>
          </cell>
        </row>
        <row r="34">
          <cell r="C34">
            <v>71</v>
          </cell>
        </row>
        <row r="35">
          <cell r="C35">
            <v>69</v>
          </cell>
        </row>
        <row r="36">
          <cell r="C36">
            <v>82</v>
          </cell>
        </row>
        <row r="37">
          <cell r="C37">
            <v>59</v>
          </cell>
        </row>
        <row r="38">
          <cell r="C38">
            <v>465</v>
          </cell>
        </row>
        <row r="39">
          <cell r="C39">
            <v>449</v>
          </cell>
        </row>
        <row r="40">
          <cell r="C40">
            <v>413</v>
          </cell>
        </row>
        <row r="41">
          <cell r="C41">
            <v>426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85</v>
          </cell>
        </row>
        <row r="45">
          <cell r="C45">
            <v>199</v>
          </cell>
        </row>
        <row r="46">
          <cell r="C46">
            <v>72</v>
          </cell>
        </row>
        <row r="47">
          <cell r="C47">
            <v>23</v>
          </cell>
        </row>
        <row r="48">
          <cell r="C48">
            <v>110</v>
          </cell>
        </row>
        <row r="49">
          <cell r="C49">
            <v>134</v>
          </cell>
        </row>
        <row r="50">
          <cell r="C50">
            <v>140</v>
          </cell>
        </row>
        <row r="51">
          <cell r="C51">
            <v>31</v>
          </cell>
        </row>
        <row r="52">
          <cell r="C52">
            <v>32</v>
          </cell>
        </row>
        <row r="53">
          <cell r="C53">
            <v>27</v>
          </cell>
        </row>
        <row r="54">
          <cell r="C54">
            <v>15</v>
          </cell>
        </row>
      </sheetData>
      <sheetData sheetId="6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46289</v>
          </cell>
          <cell r="E2">
            <v>17</v>
          </cell>
        </row>
        <row r="3">
          <cell r="C3" t="str">
            <v>FINAL VENTAS</v>
          </cell>
          <cell r="D3">
            <v>46295</v>
          </cell>
          <cell r="E3">
            <v>5</v>
          </cell>
        </row>
        <row r="8">
          <cell r="C8">
            <v>20490</v>
          </cell>
        </row>
        <row r="9">
          <cell r="C9">
            <v>915</v>
          </cell>
        </row>
        <row r="10">
          <cell r="C10">
            <v>8367</v>
          </cell>
        </row>
        <row r="11">
          <cell r="C11">
            <v>1848</v>
          </cell>
        </row>
        <row r="12">
          <cell r="C12">
            <v>241</v>
          </cell>
        </row>
        <row r="13">
          <cell r="C13">
            <v>24019</v>
          </cell>
        </row>
        <row r="14">
          <cell r="C14">
            <v>2508</v>
          </cell>
        </row>
        <row r="15">
          <cell r="C15">
            <v>5413</v>
          </cell>
        </row>
        <row r="16">
          <cell r="C16">
            <v>13404</v>
          </cell>
        </row>
        <row r="17">
          <cell r="C17">
            <v>6525</v>
          </cell>
        </row>
        <row r="18">
          <cell r="C18">
            <v>58132</v>
          </cell>
        </row>
        <row r="19">
          <cell r="C19">
            <v>36031</v>
          </cell>
        </row>
        <row r="20">
          <cell r="C20">
            <v>36501</v>
          </cell>
        </row>
        <row r="21">
          <cell r="C21">
            <v>45155</v>
          </cell>
        </row>
        <row r="22">
          <cell r="C22">
            <v>12239</v>
          </cell>
        </row>
        <row r="23">
          <cell r="C23">
            <v>14322</v>
          </cell>
        </row>
        <row r="24">
          <cell r="C24">
            <v>14698</v>
          </cell>
        </row>
        <row r="25">
          <cell r="C25">
            <v>4777</v>
          </cell>
        </row>
        <row r="26">
          <cell r="C26">
            <v>2255</v>
          </cell>
        </row>
        <row r="27">
          <cell r="C27">
            <v>8825</v>
          </cell>
        </row>
        <row r="28">
          <cell r="C28">
            <v>14865</v>
          </cell>
        </row>
        <row r="29">
          <cell r="C29">
            <v>1032</v>
          </cell>
        </row>
        <row r="30">
          <cell r="C30">
            <v>11861</v>
          </cell>
        </row>
        <row r="31">
          <cell r="C31">
            <v>18264</v>
          </cell>
        </row>
        <row r="32">
          <cell r="C32">
            <v>9715</v>
          </cell>
        </row>
        <row r="33">
          <cell r="C33">
            <v>7295</v>
          </cell>
        </row>
        <row r="34">
          <cell r="C34">
            <v>3997</v>
          </cell>
        </row>
        <row r="35">
          <cell r="C35">
            <v>4889</v>
          </cell>
        </row>
        <row r="36">
          <cell r="C36">
            <v>2252</v>
          </cell>
        </row>
        <row r="37">
          <cell r="C37">
            <v>2356</v>
          </cell>
        </row>
        <row r="38">
          <cell r="C38">
            <v>13208</v>
          </cell>
        </row>
        <row r="39">
          <cell r="C39">
            <v>10294</v>
          </cell>
        </row>
        <row r="40">
          <cell r="C40">
            <v>13598</v>
          </cell>
        </row>
        <row r="41">
          <cell r="C41">
            <v>9026</v>
          </cell>
        </row>
        <row r="42">
          <cell r="C42">
            <v>69</v>
          </cell>
        </row>
        <row r="43">
          <cell r="C43">
            <v>11</v>
          </cell>
        </row>
        <row r="44">
          <cell r="C44">
            <v>2537</v>
          </cell>
        </row>
        <row r="45">
          <cell r="C45">
            <v>9745</v>
          </cell>
        </row>
        <row r="46">
          <cell r="C46">
            <v>7074</v>
          </cell>
        </row>
        <row r="47">
          <cell r="C47">
            <v>3996</v>
          </cell>
        </row>
        <row r="48">
          <cell r="C48">
            <v>8487</v>
          </cell>
        </row>
        <row r="49">
          <cell r="C49">
            <v>5079</v>
          </cell>
        </row>
        <row r="50">
          <cell r="C50">
            <v>5102</v>
          </cell>
        </row>
        <row r="51">
          <cell r="C51">
            <v>980</v>
          </cell>
        </row>
        <row r="52">
          <cell r="C52">
            <v>2136</v>
          </cell>
        </row>
        <row r="53">
          <cell r="C53">
            <v>743</v>
          </cell>
        </row>
        <row r="54">
          <cell r="C54">
            <v>909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38</v>
      </c>
    </row>
    <row r="2" spans="1:11" x14ac:dyDescent="0.25">
      <c r="B2">
        <v>2026</v>
      </c>
      <c r="J2" t="s">
        <v>39</v>
      </c>
      <c r="K2" t="s">
        <v>6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7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38</v>
      </c>
    </row>
    <row r="15" spans="1:11" x14ac:dyDescent="0.25">
      <c r="B15">
        <v>2026</v>
      </c>
      <c r="J15" t="s">
        <v>39</v>
      </c>
      <c r="K15" t="s">
        <v>6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8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E62"/>
  <sheetViews>
    <sheetView workbookViewId="0">
      <selection activeCell="E55" sqref="E55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5" ht="21" x14ac:dyDescent="0.35">
      <c r="B1" s="8" t="s">
        <v>60</v>
      </c>
      <c r="C1" s="2" t="str">
        <f>'[1]VENTAS CONSOLIDADA ZULIA'!C1</f>
        <v>INICIO VENTAS</v>
      </c>
      <c r="D1" s="3">
        <f>'[1]VENTAS CONSOLIDADA ZULIA'!D1</f>
        <v>46266</v>
      </c>
    </row>
    <row r="2" spans="1:5" x14ac:dyDescent="0.25">
      <c r="B2" s="9" t="s">
        <v>55</v>
      </c>
      <c r="C2" s="2" t="str">
        <f>'[1]VENTAS CONSOLIDADA ZULIA'!C2</f>
        <v>TRASCURSO VENTAS</v>
      </c>
      <c r="D2" s="3">
        <f ca="1">'[1]VENTAS CONSOLIDADA ZULIA'!D2</f>
        <v>46289</v>
      </c>
      <c r="E2" s="4">
        <f ca="1">'[1]VENTAS CONSOLIDADA ZULIA'!E2</f>
        <v>17</v>
      </c>
    </row>
    <row r="3" spans="1:5" x14ac:dyDescent="0.25">
      <c r="B3" s="9"/>
      <c r="C3" s="2" t="str">
        <f>'[1]VENTAS CONSOLIDADA ZULIA'!C3</f>
        <v>FINAL VENTAS</v>
      </c>
      <c r="D3" s="3">
        <f>'[1]VENTAS CONSOLIDADA ZULIA'!D3</f>
        <v>46295</v>
      </c>
      <c r="E3" s="4">
        <f ca="1">'[1]VENTAS CONSOLIDADA ZULIA'!E3</f>
        <v>5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ZULIA'!C8</f>
        <v>497</v>
      </c>
      <c r="D8" s="5">
        <f t="shared" ref="D8:D54" ca="1" si="0">C8/$E$2</f>
        <v>29.235294117647058</v>
      </c>
      <c r="E8" s="5">
        <f ca="1">D8*($E$2+$E$3)</f>
        <v>643.17647058823525</v>
      </c>
    </row>
    <row r="9" spans="1:5" x14ac:dyDescent="0.25">
      <c r="A9">
        <v>110151</v>
      </c>
      <c r="B9" t="s">
        <v>5</v>
      </c>
      <c r="C9">
        <f>'[1]VENTAS CONSOLIDADA ZULIA'!C9</f>
        <v>66</v>
      </c>
      <c r="D9" s="5">
        <f t="shared" ca="1" si="0"/>
        <v>3.8823529411764706</v>
      </c>
      <c r="E9" s="5">
        <f t="shared" ref="E9:E54" ca="1" si="1">D9*($E$2+$E$3)</f>
        <v>85.411764705882348</v>
      </c>
    </row>
    <row r="10" spans="1:5" x14ac:dyDescent="0.25">
      <c r="A10">
        <v>110230</v>
      </c>
      <c r="B10" t="s">
        <v>1</v>
      </c>
      <c r="C10">
        <f>'[1]VENTAS CONSOLIDADA ZULIA'!C10</f>
        <v>154</v>
      </c>
      <c r="D10" s="5">
        <f t="shared" ca="1" si="0"/>
        <v>9.0588235294117645</v>
      </c>
      <c r="E10" s="5">
        <f t="shared" ca="1" si="1"/>
        <v>199.29411764705881</v>
      </c>
    </row>
    <row r="11" spans="1:5" x14ac:dyDescent="0.25">
      <c r="A11">
        <v>110400</v>
      </c>
      <c r="B11" t="s">
        <v>13</v>
      </c>
      <c r="C11">
        <f>'[1]VENTAS CONSOLIDADA ZULIA'!C11</f>
        <v>57</v>
      </c>
      <c r="D11" s="5">
        <f t="shared" ca="1" si="0"/>
        <v>3.3529411764705883</v>
      </c>
      <c r="E11" s="5">
        <f t="shared" ca="1" si="1"/>
        <v>73.764705882352942</v>
      </c>
    </row>
    <row r="12" spans="1:5" x14ac:dyDescent="0.25">
      <c r="A12">
        <v>111000</v>
      </c>
      <c r="B12" t="s">
        <v>14</v>
      </c>
      <c r="C12">
        <f>'[1]VENTAS CONSOLIDADA ZULIA'!C12</f>
        <v>9</v>
      </c>
      <c r="D12" s="5">
        <f t="shared" ca="1" si="0"/>
        <v>0.52941176470588236</v>
      </c>
      <c r="E12" s="5">
        <f t="shared" ca="1" si="1"/>
        <v>11.647058823529411</v>
      </c>
    </row>
    <row r="13" spans="1:5" x14ac:dyDescent="0.25">
      <c r="A13">
        <v>120130</v>
      </c>
      <c r="B13" t="s">
        <v>15</v>
      </c>
      <c r="C13">
        <f>'[1]VENTAS CONSOLIDADA ZULIA'!C13</f>
        <v>230</v>
      </c>
      <c r="D13" s="5">
        <f t="shared" ca="1" si="0"/>
        <v>13.529411764705882</v>
      </c>
      <c r="E13" s="5">
        <f t="shared" ca="1" si="1"/>
        <v>297.64705882352939</v>
      </c>
    </row>
    <row r="14" spans="1:5" x14ac:dyDescent="0.25">
      <c r="A14">
        <v>120131</v>
      </c>
      <c r="B14" t="s">
        <v>23</v>
      </c>
      <c r="C14">
        <f>'[1]VENTAS CONSOLIDADA ZULIA'!C14</f>
        <v>174</v>
      </c>
      <c r="D14" s="5">
        <f t="shared" ca="1" si="0"/>
        <v>10.235294117647058</v>
      </c>
      <c r="E14" s="5">
        <f t="shared" ca="1" si="1"/>
        <v>225.17647058823528</v>
      </c>
    </row>
    <row r="15" spans="1:5" x14ac:dyDescent="0.25">
      <c r="A15">
        <v>120132</v>
      </c>
      <c r="B15" t="s">
        <v>21</v>
      </c>
      <c r="C15">
        <f>'[1]VENTAS CONSOLIDADA ZULIA'!C15</f>
        <v>219</v>
      </c>
      <c r="D15" s="5">
        <f t="shared" ca="1" si="0"/>
        <v>12.882352941176471</v>
      </c>
      <c r="E15" s="5">
        <f t="shared" ca="1" si="1"/>
        <v>283.41176470588238</v>
      </c>
    </row>
    <row r="16" spans="1:5" x14ac:dyDescent="0.25">
      <c r="A16">
        <v>130150</v>
      </c>
      <c r="B16" t="s">
        <v>0</v>
      </c>
      <c r="C16">
        <f>'[1]VENTAS CONSOLIDADA ZULIA'!C16</f>
        <v>318</v>
      </c>
      <c r="D16" s="5">
        <f t="shared" ca="1" si="0"/>
        <v>18.705882352941178</v>
      </c>
      <c r="E16" s="5">
        <f t="shared" ca="1" si="1"/>
        <v>411.52941176470591</v>
      </c>
    </row>
    <row r="17" spans="1:5" x14ac:dyDescent="0.25">
      <c r="A17">
        <v>130151</v>
      </c>
      <c r="B17" t="s">
        <v>4</v>
      </c>
      <c r="C17">
        <f>'[1]VENTAS CONSOLIDADA ZULIA'!C17</f>
        <v>92</v>
      </c>
      <c r="D17" s="5">
        <f t="shared" ca="1" si="0"/>
        <v>5.4117647058823533</v>
      </c>
      <c r="E17" s="5">
        <f t="shared" ca="1" si="1"/>
        <v>119.05882352941177</v>
      </c>
    </row>
    <row r="18" spans="1:5" x14ac:dyDescent="0.25">
      <c r="A18">
        <v>130152</v>
      </c>
      <c r="B18" t="s">
        <v>51</v>
      </c>
      <c r="C18">
        <f>'[1]VENTAS CONSOLIDADA ZULIA'!C18</f>
        <v>911</v>
      </c>
      <c r="D18" s="5">
        <f t="shared" ca="1" si="0"/>
        <v>53.588235294117645</v>
      </c>
      <c r="E18" s="5">
        <f t="shared" ca="1" si="1"/>
        <v>1178.9411764705883</v>
      </c>
    </row>
    <row r="19" spans="1:5" x14ac:dyDescent="0.25">
      <c r="A19">
        <v>130153</v>
      </c>
      <c r="B19" t="s">
        <v>52</v>
      </c>
      <c r="C19">
        <f>'[1]VENTAS CONSOLIDADA ZULIA'!C19</f>
        <v>636</v>
      </c>
      <c r="D19" s="5">
        <f t="shared" ca="1" si="0"/>
        <v>37.411764705882355</v>
      </c>
      <c r="E19" s="5">
        <f t="shared" ca="1" si="1"/>
        <v>823.05882352941182</v>
      </c>
    </row>
    <row r="20" spans="1:5" x14ac:dyDescent="0.25">
      <c r="A20">
        <v>130154</v>
      </c>
      <c r="B20" t="s">
        <v>53</v>
      </c>
      <c r="C20">
        <f>'[1]VENTAS CONSOLIDADA ZULIA'!C20</f>
        <v>452</v>
      </c>
      <c r="D20" s="5">
        <f t="shared" ca="1" si="0"/>
        <v>26.588235294117649</v>
      </c>
      <c r="E20" s="5">
        <f t="shared" ca="1" si="1"/>
        <v>584.94117647058829</v>
      </c>
    </row>
    <row r="21" spans="1:5" x14ac:dyDescent="0.25">
      <c r="A21">
        <v>130155</v>
      </c>
      <c r="B21" t="s">
        <v>16</v>
      </c>
      <c r="C21">
        <f>'[1]VENTAS CONSOLIDADA ZULIA'!C21</f>
        <v>717</v>
      </c>
      <c r="D21" s="5">
        <f t="shared" ca="1" si="0"/>
        <v>42.176470588235297</v>
      </c>
      <c r="E21" s="5">
        <f t="shared" ca="1" si="1"/>
        <v>927.88235294117658</v>
      </c>
    </row>
    <row r="22" spans="1:5" x14ac:dyDescent="0.25">
      <c r="A22">
        <v>130157</v>
      </c>
      <c r="B22" t="s">
        <v>43</v>
      </c>
      <c r="C22">
        <f>'[1]VENTAS CONSOLIDADA ZULIA'!C22</f>
        <v>206</v>
      </c>
      <c r="D22" s="5">
        <f t="shared" ca="1" si="0"/>
        <v>12.117647058823529</v>
      </c>
      <c r="E22" s="5">
        <f t="shared" ca="1" si="1"/>
        <v>266.58823529411762</v>
      </c>
    </row>
    <row r="23" spans="1:5" x14ac:dyDescent="0.25">
      <c r="A23">
        <v>130158</v>
      </c>
      <c r="B23" t="s">
        <v>44</v>
      </c>
      <c r="C23">
        <f>'[1]VENTAS CONSOLIDADA ZULIA'!C23</f>
        <v>293</v>
      </c>
      <c r="D23" s="5">
        <f t="shared" ca="1" si="0"/>
        <v>17.235294117647058</v>
      </c>
      <c r="E23" s="5">
        <f t="shared" ca="1" si="1"/>
        <v>379.17647058823525</v>
      </c>
    </row>
    <row r="24" spans="1:5" x14ac:dyDescent="0.25">
      <c r="A24">
        <v>130159</v>
      </c>
      <c r="B24" t="s">
        <v>45</v>
      </c>
      <c r="C24">
        <f>'[1]VENTAS CONSOLIDADA ZULIA'!C24</f>
        <v>281</v>
      </c>
      <c r="D24" s="5">
        <f t="shared" ca="1" si="0"/>
        <v>16.529411764705884</v>
      </c>
      <c r="E24" s="5">
        <f t="shared" ca="1" si="1"/>
        <v>363.64705882352945</v>
      </c>
    </row>
    <row r="25" spans="1:5" x14ac:dyDescent="0.25">
      <c r="A25">
        <v>130700</v>
      </c>
      <c r="B25" t="s">
        <v>3</v>
      </c>
      <c r="C25">
        <f>'[1]VENTAS CONSOLIDADA ZULIA'!C25</f>
        <v>93</v>
      </c>
      <c r="D25" s="5">
        <f t="shared" ca="1" si="0"/>
        <v>5.4705882352941178</v>
      </c>
      <c r="E25" s="5">
        <f t="shared" ca="1" si="1"/>
        <v>120.35294117647059</v>
      </c>
    </row>
    <row r="26" spans="1:5" x14ac:dyDescent="0.25">
      <c r="A26">
        <v>130701</v>
      </c>
      <c r="B26" t="s">
        <v>30</v>
      </c>
      <c r="C26">
        <f>'[1]VENTAS CONSOLIDADA ZULIA'!C26</f>
        <v>24</v>
      </c>
      <c r="D26" s="5">
        <f t="shared" ca="1" si="0"/>
        <v>1.411764705882353</v>
      </c>
      <c r="E26" s="5">
        <f t="shared" ca="1" si="1"/>
        <v>31.058823529411768</v>
      </c>
    </row>
    <row r="27" spans="1:5" x14ac:dyDescent="0.25">
      <c r="A27">
        <v>130702</v>
      </c>
      <c r="B27" t="s">
        <v>12</v>
      </c>
      <c r="C27">
        <f>'[1]VENTAS CONSOLIDADA ZULIA'!C27</f>
        <v>67</v>
      </c>
      <c r="D27" s="5">
        <f t="shared" ca="1" si="0"/>
        <v>3.9411764705882355</v>
      </c>
      <c r="E27" s="5">
        <f t="shared" ca="1" si="1"/>
        <v>86.705882352941188</v>
      </c>
    </row>
    <row r="28" spans="1:5" x14ac:dyDescent="0.25">
      <c r="A28">
        <v>130703</v>
      </c>
      <c r="B28" t="s">
        <v>17</v>
      </c>
      <c r="C28">
        <f>'[1]VENTAS CONSOLIDADA ZULIA'!C28</f>
        <v>226</v>
      </c>
      <c r="D28" s="5">
        <f t="shared" ca="1" si="0"/>
        <v>13.294117647058824</v>
      </c>
      <c r="E28" s="5">
        <f t="shared" ca="1" si="1"/>
        <v>292.47058823529414</v>
      </c>
    </row>
    <row r="29" spans="1:5" x14ac:dyDescent="0.25">
      <c r="A29">
        <v>130707</v>
      </c>
      <c r="B29" t="s">
        <v>42</v>
      </c>
      <c r="C29">
        <f>'[1]VENTAS CONSOLIDADA ZULIA'!C29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ZULIA'!C30</f>
        <v>224</v>
      </c>
      <c r="D30" s="5">
        <f t="shared" ca="1" si="0"/>
        <v>13.176470588235293</v>
      </c>
      <c r="E30" s="5">
        <f t="shared" ca="1" si="1"/>
        <v>289.88235294117646</v>
      </c>
    </row>
    <row r="31" spans="1:5" x14ac:dyDescent="0.25">
      <c r="A31">
        <v>131151</v>
      </c>
      <c r="B31" t="s">
        <v>19</v>
      </c>
      <c r="C31">
        <f>'[1]VENTAS CONSOLIDADA ZULIA'!C31</f>
        <v>424</v>
      </c>
      <c r="D31" s="5">
        <f t="shared" ca="1" si="0"/>
        <v>24.941176470588236</v>
      </c>
      <c r="E31" s="5">
        <f t="shared" ca="1" si="1"/>
        <v>548.70588235294122</v>
      </c>
    </row>
    <row r="32" spans="1:5" x14ac:dyDescent="0.25">
      <c r="A32">
        <v>131152</v>
      </c>
      <c r="B32" t="s">
        <v>32</v>
      </c>
      <c r="C32">
        <f>'[1]VENTAS CONSOLIDADA ZULIA'!C32</f>
        <v>246</v>
      </c>
      <c r="D32" s="5">
        <f t="shared" ca="1" si="0"/>
        <v>14.470588235294118</v>
      </c>
      <c r="E32" s="5">
        <f t="shared" ca="1" si="1"/>
        <v>318.35294117647061</v>
      </c>
    </row>
    <row r="33" spans="1:5" x14ac:dyDescent="0.25">
      <c r="A33">
        <v>131153</v>
      </c>
      <c r="B33" t="s">
        <v>11</v>
      </c>
      <c r="C33">
        <f>'[1]VENTAS CONSOLIDADA ZULIA'!C33</f>
        <v>435</v>
      </c>
      <c r="D33" s="5">
        <f t="shared" ca="1" si="0"/>
        <v>25.588235294117649</v>
      </c>
      <c r="E33" s="5">
        <f t="shared" ca="1" si="1"/>
        <v>562.94117647058829</v>
      </c>
    </row>
    <row r="34" spans="1:5" x14ac:dyDescent="0.25">
      <c r="A34">
        <v>131154</v>
      </c>
      <c r="B34" t="s">
        <v>48</v>
      </c>
      <c r="C34">
        <f>'[1]VENTAS CONSOLIDADA ZULIA'!C34</f>
        <v>71</v>
      </c>
      <c r="D34" s="5">
        <f t="shared" ca="1" si="0"/>
        <v>4.1764705882352944</v>
      </c>
      <c r="E34" s="5">
        <f t="shared" ca="1" si="1"/>
        <v>91.882352941176478</v>
      </c>
    </row>
    <row r="35" spans="1:5" x14ac:dyDescent="0.25">
      <c r="A35">
        <v>131155</v>
      </c>
      <c r="B35" t="s">
        <v>57</v>
      </c>
      <c r="C35">
        <f>'[1]VENTAS CONSOLIDADA ZULIA'!C35</f>
        <v>69</v>
      </c>
      <c r="D35" s="5">
        <f t="shared" ca="1" si="0"/>
        <v>4.0588235294117645</v>
      </c>
      <c r="E35" s="5">
        <f t="shared" ca="1" si="1"/>
        <v>89.294117647058812</v>
      </c>
    </row>
    <row r="36" spans="1:5" x14ac:dyDescent="0.25">
      <c r="A36">
        <v>131700</v>
      </c>
      <c r="B36" t="s">
        <v>20</v>
      </c>
      <c r="C36">
        <f>'[1]VENTAS CONSOLIDADA ZULIA'!C36</f>
        <v>82</v>
      </c>
      <c r="D36" s="5">
        <f t="shared" ca="1" si="0"/>
        <v>4.8235294117647056</v>
      </c>
      <c r="E36" s="5">
        <f t="shared" ca="1" si="1"/>
        <v>106.11764705882352</v>
      </c>
    </row>
    <row r="37" spans="1:5" x14ac:dyDescent="0.25">
      <c r="A37">
        <v>131701</v>
      </c>
      <c r="B37" t="s">
        <v>24</v>
      </c>
      <c r="C37">
        <f>'[1]VENTAS CONSOLIDADA ZULIA'!C37</f>
        <v>59</v>
      </c>
      <c r="D37" s="5">
        <f t="shared" ca="1" si="0"/>
        <v>3.4705882352941178</v>
      </c>
      <c r="E37" s="5">
        <f t="shared" ca="1" si="1"/>
        <v>76.352941176470594</v>
      </c>
    </row>
    <row r="38" spans="1:5" x14ac:dyDescent="0.25">
      <c r="A38">
        <v>132150</v>
      </c>
      <c r="B38" t="s">
        <v>25</v>
      </c>
      <c r="C38">
        <f>'[1]VENTAS CONSOLIDADA ZULIA'!C38</f>
        <v>465</v>
      </c>
      <c r="D38" s="5">
        <f t="shared" ca="1" si="0"/>
        <v>27.352941176470587</v>
      </c>
      <c r="E38" s="5">
        <f t="shared" ca="1" si="1"/>
        <v>601.76470588235293</v>
      </c>
    </row>
    <row r="39" spans="1:5" x14ac:dyDescent="0.25">
      <c r="A39">
        <v>132151</v>
      </c>
      <c r="B39" t="s">
        <v>26</v>
      </c>
      <c r="C39">
        <f>'[1]VENTAS CONSOLIDADA ZULIA'!C39</f>
        <v>449</v>
      </c>
      <c r="D39" s="5">
        <f t="shared" ca="1" si="0"/>
        <v>26.411764705882351</v>
      </c>
      <c r="E39" s="5">
        <f t="shared" ca="1" si="1"/>
        <v>581.05882352941171</v>
      </c>
    </row>
    <row r="40" spans="1:5" x14ac:dyDescent="0.25">
      <c r="A40">
        <v>132152</v>
      </c>
      <c r="B40" t="s">
        <v>27</v>
      </c>
      <c r="C40">
        <f>'[1]VENTAS CONSOLIDADA ZULIA'!C40</f>
        <v>413</v>
      </c>
      <c r="D40" s="5">
        <f t="shared" ca="1" si="0"/>
        <v>24.294117647058822</v>
      </c>
      <c r="E40" s="5">
        <f t="shared" ca="1" si="1"/>
        <v>534.47058823529414</v>
      </c>
    </row>
    <row r="41" spans="1:5" x14ac:dyDescent="0.25">
      <c r="A41">
        <v>132153</v>
      </c>
      <c r="B41" t="s">
        <v>40</v>
      </c>
      <c r="C41">
        <f>'[1]VENTAS CONSOLIDADA ZULIA'!C41</f>
        <v>426</v>
      </c>
      <c r="D41" s="5">
        <f t="shared" ca="1" si="0"/>
        <v>25.058823529411764</v>
      </c>
      <c r="E41" s="5">
        <f t="shared" ca="1" si="1"/>
        <v>551.29411764705878</v>
      </c>
    </row>
    <row r="42" spans="1:5" x14ac:dyDescent="0.25">
      <c r="A42">
        <v>134000</v>
      </c>
      <c r="B42" t="s">
        <v>35</v>
      </c>
      <c r="C42">
        <f>'[1]VENTAS CONSOLIDADA ZULIA'!C42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ZULIA'!C43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ZULIA'!C44</f>
        <v>85</v>
      </c>
      <c r="D44" s="5">
        <f t="shared" ca="1" si="0"/>
        <v>5</v>
      </c>
      <c r="E44" s="5">
        <f t="shared" ca="1" si="1"/>
        <v>110</v>
      </c>
    </row>
    <row r="45" spans="1:5" x14ac:dyDescent="0.25">
      <c r="A45">
        <v>140231</v>
      </c>
      <c r="B45" t="s">
        <v>10</v>
      </c>
      <c r="C45">
        <f>'[1]VENTAS CONSOLIDADA ZULIA'!C45</f>
        <v>199</v>
      </c>
      <c r="D45" s="5">
        <f t="shared" ca="1" si="0"/>
        <v>11.705882352941176</v>
      </c>
      <c r="E45" s="5">
        <f t="shared" ca="1" si="1"/>
        <v>257.52941176470586</v>
      </c>
    </row>
    <row r="46" spans="1:5" x14ac:dyDescent="0.25">
      <c r="A46">
        <v>140232</v>
      </c>
      <c r="B46" t="s">
        <v>9</v>
      </c>
      <c r="C46">
        <f>'[1]VENTAS CONSOLIDADA ZULIA'!C46</f>
        <v>72</v>
      </c>
      <c r="D46" s="5">
        <f t="shared" ca="1" si="0"/>
        <v>4.2352941176470589</v>
      </c>
      <c r="E46" s="5">
        <f t="shared" ca="1" si="1"/>
        <v>93.17647058823529</v>
      </c>
    </row>
    <row r="47" spans="1:5" x14ac:dyDescent="0.25">
      <c r="A47">
        <v>150360</v>
      </c>
      <c r="B47" t="s">
        <v>28</v>
      </c>
      <c r="C47">
        <f>'[1]VENTAS CONSOLIDADA ZULIA'!C47</f>
        <v>23</v>
      </c>
      <c r="D47" s="5">
        <f t="shared" ca="1" si="0"/>
        <v>1.3529411764705883</v>
      </c>
      <c r="E47" s="5">
        <f t="shared" ca="1" si="1"/>
        <v>29.764705882352942</v>
      </c>
    </row>
    <row r="48" spans="1:5" x14ac:dyDescent="0.25">
      <c r="A48">
        <v>150361</v>
      </c>
      <c r="B48" t="s">
        <v>29</v>
      </c>
      <c r="C48">
        <f>'[1]VENTAS CONSOLIDADA ZULIA'!C48</f>
        <v>110</v>
      </c>
      <c r="D48" s="5">
        <f t="shared" ca="1" si="0"/>
        <v>6.4705882352941178</v>
      </c>
      <c r="E48" s="5">
        <f t="shared" ca="1" si="1"/>
        <v>142.35294117647058</v>
      </c>
    </row>
    <row r="49" spans="1:5" x14ac:dyDescent="0.25">
      <c r="A49">
        <v>150362</v>
      </c>
      <c r="B49" t="s">
        <v>36</v>
      </c>
      <c r="C49">
        <f>'[1]VENTAS CONSOLIDADA ZULIA'!C49</f>
        <v>134</v>
      </c>
      <c r="D49" s="5">
        <f t="shared" ca="1" si="0"/>
        <v>7.882352941176471</v>
      </c>
      <c r="E49" s="5">
        <f t="shared" ca="1" si="1"/>
        <v>173.41176470588238</v>
      </c>
    </row>
    <row r="50" spans="1:5" x14ac:dyDescent="0.25">
      <c r="A50">
        <v>150363</v>
      </c>
      <c r="B50" t="s">
        <v>31</v>
      </c>
      <c r="C50">
        <f>'[1]VENTAS CONSOLIDADA ZULIA'!C50</f>
        <v>140</v>
      </c>
      <c r="D50" s="5">
        <f t="shared" ca="1" si="0"/>
        <v>8.235294117647058</v>
      </c>
      <c r="E50" s="5">
        <f t="shared" ca="1" si="1"/>
        <v>181.17647058823528</v>
      </c>
    </row>
    <row r="51" spans="1:5" x14ac:dyDescent="0.25">
      <c r="A51">
        <v>151500</v>
      </c>
      <c r="B51" t="s">
        <v>41</v>
      </c>
      <c r="C51">
        <f>'[1]VENTAS CONSOLIDADA ZULIA'!C51</f>
        <v>31</v>
      </c>
      <c r="D51" s="5">
        <f t="shared" ca="1" si="0"/>
        <v>1.8235294117647058</v>
      </c>
      <c r="E51" s="5">
        <f t="shared" ca="1" si="1"/>
        <v>40.117647058823529</v>
      </c>
    </row>
    <row r="52" spans="1:5" x14ac:dyDescent="0.25">
      <c r="A52">
        <v>151501</v>
      </c>
      <c r="B52" t="s">
        <v>33</v>
      </c>
      <c r="C52">
        <f>'[1]VENTAS CONSOLIDADA ZULIA'!C52</f>
        <v>32</v>
      </c>
      <c r="D52" s="5">
        <f t="shared" ca="1" si="0"/>
        <v>1.8823529411764706</v>
      </c>
      <c r="E52" s="5">
        <f t="shared" ca="1" si="1"/>
        <v>41.411764705882355</v>
      </c>
    </row>
    <row r="53" spans="1:5" x14ac:dyDescent="0.25">
      <c r="A53">
        <v>151502</v>
      </c>
      <c r="B53" t="s">
        <v>37</v>
      </c>
      <c r="C53">
        <f>'[1]VENTAS CONSOLIDADA ZULIA'!C53</f>
        <v>27</v>
      </c>
      <c r="D53" s="5">
        <f t="shared" ca="1" si="0"/>
        <v>1.588235294117647</v>
      </c>
      <c r="E53" s="5">
        <f t="shared" ca="1" si="1"/>
        <v>34.941176470588232</v>
      </c>
    </row>
    <row r="54" spans="1:5" x14ac:dyDescent="0.25">
      <c r="A54">
        <v>151503</v>
      </c>
      <c r="B54" t="s">
        <v>34</v>
      </c>
      <c r="C54">
        <f>'[1]VENTAS CONSOLIDADA ZULIA'!C54</f>
        <v>15</v>
      </c>
      <c r="D54" s="5">
        <f t="shared" ca="1" si="0"/>
        <v>0.88235294117647056</v>
      </c>
      <c r="E54" s="5">
        <f t="shared" ca="1" si="1"/>
        <v>19.411764705882351</v>
      </c>
    </row>
    <row r="55" spans="1:5" x14ac:dyDescent="0.25">
      <c r="D55" s="5">
        <f ca="1">SUM(D8:D54)</f>
        <v>585.47058823529449</v>
      </c>
      <c r="E55" s="5">
        <f ca="1">SUM(E8:E54)</f>
        <v>12880.352941176474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E63"/>
  <sheetViews>
    <sheetView workbookViewId="0">
      <selection activeCell="D55" sqref="D55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46</v>
      </c>
      <c r="C1" s="2" t="str">
        <f>'[1]VENTAS CONSOLIDADA VALENCIA'!C1</f>
        <v>INICIO VENTAS</v>
      </c>
      <c r="D1" s="3">
        <f>'[1]VENTAS CONSOLIDADA VALENCIA'!D1</f>
        <v>46266</v>
      </c>
    </row>
    <row r="2" spans="1:5" x14ac:dyDescent="0.25">
      <c r="B2" s="9" t="s">
        <v>55</v>
      </c>
      <c r="C2" s="2" t="str">
        <f>'[1]VENTAS CONSOLIDADA VALENCIA'!C2</f>
        <v>TRASCURSO VENTAS</v>
      </c>
      <c r="D2" s="3">
        <f ca="1">'[1]VENTAS CONSOLIDADA VALENCIA'!D2</f>
        <v>46289</v>
      </c>
      <c r="E2" s="4">
        <f ca="1">'[1]VENTAS CONSOLIDADA VALENCIA'!E2</f>
        <v>17</v>
      </c>
    </row>
    <row r="3" spans="1:5" x14ac:dyDescent="0.25">
      <c r="B3" s="9"/>
      <c r="C3" s="2" t="str">
        <f>'[1]VENTAS CONSOLIDADA VALENCIA'!C3</f>
        <v>FINAL VENTAS</v>
      </c>
      <c r="D3" s="3">
        <f>'[1]VENTAS CONSOLIDADA VALENCIA'!D3</f>
        <v>46295</v>
      </c>
      <c r="E3" s="4">
        <f ca="1">'[1]VENTAS CONSOLIDADA VALENCIA'!E3</f>
        <v>5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VALENCIA'!C8</f>
        <v>4262</v>
      </c>
      <c r="D8" s="5">
        <f t="shared" ref="D8:D54" ca="1" si="0">C8/$E$2</f>
        <v>250.70588235294119</v>
      </c>
      <c r="E8" s="5">
        <f ca="1">D8*($E$2+$E$3)</f>
        <v>5515.5294117647063</v>
      </c>
    </row>
    <row r="9" spans="1:5" x14ac:dyDescent="0.25">
      <c r="A9">
        <v>110151</v>
      </c>
      <c r="B9" t="s">
        <v>5</v>
      </c>
      <c r="C9">
        <f>'[1]VENTAS CONSOLIDADA VALENCIA'!C9</f>
        <v>249</v>
      </c>
      <c r="D9" s="5">
        <f t="shared" ca="1" si="0"/>
        <v>14.647058823529411</v>
      </c>
      <c r="E9" s="5">
        <f t="shared" ref="E9:E54" ca="1" si="1">D9*($E$2+$E$3)</f>
        <v>322.23529411764707</v>
      </c>
    </row>
    <row r="10" spans="1:5" x14ac:dyDescent="0.25">
      <c r="A10">
        <v>110230</v>
      </c>
      <c r="B10" t="s">
        <v>1</v>
      </c>
      <c r="C10">
        <f>'[1]VENTAS CONSOLIDADA VALENCIA'!C10</f>
        <v>1916</v>
      </c>
      <c r="D10" s="5">
        <f t="shared" ca="1" si="0"/>
        <v>112.70588235294117</v>
      </c>
      <c r="E10" s="5">
        <f t="shared" ca="1" si="1"/>
        <v>2479.5294117647059</v>
      </c>
    </row>
    <row r="11" spans="1:5" x14ac:dyDescent="0.25">
      <c r="A11">
        <v>110400</v>
      </c>
      <c r="B11" t="s">
        <v>13</v>
      </c>
      <c r="C11">
        <f>'[1]VENTAS CONSOLIDADA VALENCIA'!C11</f>
        <v>469</v>
      </c>
      <c r="D11" s="5">
        <f t="shared" ca="1" si="0"/>
        <v>27.588235294117649</v>
      </c>
      <c r="E11" s="5">
        <f t="shared" ca="1" si="1"/>
        <v>606.94117647058829</v>
      </c>
    </row>
    <row r="12" spans="1:5" x14ac:dyDescent="0.25">
      <c r="A12">
        <v>111000</v>
      </c>
      <c r="B12" t="s">
        <v>14</v>
      </c>
      <c r="C12">
        <f>'[1]VENTAS CONSOLIDADA VALENCIA'!C12</f>
        <v>38</v>
      </c>
      <c r="D12" s="5">
        <f t="shared" ca="1" si="0"/>
        <v>2.2352941176470589</v>
      </c>
      <c r="E12" s="5">
        <f t="shared" ca="1" si="1"/>
        <v>49.176470588235297</v>
      </c>
    </row>
    <row r="13" spans="1:5" x14ac:dyDescent="0.25">
      <c r="A13">
        <v>120130</v>
      </c>
      <c r="B13" t="s">
        <v>15</v>
      </c>
      <c r="C13">
        <f>'[1]VENTAS CONSOLIDADA VALENCIA'!C13</f>
        <v>5795</v>
      </c>
      <c r="D13" s="5">
        <f t="shared" ca="1" si="0"/>
        <v>340.88235294117646</v>
      </c>
      <c r="E13" s="5">
        <f t="shared" ca="1" si="1"/>
        <v>7499.411764705882</v>
      </c>
    </row>
    <row r="14" spans="1:5" x14ac:dyDescent="0.25">
      <c r="A14">
        <v>120131</v>
      </c>
      <c r="B14" t="s">
        <v>23</v>
      </c>
      <c r="C14">
        <f>'[1]VENTAS CONSOLIDADA VALENCIA'!C14</f>
        <v>964</v>
      </c>
      <c r="D14" s="5">
        <f t="shared" ca="1" si="0"/>
        <v>56.705882352941174</v>
      </c>
      <c r="E14" s="5">
        <f t="shared" ca="1" si="1"/>
        <v>1247.5294117647059</v>
      </c>
    </row>
    <row r="15" spans="1:5" x14ac:dyDescent="0.25">
      <c r="A15">
        <v>120132</v>
      </c>
      <c r="B15" t="s">
        <v>21</v>
      </c>
      <c r="C15">
        <f>'[1]VENTAS CONSOLIDADA VALENCIA'!C15</f>
        <v>2233</v>
      </c>
      <c r="D15" s="5">
        <f t="shared" ca="1" si="0"/>
        <v>131.35294117647058</v>
      </c>
      <c r="E15" s="5">
        <f t="shared" ca="1" si="1"/>
        <v>2889.7647058823527</v>
      </c>
    </row>
    <row r="16" spans="1:5" x14ac:dyDescent="0.25">
      <c r="A16">
        <v>130150</v>
      </c>
      <c r="B16" t="s">
        <v>0</v>
      </c>
      <c r="C16">
        <f>'[1]VENTAS CONSOLIDADA VALENCIA'!C16</f>
        <v>5846</v>
      </c>
      <c r="D16" s="5">
        <f t="shared" ca="1" si="0"/>
        <v>343.88235294117646</v>
      </c>
      <c r="E16" s="5">
        <f t="shared" ca="1" si="1"/>
        <v>7565.411764705882</v>
      </c>
    </row>
    <row r="17" spans="1:5" x14ac:dyDescent="0.25">
      <c r="A17">
        <v>130151</v>
      </c>
      <c r="B17" t="s">
        <v>4</v>
      </c>
      <c r="C17">
        <f>'[1]VENTAS CONSOLIDADA VALENCIA'!C17</f>
        <v>2660</v>
      </c>
      <c r="D17" s="5">
        <f t="shared" ca="1" si="0"/>
        <v>156.47058823529412</v>
      </c>
      <c r="E17" s="5">
        <f t="shared" ca="1" si="1"/>
        <v>3442.3529411764707</v>
      </c>
    </row>
    <row r="18" spans="1:5" x14ac:dyDescent="0.25">
      <c r="A18">
        <v>130152</v>
      </c>
      <c r="B18" t="s">
        <v>51</v>
      </c>
      <c r="C18">
        <f>'[1]VENTAS CONSOLIDADA VALENCIA'!C18</f>
        <v>16586</v>
      </c>
      <c r="D18" s="5">
        <f t="shared" ca="1" si="0"/>
        <v>975.64705882352939</v>
      </c>
      <c r="E18" s="5">
        <f t="shared" ca="1" si="1"/>
        <v>21464.235294117647</v>
      </c>
    </row>
    <row r="19" spans="1:5" x14ac:dyDescent="0.25">
      <c r="A19">
        <v>130153</v>
      </c>
      <c r="B19" t="s">
        <v>52</v>
      </c>
      <c r="C19">
        <f>'[1]VENTAS CONSOLIDADA VALENCIA'!C19</f>
        <v>10063</v>
      </c>
      <c r="D19" s="5">
        <f t="shared" ca="1" si="0"/>
        <v>591.94117647058829</v>
      </c>
      <c r="E19" s="5">
        <f t="shared" ca="1" si="1"/>
        <v>13022.705882352942</v>
      </c>
    </row>
    <row r="20" spans="1:5" x14ac:dyDescent="0.25">
      <c r="A20">
        <v>130154</v>
      </c>
      <c r="B20" t="s">
        <v>53</v>
      </c>
      <c r="C20">
        <f>'[1]VENTAS CONSOLIDADA VALENCIA'!C20</f>
        <v>10783</v>
      </c>
      <c r="D20" s="5">
        <f t="shared" ca="1" si="0"/>
        <v>634.29411764705878</v>
      </c>
      <c r="E20" s="5">
        <f t="shared" ca="1" si="1"/>
        <v>13954.470588235294</v>
      </c>
    </row>
    <row r="21" spans="1:5" x14ac:dyDescent="0.25">
      <c r="A21">
        <v>130155</v>
      </c>
      <c r="B21" t="s">
        <v>16</v>
      </c>
      <c r="C21">
        <f>'[1]VENTAS CONSOLIDADA VALENCIA'!C21</f>
        <v>12642</v>
      </c>
      <c r="D21" s="5">
        <f t="shared" ca="1" si="0"/>
        <v>743.64705882352939</v>
      </c>
      <c r="E21" s="5">
        <f t="shared" ca="1" si="1"/>
        <v>16360.235294117647</v>
      </c>
    </row>
    <row r="22" spans="1:5" x14ac:dyDescent="0.25">
      <c r="A22">
        <v>130157</v>
      </c>
      <c r="B22" t="s">
        <v>43</v>
      </c>
      <c r="C22">
        <f>'[1]VENTAS CONSOLIDADA VALENCIA'!C22</f>
        <v>3397</v>
      </c>
      <c r="D22" s="5">
        <f t="shared" ca="1" si="0"/>
        <v>199.8235294117647</v>
      </c>
      <c r="E22" s="5">
        <f t="shared" ca="1" si="1"/>
        <v>4396.1176470588234</v>
      </c>
    </row>
    <row r="23" spans="1:5" x14ac:dyDescent="0.25">
      <c r="A23">
        <v>130158</v>
      </c>
      <c r="B23" t="s">
        <v>44</v>
      </c>
      <c r="C23">
        <f>'[1]VENTAS CONSOLIDADA VALENCIA'!C23</f>
        <v>4773</v>
      </c>
      <c r="D23" s="5">
        <f t="shared" ca="1" si="0"/>
        <v>280.76470588235293</v>
      </c>
      <c r="E23" s="5">
        <f t="shared" ca="1" si="1"/>
        <v>6176.823529411764</v>
      </c>
    </row>
    <row r="24" spans="1:5" x14ac:dyDescent="0.25">
      <c r="A24">
        <v>130159</v>
      </c>
      <c r="B24" t="s">
        <v>45</v>
      </c>
      <c r="C24">
        <f>'[1]VENTAS CONSOLIDADA VALENCIA'!C24</f>
        <v>4627</v>
      </c>
      <c r="D24" s="5">
        <f t="shared" ca="1" si="0"/>
        <v>272.1764705882353</v>
      </c>
      <c r="E24" s="5">
        <f t="shared" ca="1" si="1"/>
        <v>5987.8823529411766</v>
      </c>
    </row>
    <row r="25" spans="1:5" x14ac:dyDescent="0.25">
      <c r="A25">
        <v>130700</v>
      </c>
      <c r="B25" t="s">
        <v>3</v>
      </c>
      <c r="C25">
        <f>'[1]VENTAS CONSOLIDADA VALENCIA'!C25</f>
        <v>2137</v>
      </c>
      <c r="D25" s="5">
        <f t="shared" ca="1" si="0"/>
        <v>125.70588235294117</v>
      </c>
      <c r="E25" s="5">
        <f t="shared" ca="1" si="1"/>
        <v>2765.5294117647059</v>
      </c>
    </row>
    <row r="26" spans="1:5" x14ac:dyDescent="0.25">
      <c r="A26">
        <v>130701</v>
      </c>
      <c r="B26" t="s">
        <v>30</v>
      </c>
      <c r="C26">
        <f>'[1]VENTAS CONSOLIDADA VALENCIA'!C26</f>
        <v>1206</v>
      </c>
      <c r="D26" s="5">
        <f t="shared" ca="1" si="0"/>
        <v>70.941176470588232</v>
      </c>
      <c r="E26" s="5">
        <f t="shared" ca="1" si="1"/>
        <v>1560.705882352941</v>
      </c>
    </row>
    <row r="27" spans="1:5" x14ac:dyDescent="0.25">
      <c r="A27">
        <v>130702</v>
      </c>
      <c r="B27" t="s">
        <v>12</v>
      </c>
      <c r="C27">
        <f>'[1]VENTAS CONSOLIDADA VALENCIA'!C27</f>
        <v>3211</v>
      </c>
      <c r="D27" s="5">
        <f t="shared" ca="1" si="0"/>
        <v>188.88235294117646</v>
      </c>
      <c r="E27" s="5">
        <f t="shared" ca="1" si="1"/>
        <v>4155.411764705882</v>
      </c>
    </row>
    <row r="28" spans="1:5" x14ac:dyDescent="0.25">
      <c r="A28">
        <v>130703</v>
      </c>
      <c r="B28" t="s">
        <v>17</v>
      </c>
      <c r="C28">
        <f>'[1]VENTAS CONSOLIDADA VALENCIA'!C28</f>
        <v>4712</v>
      </c>
      <c r="D28" s="5">
        <f t="shared" ca="1" si="0"/>
        <v>277.1764705882353</v>
      </c>
      <c r="E28" s="5">
        <f t="shared" ca="1" si="1"/>
        <v>6097.8823529411766</v>
      </c>
    </row>
    <row r="29" spans="1:5" x14ac:dyDescent="0.25">
      <c r="A29">
        <v>130707</v>
      </c>
      <c r="B29" t="s">
        <v>42</v>
      </c>
      <c r="C29">
        <f>'[1]VENTAS CONSOLIDADA VALENCIA'!C29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VALENCIA'!C30</f>
        <v>2924</v>
      </c>
      <c r="D30" s="5">
        <f t="shared" ca="1" si="0"/>
        <v>172</v>
      </c>
      <c r="E30" s="5">
        <f t="shared" ca="1" si="1"/>
        <v>3784</v>
      </c>
    </row>
    <row r="31" spans="1:5" x14ac:dyDescent="0.25">
      <c r="A31">
        <v>131151</v>
      </c>
      <c r="B31" t="s">
        <v>19</v>
      </c>
      <c r="C31">
        <f>'[1]VENTAS CONSOLIDADA VALENCIA'!C31</f>
        <v>3990</v>
      </c>
      <c r="D31" s="5">
        <f t="shared" ca="1" si="0"/>
        <v>234.70588235294119</v>
      </c>
      <c r="E31" s="5">
        <f t="shared" ca="1" si="1"/>
        <v>5163.5294117647063</v>
      </c>
    </row>
    <row r="32" spans="1:5" x14ac:dyDescent="0.25">
      <c r="A32">
        <v>131152</v>
      </c>
      <c r="B32" t="s">
        <v>32</v>
      </c>
      <c r="C32">
        <f>'[1]VENTAS CONSOLIDADA VALENCIA'!C32</f>
        <v>2445</v>
      </c>
      <c r="D32" s="5">
        <f t="shared" ca="1" si="0"/>
        <v>143.8235294117647</v>
      </c>
      <c r="E32" s="5">
        <f t="shared" ca="1" si="1"/>
        <v>3164.1176470588234</v>
      </c>
    </row>
    <row r="33" spans="1:5" x14ac:dyDescent="0.25">
      <c r="A33">
        <v>131153</v>
      </c>
      <c r="B33" t="s">
        <v>11</v>
      </c>
      <c r="C33">
        <f>'[1]VENTAS CONSOLIDADA VALENCIA'!C33</f>
        <v>1971</v>
      </c>
      <c r="D33" s="5">
        <f t="shared" ca="1" si="0"/>
        <v>115.94117647058823</v>
      </c>
      <c r="E33" s="5">
        <f t="shared" ca="1" si="1"/>
        <v>2550.705882352941</v>
      </c>
    </row>
    <row r="34" spans="1:5" x14ac:dyDescent="0.25">
      <c r="A34">
        <v>131154</v>
      </c>
      <c r="B34" t="s">
        <v>48</v>
      </c>
      <c r="C34">
        <f>'[1]VENTAS CONSOLIDADA VALENCIA'!C34</f>
        <v>990</v>
      </c>
      <c r="D34" s="5">
        <f t="shared" ca="1" si="0"/>
        <v>58.235294117647058</v>
      </c>
      <c r="E34" s="5">
        <f t="shared" ca="1" si="1"/>
        <v>1281.1764705882354</v>
      </c>
    </row>
    <row r="35" spans="1:5" x14ac:dyDescent="0.25">
      <c r="A35">
        <v>131155</v>
      </c>
      <c r="B35" t="s">
        <v>57</v>
      </c>
      <c r="C35">
        <f>'[1]VENTAS CONSOLIDADA VALENCIA'!C35</f>
        <v>1169</v>
      </c>
      <c r="D35" s="5">
        <f t="shared" ca="1" si="0"/>
        <v>68.764705882352942</v>
      </c>
      <c r="E35" s="5">
        <f t="shared" ca="1" si="1"/>
        <v>1512.8235294117646</v>
      </c>
    </row>
    <row r="36" spans="1:5" x14ac:dyDescent="0.25">
      <c r="A36">
        <v>131700</v>
      </c>
      <c r="B36" t="s">
        <v>20</v>
      </c>
      <c r="C36">
        <f>'[1]VENTAS CONSOLIDADA VALENCIA'!C36</f>
        <v>693</v>
      </c>
      <c r="D36" s="5">
        <f t="shared" ca="1" si="0"/>
        <v>40.764705882352942</v>
      </c>
      <c r="E36" s="5">
        <f t="shared" ca="1" si="1"/>
        <v>896.82352941176475</v>
      </c>
    </row>
    <row r="37" spans="1:5" x14ac:dyDescent="0.25">
      <c r="A37">
        <v>131701</v>
      </c>
      <c r="B37" t="s">
        <v>24</v>
      </c>
      <c r="C37">
        <f>'[1]VENTAS CONSOLIDADA VALENCIA'!C37</f>
        <v>697</v>
      </c>
      <c r="D37" s="5">
        <f t="shared" ca="1" si="0"/>
        <v>41</v>
      </c>
      <c r="E37" s="5">
        <f t="shared" ca="1" si="1"/>
        <v>902</v>
      </c>
    </row>
    <row r="38" spans="1:5" x14ac:dyDescent="0.25">
      <c r="A38">
        <v>132150</v>
      </c>
      <c r="B38" t="s">
        <v>25</v>
      </c>
      <c r="C38">
        <f>'[1]VENTAS CONSOLIDADA VALENCIA'!C38</f>
        <v>4166</v>
      </c>
      <c r="D38" s="5">
        <f t="shared" ca="1" si="0"/>
        <v>245.05882352941177</v>
      </c>
      <c r="E38" s="5">
        <f t="shared" ca="1" si="1"/>
        <v>5391.2941176470586</v>
      </c>
    </row>
    <row r="39" spans="1:5" x14ac:dyDescent="0.25">
      <c r="A39">
        <v>132151</v>
      </c>
      <c r="B39" t="s">
        <v>26</v>
      </c>
      <c r="C39">
        <f>'[1]VENTAS CONSOLIDADA VALENCIA'!C39</f>
        <v>3237</v>
      </c>
      <c r="D39" s="5">
        <f t="shared" ca="1" si="0"/>
        <v>190.41176470588235</v>
      </c>
      <c r="E39" s="5">
        <f t="shared" ca="1" si="1"/>
        <v>4189.0588235294117</v>
      </c>
    </row>
    <row r="40" spans="1:5" x14ac:dyDescent="0.25">
      <c r="A40">
        <v>132152</v>
      </c>
      <c r="B40" t="s">
        <v>27</v>
      </c>
      <c r="C40">
        <f>'[1]VENTAS CONSOLIDADA VALENCIA'!C40</f>
        <v>4334</v>
      </c>
      <c r="D40" s="5">
        <f t="shared" ca="1" si="0"/>
        <v>254.94117647058823</v>
      </c>
      <c r="E40" s="5">
        <f t="shared" ca="1" si="1"/>
        <v>5608.7058823529414</v>
      </c>
    </row>
    <row r="41" spans="1:5" x14ac:dyDescent="0.25">
      <c r="A41">
        <v>132153</v>
      </c>
      <c r="B41" t="s">
        <v>40</v>
      </c>
      <c r="C41">
        <f>'[1]VENTAS CONSOLIDADA VALENCIA'!C41</f>
        <v>2687</v>
      </c>
      <c r="D41" s="5">
        <f t="shared" ca="1" si="0"/>
        <v>158.05882352941177</v>
      </c>
      <c r="E41" s="5">
        <f t="shared" ca="1" si="1"/>
        <v>3477.294117647059</v>
      </c>
    </row>
    <row r="42" spans="1:5" x14ac:dyDescent="0.25">
      <c r="A42">
        <v>134000</v>
      </c>
      <c r="B42" t="s">
        <v>35</v>
      </c>
      <c r="C42">
        <f>'[1]VENTAS CONSOLIDADA VALENCIA'!C42</f>
        <v>50</v>
      </c>
      <c r="D42" s="5">
        <f t="shared" ca="1" si="0"/>
        <v>2.9411764705882355</v>
      </c>
      <c r="E42" s="5">
        <f t="shared" ca="1" si="1"/>
        <v>64.705882352941188</v>
      </c>
    </row>
    <row r="43" spans="1:5" x14ac:dyDescent="0.25">
      <c r="A43">
        <v>134001</v>
      </c>
      <c r="B43" t="s">
        <v>47</v>
      </c>
      <c r="C43">
        <f>'[1]VENTAS CONSOLIDADA VALENCIA'!C43</f>
        <v>11</v>
      </c>
      <c r="D43" s="5">
        <f t="shared" ca="1" si="0"/>
        <v>0.6470588235294118</v>
      </c>
      <c r="E43" s="5">
        <f t="shared" ca="1" si="1"/>
        <v>14.23529411764706</v>
      </c>
    </row>
    <row r="44" spans="1:5" x14ac:dyDescent="0.25">
      <c r="A44">
        <v>140230</v>
      </c>
      <c r="B44" t="s">
        <v>18</v>
      </c>
      <c r="C44">
        <f>'[1]VENTAS CONSOLIDADA VALENCIA'!C44</f>
        <v>1121</v>
      </c>
      <c r="D44" s="5">
        <f t="shared" ca="1" si="0"/>
        <v>65.941176470588232</v>
      </c>
      <c r="E44" s="5">
        <f t="shared" ca="1" si="1"/>
        <v>1450.705882352941</v>
      </c>
    </row>
    <row r="45" spans="1:5" x14ac:dyDescent="0.25">
      <c r="A45">
        <v>140231</v>
      </c>
      <c r="B45" t="s">
        <v>10</v>
      </c>
      <c r="C45">
        <f>'[1]VENTAS CONSOLIDADA VALENCIA'!C45</f>
        <v>3259</v>
      </c>
      <c r="D45" s="5">
        <f t="shared" ca="1" si="0"/>
        <v>191.70588235294119</v>
      </c>
      <c r="E45" s="5">
        <f t="shared" ca="1" si="1"/>
        <v>4217.5294117647063</v>
      </c>
    </row>
    <row r="46" spans="1:5" x14ac:dyDescent="0.25">
      <c r="A46">
        <v>140232</v>
      </c>
      <c r="B46" t="s">
        <v>9</v>
      </c>
      <c r="C46">
        <f>'[1]VENTAS CONSOLIDADA VALENCIA'!C46</f>
        <v>2919</v>
      </c>
      <c r="D46" s="5">
        <f t="shared" ca="1" si="0"/>
        <v>171.70588235294119</v>
      </c>
      <c r="E46" s="5">
        <f t="shared" ca="1" si="1"/>
        <v>3777.5294117647063</v>
      </c>
    </row>
    <row r="47" spans="1:5" x14ac:dyDescent="0.25">
      <c r="A47">
        <v>150360</v>
      </c>
      <c r="B47" t="s">
        <v>28</v>
      </c>
      <c r="C47">
        <f>'[1]VENTAS CONSOLIDADA VALENCIA'!C47</f>
        <v>764</v>
      </c>
      <c r="D47" s="5">
        <f t="shared" ca="1" si="0"/>
        <v>44.941176470588232</v>
      </c>
      <c r="E47" s="5">
        <f t="shared" ca="1" si="1"/>
        <v>988.7058823529411</v>
      </c>
    </row>
    <row r="48" spans="1:5" x14ac:dyDescent="0.25">
      <c r="A48">
        <v>150361</v>
      </c>
      <c r="B48" t="s">
        <v>29</v>
      </c>
      <c r="C48">
        <f>'[1]VENTAS CONSOLIDADA VALENCIA'!C48</f>
        <v>2134</v>
      </c>
      <c r="D48" s="5">
        <f t="shared" ca="1" si="0"/>
        <v>125.52941176470588</v>
      </c>
      <c r="E48" s="5">
        <f t="shared" ca="1" si="1"/>
        <v>2761.6470588235293</v>
      </c>
    </row>
    <row r="49" spans="1:5" x14ac:dyDescent="0.25">
      <c r="A49">
        <v>150362</v>
      </c>
      <c r="B49" t="s">
        <v>36</v>
      </c>
      <c r="C49">
        <f>'[1]VENTAS CONSOLIDADA VALENCIA'!C49</f>
        <v>1078</v>
      </c>
      <c r="D49" s="5">
        <f t="shared" ca="1" si="0"/>
        <v>63.411764705882355</v>
      </c>
      <c r="E49" s="5">
        <f t="shared" ca="1" si="1"/>
        <v>1395.0588235294117</v>
      </c>
    </row>
    <row r="50" spans="1:5" x14ac:dyDescent="0.25">
      <c r="A50">
        <v>150363</v>
      </c>
      <c r="B50" t="s">
        <v>31</v>
      </c>
      <c r="C50">
        <f>'[1]VENTAS CONSOLIDADA VALENCIA'!C50</f>
        <v>1329</v>
      </c>
      <c r="D50" s="5">
        <f t="shared" ca="1" si="0"/>
        <v>78.17647058823529</v>
      </c>
      <c r="E50" s="5">
        <f t="shared" ca="1" si="1"/>
        <v>1719.8823529411764</v>
      </c>
    </row>
    <row r="51" spans="1:5" x14ac:dyDescent="0.25">
      <c r="A51">
        <v>151500</v>
      </c>
      <c r="B51" t="s">
        <v>41</v>
      </c>
      <c r="C51">
        <f>'[1]VENTAS CONSOLIDADA VALENCIA'!C51</f>
        <v>239</v>
      </c>
      <c r="D51" s="5">
        <f t="shared" ca="1" si="0"/>
        <v>14.058823529411764</v>
      </c>
      <c r="E51" s="5">
        <f t="shared" ca="1" si="1"/>
        <v>309.29411764705884</v>
      </c>
    </row>
    <row r="52" spans="1:5" x14ac:dyDescent="0.25">
      <c r="A52">
        <v>151501</v>
      </c>
      <c r="B52" t="s">
        <v>33</v>
      </c>
      <c r="C52">
        <f>'[1]VENTAS CONSOLIDADA VALENCIA'!C52</f>
        <v>503</v>
      </c>
      <c r="D52" s="5">
        <f t="shared" ca="1" si="0"/>
        <v>29.588235294117649</v>
      </c>
      <c r="E52" s="5">
        <f t="shared" ca="1" si="1"/>
        <v>650.94117647058829</v>
      </c>
    </row>
    <row r="53" spans="1:5" x14ac:dyDescent="0.25">
      <c r="A53">
        <v>151502</v>
      </c>
      <c r="B53" t="s">
        <v>37</v>
      </c>
      <c r="C53">
        <f>'[1]VENTAS CONSOLIDADA VALENCIA'!C53</f>
        <v>163</v>
      </c>
      <c r="D53" s="5">
        <f t="shared" ca="1" si="0"/>
        <v>9.5882352941176467</v>
      </c>
      <c r="E53" s="5">
        <f t="shared" ca="1" si="1"/>
        <v>210.94117647058823</v>
      </c>
    </row>
    <row r="54" spans="1:5" x14ac:dyDescent="0.25">
      <c r="A54">
        <v>151503</v>
      </c>
      <c r="B54" t="s">
        <v>34</v>
      </c>
      <c r="C54">
        <f>'[1]VENTAS CONSOLIDADA VALENCIA'!C54</f>
        <v>193</v>
      </c>
      <c r="D54" s="5">
        <f t="shared" ca="1" si="0"/>
        <v>11.352941176470589</v>
      </c>
      <c r="E54" s="5">
        <f t="shared" ca="1" si="1"/>
        <v>249.76470588235296</v>
      </c>
    </row>
    <row r="55" spans="1:5" x14ac:dyDescent="0.25">
      <c r="D55" s="5">
        <f ca="1">SUM(D8:D54)</f>
        <v>8331.4705882352955</v>
      </c>
      <c r="E55" s="5">
        <f ca="1">SUM(E8:E54)</f>
        <v>183292.35294117645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2"/>
  <sheetViews>
    <sheetView workbookViewId="0">
      <selection activeCell="G64" sqref="G64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58</v>
      </c>
      <c r="C1" s="2" t="str">
        <f>'[1]VENTAS CONSOLIDADA CARACAS'!C1</f>
        <v>INICIO VENTAS</v>
      </c>
      <c r="D1" s="3">
        <f>'[1]VENTAS CONSOLIDADA CARACAS'!D1</f>
        <v>46266</v>
      </c>
    </row>
    <row r="2" spans="1:6" x14ac:dyDescent="0.25">
      <c r="B2" s="9" t="s">
        <v>55</v>
      </c>
      <c r="C2" s="2" t="str">
        <f>'[1]VENTAS CONSOLIDADA CARACAS'!C2</f>
        <v>TRASCURSO VENTAS</v>
      </c>
      <c r="D2" s="3">
        <f ca="1">'[1]VENTAS CONSOLIDADA CARACAS'!D2</f>
        <v>46289</v>
      </c>
      <c r="E2" s="4">
        <f ca="1">'[1]VENTAS CONSOLIDADA CARACAS'!E2</f>
        <v>17</v>
      </c>
    </row>
    <row r="3" spans="1:6" x14ac:dyDescent="0.25">
      <c r="B3" s="9"/>
      <c r="C3" s="2" t="str">
        <f>'[1]VENTAS CONSOLIDADA CARACAS'!C3</f>
        <v>FINAL VENTAS</v>
      </c>
      <c r="D3" s="3">
        <f>'[1]VENTAS CONSOLIDADA CARACAS'!D3</f>
        <v>46295</v>
      </c>
      <c r="E3" s="4">
        <f ca="1">'[1]VENTAS CONSOLIDADA CARACAS'!E3</f>
        <v>5</v>
      </c>
    </row>
    <row r="4" spans="1:6" x14ac:dyDescent="0.25">
      <c r="B4" s="10"/>
    </row>
    <row r="7" spans="1:6" x14ac:dyDescent="0.25">
      <c r="C7" s="6" t="s">
        <v>56</v>
      </c>
      <c r="D7" s="6" t="s">
        <v>49</v>
      </c>
      <c r="E7" s="6" t="s">
        <v>50</v>
      </c>
    </row>
    <row r="8" spans="1:6" x14ac:dyDescent="0.25">
      <c r="A8">
        <v>110150</v>
      </c>
      <c r="B8" t="s">
        <v>2</v>
      </c>
      <c r="C8">
        <f>'[1]VENTAS CONSOLIDADA CARACAS'!C8</f>
        <v>13503</v>
      </c>
      <c r="D8" s="5">
        <f t="shared" ref="D8:D54" ca="1" si="0">C8/$E$2</f>
        <v>794.29411764705878</v>
      </c>
      <c r="E8" s="5">
        <f ca="1">D8*($E$2+$E$3)</f>
        <v>17474.470588235294</v>
      </c>
      <c r="F8" s="5"/>
    </row>
    <row r="9" spans="1:6" x14ac:dyDescent="0.25">
      <c r="A9">
        <v>110151</v>
      </c>
      <c r="B9" t="s">
        <v>5</v>
      </c>
      <c r="C9">
        <f>'[1]VENTAS CONSOLIDADA CARACAS'!C9</f>
        <v>466</v>
      </c>
      <c r="D9" s="5">
        <f t="shared" ca="1" si="0"/>
        <v>27.411764705882351</v>
      </c>
      <c r="E9" s="5">
        <f t="shared" ref="E9:E54" ca="1" si="1">D9*($E$2+$E$3)</f>
        <v>603.05882352941171</v>
      </c>
    </row>
    <row r="10" spans="1:6" x14ac:dyDescent="0.25">
      <c r="A10">
        <v>110230</v>
      </c>
      <c r="B10" t="s">
        <v>1</v>
      </c>
      <c r="C10">
        <f>'[1]VENTAS CONSOLIDADA CARACAS'!C10</f>
        <v>5753</v>
      </c>
      <c r="D10" s="5">
        <f t="shared" ca="1" si="0"/>
        <v>338.41176470588238</v>
      </c>
      <c r="E10" s="5">
        <f t="shared" ca="1" si="1"/>
        <v>7445.0588235294126</v>
      </c>
    </row>
    <row r="11" spans="1:6" x14ac:dyDescent="0.25">
      <c r="A11">
        <v>110400</v>
      </c>
      <c r="B11" t="s">
        <v>13</v>
      </c>
      <c r="C11">
        <f>'[1]VENTAS CONSOLIDADA CARACAS'!C11</f>
        <v>1251</v>
      </c>
      <c r="D11" s="5">
        <f t="shared" ca="1" si="0"/>
        <v>73.588235294117652</v>
      </c>
      <c r="E11" s="5">
        <f t="shared" ca="1" si="1"/>
        <v>1618.9411764705883</v>
      </c>
    </row>
    <row r="12" spans="1:6" x14ac:dyDescent="0.25">
      <c r="A12">
        <v>111000</v>
      </c>
      <c r="B12" t="s">
        <v>14</v>
      </c>
      <c r="C12">
        <f>'[1]VENTAS CONSOLIDADA CARACAS'!C12</f>
        <v>177</v>
      </c>
      <c r="D12" s="5">
        <f t="shared" ca="1" si="0"/>
        <v>10.411764705882353</v>
      </c>
      <c r="E12" s="5">
        <f t="shared" ca="1" si="1"/>
        <v>229.05882352941177</v>
      </c>
    </row>
    <row r="13" spans="1:6" x14ac:dyDescent="0.25">
      <c r="A13">
        <v>120130</v>
      </c>
      <c r="B13" t="s">
        <v>15</v>
      </c>
      <c r="C13">
        <f>'[1]VENTAS CONSOLIDADA CARACAS'!C13</f>
        <v>14150</v>
      </c>
      <c r="D13" s="5">
        <f t="shared" ca="1" si="0"/>
        <v>832.35294117647061</v>
      </c>
      <c r="E13" s="5">
        <f t="shared" ca="1" si="1"/>
        <v>18311.764705882353</v>
      </c>
    </row>
    <row r="14" spans="1:6" x14ac:dyDescent="0.25">
      <c r="A14">
        <v>120131</v>
      </c>
      <c r="B14" t="s">
        <v>23</v>
      </c>
      <c r="C14">
        <f>'[1]VENTAS CONSOLIDADA CARACAS'!C14</f>
        <v>1052</v>
      </c>
      <c r="D14" s="5">
        <f t="shared" ca="1" si="0"/>
        <v>61.882352941176471</v>
      </c>
      <c r="E14" s="5">
        <f t="shared" ca="1" si="1"/>
        <v>1361.4117647058824</v>
      </c>
    </row>
    <row r="15" spans="1:6" x14ac:dyDescent="0.25">
      <c r="A15">
        <v>120132</v>
      </c>
      <c r="B15" t="s">
        <v>21</v>
      </c>
      <c r="C15">
        <f>'[1]VENTAS CONSOLIDADA CARACAS'!C15</f>
        <v>2302</v>
      </c>
      <c r="D15" s="5">
        <f t="shared" ca="1" si="0"/>
        <v>135.41176470588235</v>
      </c>
      <c r="E15" s="5">
        <f t="shared" ca="1" si="1"/>
        <v>2979.0588235294117</v>
      </c>
    </row>
    <row r="16" spans="1:6" x14ac:dyDescent="0.25">
      <c r="A16">
        <v>130150</v>
      </c>
      <c r="B16" t="s">
        <v>0</v>
      </c>
      <c r="C16">
        <f>'[1]VENTAS CONSOLIDADA CARACAS'!C16</f>
        <v>5269</v>
      </c>
      <c r="D16" s="5">
        <f t="shared" ca="1" si="0"/>
        <v>309.94117647058823</v>
      </c>
      <c r="E16" s="5">
        <f t="shared" ca="1" si="1"/>
        <v>6818.7058823529414</v>
      </c>
    </row>
    <row r="17" spans="1:5" x14ac:dyDescent="0.25">
      <c r="A17">
        <v>130151</v>
      </c>
      <c r="B17" t="s">
        <v>4</v>
      </c>
      <c r="C17">
        <f>'[1]VENTAS CONSOLIDADA CARACAS'!C17</f>
        <v>3094</v>
      </c>
      <c r="D17" s="5">
        <f t="shared" ca="1" si="0"/>
        <v>182</v>
      </c>
      <c r="E17" s="5">
        <f t="shared" ca="1" si="1"/>
        <v>4004</v>
      </c>
    </row>
    <row r="18" spans="1:5" x14ac:dyDescent="0.25">
      <c r="A18">
        <v>130152</v>
      </c>
      <c r="B18" t="s">
        <v>51</v>
      </c>
      <c r="C18">
        <f>'[1]VENTAS CONSOLIDADA CARACAS'!C18</f>
        <v>28146</v>
      </c>
      <c r="D18" s="5">
        <f t="shared" ca="1" si="0"/>
        <v>1655.6470588235295</v>
      </c>
      <c r="E18" s="5">
        <f t="shared" ca="1" si="1"/>
        <v>36424.23529411765</v>
      </c>
    </row>
    <row r="19" spans="1:5" x14ac:dyDescent="0.25">
      <c r="A19">
        <v>130153</v>
      </c>
      <c r="B19" t="s">
        <v>52</v>
      </c>
      <c r="C19">
        <f>'[1]VENTAS CONSOLIDADA CARACAS'!C19</f>
        <v>18565</v>
      </c>
      <c r="D19" s="5">
        <f t="shared" ca="1" si="0"/>
        <v>1092.0588235294117</v>
      </c>
      <c r="E19" s="5">
        <f t="shared" ca="1" si="1"/>
        <v>24025.294117647056</v>
      </c>
    </row>
    <row r="20" spans="1:5" x14ac:dyDescent="0.25">
      <c r="A20">
        <v>130154</v>
      </c>
      <c r="B20" t="s">
        <v>53</v>
      </c>
      <c r="C20">
        <f>'[1]VENTAS CONSOLIDADA CARACAS'!C20</f>
        <v>18078</v>
      </c>
      <c r="D20" s="5">
        <f t="shared" ca="1" si="0"/>
        <v>1063.4117647058824</v>
      </c>
      <c r="E20" s="5">
        <f t="shared" ca="1" si="1"/>
        <v>23395.058823529413</v>
      </c>
    </row>
    <row r="21" spans="1:5" x14ac:dyDescent="0.25">
      <c r="A21">
        <v>130155</v>
      </c>
      <c r="B21" t="s">
        <v>16</v>
      </c>
      <c r="C21">
        <f>'[1]VENTAS CONSOLIDADA CARACAS'!C21</f>
        <v>23612</v>
      </c>
      <c r="D21" s="5">
        <f t="shared" ca="1" si="0"/>
        <v>1388.9411764705883</v>
      </c>
      <c r="E21" s="5">
        <f t="shared" ca="1" si="1"/>
        <v>30556.705882352944</v>
      </c>
    </row>
    <row r="22" spans="1:5" x14ac:dyDescent="0.25">
      <c r="A22">
        <v>130157</v>
      </c>
      <c r="B22" t="s">
        <v>43</v>
      </c>
      <c r="C22">
        <f>'[1]VENTAS CONSOLIDADA CARACAS'!C22</f>
        <v>6055</v>
      </c>
      <c r="D22" s="5">
        <f t="shared" ca="1" si="0"/>
        <v>356.1764705882353</v>
      </c>
      <c r="E22" s="5">
        <f t="shared" ca="1" si="1"/>
        <v>7835.8823529411766</v>
      </c>
    </row>
    <row r="23" spans="1:5" x14ac:dyDescent="0.25">
      <c r="A23">
        <v>130158</v>
      </c>
      <c r="B23" t="s">
        <v>44</v>
      </c>
      <c r="C23">
        <f>'[1]VENTAS CONSOLIDADA CARACAS'!C23</f>
        <v>6085</v>
      </c>
      <c r="D23" s="5">
        <f t="shared" ca="1" si="0"/>
        <v>357.94117647058823</v>
      </c>
      <c r="E23" s="5">
        <f t="shared" ca="1" si="1"/>
        <v>7874.7058823529414</v>
      </c>
    </row>
    <row r="24" spans="1:5" x14ac:dyDescent="0.25">
      <c r="A24">
        <v>130159</v>
      </c>
      <c r="B24" t="s">
        <v>45</v>
      </c>
      <c r="C24">
        <f>'[1]VENTAS CONSOLIDADA CARACAS'!C24</f>
        <v>6550</v>
      </c>
      <c r="D24" s="5">
        <f t="shared" ca="1" si="0"/>
        <v>385.29411764705884</v>
      </c>
      <c r="E24" s="5">
        <f t="shared" ca="1" si="1"/>
        <v>8476.4705882352937</v>
      </c>
    </row>
    <row r="25" spans="1:5" x14ac:dyDescent="0.25">
      <c r="A25">
        <v>130700</v>
      </c>
      <c r="B25" t="s">
        <v>3</v>
      </c>
      <c r="C25">
        <f>'[1]VENTAS CONSOLIDADA CARACAS'!C25</f>
        <v>1834</v>
      </c>
      <c r="D25" s="5">
        <f t="shared" ca="1" si="0"/>
        <v>107.88235294117646</v>
      </c>
      <c r="E25" s="5">
        <f t="shared" ca="1" si="1"/>
        <v>2373.411764705882</v>
      </c>
    </row>
    <row r="26" spans="1:5" x14ac:dyDescent="0.25">
      <c r="A26">
        <v>130701</v>
      </c>
      <c r="B26" t="s">
        <v>30</v>
      </c>
      <c r="C26">
        <f>'[1]VENTAS CONSOLIDADA CARACAS'!C26</f>
        <v>829</v>
      </c>
      <c r="D26" s="5">
        <f t="shared" ca="1" si="0"/>
        <v>48.764705882352942</v>
      </c>
      <c r="E26" s="5">
        <f t="shared" ca="1" si="1"/>
        <v>1072.8235294117646</v>
      </c>
    </row>
    <row r="27" spans="1:5" x14ac:dyDescent="0.25">
      <c r="A27">
        <v>130702</v>
      </c>
      <c r="B27" t="s">
        <v>12</v>
      </c>
      <c r="C27">
        <f>'[1]VENTAS CONSOLIDADA CARACAS'!C27</f>
        <v>3811</v>
      </c>
      <c r="D27" s="5">
        <f t="shared" ca="1" si="0"/>
        <v>224.1764705882353</v>
      </c>
      <c r="E27" s="5">
        <f t="shared" ca="1" si="1"/>
        <v>4931.8823529411766</v>
      </c>
    </row>
    <row r="28" spans="1:5" x14ac:dyDescent="0.25">
      <c r="A28">
        <v>130703</v>
      </c>
      <c r="B28" t="s">
        <v>17</v>
      </c>
      <c r="C28">
        <f>'[1]VENTAS CONSOLIDADA CARACAS'!C28</f>
        <v>7521</v>
      </c>
      <c r="D28" s="5">
        <f t="shared" ca="1" si="0"/>
        <v>442.41176470588238</v>
      </c>
      <c r="E28" s="5">
        <f t="shared" ca="1" si="1"/>
        <v>9733.0588235294126</v>
      </c>
    </row>
    <row r="29" spans="1:5" x14ac:dyDescent="0.25">
      <c r="A29">
        <v>130707</v>
      </c>
      <c r="B29" t="s">
        <v>42</v>
      </c>
      <c r="C29">
        <f>'[1]VENTAS CONSOLIDADA CARACAS'!C29</f>
        <v>890</v>
      </c>
      <c r="D29" s="5">
        <f t="shared" ca="1" si="0"/>
        <v>52.352941176470587</v>
      </c>
      <c r="E29" s="5">
        <f t="shared" ca="1" si="1"/>
        <v>1151.7647058823529</v>
      </c>
    </row>
    <row r="30" spans="1:5" x14ac:dyDescent="0.25">
      <c r="A30">
        <v>131150</v>
      </c>
      <c r="B30" t="s">
        <v>22</v>
      </c>
      <c r="C30">
        <f>'[1]VENTAS CONSOLIDADA CARACAS'!C30</f>
        <v>7176</v>
      </c>
      <c r="D30" s="5">
        <f t="shared" ca="1" si="0"/>
        <v>422.11764705882354</v>
      </c>
      <c r="E30" s="5">
        <f t="shared" ca="1" si="1"/>
        <v>9286.5882352941171</v>
      </c>
    </row>
    <row r="31" spans="1:5" x14ac:dyDescent="0.25">
      <c r="A31">
        <v>131151</v>
      </c>
      <c r="B31" t="s">
        <v>19</v>
      </c>
      <c r="C31">
        <f>'[1]VENTAS CONSOLIDADA CARACAS'!C31</f>
        <v>10410</v>
      </c>
      <c r="D31" s="5">
        <f t="shared" ca="1" si="0"/>
        <v>612.35294117647061</v>
      </c>
      <c r="E31" s="5">
        <f t="shared" ca="1" si="1"/>
        <v>13471.764705882353</v>
      </c>
    </row>
    <row r="32" spans="1:5" x14ac:dyDescent="0.25">
      <c r="A32">
        <v>131152</v>
      </c>
      <c r="B32" t="s">
        <v>32</v>
      </c>
      <c r="C32">
        <f>'[1]VENTAS CONSOLIDADA CARACAS'!C32</f>
        <v>4932</v>
      </c>
      <c r="D32" s="5">
        <f t="shared" ca="1" si="0"/>
        <v>290.11764705882354</v>
      </c>
      <c r="E32" s="5">
        <f t="shared" ca="1" si="1"/>
        <v>6382.588235294118</v>
      </c>
    </row>
    <row r="33" spans="1:5" x14ac:dyDescent="0.25">
      <c r="A33">
        <v>131153</v>
      </c>
      <c r="B33" t="s">
        <v>11</v>
      </c>
      <c r="C33">
        <f>'[1]VENTAS CONSOLIDADA CARACAS'!C33</f>
        <v>3262</v>
      </c>
      <c r="D33" s="5">
        <f t="shared" ca="1" si="0"/>
        <v>191.88235294117646</v>
      </c>
      <c r="E33" s="5">
        <f t="shared" ca="1" si="1"/>
        <v>4221.411764705882</v>
      </c>
    </row>
    <row r="34" spans="1:5" x14ac:dyDescent="0.25">
      <c r="A34">
        <v>131154</v>
      </c>
      <c r="B34" t="s">
        <v>48</v>
      </c>
      <c r="C34">
        <f>'[1]VENTAS CONSOLIDADA CARACAS'!C34</f>
        <v>1481</v>
      </c>
      <c r="D34" s="5">
        <f t="shared" ca="1" si="0"/>
        <v>87.117647058823536</v>
      </c>
      <c r="E34" s="5">
        <f t="shared" ca="1" si="1"/>
        <v>1916.5882352941178</v>
      </c>
    </row>
    <row r="35" spans="1:5" x14ac:dyDescent="0.25">
      <c r="A35">
        <v>131155</v>
      </c>
      <c r="B35" t="s">
        <v>57</v>
      </c>
      <c r="C35">
        <f>'[1]VENTAS CONSOLIDADA CARACAS'!C35</f>
        <v>1951</v>
      </c>
      <c r="D35" s="5">
        <f t="shared" ca="1" si="0"/>
        <v>114.76470588235294</v>
      </c>
      <c r="E35" s="5">
        <f t="shared" ca="1" si="1"/>
        <v>2524.8235294117649</v>
      </c>
    </row>
    <row r="36" spans="1:5" x14ac:dyDescent="0.25">
      <c r="A36">
        <v>131700</v>
      </c>
      <c r="B36" t="s">
        <v>20</v>
      </c>
      <c r="C36">
        <f>'[1]VENTAS CONSOLIDADA CARACAS'!C36</f>
        <v>1172</v>
      </c>
      <c r="D36" s="5">
        <f t="shared" ca="1" si="0"/>
        <v>68.941176470588232</v>
      </c>
      <c r="E36" s="5">
        <f t="shared" ca="1" si="1"/>
        <v>1516.705882352941</v>
      </c>
    </row>
    <row r="37" spans="1:5" x14ac:dyDescent="0.25">
      <c r="A37">
        <v>131701</v>
      </c>
      <c r="B37" t="s">
        <v>24</v>
      </c>
      <c r="C37">
        <f>'[1]VENTAS CONSOLIDADA CARACAS'!C37</f>
        <v>1172</v>
      </c>
      <c r="D37" s="5">
        <f t="shared" ca="1" si="0"/>
        <v>68.941176470588232</v>
      </c>
      <c r="E37" s="5">
        <f t="shared" ca="1" si="1"/>
        <v>1516.705882352941</v>
      </c>
    </row>
    <row r="38" spans="1:5" x14ac:dyDescent="0.25">
      <c r="A38">
        <v>132150</v>
      </c>
      <c r="B38" t="s">
        <v>25</v>
      </c>
      <c r="C38">
        <f>'[1]VENTAS CONSOLIDADA CARACAS'!C38</f>
        <v>5562</v>
      </c>
      <c r="D38" s="5">
        <f t="shared" ca="1" si="0"/>
        <v>327.1764705882353</v>
      </c>
      <c r="E38" s="5">
        <f t="shared" ca="1" si="1"/>
        <v>7197.8823529411766</v>
      </c>
    </row>
    <row r="39" spans="1:5" x14ac:dyDescent="0.25">
      <c r="A39">
        <v>132151</v>
      </c>
      <c r="B39" t="s">
        <v>26</v>
      </c>
      <c r="C39">
        <f>'[1]VENTAS CONSOLIDADA CARACAS'!C39</f>
        <v>4862</v>
      </c>
      <c r="D39" s="5">
        <f t="shared" ca="1" si="0"/>
        <v>286</v>
      </c>
      <c r="E39" s="5">
        <f t="shared" ca="1" si="1"/>
        <v>6292</v>
      </c>
    </row>
    <row r="40" spans="1:5" x14ac:dyDescent="0.25">
      <c r="A40">
        <v>132152</v>
      </c>
      <c r="B40" t="s">
        <v>27</v>
      </c>
      <c r="C40">
        <f>'[1]VENTAS CONSOLIDADA CARACAS'!C40</f>
        <v>6409</v>
      </c>
      <c r="D40" s="5">
        <f t="shared" ca="1" si="0"/>
        <v>377</v>
      </c>
      <c r="E40" s="5">
        <f t="shared" ca="1" si="1"/>
        <v>8294</v>
      </c>
    </row>
    <row r="41" spans="1:5" x14ac:dyDescent="0.25">
      <c r="A41">
        <v>132153</v>
      </c>
      <c r="B41" t="s">
        <v>40</v>
      </c>
      <c r="C41">
        <f>'[1]VENTAS CONSOLIDADA CARACAS'!C41</f>
        <v>4697</v>
      </c>
      <c r="D41" s="5">
        <f t="shared" ca="1" si="0"/>
        <v>276.29411764705884</v>
      </c>
      <c r="E41" s="5">
        <f t="shared" ca="1" si="1"/>
        <v>6078.4705882352946</v>
      </c>
    </row>
    <row r="42" spans="1:5" x14ac:dyDescent="0.25">
      <c r="A42">
        <v>134000</v>
      </c>
      <c r="B42" t="s">
        <v>35</v>
      </c>
      <c r="C42">
        <f>'[1]VENTAS CONSOLIDADA CARACAS'!C42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CARACAS'!C43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CARACAS'!C44</f>
        <v>960</v>
      </c>
      <c r="D44" s="5">
        <f t="shared" ca="1" si="0"/>
        <v>56.470588235294116</v>
      </c>
      <c r="E44" s="5">
        <f t="shared" ca="1" si="1"/>
        <v>1242.3529411764705</v>
      </c>
    </row>
    <row r="45" spans="1:5" x14ac:dyDescent="0.25">
      <c r="A45">
        <v>140231</v>
      </c>
      <c r="B45" t="s">
        <v>10</v>
      </c>
      <c r="C45">
        <f>'[1]VENTAS CONSOLIDADA CARACAS'!C45</f>
        <v>4918</v>
      </c>
      <c r="D45" s="5">
        <f t="shared" ca="1" si="0"/>
        <v>289.29411764705884</v>
      </c>
      <c r="E45" s="5">
        <f t="shared" ca="1" si="1"/>
        <v>6364.4705882352946</v>
      </c>
    </row>
    <row r="46" spans="1:5" x14ac:dyDescent="0.25">
      <c r="A46">
        <v>140232</v>
      </c>
      <c r="B46" t="s">
        <v>9</v>
      </c>
      <c r="C46">
        <f>'[1]VENTAS CONSOLIDADA CARACAS'!C46</f>
        <v>3225</v>
      </c>
      <c r="D46" s="5">
        <f t="shared" ca="1" si="0"/>
        <v>189.70588235294119</v>
      </c>
      <c r="E46" s="5">
        <f t="shared" ca="1" si="1"/>
        <v>4173.5294117647063</v>
      </c>
    </row>
    <row r="47" spans="1:5" x14ac:dyDescent="0.25">
      <c r="A47">
        <v>150360</v>
      </c>
      <c r="B47" t="s">
        <v>28</v>
      </c>
      <c r="C47">
        <f>'[1]VENTAS CONSOLIDADA CARACAS'!C47</f>
        <v>2655</v>
      </c>
      <c r="D47" s="5">
        <f t="shared" ca="1" si="0"/>
        <v>156.1764705882353</v>
      </c>
      <c r="E47" s="5">
        <f t="shared" ca="1" si="1"/>
        <v>3435.8823529411766</v>
      </c>
    </row>
    <row r="48" spans="1:5" x14ac:dyDescent="0.25">
      <c r="A48">
        <v>150361</v>
      </c>
      <c r="B48" t="s">
        <v>29</v>
      </c>
      <c r="C48">
        <f>'[1]VENTAS CONSOLIDADA CARACAS'!C48</f>
        <v>4796</v>
      </c>
      <c r="D48" s="5">
        <f t="shared" ca="1" si="0"/>
        <v>282.11764705882354</v>
      </c>
      <c r="E48" s="5">
        <f t="shared" ca="1" si="1"/>
        <v>6206.588235294118</v>
      </c>
    </row>
    <row r="49" spans="1:5" x14ac:dyDescent="0.25">
      <c r="A49">
        <v>150362</v>
      </c>
      <c r="B49" t="s">
        <v>36</v>
      </c>
      <c r="C49">
        <f>'[1]VENTAS CONSOLIDADA CARACAS'!C49</f>
        <v>3197</v>
      </c>
      <c r="D49" s="5">
        <f t="shared" ca="1" si="0"/>
        <v>188.05882352941177</v>
      </c>
      <c r="E49" s="5">
        <f t="shared" ca="1" si="1"/>
        <v>4137.2941176470586</v>
      </c>
    </row>
    <row r="50" spans="1:5" x14ac:dyDescent="0.25">
      <c r="A50">
        <v>150363</v>
      </c>
      <c r="B50" t="s">
        <v>31</v>
      </c>
      <c r="C50">
        <f>'[1]VENTAS CONSOLIDADA CARACAS'!C50</f>
        <v>2875</v>
      </c>
      <c r="D50" s="5">
        <f t="shared" ca="1" si="0"/>
        <v>169.11764705882354</v>
      </c>
      <c r="E50" s="5">
        <f t="shared" ca="1" si="1"/>
        <v>3720.588235294118</v>
      </c>
    </row>
    <row r="51" spans="1:5" x14ac:dyDescent="0.25">
      <c r="A51">
        <v>151500</v>
      </c>
      <c r="B51" t="s">
        <v>41</v>
      </c>
      <c r="C51">
        <f>'[1]VENTAS CONSOLIDADA CARACAS'!C51</f>
        <v>561</v>
      </c>
      <c r="D51" s="5">
        <f t="shared" ca="1" si="0"/>
        <v>33</v>
      </c>
      <c r="E51" s="5">
        <f t="shared" ca="1" si="1"/>
        <v>726</v>
      </c>
    </row>
    <row r="52" spans="1:5" x14ac:dyDescent="0.25">
      <c r="A52">
        <v>151501</v>
      </c>
      <c r="B52" t="s">
        <v>33</v>
      </c>
      <c r="C52">
        <f>'[1]VENTAS CONSOLIDADA CARACAS'!C52</f>
        <v>1115</v>
      </c>
      <c r="D52" s="5">
        <f t="shared" ca="1" si="0"/>
        <v>65.588235294117652</v>
      </c>
      <c r="E52" s="5">
        <f t="shared" ca="1" si="1"/>
        <v>1442.9411764705883</v>
      </c>
    </row>
    <row r="53" spans="1:5" x14ac:dyDescent="0.25">
      <c r="A53">
        <v>151502</v>
      </c>
      <c r="B53" t="s">
        <v>37</v>
      </c>
      <c r="C53">
        <f>'[1]VENTAS CONSOLIDADA CARACAS'!C53</f>
        <v>424</v>
      </c>
      <c r="D53" s="5">
        <f t="shared" ca="1" si="0"/>
        <v>24.941176470588236</v>
      </c>
      <c r="E53" s="5">
        <f t="shared" ca="1" si="1"/>
        <v>548.70588235294122</v>
      </c>
    </row>
    <row r="54" spans="1:5" x14ac:dyDescent="0.25">
      <c r="A54">
        <v>151503</v>
      </c>
      <c r="B54" t="s">
        <v>34</v>
      </c>
      <c r="C54">
        <f>'[1]VENTAS CONSOLIDADA CARACAS'!C54</f>
        <v>544</v>
      </c>
      <c r="D54" s="5">
        <f t="shared" ca="1" si="0"/>
        <v>32</v>
      </c>
      <c r="E54" s="5">
        <f t="shared" ca="1" si="1"/>
        <v>704</v>
      </c>
    </row>
    <row r="55" spans="1:5" x14ac:dyDescent="0.25">
      <c r="D55" s="5">
        <f ca="1">SUM(D8:D54)</f>
        <v>14549.941176470589</v>
      </c>
      <c r="E55" s="5">
        <f ca="1">SUM(E8:E54)</f>
        <v>320098.70588235301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E65"/>
  <sheetViews>
    <sheetView workbookViewId="0">
      <selection activeCell="H21" sqref="H21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5" ht="21" x14ac:dyDescent="0.35">
      <c r="B1" s="8" t="s">
        <v>59</v>
      </c>
      <c r="C1" s="2" t="str">
        <f>'[1]VENTAS CONSOLIDADA LARA'!C1</f>
        <v>INICIO VENTAS</v>
      </c>
      <c r="D1" s="3">
        <f>'[1]VENTAS CONSOLIDADA LARA'!D1</f>
        <v>46266</v>
      </c>
    </row>
    <row r="2" spans="1:5" x14ac:dyDescent="0.25">
      <c r="B2" s="9" t="s">
        <v>55</v>
      </c>
      <c r="C2" s="2" t="str">
        <f>'[1]VENTAS CONSOLIDADA LARA'!C2</f>
        <v>TRASCURSO VENTAS</v>
      </c>
      <c r="D2" s="3">
        <f ca="1">'[1]VENTAS CONSOLIDADA LARA'!D2</f>
        <v>46289</v>
      </c>
      <c r="E2" s="4">
        <f ca="1">'[1]VENTAS CONSOLIDADA LARA'!E2</f>
        <v>17</v>
      </c>
    </row>
    <row r="3" spans="1:5" x14ac:dyDescent="0.25">
      <c r="B3" s="9"/>
      <c r="C3" s="2" t="str">
        <f>'[1]VENTAS CONSOLIDADA LARA'!C3</f>
        <v>FINAL VENTAS</v>
      </c>
      <c r="D3" s="3">
        <f>'[1]VENTAS CONSOLIDADA LARA'!D3</f>
        <v>46295</v>
      </c>
      <c r="E3" s="4">
        <f ca="1">'[1]VENTAS CONSOLIDADA LARA'!E3</f>
        <v>5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LARA'!C8</f>
        <v>817</v>
      </c>
      <c r="D8" s="5">
        <f t="shared" ref="D8:D54" ca="1" si="0">C8/$E$2</f>
        <v>48.058823529411768</v>
      </c>
      <c r="E8" s="5">
        <f ca="1">D8*($E$2+$E$3)</f>
        <v>1057.294117647059</v>
      </c>
    </row>
    <row r="9" spans="1:5" x14ac:dyDescent="0.25">
      <c r="A9">
        <v>110151</v>
      </c>
      <c r="B9" t="s">
        <v>5</v>
      </c>
      <c r="C9">
        <f>'[1]VENTAS CONSOLIDADA LARA'!C9</f>
        <v>27</v>
      </c>
      <c r="D9" s="5">
        <f t="shared" ca="1" si="0"/>
        <v>1.588235294117647</v>
      </c>
      <c r="E9" s="5">
        <f t="shared" ref="E9:E54" ca="1" si="1">D9*($E$2+$E$3)</f>
        <v>34.941176470588232</v>
      </c>
    </row>
    <row r="10" spans="1:5" x14ac:dyDescent="0.25">
      <c r="A10">
        <v>110230</v>
      </c>
      <c r="B10" t="s">
        <v>1</v>
      </c>
      <c r="C10">
        <f>'[1]VENTAS CONSOLIDADA LARA'!C10</f>
        <v>258</v>
      </c>
      <c r="D10" s="5">
        <f t="shared" ca="1" si="0"/>
        <v>15.176470588235293</v>
      </c>
      <c r="E10" s="5">
        <f t="shared" ca="1" si="1"/>
        <v>333.88235294117646</v>
      </c>
    </row>
    <row r="11" spans="1:5" x14ac:dyDescent="0.25">
      <c r="A11">
        <v>110400</v>
      </c>
      <c r="B11" t="s">
        <v>13</v>
      </c>
      <c r="C11">
        <f>'[1]VENTAS CONSOLIDADA LARA'!C11</f>
        <v>14</v>
      </c>
      <c r="D11" s="5">
        <f t="shared" ca="1" si="0"/>
        <v>0.82352941176470584</v>
      </c>
      <c r="E11" s="5">
        <f t="shared" ca="1" si="1"/>
        <v>18.117647058823529</v>
      </c>
    </row>
    <row r="12" spans="1:5" x14ac:dyDescent="0.25">
      <c r="A12">
        <v>111000</v>
      </c>
      <c r="B12" t="s">
        <v>14</v>
      </c>
      <c r="C12">
        <f>'[1]VENTAS CONSOLIDADA LARA'!C12</f>
        <v>0</v>
      </c>
      <c r="D12" s="5">
        <f t="shared" ca="1" si="0"/>
        <v>0</v>
      </c>
      <c r="E12" s="5">
        <f t="shared" ca="1" si="1"/>
        <v>0</v>
      </c>
    </row>
    <row r="13" spans="1:5" x14ac:dyDescent="0.25">
      <c r="A13">
        <v>120130</v>
      </c>
      <c r="B13" t="s">
        <v>15</v>
      </c>
      <c r="C13">
        <f>'[1]VENTAS CONSOLIDADA LARA'!C13</f>
        <v>2724</v>
      </c>
      <c r="D13" s="5">
        <f t="shared" ca="1" si="0"/>
        <v>160.23529411764707</v>
      </c>
      <c r="E13" s="5">
        <f t="shared" ca="1" si="1"/>
        <v>3525.1764705882356</v>
      </c>
    </row>
    <row r="14" spans="1:5" x14ac:dyDescent="0.25">
      <c r="A14">
        <v>120131</v>
      </c>
      <c r="B14" t="s">
        <v>23</v>
      </c>
      <c r="C14">
        <f>'[1]VENTAS CONSOLIDADA LARA'!C14</f>
        <v>218</v>
      </c>
      <c r="D14" s="5">
        <f t="shared" ca="1" si="0"/>
        <v>12.823529411764707</v>
      </c>
      <c r="E14" s="5">
        <f t="shared" ca="1" si="1"/>
        <v>282.11764705882354</v>
      </c>
    </row>
    <row r="15" spans="1:5" x14ac:dyDescent="0.25">
      <c r="A15">
        <v>120132</v>
      </c>
      <c r="B15" t="s">
        <v>21</v>
      </c>
      <c r="C15">
        <f>'[1]VENTAS CONSOLIDADA LARA'!C15</f>
        <v>457</v>
      </c>
      <c r="D15" s="5">
        <f t="shared" ca="1" si="0"/>
        <v>26.882352941176471</v>
      </c>
      <c r="E15" s="5">
        <f t="shared" ca="1" si="1"/>
        <v>591.41176470588232</v>
      </c>
    </row>
    <row r="16" spans="1:5" x14ac:dyDescent="0.25">
      <c r="A16">
        <v>130150</v>
      </c>
      <c r="B16" t="s">
        <v>0</v>
      </c>
      <c r="C16">
        <f>'[1]VENTAS CONSOLIDADA LARA'!C16</f>
        <v>1341</v>
      </c>
      <c r="D16" s="5">
        <f t="shared" ca="1" si="0"/>
        <v>78.882352941176464</v>
      </c>
      <c r="E16" s="5">
        <f t="shared" ca="1" si="1"/>
        <v>1735.4117647058822</v>
      </c>
    </row>
    <row r="17" spans="1:5" x14ac:dyDescent="0.25">
      <c r="A17">
        <v>130151</v>
      </c>
      <c r="B17" t="s">
        <v>4</v>
      </c>
      <c r="C17">
        <f>'[1]VENTAS CONSOLIDADA LARA'!C17</f>
        <v>417</v>
      </c>
      <c r="D17" s="5">
        <f t="shared" ca="1" si="0"/>
        <v>24.529411764705884</v>
      </c>
      <c r="E17" s="5">
        <f t="shared" ca="1" si="1"/>
        <v>539.64705882352951</v>
      </c>
    </row>
    <row r="18" spans="1:5" x14ac:dyDescent="0.25">
      <c r="A18">
        <v>130152</v>
      </c>
      <c r="B18" t="s">
        <v>51</v>
      </c>
      <c r="C18">
        <f>'[1]VENTAS CONSOLIDADA LARA'!C18</f>
        <v>9563</v>
      </c>
      <c r="D18" s="5">
        <f t="shared" ca="1" si="0"/>
        <v>562.52941176470586</v>
      </c>
      <c r="E18" s="5">
        <f t="shared" ca="1" si="1"/>
        <v>12375.647058823528</v>
      </c>
    </row>
    <row r="19" spans="1:5" x14ac:dyDescent="0.25">
      <c r="A19">
        <v>130153</v>
      </c>
      <c r="B19" t="s">
        <v>52</v>
      </c>
      <c r="C19">
        <f>'[1]VENTAS CONSOLIDADA LARA'!C19</f>
        <v>5006</v>
      </c>
      <c r="D19" s="5">
        <f t="shared" ca="1" si="0"/>
        <v>294.47058823529414</v>
      </c>
      <c r="E19" s="5">
        <f t="shared" ca="1" si="1"/>
        <v>6478.3529411764712</v>
      </c>
    </row>
    <row r="20" spans="1:5" x14ac:dyDescent="0.25">
      <c r="A20">
        <v>130154</v>
      </c>
      <c r="B20" t="s">
        <v>53</v>
      </c>
      <c r="C20">
        <f>'[1]VENTAS CONSOLIDADA LARA'!C20</f>
        <v>5106</v>
      </c>
      <c r="D20" s="5">
        <f t="shared" ca="1" si="0"/>
        <v>300.35294117647061</v>
      </c>
      <c r="E20" s="5">
        <f t="shared" ca="1" si="1"/>
        <v>6607.7647058823532</v>
      </c>
    </row>
    <row r="21" spans="1:5" x14ac:dyDescent="0.25">
      <c r="A21">
        <v>130155</v>
      </c>
      <c r="B21" t="s">
        <v>16</v>
      </c>
      <c r="C21">
        <f>'[1]VENTAS CONSOLIDADA LARA'!C21</f>
        <v>6404</v>
      </c>
      <c r="D21" s="5">
        <f t="shared" ca="1" si="0"/>
        <v>376.70588235294116</v>
      </c>
      <c r="E21" s="5">
        <f t="shared" ca="1" si="1"/>
        <v>8287.5294117647063</v>
      </c>
    </row>
    <row r="22" spans="1:5" x14ac:dyDescent="0.25">
      <c r="A22">
        <v>130157</v>
      </c>
      <c r="B22" t="s">
        <v>43</v>
      </c>
      <c r="C22">
        <f>'[1]VENTAS CONSOLIDADA LARA'!C22</f>
        <v>2052</v>
      </c>
      <c r="D22" s="5">
        <f t="shared" ca="1" si="0"/>
        <v>120.70588235294117</v>
      </c>
      <c r="E22" s="5">
        <f t="shared" ca="1" si="1"/>
        <v>2655.5294117647059</v>
      </c>
    </row>
    <row r="23" spans="1:5" x14ac:dyDescent="0.25">
      <c r="A23">
        <v>130158</v>
      </c>
      <c r="B23" t="s">
        <v>44</v>
      </c>
      <c r="C23">
        <f>'[1]VENTAS CONSOLIDADA LARA'!C23</f>
        <v>2448</v>
      </c>
      <c r="D23" s="5">
        <f t="shared" ca="1" si="0"/>
        <v>144</v>
      </c>
      <c r="E23" s="5">
        <f t="shared" ca="1" si="1"/>
        <v>3168</v>
      </c>
    </row>
    <row r="24" spans="1:5" x14ac:dyDescent="0.25">
      <c r="A24">
        <v>130159</v>
      </c>
      <c r="B24" t="s">
        <v>45</v>
      </c>
      <c r="C24">
        <f>'[1]VENTAS CONSOLIDADA LARA'!C24</f>
        <v>2500</v>
      </c>
      <c r="D24" s="5">
        <f t="shared" ca="1" si="0"/>
        <v>147.05882352941177</v>
      </c>
      <c r="E24" s="5">
        <f t="shared" ca="1" si="1"/>
        <v>3235.294117647059</v>
      </c>
    </row>
    <row r="25" spans="1:5" x14ac:dyDescent="0.25">
      <c r="A25">
        <v>130700</v>
      </c>
      <c r="B25" t="s">
        <v>3</v>
      </c>
      <c r="C25">
        <f>'[1]VENTAS CONSOLIDADA LARA'!C25</f>
        <v>500</v>
      </c>
      <c r="D25" s="5">
        <f t="shared" ca="1" si="0"/>
        <v>29.411764705882351</v>
      </c>
      <c r="E25" s="5">
        <f t="shared" ca="1" si="1"/>
        <v>647.05882352941171</v>
      </c>
    </row>
    <row r="26" spans="1:5" x14ac:dyDescent="0.25">
      <c r="A26">
        <v>130701</v>
      </c>
      <c r="B26" t="s">
        <v>30</v>
      </c>
      <c r="C26">
        <f>'[1]VENTAS CONSOLIDADA LARA'!C26</f>
        <v>148</v>
      </c>
      <c r="D26" s="5">
        <f t="shared" ca="1" si="0"/>
        <v>8.7058823529411757</v>
      </c>
      <c r="E26" s="5">
        <f t="shared" ca="1" si="1"/>
        <v>191.52941176470586</v>
      </c>
    </row>
    <row r="27" spans="1:5" x14ac:dyDescent="0.25">
      <c r="A27">
        <v>130702</v>
      </c>
      <c r="B27" t="s">
        <v>12</v>
      </c>
      <c r="C27">
        <f>'[1]VENTAS CONSOLIDADA LARA'!C27</f>
        <v>1425</v>
      </c>
      <c r="D27" s="5">
        <f t="shared" ca="1" si="0"/>
        <v>83.82352941176471</v>
      </c>
      <c r="E27" s="5">
        <f t="shared" ca="1" si="1"/>
        <v>1844.1176470588236</v>
      </c>
    </row>
    <row r="28" spans="1:5" x14ac:dyDescent="0.25">
      <c r="A28">
        <v>130703</v>
      </c>
      <c r="B28" t="s">
        <v>17</v>
      </c>
      <c r="C28">
        <f>'[1]VENTAS CONSOLIDADA LARA'!C28</f>
        <v>1843</v>
      </c>
      <c r="D28" s="5">
        <f t="shared" ca="1" si="0"/>
        <v>108.41176470588235</v>
      </c>
      <c r="E28" s="5">
        <f t="shared" ca="1" si="1"/>
        <v>2385.0588235294117</v>
      </c>
    </row>
    <row r="29" spans="1:5" x14ac:dyDescent="0.25">
      <c r="A29">
        <v>130707</v>
      </c>
      <c r="B29" t="s">
        <v>42</v>
      </c>
      <c r="C29">
        <f>'[1]VENTAS CONSOLIDADA LARA'!C29</f>
        <v>110</v>
      </c>
      <c r="D29" s="5">
        <f t="shared" ca="1" si="0"/>
        <v>6.4705882352941178</v>
      </c>
      <c r="E29" s="5">
        <f t="shared" ca="1" si="1"/>
        <v>142.35294117647058</v>
      </c>
    </row>
    <row r="30" spans="1:5" x14ac:dyDescent="0.25">
      <c r="A30">
        <v>131150</v>
      </c>
      <c r="B30" t="s">
        <v>22</v>
      </c>
      <c r="C30">
        <f>'[1]VENTAS CONSOLIDADA LARA'!C30</f>
        <v>725</v>
      </c>
      <c r="D30" s="5">
        <f t="shared" ca="1" si="0"/>
        <v>42.647058823529413</v>
      </c>
      <c r="E30" s="5">
        <f t="shared" ca="1" si="1"/>
        <v>938.23529411764707</v>
      </c>
    </row>
    <row r="31" spans="1:5" x14ac:dyDescent="0.25">
      <c r="A31">
        <v>131151</v>
      </c>
      <c r="B31" t="s">
        <v>19</v>
      </c>
      <c r="C31">
        <f>'[1]VENTAS CONSOLIDADA LARA'!C31</f>
        <v>1752</v>
      </c>
      <c r="D31" s="5">
        <f t="shared" ca="1" si="0"/>
        <v>103.05882352941177</v>
      </c>
      <c r="E31" s="5">
        <f t="shared" ca="1" si="1"/>
        <v>2267.294117647059</v>
      </c>
    </row>
    <row r="32" spans="1:5" x14ac:dyDescent="0.25">
      <c r="A32">
        <v>131152</v>
      </c>
      <c r="B32" t="s">
        <v>32</v>
      </c>
      <c r="C32">
        <f>'[1]VENTAS CONSOLIDADA LARA'!C32</f>
        <v>954</v>
      </c>
      <c r="D32" s="5">
        <f t="shared" ca="1" si="0"/>
        <v>56.117647058823529</v>
      </c>
      <c r="E32" s="5">
        <f t="shared" ca="1" si="1"/>
        <v>1234.5882352941176</v>
      </c>
    </row>
    <row r="33" spans="1:5" x14ac:dyDescent="0.25">
      <c r="A33">
        <v>131153</v>
      </c>
      <c r="B33" t="s">
        <v>11</v>
      </c>
      <c r="C33">
        <f>'[1]VENTAS CONSOLIDADA LARA'!C33</f>
        <v>618</v>
      </c>
      <c r="D33" s="5">
        <f t="shared" ca="1" si="0"/>
        <v>36.352941176470587</v>
      </c>
      <c r="E33" s="5">
        <f t="shared" ca="1" si="1"/>
        <v>799.76470588235293</v>
      </c>
    </row>
    <row r="34" spans="1:5" x14ac:dyDescent="0.25">
      <c r="A34">
        <v>131154</v>
      </c>
      <c r="B34" t="s">
        <v>48</v>
      </c>
      <c r="C34">
        <f>'[1]VENTAS CONSOLIDADA LARA'!C34</f>
        <v>890</v>
      </c>
      <c r="D34" s="5">
        <f t="shared" ca="1" si="0"/>
        <v>52.352941176470587</v>
      </c>
      <c r="E34" s="5">
        <f t="shared" ca="1" si="1"/>
        <v>1151.7647058823529</v>
      </c>
    </row>
    <row r="35" spans="1:5" x14ac:dyDescent="0.25">
      <c r="A35">
        <v>131155</v>
      </c>
      <c r="B35" t="s">
        <v>57</v>
      </c>
      <c r="C35">
        <f>'[1]VENTAS CONSOLIDADA LARA'!C35</f>
        <v>1049</v>
      </c>
      <c r="D35" s="5">
        <f t="shared" ca="1" si="0"/>
        <v>61.705882352941174</v>
      </c>
      <c r="E35" s="5">
        <f t="shared" ca="1" si="1"/>
        <v>1357.5294117647059</v>
      </c>
    </row>
    <row r="36" spans="1:5" x14ac:dyDescent="0.25">
      <c r="A36">
        <v>131700</v>
      </c>
      <c r="B36" t="s">
        <v>20</v>
      </c>
      <c r="C36">
        <f>'[1]VENTAS CONSOLIDADA LARA'!C36</f>
        <v>180</v>
      </c>
      <c r="D36" s="5">
        <f t="shared" ca="1" si="0"/>
        <v>10.588235294117647</v>
      </c>
      <c r="E36" s="5">
        <f t="shared" ca="1" si="1"/>
        <v>232.94117647058823</v>
      </c>
    </row>
    <row r="37" spans="1:5" x14ac:dyDescent="0.25">
      <c r="A37">
        <v>131701</v>
      </c>
      <c r="B37" t="s">
        <v>24</v>
      </c>
      <c r="C37">
        <f>'[1]VENTAS CONSOLIDADA LARA'!C37</f>
        <v>274</v>
      </c>
      <c r="D37" s="5">
        <f t="shared" ca="1" si="0"/>
        <v>16.117647058823529</v>
      </c>
      <c r="E37" s="5">
        <f t="shared" ca="1" si="1"/>
        <v>354.58823529411762</v>
      </c>
    </row>
    <row r="38" spans="1:5" x14ac:dyDescent="0.25">
      <c r="A38">
        <v>132150</v>
      </c>
      <c r="B38" t="s">
        <v>25</v>
      </c>
      <c r="C38">
        <f>'[1]VENTAS CONSOLIDADA LARA'!C38</f>
        <v>2001</v>
      </c>
      <c r="D38" s="5">
        <f t="shared" ca="1" si="0"/>
        <v>117.70588235294117</v>
      </c>
      <c r="E38" s="5">
        <f t="shared" ca="1" si="1"/>
        <v>2589.5294117647059</v>
      </c>
    </row>
    <row r="39" spans="1:5" x14ac:dyDescent="0.25">
      <c r="A39">
        <v>132151</v>
      </c>
      <c r="B39" t="s">
        <v>26</v>
      </c>
      <c r="C39">
        <f>'[1]VENTAS CONSOLIDADA LARA'!C39</f>
        <v>1086</v>
      </c>
      <c r="D39" s="5">
        <f t="shared" ca="1" si="0"/>
        <v>63.882352941176471</v>
      </c>
      <c r="E39" s="5">
        <f t="shared" ca="1" si="1"/>
        <v>1405.4117647058824</v>
      </c>
    </row>
    <row r="40" spans="1:5" x14ac:dyDescent="0.25">
      <c r="A40">
        <v>132152</v>
      </c>
      <c r="B40" t="s">
        <v>27</v>
      </c>
      <c r="C40">
        <f>'[1]VENTAS CONSOLIDADA LARA'!C40</f>
        <v>1611</v>
      </c>
      <c r="D40" s="5">
        <f t="shared" ca="1" si="0"/>
        <v>94.764705882352942</v>
      </c>
      <c r="E40" s="5">
        <f t="shared" ca="1" si="1"/>
        <v>2084.8235294117649</v>
      </c>
    </row>
    <row r="41" spans="1:5" x14ac:dyDescent="0.25">
      <c r="A41">
        <v>132153</v>
      </c>
      <c r="B41" t="s">
        <v>40</v>
      </c>
      <c r="C41">
        <f>'[1]VENTAS CONSOLIDADA LARA'!C41</f>
        <v>663</v>
      </c>
      <c r="D41" s="5">
        <f t="shared" ca="1" si="0"/>
        <v>39</v>
      </c>
      <c r="E41" s="5">
        <f t="shared" ca="1" si="1"/>
        <v>858</v>
      </c>
    </row>
    <row r="42" spans="1:5" x14ac:dyDescent="0.25">
      <c r="A42">
        <v>134000</v>
      </c>
      <c r="B42" t="s">
        <v>35</v>
      </c>
      <c r="C42">
        <f>'[1]VENTAS CONSOLIDADA LARA'!C42</f>
        <v>19</v>
      </c>
      <c r="D42" s="5">
        <f t="shared" ca="1" si="0"/>
        <v>1.1176470588235294</v>
      </c>
      <c r="E42" s="5">
        <f t="shared" ca="1" si="1"/>
        <v>24.588235294117649</v>
      </c>
    </row>
    <row r="43" spans="1:5" x14ac:dyDescent="0.25">
      <c r="A43">
        <v>134001</v>
      </c>
      <c r="B43" t="s">
        <v>47</v>
      </c>
      <c r="C43">
        <f>'[1]VENTAS CONSOLIDADA LARA'!C43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LARA'!C44</f>
        <v>206</v>
      </c>
      <c r="D44" s="5">
        <f t="shared" ca="1" si="0"/>
        <v>12.117647058823529</v>
      </c>
      <c r="E44" s="5">
        <f t="shared" ca="1" si="1"/>
        <v>266.58823529411762</v>
      </c>
    </row>
    <row r="45" spans="1:5" x14ac:dyDescent="0.25">
      <c r="A45">
        <v>140231</v>
      </c>
      <c r="B45" t="s">
        <v>10</v>
      </c>
      <c r="C45">
        <f>'[1]VENTAS CONSOLIDADA LARA'!C45</f>
        <v>573</v>
      </c>
      <c r="D45" s="5">
        <f t="shared" ca="1" si="0"/>
        <v>33.705882352941174</v>
      </c>
      <c r="E45" s="5">
        <f t="shared" ca="1" si="1"/>
        <v>741.52941176470586</v>
      </c>
    </row>
    <row r="46" spans="1:5" x14ac:dyDescent="0.25">
      <c r="A46">
        <v>140232</v>
      </c>
      <c r="B46" t="s">
        <v>9</v>
      </c>
      <c r="C46">
        <f>'[1]VENTAS CONSOLIDADA LARA'!C46</f>
        <v>576</v>
      </c>
      <c r="D46" s="5">
        <f t="shared" ca="1" si="0"/>
        <v>33.882352941176471</v>
      </c>
      <c r="E46" s="5">
        <f t="shared" ca="1" si="1"/>
        <v>745.41176470588232</v>
      </c>
    </row>
    <row r="47" spans="1:5" x14ac:dyDescent="0.25">
      <c r="A47">
        <v>150360</v>
      </c>
      <c r="B47" t="s">
        <v>28</v>
      </c>
      <c r="C47">
        <f>'[1]VENTAS CONSOLIDADA LARA'!C47</f>
        <v>360</v>
      </c>
      <c r="D47" s="5">
        <f t="shared" ca="1" si="0"/>
        <v>21.176470588235293</v>
      </c>
      <c r="E47" s="5">
        <f t="shared" ca="1" si="1"/>
        <v>465.88235294117646</v>
      </c>
    </row>
    <row r="48" spans="1:5" x14ac:dyDescent="0.25">
      <c r="A48">
        <v>150361</v>
      </c>
      <c r="B48" t="s">
        <v>29</v>
      </c>
      <c r="C48">
        <f>'[1]VENTAS CONSOLIDADA LARA'!C48</f>
        <v>898</v>
      </c>
      <c r="D48" s="5">
        <f t="shared" ca="1" si="0"/>
        <v>52.823529411764703</v>
      </c>
      <c r="E48" s="5">
        <f t="shared" ca="1" si="1"/>
        <v>1162.1176470588234</v>
      </c>
    </row>
    <row r="49" spans="1:5" x14ac:dyDescent="0.25">
      <c r="A49">
        <v>150362</v>
      </c>
      <c r="B49" t="s">
        <v>36</v>
      </c>
      <c r="C49">
        <f>'[1]VENTAS CONSOLIDADA LARA'!C49</f>
        <v>418</v>
      </c>
      <c r="D49" s="5">
        <f t="shared" ca="1" si="0"/>
        <v>24.588235294117649</v>
      </c>
      <c r="E49" s="5">
        <f t="shared" ca="1" si="1"/>
        <v>540.94117647058829</v>
      </c>
    </row>
    <row r="50" spans="1:5" x14ac:dyDescent="0.25">
      <c r="A50">
        <v>150363</v>
      </c>
      <c r="B50" t="s">
        <v>31</v>
      </c>
      <c r="C50">
        <f>'[1]VENTAS CONSOLIDADA LARA'!C50</f>
        <v>460</v>
      </c>
      <c r="D50" s="5">
        <f t="shared" ca="1" si="0"/>
        <v>27.058823529411764</v>
      </c>
      <c r="E50" s="5">
        <f t="shared" ca="1" si="1"/>
        <v>595.29411764705878</v>
      </c>
    </row>
    <row r="51" spans="1:5" x14ac:dyDescent="0.25">
      <c r="A51">
        <v>151500</v>
      </c>
      <c r="B51" t="s">
        <v>41</v>
      </c>
      <c r="C51">
        <f>'[1]VENTAS CONSOLIDADA LARA'!C51</f>
        <v>123</v>
      </c>
      <c r="D51" s="5">
        <f t="shared" ca="1" si="0"/>
        <v>7.2352941176470589</v>
      </c>
      <c r="E51" s="5">
        <f t="shared" ca="1" si="1"/>
        <v>159.1764705882353</v>
      </c>
    </row>
    <row r="52" spans="1:5" x14ac:dyDescent="0.25">
      <c r="A52">
        <v>151501</v>
      </c>
      <c r="B52" t="s">
        <v>33</v>
      </c>
      <c r="C52">
        <f>'[1]VENTAS CONSOLIDADA LARA'!C52</f>
        <v>332</v>
      </c>
      <c r="D52" s="5">
        <f t="shared" ca="1" si="0"/>
        <v>19.529411764705884</v>
      </c>
      <c r="E52" s="5">
        <f t="shared" ca="1" si="1"/>
        <v>429.64705882352945</v>
      </c>
    </row>
    <row r="53" spans="1:5" x14ac:dyDescent="0.25">
      <c r="A53">
        <v>151502</v>
      </c>
      <c r="B53" t="s">
        <v>37</v>
      </c>
      <c r="C53">
        <f>'[1]VENTAS CONSOLIDADA LARA'!C53</f>
        <v>93</v>
      </c>
      <c r="D53" s="5">
        <f t="shared" ca="1" si="0"/>
        <v>5.4705882352941178</v>
      </c>
      <c r="E53" s="5">
        <f t="shared" ca="1" si="1"/>
        <v>120.35294117647059</v>
      </c>
    </row>
    <row r="54" spans="1:5" x14ac:dyDescent="0.25">
      <c r="A54">
        <v>151503</v>
      </c>
      <c r="B54" t="s">
        <v>34</v>
      </c>
      <c r="C54">
        <f>'[1]VENTAS CONSOLIDADA LARA'!C54</f>
        <v>102</v>
      </c>
      <c r="D54" s="5">
        <f t="shared" ca="1" si="0"/>
        <v>6</v>
      </c>
      <c r="E54" s="5">
        <f t="shared" ca="1" si="1"/>
        <v>132</v>
      </c>
    </row>
    <row r="55" spans="1:5" x14ac:dyDescent="0.25">
      <c r="D55" s="5">
        <f ca="1">SUM(D8:D54)</f>
        <v>3490.6470588235288</v>
      </c>
      <c r="E55" s="5">
        <f ca="1">SUM(E8:E54)</f>
        <v>76794.235294117636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E72"/>
  <sheetViews>
    <sheetView workbookViewId="0">
      <selection activeCell="F13" sqref="F13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54</v>
      </c>
      <c r="C1" s="2" t="str">
        <f>'[1]VENTAS CONSOLIDADA ANZOATEGUI'!C1</f>
        <v>INICIO VENTAS</v>
      </c>
      <c r="D1" s="3">
        <f>'[1]VENTAS CONSOLIDADA ANZOATEGUI'!D1</f>
        <v>46266</v>
      </c>
    </row>
    <row r="2" spans="1:5" x14ac:dyDescent="0.25">
      <c r="B2" s="9" t="s">
        <v>55</v>
      </c>
      <c r="C2" s="2" t="str">
        <f>'[1]VENTAS CONSOLIDADA ANZOATEGUI'!C2</f>
        <v>TRASCURSO VENTAS</v>
      </c>
      <c r="D2" s="3">
        <f ca="1">'[1]VENTAS CONSOLIDADA ANZOATEGUI'!D2</f>
        <v>46289</v>
      </c>
      <c r="E2" s="4">
        <f ca="1">'[1]VENTAS CONSOLIDADA ANZOATEGUI'!E2</f>
        <v>17</v>
      </c>
    </row>
    <row r="3" spans="1:5" x14ac:dyDescent="0.25">
      <c r="B3" s="9"/>
      <c r="C3" s="2" t="str">
        <f>'[1]VENTAS CONSOLIDADA ANZOATEGUI'!C3</f>
        <v>FINAL VENTAS</v>
      </c>
      <c r="D3" s="3">
        <f>'[1]VENTAS CONSOLIDADA ANZOATEGUI'!D3</f>
        <v>46295</v>
      </c>
      <c r="E3" s="4">
        <f ca="1">'[1]VENTAS CONSOLIDADA ANZOATEGUI'!E3</f>
        <v>5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ANZOATEGUI'!C8</f>
        <v>809</v>
      </c>
      <c r="D8" s="5">
        <f t="shared" ref="D8:D54" ca="1" si="0">C8/$E$2</f>
        <v>47.588235294117645</v>
      </c>
      <c r="E8" s="5">
        <f t="shared" ref="E8:E54" ca="1" si="1">D8*($E$2+$E$3)</f>
        <v>1046.9411764705883</v>
      </c>
    </row>
    <row r="9" spans="1:5" x14ac:dyDescent="0.25">
      <c r="A9">
        <v>110151</v>
      </c>
      <c r="B9" t="s">
        <v>5</v>
      </c>
      <c r="C9">
        <f>'[1]VENTAS CONSOLIDADA ANZOATEGUI'!C9</f>
        <v>104</v>
      </c>
      <c r="D9" s="5">
        <f t="shared" ca="1" si="0"/>
        <v>6.117647058823529</v>
      </c>
      <c r="E9" s="5">
        <f t="shared" ca="1" si="1"/>
        <v>134.58823529411762</v>
      </c>
    </row>
    <row r="10" spans="1:5" x14ac:dyDescent="0.25">
      <c r="A10">
        <v>110230</v>
      </c>
      <c r="B10" t="s">
        <v>1</v>
      </c>
      <c r="C10">
        <f>'[1]VENTAS CONSOLIDADA ANZOATEGUI'!C10</f>
        <v>198</v>
      </c>
      <c r="D10" s="5">
        <f t="shared" ca="1" si="0"/>
        <v>11.647058823529411</v>
      </c>
      <c r="E10" s="5">
        <f t="shared" ca="1" si="1"/>
        <v>256.23529411764707</v>
      </c>
    </row>
    <row r="11" spans="1:5" x14ac:dyDescent="0.25">
      <c r="A11">
        <v>110400</v>
      </c>
      <c r="B11" t="s">
        <v>13</v>
      </c>
      <c r="C11">
        <f>'[1]VENTAS CONSOLIDADA ANZOATEGUI'!C11</f>
        <v>44</v>
      </c>
      <c r="D11" s="5">
        <f t="shared" ca="1" si="0"/>
        <v>2.5882352941176472</v>
      </c>
      <c r="E11" s="5">
        <f t="shared" ca="1" si="1"/>
        <v>56.941176470588239</v>
      </c>
    </row>
    <row r="12" spans="1:5" x14ac:dyDescent="0.25">
      <c r="A12">
        <v>111000</v>
      </c>
      <c r="B12" t="s">
        <v>14</v>
      </c>
      <c r="C12">
        <f>'[1]VENTAS CONSOLIDADA ANZOATEGUI'!C12</f>
        <v>11</v>
      </c>
      <c r="D12" s="5">
        <f t="shared" ca="1" si="0"/>
        <v>0.6470588235294118</v>
      </c>
      <c r="E12" s="5">
        <f t="shared" ca="1" si="1"/>
        <v>14.23529411764706</v>
      </c>
    </row>
    <row r="13" spans="1:5" x14ac:dyDescent="0.25">
      <c r="A13">
        <v>120130</v>
      </c>
      <c r="B13" t="s">
        <v>15</v>
      </c>
      <c r="C13">
        <f>'[1]VENTAS CONSOLIDADA ANZOATEGUI'!C13</f>
        <v>946</v>
      </c>
      <c r="D13" s="5">
        <f t="shared" ca="1" si="0"/>
        <v>55.647058823529413</v>
      </c>
      <c r="E13" s="5">
        <f t="shared" ca="1" si="1"/>
        <v>1224.2352941176471</v>
      </c>
    </row>
    <row r="14" spans="1:5" x14ac:dyDescent="0.25">
      <c r="A14">
        <v>120131</v>
      </c>
      <c r="B14" t="s">
        <v>23</v>
      </c>
      <c r="C14">
        <f>'[1]VENTAS CONSOLIDADA ANZOATEGUI'!C14</f>
        <v>79</v>
      </c>
      <c r="D14" s="5">
        <f t="shared" ca="1" si="0"/>
        <v>4.6470588235294121</v>
      </c>
      <c r="E14" s="5">
        <f t="shared" ca="1" si="1"/>
        <v>102.23529411764707</v>
      </c>
    </row>
    <row r="15" spans="1:5" x14ac:dyDescent="0.25">
      <c r="A15">
        <v>120132</v>
      </c>
      <c r="B15" t="s">
        <v>21</v>
      </c>
      <c r="C15">
        <f>'[1]VENTAS CONSOLIDADA ANZOATEGUI'!C15</f>
        <v>159</v>
      </c>
      <c r="D15" s="5">
        <f t="shared" ca="1" si="0"/>
        <v>9.3529411764705888</v>
      </c>
      <c r="E15" s="5">
        <f t="shared" ca="1" si="1"/>
        <v>205.76470588235296</v>
      </c>
    </row>
    <row r="16" spans="1:5" x14ac:dyDescent="0.25">
      <c r="A16">
        <v>130150</v>
      </c>
      <c r="B16" t="s">
        <v>0</v>
      </c>
      <c r="C16">
        <f>'[1]VENTAS CONSOLIDADA ANZOATEGUI'!C16</f>
        <v>465</v>
      </c>
      <c r="D16" s="5">
        <f t="shared" ca="1" si="0"/>
        <v>27.352941176470587</v>
      </c>
      <c r="E16" s="5">
        <f t="shared" ca="1" si="1"/>
        <v>601.76470588235293</v>
      </c>
    </row>
    <row r="17" spans="1:5" x14ac:dyDescent="0.25">
      <c r="A17">
        <v>130151</v>
      </c>
      <c r="B17" t="s">
        <v>4</v>
      </c>
      <c r="C17">
        <f>'[1]VENTAS CONSOLIDADA ANZOATEGUI'!C17</f>
        <v>138</v>
      </c>
      <c r="D17" s="5">
        <f t="shared" ca="1" si="0"/>
        <v>8.117647058823529</v>
      </c>
      <c r="E17" s="5">
        <f t="shared" ca="1" si="1"/>
        <v>178.58823529411762</v>
      </c>
    </row>
    <row r="18" spans="1:5" x14ac:dyDescent="0.25">
      <c r="A18">
        <v>130152</v>
      </c>
      <c r="B18" t="s">
        <v>51</v>
      </c>
      <c r="C18">
        <f>'[1]VENTAS CONSOLIDADA ANZOATEGUI'!C18</f>
        <v>2506</v>
      </c>
      <c r="D18" s="5">
        <f t="shared" ca="1" si="0"/>
        <v>147.41176470588235</v>
      </c>
      <c r="E18" s="5">
        <f t="shared" ca="1" si="1"/>
        <v>3243.0588235294117</v>
      </c>
    </row>
    <row r="19" spans="1:5" x14ac:dyDescent="0.25">
      <c r="A19">
        <v>130153</v>
      </c>
      <c r="B19" t="s">
        <v>52</v>
      </c>
      <c r="C19">
        <f>'[1]VENTAS CONSOLIDADA ANZOATEGUI'!C19</f>
        <v>1486</v>
      </c>
      <c r="D19" s="5">
        <f t="shared" ca="1" si="0"/>
        <v>87.411764705882348</v>
      </c>
      <c r="E19" s="5">
        <f t="shared" ca="1" si="1"/>
        <v>1923.0588235294117</v>
      </c>
    </row>
    <row r="20" spans="1:5" x14ac:dyDescent="0.25">
      <c r="A20">
        <v>130154</v>
      </c>
      <c r="B20" t="s">
        <v>53</v>
      </c>
      <c r="C20">
        <f>'[1]VENTAS CONSOLIDADA ANZOATEGUI'!C20</f>
        <v>1796</v>
      </c>
      <c r="D20" s="5">
        <f t="shared" ca="1" si="0"/>
        <v>105.64705882352941</v>
      </c>
      <c r="E20" s="5">
        <f t="shared" ca="1" si="1"/>
        <v>2324.2352941176468</v>
      </c>
    </row>
    <row r="21" spans="1:5" x14ac:dyDescent="0.25">
      <c r="A21">
        <v>130155</v>
      </c>
      <c r="B21" t="s">
        <v>16</v>
      </c>
      <c r="C21">
        <f>'[1]VENTAS CONSOLIDADA ANZOATEGUI'!C21</f>
        <v>1422</v>
      </c>
      <c r="D21" s="5">
        <f t="shared" ca="1" si="0"/>
        <v>83.647058823529406</v>
      </c>
      <c r="E21" s="5">
        <f t="shared" ca="1" si="1"/>
        <v>1840.2352941176468</v>
      </c>
    </row>
    <row r="22" spans="1:5" x14ac:dyDescent="0.25">
      <c r="A22">
        <v>130157</v>
      </c>
      <c r="B22" t="s">
        <v>43</v>
      </c>
      <c r="C22">
        <f>'[1]VENTAS CONSOLIDADA ANZOATEGUI'!C22</f>
        <v>501</v>
      </c>
      <c r="D22" s="5">
        <f t="shared" ca="1" si="0"/>
        <v>29.470588235294116</v>
      </c>
      <c r="E22" s="5">
        <f t="shared" ca="1" si="1"/>
        <v>648.35294117647049</v>
      </c>
    </row>
    <row r="23" spans="1:5" x14ac:dyDescent="0.25">
      <c r="A23">
        <v>130158</v>
      </c>
      <c r="B23" t="s">
        <v>44</v>
      </c>
      <c r="C23">
        <f>'[1]VENTAS CONSOLIDADA ANZOATEGUI'!C23</f>
        <v>682</v>
      </c>
      <c r="D23" s="5">
        <f t="shared" ca="1" si="0"/>
        <v>40.117647058823529</v>
      </c>
      <c r="E23" s="5">
        <f t="shared" ca="1" si="1"/>
        <v>882.58823529411768</v>
      </c>
    </row>
    <row r="24" spans="1:5" x14ac:dyDescent="0.25">
      <c r="A24">
        <v>130159</v>
      </c>
      <c r="B24" t="s">
        <v>45</v>
      </c>
      <c r="C24">
        <f>'[1]VENTAS CONSOLIDADA ANZOATEGUI'!C24</f>
        <v>700</v>
      </c>
      <c r="D24" s="5">
        <f t="shared" ca="1" si="0"/>
        <v>41.176470588235297</v>
      </c>
      <c r="E24" s="5">
        <f t="shared" ca="1" si="1"/>
        <v>905.88235294117658</v>
      </c>
    </row>
    <row r="25" spans="1:5" x14ac:dyDescent="0.25">
      <c r="A25">
        <v>130700</v>
      </c>
      <c r="B25" t="s">
        <v>3</v>
      </c>
      <c r="C25">
        <f>'[1]VENTAS CONSOLIDADA ANZOATEGUI'!C25</f>
        <v>109</v>
      </c>
      <c r="D25" s="5">
        <f t="shared" ca="1" si="0"/>
        <v>6.4117647058823533</v>
      </c>
      <c r="E25" s="5">
        <f t="shared" ca="1" si="1"/>
        <v>141.05882352941177</v>
      </c>
    </row>
    <row r="26" spans="1:5" x14ac:dyDescent="0.25">
      <c r="A26">
        <v>130701</v>
      </c>
      <c r="B26" t="s">
        <v>30</v>
      </c>
      <c r="C26">
        <f>'[1]VENTAS CONSOLIDADA ANZOATEGUI'!C26</f>
        <v>18</v>
      </c>
      <c r="D26" s="5">
        <f t="shared" ca="1" si="0"/>
        <v>1.0588235294117647</v>
      </c>
      <c r="E26" s="5">
        <f t="shared" ca="1" si="1"/>
        <v>23.294117647058822</v>
      </c>
    </row>
    <row r="27" spans="1:5" x14ac:dyDescent="0.25">
      <c r="A27">
        <v>130702</v>
      </c>
      <c r="B27" t="s">
        <v>12</v>
      </c>
      <c r="C27">
        <f>'[1]VENTAS CONSOLIDADA ANZOATEGUI'!C27</f>
        <v>246</v>
      </c>
      <c r="D27" s="5">
        <f t="shared" ca="1" si="0"/>
        <v>14.470588235294118</v>
      </c>
      <c r="E27" s="5">
        <f t="shared" ca="1" si="1"/>
        <v>318.35294117647061</v>
      </c>
    </row>
    <row r="28" spans="1:5" x14ac:dyDescent="0.25">
      <c r="A28">
        <v>130703</v>
      </c>
      <c r="B28" t="s">
        <v>17</v>
      </c>
      <c r="C28">
        <f>'[1]VENTAS CONSOLIDADA ANZOATEGUI'!C28</f>
        <v>344</v>
      </c>
      <c r="D28" s="5">
        <f t="shared" ca="1" si="0"/>
        <v>20.235294117647058</v>
      </c>
      <c r="E28" s="5">
        <f t="shared" ca="1" si="1"/>
        <v>445.17647058823525</v>
      </c>
    </row>
    <row r="29" spans="1:5" x14ac:dyDescent="0.25">
      <c r="A29">
        <v>130707</v>
      </c>
      <c r="B29" t="s">
        <v>42</v>
      </c>
      <c r="C29">
        <f>'[1]VENTAS CONSOLIDADA ANZOATEGUI'!C29</f>
        <v>32</v>
      </c>
      <c r="D29" s="5">
        <f t="shared" ca="1" si="0"/>
        <v>1.8823529411764706</v>
      </c>
      <c r="E29" s="5">
        <f t="shared" ca="1" si="1"/>
        <v>41.411764705882355</v>
      </c>
    </row>
    <row r="30" spans="1:5" x14ac:dyDescent="0.25">
      <c r="A30">
        <v>131150</v>
      </c>
      <c r="B30" t="s">
        <v>22</v>
      </c>
      <c r="C30">
        <f>'[1]VENTAS CONSOLIDADA ANZOATEGUI'!C30</f>
        <v>628</v>
      </c>
      <c r="D30" s="5">
        <f t="shared" ca="1" si="0"/>
        <v>36.941176470588232</v>
      </c>
      <c r="E30" s="5">
        <f t="shared" ca="1" si="1"/>
        <v>812.7058823529411</v>
      </c>
    </row>
    <row r="31" spans="1:5" x14ac:dyDescent="0.25">
      <c r="A31">
        <v>131151</v>
      </c>
      <c r="B31" t="s">
        <v>19</v>
      </c>
      <c r="C31">
        <f>'[1]VENTAS CONSOLIDADA ANZOATEGUI'!C31</f>
        <v>1555</v>
      </c>
      <c r="D31" s="5">
        <f t="shared" ca="1" si="0"/>
        <v>91.470588235294116</v>
      </c>
      <c r="E31" s="5">
        <f t="shared" ca="1" si="1"/>
        <v>2012.3529411764705</v>
      </c>
    </row>
    <row r="32" spans="1:5" x14ac:dyDescent="0.25">
      <c r="A32">
        <v>131152</v>
      </c>
      <c r="B32" t="s">
        <v>32</v>
      </c>
      <c r="C32">
        <f>'[1]VENTAS CONSOLIDADA ANZOATEGUI'!C32</f>
        <v>999</v>
      </c>
      <c r="D32" s="5">
        <f t="shared" ca="1" si="0"/>
        <v>58.764705882352942</v>
      </c>
      <c r="E32" s="5">
        <f t="shared" ca="1" si="1"/>
        <v>1292.8235294117646</v>
      </c>
    </row>
    <row r="33" spans="1:5" x14ac:dyDescent="0.25">
      <c r="A33">
        <v>131153</v>
      </c>
      <c r="B33" t="s">
        <v>11</v>
      </c>
      <c r="C33">
        <f>'[1]VENTAS CONSOLIDADA ANZOATEGUI'!C33</f>
        <v>651</v>
      </c>
      <c r="D33" s="5">
        <f t="shared" ca="1" si="0"/>
        <v>38.294117647058826</v>
      </c>
      <c r="E33" s="5">
        <f t="shared" ca="1" si="1"/>
        <v>842.47058823529414</v>
      </c>
    </row>
    <row r="34" spans="1:5" x14ac:dyDescent="0.25">
      <c r="A34">
        <v>131154</v>
      </c>
      <c r="B34" t="s">
        <v>48</v>
      </c>
      <c r="C34">
        <f>'[1]VENTAS CONSOLIDADA ANZOATEGUI'!C34</f>
        <v>498</v>
      </c>
      <c r="D34" s="5">
        <f t="shared" ca="1" si="0"/>
        <v>29.294117647058822</v>
      </c>
      <c r="E34" s="5">
        <f t="shared" ca="1" si="1"/>
        <v>644.47058823529414</v>
      </c>
    </row>
    <row r="35" spans="1:5" x14ac:dyDescent="0.25">
      <c r="A35">
        <v>131155</v>
      </c>
      <c r="B35" t="s">
        <v>57</v>
      </c>
      <c r="C35">
        <f>'[1]VENTAS CONSOLIDADA ANZOATEGUI'!C35</f>
        <v>623</v>
      </c>
      <c r="D35" s="5">
        <f t="shared" ca="1" si="0"/>
        <v>36.647058823529413</v>
      </c>
      <c r="E35" s="5">
        <f t="shared" ca="1" si="1"/>
        <v>806.23529411764707</v>
      </c>
    </row>
    <row r="36" spans="1:5" x14ac:dyDescent="0.25">
      <c r="A36">
        <v>131700</v>
      </c>
      <c r="B36" t="s">
        <v>20</v>
      </c>
      <c r="C36">
        <f>'[1]VENTAS CONSOLIDADA ANZOATEGUI'!C36</f>
        <v>82</v>
      </c>
      <c r="D36" s="5">
        <f t="shared" ca="1" si="0"/>
        <v>4.8235294117647056</v>
      </c>
      <c r="E36" s="5">
        <f t="shared" ca="1" si="1"/>
        <v>106.11764705882352</v>
      </c>
    </row>
    <row r="37" spans="1:5" x14ac:dyDescent="0.25">
      <c r="A37">
        <v>131701</v>
      </c>
      <c r="B37" t="s">
        <v>24</v>
      </c>
      <c r="C37">
        <f>'[1]VENTAS CONSOLIDADA ANZOATEGUI'!C37</f>
        <v>116</v>
      </c>
      <c r="D37" s="5">
        <f t="shared" ca="1" si="0"/>
        <v>6.8235294117647056</v>
      </c>
      <c r="E37" s="5">
        <f t="shared" ca="1" si="1"/>
        <v>150.11764705882354</v>
      </c>
    </row>
    <row r="38" spans="1:5" x14ac:dyDescent="0.25">
      <c r="A38">
        <v>132150</v>
      </c>
      <c r="B38" t="s">
        <v>25</v>
      </c>
      <c r="C38">
        <f>'[1]VENTAS CONSOLIDADA ANZOATEGUI'!C38</f>
        <v>801</v>
      </c>
      <c r="D38" s="5">
        <f t="shared" ca="1" si="0"/>
        <v>47.117647058823529</v>
      </c>
      <c r="E38" s="5">
        <f t="shared" ca="1" si="1"/>
        <v>1036.5882352941176</v>
      </c>
    </row>
    <row r="39" spans="1:5" x14ac:dyDescent="0.25">
      <c r="A39">
        <v>132151</v>
      </c>
      <c r="B39" t="s">
        <v>26</v>
      </c>
      <c r="C39">
        <f>'[1]VENTAS CONSOLIDADA ANZOATEGUI'!C39</f>
        <v>487</v>
      </c>
      <c r="D39" s="5">
        <f t="shared" ca="1" si="0"/>
        <v>28.647058823529413</v>
      </c>
      <c r="E39" s="5">
        <f t="shared" ca="1" si="1"/>
        <v>630.23529411764707</v>
      </c>
    </row>
    <row r="40" spans="1:5" x14ac:dyDescent="0.25">
      <c r="A40">
        <v>132152</v>
      </c>
      <c r="B40" t="s">
        <v>27</v>
      </c>
      <c r="C40">
        <f>'[1]VENTAS CONSOLIDADA ANZOATEGUI'!C40</f>
        <v>739</v>
      </c>
      <c r="D40" s="5">
        <f t="shared" ca="1" si="0"/>
        <v>43.470588235294116</v>
      </c>
      <c r="E40" s="5">
        <f t="shared" ca="1" si="1"/>
        <v>956.35294117647049</v>
      </c>
    </row>
    <row r="41" spans="1:5" x14ac:dyDescent="0.25">
      <c r="A41">
        <v>132153</v>
      </c>
      <c r="B41" t="s">
        <v>40</v>
      </c>
      <c r="C41">
        <f>'[1]VENTAS CONSOLIDADA ANZOATEGUI'!C41</f>
        <v>439</v>
      </c>
      <c r="D41" s="5">
        <f t="shared" ca="1" si="0"/>
        <v>25.823529411764707</v>
      </c>
      <c r="E41" s="5">
        <f t="shared" ca="1" si="1"/>
        <v>568.11764705882354</v>
      </c>
    </row>
    <row r="42" spans="1:5" x14ac:dyDescent="0.25">
      <c r="A42">
        <v>134000</v>
      </c>
      <c r="B42" t="s">
        <v>35</v>
      </c>
      <c r="C42">
        <f>'[1]VENTAS CONSOLIDADA ANZOATEGUI'!C42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ANZOATEGUI'!C43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ANZOATEGUI'!C44</f>
        <v>128</v>
      </c>
      <c r="D44" s="5">
        <f t="shared" ca="1" si="0"/>
        <v>7.5294117647058822</v>
      </c>
      <c r="E44" s="5">
        <f t="shared" ca="1" si="1"/>
        <v>165.64705882352942</v>
      </c>
    </row>
    <row r="45" spans="1:5" x14ac:dyDescent="0.25">
      <c r="A45">
        <v>140231</v>
      </c>
      <c r="B45" t="s">
        <v>10</v>
      </c>
      <c r="C45">
        <f>'[1]VENTAS CONSOLIDADA ANZOATEGUI'!C45</f>
        <v>725</v>
      </c>
      <c r="D45" s="5">
        <f t="shared" ca="1" si="0"/>
        <v>42.647058823529413</v>
      </c>
      <c r="E45" s="5">
        <f t="shared" ca="1" si="1"/>
        <v>938.23529411764707</v>
      </c>
    </row>
    <row r="46" spans="1:5" x14ac:dyDescent="0.25">
      <c r="A46">
        <v>140232</v>
      </c>
      <c r="B46" t="s">
        <v>9</v>
      </c>
      <c r="C46">
        <f>'[1]VENTAS CONSOLIDADA ANZOATEGUI'!C46</f>
        <v>234</v>
      </c>
      <c r="D46" s="5">
        <f t="shared" ca="1" si="0"/>
        <v>13.764705882352942</v>
      </c>
      <c r="E46" s="5">
        <f t="shared" ca="1" si="1"/>
        <v>302.82352941176475</v>
      </c>
    </row>
    <row r="47" spans="1:5" x14ac:dyDescent="0.25">
      <c r="A47">
        <v>150360</v>
      </c>
      <c r="B47" t="s">
        <v>28</v>
      </c>
      <c r="C47">
        <f>'[1]VENTAS CONSOLIDADA ANZOATEGUI'!C47</f>
        <v>117</v>
      </c>
      <c r="D47" s="5">
        <f t="shared" ca="1" si="0"/>
        <v>6.882352941176471</v>
      </c>
      <c r="E47" s="5">
        <f t="shared" ca="1" si="1"/>
        <v>151.41176470588238</v>
      </c>
    </row>
    <row r="48" spans="1:5" x14ac:dyDescent="0.25">
      <c r="A48">
        <v>150361</v>
      </c>
      <c r="B48" t="s">
        <v>29</v>
      </c>
      <c r="C48">
        <f>'[1]VENTAS CONSOLIDADA ANZOATEGUI'!C48</f>
        <v>471</v>
      </c>
      <c r="D48" s="5">
        <f t="shared" ca="1" si="0"/>
        <v>27.705882352941178</v>
      </c>
      <c r="E48" s="5">
        <f t="shared" ca="1" si="1"/>
        <v>609.52941176470586</v>
      </c>
    </row>
    <row r="49" spans="1:5" x14ac:dyDescent="0.25">
      <c r="A49">
        <v>150362</v>
      </c>
      <c r="B49" t="s">
        <v>36</v>
      </c>
      <c r="C49">
        <f>'[1]VENTAS CONSOLIDADA ANZOATEGUI'!C49</f>
        <v>222</v>
      </c>
      <c r="D49" s="5">
        <f t="shared" ca="1" si="0"/>
        <v>13.058823529411764</v>
      </c>
      <c r="E49" s="5">
        <f t="shared" ca="1" si="1"/>
        <v>287.29411764705884</v>
      </c>
    </row>
    <row r="50" spans="1:5" x14ac:dyDescent="0.25">
      <c r="A50">
        <v>150363</v>
      </c>
      <c r="B50" t="s">
        <v>31</v>
      </c>
      <c r="C50">
        <f>'[1]VENTAS CONSOLIDADA ANZOATEGUI'!C50</f>
        <v>312</v>
      </c>
      <c r="D50" s="5">
        <f t="shared" ca="1" si="0"/>
        <v>18.352941176470587</v>
      </c>
      <c r="E50" s="5">
        <f t="shared" ca="1" si="1"/>
        <v>403.76470588235293</v>
      </c>
    </row>
    <row r="51" spans="1:5" x14ac:dyDescent="0.25">
      <c r="A51">
        <v>151500</v>
      </c>
      <c r="B51" t="s">
        <v>41</v>
      </c>
      <c r="C51">
        <f>'[1]VENTAS CONSOLIDADA ANZOATEGUI'!C51</f>
        <v>48</v>
      </c>
      <c r="D51" s="5">
        <f t="shared" ca="1" si="0"/>
        <v>2.8235294117647061</v>
      </c>
      <c r="E51" s="5">
        <f t="shared" ca="1" si="1"/>
        <v>62.117647058823536</v>
      </c>
    </row>
    <row r="52" spans="1:5" x14ac:dyDescent="0.25">
      <c r="A52">
        <v>151501</v>
      </c>
      <c r="B52" t="s">
        <v>33</v>
      </c>
      <c r="C52">
        <f>'[1]VENTAS CONSOLIDADA ANZOATEGUI'!C52</f>
        <v>110</v>
      </c>
      <c r="D52" s="5">
        <f t="shared" ca="1" si="0"/>
        <v>6.4705882352941178</v>
      </c>
      <c r="E52" s="5">
        <f t="shared" ca="1" si="1"/>
        <v>142.35294117647058</v>
      </c>
    </row>
    <row r="53" spans="1:5" x14ac:dyDescent="0.25">
      <c r="A53">
        <v>151502</v>
      </c>
      <c r="B53" t="s">
        <v>37</v>
      </c>
      <c r="C53">
        <f>'[1]VENTAS CONSOLIDADA ANZOATEGUI'!C53</f>
        <v>32</v>
      </c>
      <c r="D53" s="5">
        <f t="shared" ca="1" si="0"/>
        <v>1.8823529411764706</v>
      </c>
      <c r="E53" s="5">
        <f t="shared" ca="1" si="1"/>
        <v>41.411764705882355</v>
      </c>
    </row>
    <row r="54" spans="1:5" x14ac:dyDescent="0.25">
      <c r="A54">
        <v>151503</v>
      </c>
      <c r="B54" t="s">
        <v>34</v>
      </c>
      <c r="C54">
        <f>'[1]VENTAS CONSOLIDADA ANZOATEGUI'!C54</f>
        <v>51</v>
      </c>
      <c r="D54" s="5">
        <f t="shared" ca="1" si="0"/>
        <v>3</v>
      </c>
      <c r="E54" s="5">
        <f t="shared" ca="1" si="1"/>
        <v>66</v>
      </c>
    </row>
    <row r="55" spans="1:5" x14ac:dyDescent="0.25">
      <c r="D55" s="7">
        <f ca="1">SUM(D8:D54)</f>
        <v>1344.8823529411764</v>
      </c>
      <c r="E55" s="7">
        <f ca="1">SUM(E8:E54)</f>
        <v>29587.411764705888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4" spans="1:5" x14ac:dyDescent="0.25">
      <c r="D64" s="5"/>
      <c r="E64" s="5"/>
    </row>
    <row r="65" spans="4:5" x14ac:dyDescent="0.25">
      <c r="D65" s="5"/>
      <c r="E65" s="5"/>
    </row>
    <row r="67" spans="4:5" x14ac:dyDescent="0.25">
      <c r="D67" s="5"/>
      <c r="E67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E63"/>
  <sheetViews>
    <sheetView tabSelected="1" workbookViewId="0">
      <selection activeCell="G14" sqref="G14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61</v>
      </c>
      <c r="C1" s="2" t="str">
        <f>'[1]VENTAS CONSOLIDADA 1,0'!C1</f>
        <v>INICIO VENTAS</v>
      </c>
      <c r="D1" s="3">
        <f>'[1]VENTAS CONSOLIDADA 1,0'!D1</f>
        <v>46266</v>
      </c>
    </row>
    <row r="2" spans="1:5" x14ac:dyDescent="0.25">
      <c r="B2" s="9" t="s">
        <v>55</v>
      </c>
      <c r="C2" s="2" t="str">
        <f>'[1]VENTAS CONSOLIDADA 1,0'!C2</f>
        <v>TRASCURSO VENTAS</v>
      </c>
      <c r="D2" s="3">
        <f ca="1">'[1]VENTAS CONSOLIDADA 1,0'!D2</f>
        <v>46289</v>
      </c>
      <c r="E2" s="4">
        <f ca="1">'[1]VENTAS CONSOLIDADA 1,0'!E2</f>
        <v>17</v>
      </c>
    </row>
    <row r="3" spans="1:5" x14ac:dyDescent="0.25">
      <c r="B3" s="9"/>
      <c r="C3" s="2" t="str">
        <f>'[1]VENTAS CONSOLIDADA 1,0'!C3</f>
        <v>FINAL VENTAS</v>
      </c>
      <c r="D3" s="3">
        <f>'[1]VENTAS CONSOLIDADA 1,0'!D3</f>
        <v>46295</v>
      </c>
      <c r="E3" s="4">
        <f ca="1">'[1]VENTAS CONSOLIDADA 1,0'!E3</f>
        <v>5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1,0'!C8</f>
        <v>20490</v>
      </c>
      <c r="D8" s="5">
        <f t="shared" ref="D8:D54" ca="1" si="0">C8/$E$2</f>
        <v>1205.2941176470588</v>
      </c>
      <c r="E8" s="5">
        <f ca="1">D8*($E$2+$E$3)</f>
        <v>26516.470588235294</v>
      </c>
    </row>
    <row r="9" spans="1:5" x14ac:dyDescent="0.25">
      <c r="A9">
        <v>110151</v>
      </c>
      <c r="B9" t="s">
        <v>5</v>
      </c>
      <c r="C9">
        <f>'[1]VENTAS CONSOLIDADA 1,0'!C9</f>
        <v>915</v>
      </c>
      <c r="D9" s="5">
        <f t="shared" ca="1" si="0"/>
        <v>53.823529411764703</v>
      </c>
      <c r="E9" s="5">
        <f t="shared" ref="E9:E54" ca="1" si="1">D9*($E$2+$E$3)</f>
        <v>1184.1176470588234</v>
      </c>
    </row>
    <row r="10" spans="1:5" x14ac:dyDescent="0.25">
      <c r="A10">
        <v>110230</v>
      </c>
      <c r="B10" t="s">
        <v>1</v>
      </c>
      <c r="C10">
        <f>'[1]VENTAS CONSOLIDADA 1,0'!C10</f>
        <v>8367</v>
      </c>
      <c r="D10" s="5">
        <f t="shared" ca="1" si="0"/>
        <v>492.1764705882353</v>
      </c>
      <c r="E10" s="5">
        <f t="shared" ca="1" si="1"/>
        <v>10827.882352941177</v>
      </c>
    </row>
    <row r="11" spans="1:5" x14ac:dyDescent="0.25">
      <c r="A11">
        <v>110400</v>
      </c>
      <c r="B11" t="s">
        <v>13</v>
      </c>
      <c r="C11">
        <f>'[1]VENTAS CONSOLIDADA 1,0'!C11</f>
        <v>1848</v>
      </c>
      <c r="D11" s="5">
        <f t="shared" ca="1" si="0"/>
        <v>108.70588235294117</v>
      </c>
      <c r="E11" s="5">
        <f t="shared" ca="1" si="1"/>
        <v>2391.5294117647059</v>
      </c>
    </row>
    <row r="12" spans="1:5" x14ac:dyDescent="0.25">
      <c r="A12">
        <v>111000</v>
      </c>
      <c r="B12" t="s">
        <v>14</v>
      </c>
      <c r="C12">
        <f>'[1]VENTAS CONSOLIDADA 1,0'!C12</f>
        <v>241</v>
      </c>
      <c r="D12" s="5">
        <f t="shared" ca="1" si="0"/>
        <v>14.176470588235293</v>
      </c>
      <c r="E12" s="5">
        <f t="shared" ca="1" si="1"/>
        <v>311.88235294117646</v>
      </c>
    </row>
    <row r="13" spans="1:5" x14ac:dyDescent="0.25">
      <c r="A13">
        <v>120130</v>
      </c>
      <c r="B13" t="s">
        <v>15</v>
      </c>
      <c r="C13">
        <f>'[1]VENTAS CONSOLIDADA 1,0'!C13</f>
        <v>24019</v>
      </c>
      <c r="D13" s="5">
        <f t="shared" ca="1" si="0"/>
        <v>1412.8823529411766</v>
      </c>
      <c r="E13" s="5">
        <f t="shared" ca="1" si="1"/>
        <v>31083.411764705885</v>
      </c>
    </row>
    <row r="14" spans="1:5" x14ac:dyDescent="0.25">
      <c r="A14">
        <v>120131</v>
      </c>
      <c r="B14" t="s">
        <v>23</v>
      </c>
      <c r="C14">
        <f>'[1]VENTAS CONSOLIDADA 1,0'!C14</f>
        <v>2508</v>
      </c>
      <c r="D14" s="5">
        <f t="shared" ca="1" si="0"/>
        <v>147.52941176470588</v>
      </c>
      <c r="E14" s="5">
        <f t="shared" ca="1" si="1"/>
        <v>3245.6470588235293</v>
      </c>
    </row>
    <row r="15" spans="1:5" x14ac:dyDescent="0.25">
      <c r="A15">
        <v>120132</v>
      </c>
      <c r="B15" t="s">
        <v>21</v>
      </c>
      <c r="C15">
        <f>'[1]VENTAS CONSOLIDADA 1,0'!C15</f>
        <v>5413</v>
      </c>
      <c r="D15" s="5">
        <f t="shared" ca="1" si="0"/>
        <v>318.41176470588238</v>
      </c>
      <c r="E15" s="5">
        <f t="shared" ca="1" si="1"/>
        <v>7005.0588235294126</v>
      </c>
    </row>
    <row r="16" spans="1:5" x14ac:dyDescent="0.25">
      <c r="A16">
        <v>130150</v>
      </c>
      <c r="B16" t="s">
        <v>0</v>
      </c>
      <c r="C16">
        <f>'[1]VENTAS CONSOLIDADA 1,0'!C16</f>
        <v>13404</v>
      </c>
      <c r="D16" s="5">
        <f t="shared" ca="1" si="0"/>
        <v>788.47058823529414</v>
      </c>
      <c r="E16" s="5">
        <f t="shared" ca="1" si="1"/>
        <v>17346.352941176472</v>
      </c>
    </row>
    <row r="17" spans="1:5" x14ac:dyDescent="0.25">
      <c r="A17">
        <v>130151</v>
      </c>
      <c r="B17" t="s">
        <v>4</v>
      </c>
      <c r="C17">
        <f>'[1]VENTAS CONSOLIDADA 1,0'!C17</f>
        <v>6525</v>
      </c>
      <c r="D17" s="5">
        <f t="shared" ca="1" si="0"/>
        <v>383.8235294117647</v>
      </c>
      <c r="E17" s="5">
        <f t="shared" ca="1" si="1"/>
        <v>8444.1176470588234</v>
      </c>
    </row>
    <row r="18" spans="1:5" x14ac:dyDescent="0.25">
      <c r="A18">
        <v>130152</v>
      </c>
      <c r="B18" t="s">
        <v>51</v>
      </c>
      <c r="C18">
        <f>'[1]VENTAS CONSOLIDADA 1,0'!C18</f>
        <v>58132</v>
      </c>
      <c r="D18" s="5">
        <f t="shared" ca="1" si="0"/>
        <v>3419.5294117647059</v>
      </c>
      <c r="E18" s="5">
        <f t="shared" ca="1" si="1"/>
        <v>75229.647058823524</v>
      </c>
    </row>
    <row r="19" spans="1:5" x14ac:dyDescent="0.25">
      <c r="A19">
        <v>130153</v>
      </c>
      <c r="B19" t="s">
        <v>52</v>
      </c>
      <c r="C19">
        <f>'[1]VENTAS CONSOLIDADA 1,0'!C19</f>
        <v>36031</v>
      </c>
      <c r="D19" s="5">
        <f t="shared" ca="1" si="0"/>
        <v>2119.4705882352941</v>
      </c>
      <c r="E19" s="5">
        <f t="shared" ca="1" si="1"/>
        <v>46628.352941176468</v>
      </c>
    </row>
    <row r="20" spans="1:5" x14ac:dyDescent="0.25">
      <c r="A20">
        <v>130154</v>
      </c>
      <c r="B20" t="s">
        <v>53</v>
      </c>
      <c r="C20">
        <f>'[1]VENTAS CONSOLIDADA 1,0'!C20</f>
        <v>36501</v>
      </c>
      <c r="D20" s="5">
        <f t="shared" ca="1" si="0"/>
        <v>2147.1176470588234</v>
      </c>
      <c r="E20" s="5">
        <f t="shared" ca="1" si="1"/>
        <v>47236.588235294112</v>
      </c>
    </row>
    <row r="21" spans="1:5" x14ac:dyDescent="0.25">
      <c r="A21">
        <v>130155</v>
      </c>
      <c r="B21" t="s">
        <v>16</v>
      </c>
      <c r="C21">
        <f>'[1]VENTAS CONSOLIDADA 1,0'!C21</f>
        <v>45155</v>
      </c>
      <c r="D21" s="5">
        <f t="shared" ca="1" si="0"/>
        <v>2656.1764705882351</v>
      </c>
      <c r="E21" s="5">
        <f t="shared" ca="1" si="1"/>
        <v>58435.882352941175</v>
      </c>
    </row>
    <row r="22" spans="1:5" x14ac:dyDescent="0.25">
      <c r="A22">
        <v>130157</v>
      </c>
      <c r="B22" t="s">
        <v>43</v>
      </c>
      <c r="C22">
        <f>'[1]VENTAS CONSOLIDADA 1,0'!C22</f>
        <v>12239</v>
      </c>
      <c r="D22" s="5">
        <f t="shared" ca="1" si="0"/>
        <v>719.94117647058829</v>
      </c>
      <c r="E22" s="5">
        <f t="shared" ca="1" si="1"/>
        <v>15838.705882352942</v>
      </c>
    </row>
    <row r="23" spans="1:5" x14ac:dyDescent="0.25">
      <c r="A23">
        <v>130158</v>
      </c>
      <c r="B23" t="s">
        <v>44</v>
      </c>
      <c r="C23">
        <f>'[1]VENTAS CONSOLIDADA 1,0'!C23</f>
        <v>14322</v>
      </c>
      <c r="D23" s="5">
        <f t="shared" ca="1" si="0"/>
        <v>842.47058823529414</v>
      </c>
      <c r="E23" s="5">
        <f t="shared" ca="1" si="1"/>
        <v>18534.352941176472</v>
      </c>
    </row>
    <row r="24" spans="1:5" x14ac:dyDescent="0.25">
      <c r="A24">
        <v>130159</v>
      </c>
      <c r="B24" t="s">
        <v>45</v>
      </c>
      <c r="C24">
        <f>'[1]VENTAS CONSOLIDADA 1,0'!C24</f>
        <v>14698</v>
      </c>
      <c r="D24" s="5">
        <f t="shared" ca="1" si="0"/>
        <v>864.58823529411768</v>
      </c>
      <c r="E24" s="5">
        <f t="shared" ca="1" si="1"/>
        <v>19020.941176470587</v>
      </c>
    </row>
    <row r="25" spans="1:5" x14ac:dyDescent="0.25">
      <c r="A25">
        <v>130700</v>
      </c>
      <c r="B25" t="s">
        <v>3</v>
      </c>
      <c r="C25">
        <f>'[1]VENTAS CONSOLIDADA 1,0'!C25</f>
        <v>4777</v>
      </c>
      <c r="D25" s="5">
        <f t="shared" ca="1" si="0"/>
        <v>281</v>
      </c>
      <c r="E25" s="5">
        <f t="shared" ca="1" si="1"/>
        <v>6182</v>
      </c>
    </row>
    <row r="26" spans="1:5" x14ac:dyDescent="0.25">
      <c r="A26">
        <v>130701</v>
      </c>
      <c r="B26" t="s">
        <v>30</v>
      </c>
      <c r="C26">
        <f>'[1]VENTAS CONSOLIDADA 1,0'!C26</f>
        <v>2255</v>
      </c>
      <c r="D26" s="5">
        <f t="shared" ca="1" si="0"/>
        <v>132.64705882352942</v>
      </c>
      <c r="E26" s="5">
        <f t="shared" ca="1" si="1"/>
        <v>2918.2352941176473</v>
      </c>
    </row>
    <row r="27" spans="1:5" x14ac:dyDescent="0.25">
      <c r="A27">
        <v>130702</v>
      </c>
      <c r="B27" t="s">
        <v>12</v>
      </c>
      <c r="C27">
        <f>'[1]VENTAS CONSOLIDADA 1,0'!C27</f>
        <v>8825</v>
      </c>
      <c r="D27" s="5">
        <f t="shared" ca="1" si="0"/>
        <v>519.11764705882354</v>
      </c>
      <c r="E27" s="5">
        <f t="shared" ca="1" si="1"/>
        <v>11420.588235294117</v>
      </c>
    </row>
    <row r="28" spans="1:5" x14ac:dyDescent="0.25">
      <c r="A28">
        <v>130703</v>
      </c>
      <c r="B28" t="s">
        <v>17</v>
      </c>
      <c r="C28">
        <f>'[1]VENTAS CONSOLIDADA 1,0'!C28</f>
        <v>14865</v>
      </c>
      <c r="D28" s="5">
        <f t="shared" ca="1" si="0"/>
        <v>874.41176470588232</v>
      </c>
      <c r="E28" s="5">
        <f t="shared" ca="1" si="1"/>
        <v>19237.058823529413</v>
      </c>
    </row>
    <row r="29" spans="1:5" x14ac:dyDescent="0.25">
      <c r="A29">
        <v>130707</v>
      </c>
      <c r="B29" t="s">
        <v>42</v>
      </c>
      <c r="C29">
        <f>'[1]VENTAS CONSOLIDADA 1,0'!C29</f>
        <v>1032</v>
      </c>
      <c r="D29" s="5">
        <f t="shared" ca="1" si="0"/>
        <v>60.705882352941174</v>
      </c>
      <c r="E29" s="5">
        <f t="shared" ca="1" si="1"/>
        <v>1335.5294117647059</v>
      </c>
    </row>
    <row r="30" spans="1:5" x14ac:dyDescent="0.25">
      <c r="A30">
        <v>131150</v>
      </c>
      <c r="B30" t="s">
        <v>22</v>
      </c>
      <c r="C30">
        <f>'[1]VENTAS CONSOLIDADA 1,0'!C30</f>
        <v>11861</v>
      </c>
      <c r="D30" s="5">
        <f t="shared" ca="1" si="0"/>
        <v>697.70588235294122</v>
      </c>
      <c r="E30" s="5">
        <f t="shared" ca="1" si="1"/>
        <v>15349.529411764706</v>
      </c>
    </row>
    <row r="31" spans="1:5" x14ac:dyDescent="0.25">
      <c r="A31">
        <v>131151</v>
      </c>
      <c r="B31" t="s">
        <v>19</v>
      </c>
      <c r="C31">
        <f>'[1]VENTAS CONSOLIDADA 1,0'!C31</f>
        <v>18264</v>
      </c>
      <c r="D31" s="5">
        <f t="shared" ca="1" si="0"/>
        <v>1074.3529411764705</v>
      </c>
      <c r="E31" s="5">
        <f t="shared" ca="1" si="1"/>
        <v>23635.76470588235</v>
      </c>
    </row>
    <row r="32" spans="1:5" x14ac:dyDescent="0.25">
      <c r="A32">
        <v>131152</v>
      </c>
      <c r="B32" t="s">
        <v>32</v>
      </c>
      <c r="C32">
        <f>'[1]VENTAS CONSOLIDADA 1,0'!C32</f>
        <v>9715</v>
      </c>
      <c r="D32" s="5">
        <f t="shared" ca="1" si="0"/>
        <v>571.47058823529414</v>
      </c>
      <c r="E32" s="5">
        <f t="shared" ca="1" si="1"/>
        <v>12572.352941176472</v>
      </c>
    </row>
    <row r="33" spans="1:5" x14ac:dyDescent="0.25">
      <c r="A33">
        <v>131153</v>
      </c>
      <c r="B33" t="s">
        <v>11</v>
      </c>
      <c r="C33">
        <f>'[1]VENTAS CONSOLIDADA 1,0'!C33</f>
        <v>7295</v>
      </c>
      <c r="D33" s="5">
        <f t="shared" ca="1" si="0"/>
        <v>429.11764705882354</v>
      </c>
      <c r="E33" s="5">
        <f t="shared" ca="1" si="1"/>
        <v>9440.5882352941171</v>
      </c>
    </row>
    <row r="34" spans="1:5" x14ac:dyDescent="0.25">
      <c r="A34">
        <v>131154</v>
      </c>
      <c r="B34" t="s">
        <v>48</v>
      </c>
      <c r="C34">
        <f>'[1]VENTAS CONSOLIDADA 1,0'!C34</f>
        <v>3997</v>
      </c>
      <c r="D34" s="5">
        <f t="shared" ca="1" si="0"/>
        <v>235.11764705882354</v>
      </c>
      <c r="E34" s="5">
        <f t="shared" ca="1" si="1"/>
        <v>5172.588235294118</v>
      </c>
    </row>
    <row r="35" spans="1:5" x14ac:dyDescent="0.25">
      <c r="A35">
        <v>131155</v>
      </c>
      <c r="B35" t="s">
        <v>57</v>
      </c>
      <c r="C35">
        <f>'[1]VENTAS CONSOLIDADA 1,0'!C35</f>
        <v>4889</v>
      </c>
      <c r="D35" s="5">
        <f t="shared" ca="1" si="0"/>
        <v>287.58823529411762</v>
      </c>
      <c r="E35" s="5">
        <f t="shared" ca="1" si="1"/>
        <v>6326.9411764705874</v>
      </c>
    </row>
    <row r="36" spans="1:5" x14ac:dyDescent="0.25">
      <c r="A36">
        <v>131700</v>
      </c>
      <c r="B36" t="s">
        <v>20</v>
      </c>
      <c r="C36">
        <f>'[1]VENTAS CONSOLIDADA 1,0'!C36</f>
        <v>2252</v>
      </c>
      <c r="D36" s="5">
        <f t="shared" ca="1" si="0"/>
        <v>132.47058823529412</v>
      </c>
      <c r="E36" s="5">
        <f t="shared" ca="1" si="1"/>
        <v>2914.3529411764707</v>
      </c>
    </row>
    <row r="37" spans="1:5" x14ac:dyDescent="0.25">
      <c r="A37">
        <v>131701</v>
      </c>
      <c r="B37" t="s">
        <v>24</v>
      </c>
      <c r="C37">
        <f>'[1]VENTAS CONSOLIDADA 1,0'!C37</f>
        <v>2356</v>
      </c>
      <c r="D37" s="5">
        <f t="shared" ca="1" si="0"/>
        <v>138.58823529411765</v>
      </c>
      <c r="E37" s="5">
        <f t="shared" ca="1" si="1"/>
        <v>3048.9411764705883</v>
      </c>
    </row>
    <row r="38" spans="1:5" x14ac:dyDescent="0.25">
      <c r="A38">
        <v>132150</v>
      </c>
      <c r="B38" t="s">
        <v>25</v>
      </c>
      <c r="C38">
        <f>'[1]VENTAS CONSOLIDADA 1,0'!C38</f>
        <v>13208</v>
      </c>
      <c r="D38" s="5">
        <f t="shared" ca="1" si="0"/>
        <v>776.94117647058829</v>
      </c>
      <c r="E38" s="5">
        <f t="shared" ca="1" si="1"/>
        <v>17092.705882352944</v>
      </c>
    </row>
    <row r="39" spans="1:5" x14ac:dyDescent="0.25">
      <c r="A39">
        <v>132151</v>
      </c>
      <c r="B39" t="s">
        <v>26</v>
      </c>
      <c r="C39">
        <f>'[1]VENTAS CONSOLIDADA 1,0'!C39</f>
        <v>10294</v>
      </c>
      <c r="D39" s="5">
        <f t="shared" ca="1" si="0"/>
        <v>605.52941176470586</v>
      </c>
      <c r="E39" s="5">
        <f t="shared" ca="1" si="1"/>
        <v>13321.647058823528</v>
      </c>
    </row>
    <row r="40" spans="1:5" x14ac:dyDescent="0.25">
      <c r="A40">
        <v>132152</v>
      </c>
      <c r="B40" t="s">
        <v>27</v>
      </c>
      <c r="C40">
        <f>'[1]VENTAS CONSOLIDADA 1,0'!C40</f>
        <v>13598</v>
      </c>
      <c r="D40" s="5">
        <f t="shared" ca="1" si="0"/>
        <v>799.88235294117646</v>
      </c>
      <c r="E40" s="5">
        <f t="shared" ca="1" si="1"/>
        <v>17597.411764705881</v>
      </c>
    </row>
    <row r="41" spans="1:5" x14ac:dyDescent="0.25">
      <c r="A41">
        <v>132153</v>
      </c>
      <c r="B41" t="s">
        <v>40</v>
      </c>
      <c r="C41">
        <f>'[1]VENTAS CONSOLIDADA 1,0'!C41</f>
        <v>9026</v>
      </c>
      <c r="D41" s="5">
        <f t="shared" ca="1" si="0"/>
        <v>530.94117647058829</v>
      </c>
      <c r="E41" s="5">
        <f t="shared" ca="1" si="1"/>
        <v>11680.705882352942</v>
      </c>
    </row>
    <row r="42" spans="1:5" x14ac:dyDescent="0.25">
      <c r="A42">
        <v>134000</v>
      </c>
      <c r="B42" t="s">
        <v>35</v>
      </c>
      <c r="C42">
        <f>'[1]VENTAS CONSOLIDADA 1,0'!C42</f>
        <v>69</v>
      </c>
      <c r="D42" s="5">
        <f t="shared" ca="1" si="0"/>
        <v>4.0588235294117645</v>
      </c>
      <c r="E42" s="5">
        <f t="shared" ca="1" si="1"/>
        <v>89.294117647058812</v>
      </c>
    </row>
    <row r="43" spans="1:5" x14ac:dyDescent="0.25">
      <c r="A43">
        <v>134001</v>
      </c>
      <c r="B43" t="s">
        <v>47</v>
      </c>
      <c r="C43">
        <f>'[1]VENTAS CONSOLIDADA 1,0'!C43</f>
        <v>11</v>
      </c>
      <c r="D43" s="5">
        <f t="shared" ca="1" si="0"/>
        <v>0.6470588235294118</v>
      </c>
      <c r="E43" s="5">
        <f t="shared" ca="1" si="1"/>
        <v>14.23529411764706</v>
      </c>
    </row>
    <row r="44" spans="1:5" x14ac:dyDescent="0.25">
      <c r="A44">
        <v>140230</v>
      </c>
      <c r="B44" t="s">
        <v>18</v>
      </c>
      <c r="C44">
        <f>'[1]VENTAS CONSOLIDADA 1,0'!C44</f>
        <v>2537</v>
      </c>
      <c r="D44" s="5">
        <f t="shared" ca="1" si="0"/>
        <v>149.23529411764707</v>
      </c>
      <c r="E44" s="5">
        <f t="shared" ca="1" si="1"/>
        <v>3283.1764705882356</v>
      </c>
    </row>
    <row r="45" spans="1:5" x14ac:dyDescent="0.25">
      <c r="A45">
        <v>140231</v>
      </c>
      <c r="B45" t="s">
        <v>10</v>
      </c>
      <c r="C45">
        <f>'[1]VENTAS CONSOLIDADA 1,0'!C45</f>
        <v>9745</v>
      </c>
      <c r="D45" s="5">
        <f t="shared" ca="1" si="0"/>
        <v>573.23529411764707</v>
      </c>
      <c r="E45" s="5">
        <f t="shared" ca="1" si="1"/>
        <v>12611.176470588236</v>
      </c>
    </row>
    <row r="46" spans="1:5" x14ac:dyDescent="0.25">
      <c r="A46">
        <v>140232</v>
      </c>
      <c r="B46" t="s">
        <v>9</v>
      </c>
      <c r="C46">
        <f>'[1]VENTAS CONSOLIDADA 1,0'!C46</f>
        <v>7074</v>
      </c>
      <c r="D46" s="5">
        <f t="shared" ca="1" si="0"/>
        <v>416.11764705882354</v>
      </c>
      <c r="E46" s="5">
        <f t="shared" ca="1" si="1"/>
        <v>9154.5882352941171</v>
      </c>
    </row>
    <row r="47" spans="1:5" x14ac:dyDescent="0.25">
      <c r="A47">
        <v>150360</v>
      </c>
      <c r="B47" t="s">
        <v>28</v>
      </c>
      <c r="C47">
        <f>'[1]VENTAS CONSOLIDADA 1,0'!C47</f>
        <v>3996</v>
      </c>
      <c r="D47" s="5">
        <f t="shared" ca="1" si="0"/>
        <v>235.05882352941177</v>
      </c>
      <c r="E47" s="5">
        <f t="shared" ca="1" si="1"/>
        <v>5171.2941176470586</v>
      </c>
    </row>
    <row r="48" spans="1:5" x14ac:dyDescent="0.25">
      <c r="A48">
        <v>150361</v>
      </c>
      <c r="B48" t="s">
        <v>29</v>
      </c>
      <c r="C48">
        <f>'[1]VENTAS CONSOLIDADA 1,0'!C48</f>
        <v>8487</v>
      </c>
      <c r="D48" s="5">
        <f t="shared" ca="1" si="0"/>
        <v>499.23529411764707</v>
      </c>
      <c r="E48" s="5">
        <f t="shared" ca="1" si="1"/>
        <v>10983.176470588236</v>
      </c>
    </row>
    <row r="49" spans="1:5" x14ac:dyDescent="0.25">
      <c r="A49">
        <v>150362</v>
      </c>
      <c r="B49" t="s">
        <v>36</v>
      </c>
      <c r="C49">
        <f>'[1]VENTAS CONSOLIDADA 1,0'!C49</f>
        <v>5079</v>
      </c>
      <c r="D49" s="5">
        <f t="shared" ca="1" si="0"/>
        <v>298.76470588235293</v>
      </c>
      <c r="E49" s="5">
        <f t="shared" ca="1" si="1"/>
        <v>6572.823529411764</v>
      </c>
    </row>
    <row r="50" spans="1:5" x14ac:dyDescent="0.25">
      <c r="A50">
        <v>150363</v>
      </c>
      <c r="B50" t="s">
        <v>31</v>
      </c>
      <c r="C50">
        <f>'[1]VENTAS CONSOLIDADA 1,0'!C50</f>
        <v>5102</v>
      </c>
      <c r="D50" s="5">
        <f t="shared" ca="1" si="0"/>
        <v>300.11764705882354</v>
      </c>
      <c r="E50" s="5">
        <f t="shared" ca="1" si="1"/>
        <v>6602.588235294118</v>
      </c>
    </row>
    <row r="51" spans="1:5" x14ac:dyDescent="0.25">
      <c r="A51">
        <v>151500</v>
      </c>
      <c r="B51" t="s">
        <v>41</v>
      </c>
      <c r="C51">
        <f>'[1]VENTAS CONSOLIDADA 1,0'!C51</f>
        <v>980</v>
      </c>
      <c r="D51" s="5">
        <f t="shared" ca="1" si="0"/>
        <v>57.647058823529413</v>
      </c>
      <c r="E51" s="5">
        <f t="shared" ca="1" si="1"/>
        <v>1268.2352941176471</v>
      </c>
    </row>
    <row r="52" spans="1:5" x14ac:dyDescent="0.25">
      <c r="A52">
        <v>151501</v>
      </c>
      <c r="B52" t="s">
        <v>33</v>
      </c>
      <c r="C52">
        <f>'[1]VENTAS CONSOLIDADA 1,0'!C52</f>
        <v>2136</v>
      </c>
      <c r="D52" s="5">
        <f t="shared" ca="1" si="0"/>
        <v>125.64705882352941</v>
      </c>
      <c r="E52" s="5">
        <f t="shared" ca="1" si="1"/>
        <v>2764.2352941176468</v>
      </c>
    </row>
    <row r="53" spans="1:5" x14ac:dyDescent="0.25">
      <c r="A53">
        <v>151502</v>
      </c>
      <c r="B53" t="s">
        <v>37</v>
      </c>
      <c r="C53">
        <f>'[1]VENTAS CONSOLIDADA 1,0'!C53</f>
        <v>743</v>
      </c>
      <c r="D53" s="5">
        <f t="shared" ca="1" si="0"/>
        <v>43.705882352941174</v>
      </c>
      <c r="E53" s="5">
        <f t="shared" ca="1" si="1"/>
        <v>961.52941176470586</v>
      </c>
    </row>
    <row r="54" spans="1:5" x14ac:dyDescent="0.25">
      <c r="A54">
        <v>151503</v>
      </c>
      <c r="B54" t="s">
        <v>34</v>
      </c>
      <c r="C54">
        <f>'[1]VENTAS CONSOLIDADA 1,0'!C54</f>
        <v>909</v>
      </c>
      <c r="D54" s="5">
        <f t="shared" ca="1" si="0"/>
        <v>53.470588235294116</v>
      </c>
      <c r="E54" s="5">
        <f t="shared" ca="1" si="1"/>
        <v>1176.3529411764705</v>
      </c>
    </row>
    <row r="55" spans="1:5" x14ac:dyDescent="0.25">
      <c r="C55">
        <f>SUM(C8:C54)</f>
        <v>486185</v>
      </c>
      <c r="D55" s="5">
        <f ca="1">SUM(D8:D54)</f>
        <v>28599.117647058822</v>
      </c>
      <c r="E55" s="5">
        <f ca="1">SUM(E8:E54)</f>
        <v>629180.58823529375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F5D7323A-644E-4D3D-8486-43C2FFAD8146}">
  <ds:schemaRefs/>
</ds:datastoreItem>
</file>

<file path=customXml/itemProps2.xml><?xml version="1.0" encoding="utf-8"?>
<ds:datastoreItem xmlns:ds="http://schemas.openxmlformats.org/officeDocument/2006/customXml" ds:itemID="{1624F75C-FD6B-41DE-81B8-76266AB6E660}">
  <ds:schemaRefs/>
</ds:datastoreItem>
</file>

<file path=customXml/itemProps3.xml><?xml version="1.0" encoding="utf-8"?>
<ds:datastoreItem xmlns:ds="http://schemas.openxmlformats.org/officeDocument/2006/customXml" ds:itemID="{65BE5737-5D13-4B92-9A1E-66AAD091BECC}">
  <ds:schemaRefs/>
</ds:datastoreItem>
</file>

<file path=customXml/itemProps4.xml><?xml version="1.0" encoding="utf-8"?>
<ds:datastoreItem xmlns:ds="http://schemas.openxmlformats.org/officeDocument/2006/customXml" ds:itemID="{B0CC2B14-7DD7-4033-8A48-822C26B12A45}">
  <ds:schemaRefs/>
</ds:datastoreItem>
</file>

<file path=customXml/itemProps5.xml><?xml version="1.0" encoding="utf-8"?>
<ds:datastoreItem xmlns:ds="http://schemas.openxmlformats.org/officeDocument/2006/customXml" ds:itemID="{2FB7461A-5A6D-4ED3-B35C-48147355CFC0}">
  <ds:schemaRefs/>
</ds:datastoreItem>
</file>

<file path=customXml/itemProps6.xml><?xml version="1.0" encoding="utf-8"?>
<ds:datastoreItem xmlns:ds="http://schemas.openxmlformats.org/officeDocument/2006/customXml" ds:itemID="{CAB6C292-B853-467D-B711-6EBB7D36CC58}">
  <ds:schemaRefs/>
</ds:datastoreItem>
</file>

<file path=customXml/itemProps7.xml><?xml version="1.0" encoding="utf-8"?>
<ds:datastoreItem xmlns:ds="http://schemas.openxmlformats.org/officeDocument/2006/customXml" ds:itemID="{8E0207D3-36B0-4047-99FA-B78F3EBADFAC}">
  <ds:schemaRefs/>
</ds:datastoreItem>
</file>

<file path=customXml/itemProps8.xml><?xml version="1.0" encoding="utf-8"?>
<ds:datastoreItem xmlns:ds="http://schemas.openxmlformats.org/officeDocument/2006/customXml" ds:itemID="{0AD6CB95-564A-49A8-92C3-BDDCD21D69FF}">
  <ds:schemaRefs/>
</ds:datastoreItem>
</file>

<file path=customXml/itemProps9.xml><?xml version="1.0" encoding="utf-8"?>
<ds:datastoreItem xmlns:ds="http://schemas.openxmlformats.org/officeDocument/2006/customXml" ds:itemID="{DEFC51E7-3E67-4621-B139-07F56E3C51B6}">
  <ds:schemaRefs/>
</ds:datastoreItem>
</file>

<file path=customXml/itemProps10.xml><?xml version="1.0" encoding="utf-8"?>
<ds:datastoreItem xmlns:ds="http://schemas.openxmlformats.org/officeDocument/2006/customXml" ds:itemID="{7845B0CC-F2DA-4435-B3A8-0B67EEA59E3E}">
  <ds:schemaRefs/>
</ds:datastoreItem>
</file>

<file path=customXml/itemProps11.xml><?xml version="1.0" encoding="utf-8"?>
<ds:datastoreItem xmlns:ds="http://schemas.openxmlformats.org/officeDocument/2006/customXml" ds:itemID="{084C0BCB-4732-44D2-A228-50E994334BF1}">
  <ds:schemaRefs/>
</ds:datastoreItem>
</file>

<file path=customXml/itemProps12.xml><?xml version="1.0" encoding="utf-8"?>
<ds:datastoreItem xmlns:ds="http://schemas.openxmlformats.org/officeDocument/2006/customXml" ds:itemID="{38DB5A37-2218-4EAC-B67D-146D68E76E36}">
  <ds:schemaRefs/>
</ds:datastoreItem>
</file>

<file path=customXml/itemProps13.xml><?xml version="1.0" encoding="utf-8"?>
<ds:datastoreItem xmlns:ds="http://schemas.openxmlformats.org/officeDocument/2006/customXml" ds:itemID="{AF2AF42B-D484-4F26-B929-D7FB2E56F71D}">
  <ds:schemaRefs/>
</ds:datastoreItem>
</file>

<file path=customXml/itemProps14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15.xml><?xml version="1.0" encoding="utf-8"?>
<ds:datastoreItem xmlns:ds="http://schemas.openxmlformats.org/officeDocument/2006/customXml" ds:itemID="{4DF253BA-E348-4CD2-AA4E-97FB2A32A7F0}">
  <ds:schemaRefs/>
</ds:datastoreItem>
</file>

<file path=customXml/itemProps16.xml><?xml version="1.0" encoding="utf-8"?>
<ds:datastoreItem xmlns:ds="http://schemas.openxmlformats.org/officeDocument/2006/customXml" ds:itemID="{52FA8FE5-D878-4A8D-B664-9568032292DD}">
  <ds:schemaRefs/>
</ds:datastoreItem>
</file>

<file path=customXml/itemProps17.xml><?xml version="1.0" encoding="utf-8"?>
<ds:datastoreItem xmlns:ds="http://schemas.openxmlformats.org/officeDocument/2006/customXml" ds:itemID="{7AE93A93-CA27-4BDA-AA62-2C35967BA493}">
  <ds:schemaRefs/>
</ds:datastoreItem>
</file>

<file path=customXml/itemProps18.xml><?xml version="1.0" encoding="utf-8"?>
<ds:datastoreItem xmlns:ds="http://schemas.openxmlformats.org/officeDocument/2006/customXml" ds:itemID="{CFB06E3D-1317-4F60-85DB-890000D02217}">
  <ds:schemaRefs/>
</ds:datastoreItem>
</file>

<file path=customXml/itemProps19.xml><?xml version="1.0" encoding="utf-8"?>
<ds:datastoreItem xmlns:ds="http://schemas.openxmlformats.org/officeDocument/2006/customXml" ds:itemID="{CC2043D8-989E-412C-8862-ACDB973E448B}">
  <ds:schemaRefs/>
</ds:datastoreItem>
</file>

<file path=customXml/itemProps20.xml><?xml version="1.0" encoding="utf-8"?>
<ds:datastoreItem xmlns:ds="http://schemas.openxmlformats.org/officeDocument/2006/customXml" ds:itemID="{DB2ACCEB-6CC9-4D35-BDF4-AC9EF8C2F11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2026-09-24T12:38:55Z</dcterms:modified>
</cp:coreProperties>
</file>