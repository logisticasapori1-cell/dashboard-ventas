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34D55B39-738E-428A-B448-9896B3325B8E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</externalReferences>
  <calcPr calcId="191029"/>
  <pivotCaches>
    <pivotCache cacheId="5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55" l="1"/>
  <c r="D1" i="55"/>
  <c r="C2" i="55"/>
  <c r="C3" i="55"/>
  <c r="D3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1" i="54"/>
  <c r="D1" i="54"/>
  <c r="C2" i="54"/>
  <c r="C3" i="54"/>
  <c r="D3" i="54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1" i="53"/>
  <c r="D1" i="53"/>
  <c r="C2" i="53"/>
  <c r="C3" i="53"/>
  <c r="D3" i="53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1" i="52"/>
  <c r="D1" i="52"/>
  <c r="C2" i="52"/>
  <c r="C3" i="52"/>
  <c r="D3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1" i="51"/>
  <c r="D1" i="51"/>
  <c r="C2" i="51"/>
  <c r="C3" i="51"/>
  <c r="D3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C1" i="50"/>
  <c r="D1" i="50"/>
  <c r="C2" i="50"/>
  <c r="C3" i="50"/>
  <c r="D3" i="50"/>
  <c r="D2" i="50"/>
  <c r="D2" i="54"/>
  <c r="D2" i="52"/>
  <c r="D2" i="51"/>
  <c r="D2" i="53"/>
  <c r="C55" i="55" l="1"/>
  <c r="D2" i="55"/>
  <c r="E2" i="55"/>
  <c r="E3" i="55"/>
  <c r="E3" i="50"/>
  <c r="E2" i="50"/>
  <c r="D46" i="50" s="1"/>
  <c r="E3" i="51"/>
  <c r="E2" i="51"/>
  <c r="E3" i="52"/>
  <c r="E2" i="52"/>
  <c r="E2" i="54"/>
  <c r="E3" i="54"/>
  <c r="E3" i="53"/>
  <c r="E2" i="53" l="1"/>
  <c r="E46" i="50"/>
  <c r="D43" i="52"/>
  <c r="E43" i="52" s="1"/>
  <c r="D8" i="52"/>
  <c r="D44" i="52"/>
  <c r="E44" i="52" s="1"/>
  <c r="D33" i="55"/>
  <c r="E33" i="55" s="1"/>
  <c r="D30" i="55"/>
  <c r="E30" i="55" s="1"/>
  <c r="D28" i="55"/>
  <c r="E28" i="55" s="1"/>
  <c r="D27" i="55"/>
  <c r="E27" i="55" s="1"/>
  <c r="D26" i="55"/>
  <c r="E26" i="55" s="1"/>
  <c r="D24" i="55"/>
  <c r="E24" i="55" s="1"/>
  <c r="D23" i="55"/>
  <c r="E23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2" i="55"/>
  <c r="E32" i="55" s="1"/>
  <c r="D29" i="55"/>
  <c r="E29" i="55" s="1"/>
  <c r="D25" i="55"/>
  <c r="E25" i="55" s="1"/>
  <c r="D22" i="55"/>
  <c r="E22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3" i="54"/>
  <c r="E43" i="54" s="1"/>
  <c r="D46" i="54"/>
  <c r="E46" i="54" s="1"/>
  <c r="D35" i="54"/>
  <c r="E35" i="54" s="1"/>
  <c r="D42" i="54"/>
  <c r="E42" i="54" s="1"/>
  <c r="D39" i="55"/>
  <c r="E39" i="55" s="1"/>
  <c r="D36" i="55"/>
  <c r="E36" i="55" s="1"/>
  <c r="D35" i="55"/>
  <c r="E35" i="55" s="1"/>
  <c r="D34" i="55"/>
  <c r="E34" i="55" s="1"/>
  <c r="D31" i="55"/>
  <c r="E31" i="55" s="1"/>
  <c r="D37" i="55"/>
  <c r="E37" i="55" s="1"/>
  <c r="D38" i="55"/>
  <c r="E38" i="55" s="1"/>
  <c r="D29" i="54"/>
  <c r="E29" i="54" s="1"/>
  <c r="D34" i="54"/>
  <c r="E34" i="54" s="1"/>
  <c r="D12" i="53"/>
  <c r="E12" i="53" s="1"/>
  <c r="D43" i="53"/>
  <c r="E43" i="53" s="1"/>
  <c r="D8" i="55"/>
  <c r="E8" i="55" s="1"/>
  <c r="D40" i="55"/>
  <c r="E40" i="55" s="1"/>
  <c r="D42" i="50"/>
  <c r="E42" i="50" s="1"/>
  <c r="D43" i="50"/>
  <c r="E43" i="50" s="1"/>
  <c r="D29" i="50"/>
  <c r="E29" i="50" s="1"/>
  <c r="D8" i="50"/>
  <c r="E8" i="50" s="1"/>
  <c r="D17" i="50"/>
  <c r="E17" i="50" s="1"/>
  <c r="D43" i="55"/>
  <c r="E43" i="55" s="1"/>
  <c r="D41" i="55"/>
  <c r="E41" i="55" s="1"/>
  <c r="D42" i="55"/>
  <c r="E42" i="55" s="1"/>
  <c r="D44" i="55"/>
  <c r="E44" i="55" s="1"/>
  <c r="D46" i="55"/>
  <c r="E46" i="55" s="1"/>
  <c r="D45" i="55"/>
  <c r="E45" i="55" s="1"/>
  <c r="D49" i="55"/>
  <c r="E49" i="55" s="1"/>
  <c r="D47" i="55"/>
  <c r="E47" i="55" s="1"/>
  <c r="D48" i="55"/>
  <c r="E48" i="55" s="1"/>
  <c r="D51" i="55"/>
  <c r="E51" i="55" s="1"/>
  <c r="D50" i="55"/>
  <c r="E50" i="55" s="1"/>
  <c r="D52" i="55"/>
  <c r="E52" i="55" s="1"/>
  <c r="D53" i="55"/>
  <c r="E53" i="55" s="1"/>
  <c r="D54" i="55"/>
  <c r="E54" i="55" s="1"/>
  <c r="D50" i="50"/>
  <c r="E50" i="50" s="1"/>
  <c r="D51" i="50"/>
  <c r="E51" i="50" s="1"/>
  <c r="D52" i="50"/>
  <c r="E52" i="50" s="1"/>
  <c r="D53" i="50"/>
  <c r="E53" i="50" s="1"/>
  <c r="D54" i="50"/>
  <c r="E54" i="50" s="1"/>
  <c r="D45" i="50"/>
  <c r="E45" i="50" s="1"/>
  <c r="D49" i="50"/>
  <c r="E49" i="50" s="1"/>
  <c r="D47" i="50"/>
  <c r="E47" i="50" s="1"/>
  <c r="D48" i="50"/>
  <c r="E48" i="50" s="1"/>
  <c r="D41" i="50"/>
  <c r="E41" i="50" s="1"/>
  <c r="D44" i="50"/>
  <c r="E44" i="50" s="1"/>
  <c r="D36" i="50"/>
  <c r="E36" i="50" s="1"/>
  <c r="D39" i="50"/>
  <c r="E39" i="50" s="1"/>
  <c r="D31" i="50"/>
  <c r="E31" i="50" s="1"/>
  <c r="D38" i="50"/>
  <c r="E38" i="50" s="1"/>
  <c r="D40" i="50"/>
  <c r="E40" i="50" s="1"/>
  <c r="D37" i="50"/>
  <c r="E37" i="50" s="1"/>
  <c r="D34" i="50"/>
  <c r="E34" i="50" s="1"/>
  <c r="D33" i="50"/>
  <c r="E33" i="50" s="1"/>
  <c r="D32" i="50"/>
  <c r="E32" i="50" s="1"/>
  <c r="D35" i="50"/>
  <c r="E35" i="50" s="1"/>
  <c r="D9" i="50"/>
  <c r="E9" i="50" s="1"/>
  <c r="D11" i="50"/>
  <c r="E11" i="50" s="1"/>
  <c r="D15" i="50"/>
  <c r="E15" i="50" s="1"/>
  <c r="D18" i="50"/>
  <c r="E18" i="50" s="1"/>
  <c r="D23" i="50"/>
  <c r="E23" i="50" s="1"/>
  <c r="D26" i="50"/>
  <c r="E26" i="50" s="1"/>
  <c r="D30" i="50"/>
  <c r="E30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5" i="50"/>
  <c r="E25" i="50" s="1"/>
  <c r="D28" i="50"/>
  <c r="E28" i="50" s="1"/>
  <c r="D12" i="50"/>
  <c r="E12" i="50" s="1"/>
  <c r="D20" i="50"/>
  <c r="E20" i="50" s="1"/>
  <c r="D22" i="50"/>
  <c r="E22" i="50" s="1"/>
  <c r="D24" i="50"/>
  <c r="E24" i="50" s="1"/>
  <c r="D27" i="50"/>
  <c r="E27" i="50" s="1"/>
  <c r="D8" i="51"/>
  <c r="D51" i="51"/>
  <c r="E51" i="51" s="1"/>
  <c r="D53" i="51"/>
  <c r="E53" i="51" s="1"/>
  <c r="D50" i="51"/>
  <c r="E50" i="51" s="1"/>
  <c r="D52" i="51"/>
  <c r="E52" i="51" s="1"/>
  <c r="D54" i="51"/>
  <c r="E54" i="51" s="1"/>
  <c r="D45" i="51"/>
  <c r="E45" i="51" s="1"/>
  <c r="D46" i="51"/>
  <c r="E46" i="51" s="1"/>
  <c r="D47" i="51"/>
  <c r="E47" i="51" s="1"/>
  <c r="D49" i="51"/>
  <c r="E49" i="51" s="1"/>
  <c r="D48" i="51"/>
  <c r="E48" i="51" s="1"/>
  <c r="D42" i="51"/>
  <c r="E42" i="51" s="1"/>
  <c r="D44" i="51"/>
  <c r="E44" i="51" s="1"/>
  <c r="D43" i="51"/>
  <c r="E43" i="51" s="1"/>
  <c r="D11" i="51"/>
  <c r="E11" i="51" s="1"/>
  <c r="D16" i="51"/>
  <c r="E16" i="51" s="1"/>
  <c r="D20" i="51"/>
  <c r="E20" i="51" s="1"/>
  <c r="D22" i="51"/>
  <c r="E22" i="51" s="1"/>
  <c r="D25" i="51"/>
  <c r="E25" i="51" s="1"/>
  <c r="D29" i="51"/>
  <c r="E29" i="51" s="1"/>
  <c r="D34" i="51"/>
  <c r="E34" i="51" s="1"/>
  <c r="D39" i="51"/>
  <c r="E39" i="51" s="1"/>
  <c r="D41" i="51"/>
  <c r="E41" i="51" s="1"/>
  <c r="D12" i="51"/>
  <c r="E12" i="51" s="1"/>
  <c r="D13" i="51"/>
  <c r="E13" i="51" s="1"/>
  <c r="D18" i="51"/>
  <c r="E18" i="51" s="1"/>
  <c r="D21" i="51"/>
  <c r="E21" i="51" s="1"/>
  <c r="D24" i="51"/>
  <c r="E24" i="51" s="1"/>
  <c r="D26" i="51"/>
  <c r="E26" i="51" s="1"/>
  <c r="D32" i="51"/>
  <c r="E32" i="51" s="1"/>
  <c r="D37" i="51"/>
  <c r="E37" i="51" s="1"/>
  <c r="D9" i="51"/>
  <c r="E9" i="51" s="1"/>
  <c r="D14" i="51"/>
  <c r="E14" i="51" s="1"/>
  <c r="D19" i="51"/>
  <c r="E19" i="51" s="1"/>
  <c r="D23" i="51"/>
  <c r="E23" i="51" s="1"/>
  <c r="D27" i="51"/>
  <c r="E27" i="51" s="1"/>
  <c r="D31" i="51"/>
  <c r="E31" i="51" s="1"/>
  <c r="D35" i="51"/>
  <c r="E35" i="51" s="1"/>
  <c r="D38" i="51"/>
  <c r="E38" i="51" s="1"/>
  <c r="D10" i="51"/>
  <c r="E10" i="51" s="1"/>
  <c r="D15" i="51"/>
  <c r="E15" i="51" s="1"/>
  <c r="D17" i="51"/>
  <c r="E17" i="51" s="1"/>
  <c r="D28" i="51"/>
  <c r="E28" i="51" s="1"/>
  <c r="D30" i="51"/>
  <c r="E30" i="51" s="1"/>
  <c r="D33" i="51"/>
  <c r="E33" i="51" s="1"/>
  <c r="D36" i="51"/>
  <c r="E36" i="51" s="1"/>
  <c r="D40" i="51"/>
  <c r="E40" i="51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5" i="52"/>
  <c r="E45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2" i="54"/>
  <c r="E22" i="54" s="1"/>
  <c r="D17" i="54"/>
  <c r="E17" i="54" s="1"/>
  <c r="D14" i="54"/>
  <c r="E14" i="54" s="1"/>
  <c r="D13" i="54"/>
  <c r="E13" i="54" s="1"/>
  <c r="D15" i="54"/>
  <c r="E15" i="54" s="1"/>
  <c r="D12" i="54"/>
  <c r="E12" i="54" s="1"/>
  <c r="D53" i="54"/>
  <c r="E53" i="54" s="1"/>
  <c r="D23" i="54"/>
  <c r="E23" i="54" s="1"/>
  <c r="D45" i="54"/>
  <c r="E45" i="54" s="1"/>
  <c r="D48" i="54"/>
  <c r="E48" i="54" s="1"/>
  <c r="D41" i="54"/>
  <c r="E41" i="54" s="1"/>
  <c r="D50" i="54"/>
  <c r="E50" i="54" s="1"/>
  <c r="D33" i="54"/>
  <c r="E33" i="54" s="1"/>
  <c r="D37" i="54"/>
  <c r="E37" i="54" s="1"/>
  <c r="D31" i="54"/>
  <c r="E31" i="54" s="1"/>
  <c r="D27" i="54"/>
  <c r="E27" i="54" s="1"/>
  <c r="D54" i="54"/>
  <c r="E54" i="54" s="1"/>
  <c r="D21" i="54"/>
  <c r="E21" i="54" s="1"/>
  <c r="D39" i="54"/>
  <c r="E39" i="54" s="1"/>
  <c r="D24" i="54"/>
  <c r="E24" i="54" s="1"/>
  <c r="D51" i="54"/>
  <c r="E51" i="54" s="1"/>
  <c r="D47" i="54"/>
  <c r="E47" i="54" s="1"/>
  <c r="D44" i="54"/>
  <c r="E44" i="54" s="1"/>
  <c r="D49" i="54"/>
  <c r="E49" i="54" s="1"/>
  <c r="D52" i="54"/>
  <c r="E52" i="54" s="1"/>
  <c r="D36" i="54"/>
  <c r="E36" i="54" s="1"/>
  <c r="D32" i="54"/>
  <c r="E32" i="54" s="1"/>
  <c r="D38" i="54"/>
  <c r="E38" i="54" s="1"/>
  <c r="D40" i="54"/>
  <c r="E40" i="54" s="1"/>
  <c r="D28" i="54"/>
  <c r="E28" i="54" s="1"/>
  <c r="D30" i="54"/>
  <c r="E30" i="54" s="1"/>
  <c r="D8" i="54"/>
  <c r="D20" i="54"/>
  <c r="E20" i="54" s="1"/>
  <c r="D25" i="54"/>
  <c r="E25" i="54" s="1"/>
  <c r="D26" i="54"/>
  <c r="E26" i="54" s="1"/>
  <c r="E8" i="54" l="1"/>
  <c r="E55" i="54" s="1"/>
  <c r="D55" i="54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8" i="53"/>
  <c r="E8" i="53" s="1"/>
  <c r="D34" i="53"/>
  <c r="E34" i="53" s="1"/>
  <c r="D36" i="53"/>
  <c r="E36" i="53" s="1"/>
  <c r="D37" i="53"/>
  <c r="E37" i="53" s="1"/>
  <c r="D38" i="53"/>
  <c r="E38" i="53" s="1"/>
  <c r="D39" i="53"/>
  <c r="D41" i="53"/>
  <c r="E41" i="53" s="1"/>
  <c r="D44" i="53"/>
  <c r="E44" i="53" s="1"/>
  <c r="D46" i="53"/>
  <c r="E46" i="53" s="1"/>
  <c r="D49" i="53"/>
  <c r="E49" i="53" s="1"/>
  <c r="D52" i="53"/>
  <c r="E52" i="53" s="1"/>
  <c r="D33" i="53"/>
  <c r="E33" i="53" s="1"/>
  <c r="D42" i="53"/>
  <c r="E42" i="53" s="1"/>
  <c r="D47" i="53"/>
  <c r="E47" i="53" s="1"/>
  <c r="D50" i="53"/>
  <c r="E50" i="53" s="1"/>
  <c r="D53" i="53"/>
  <c r="E53" i="53" s="1"/>
  <c r="D35" i="53"/>
  <c r="E35" i="53" s="1"/>
  <c r="D40" i="53"/>
  <c r="E40" i="53" s="1"/>
  <c r="D45" i="53"/>
  <c r="E45" i="53" s="1"/>
  <c r="D48" i="53"/>
  <c r="E48" i="53" s="1"/>
  <c r="D51" i="53"/>
  <c r="E51" i="53" s="1"/>
  <c r="D54" i="53"/>
  <c r="E54" i="53" s="1"/>
  <c r="D18" i="53"/>
  <c r="E18" i="53" s="1"/>
  <c r="D20" i="53"/>
  <c r="E20" i="53" s="1"/>
  <c r="D21" i="53"/>
  <c r="E21" i="53" s="1"/>
  <c r="D22" i="53"/>
  <c r="E22" i="53" s="1"/>
  <c r="E55" i="50"/>
  <c r="E8" i="51"/>
  <c r="D55" i="51"/>
  <c r="E8" i="52"/>
  <c r="E55" i="52" s="1"/>
  <c r="D55" i="52"/>
  <c r="E55" i="51"/>
  <c r="E55" i="55"/>
  <c r="D55" i="55"/>
  <c r="D55" i="50"/>
  <c r="E39" i="53" l="1"/>
  <c r="D55" i="53"/>
  <c r="E55" i="5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<sst xmlns="http://schemas.openxmlformats.org/spreadsheetml/2006/main" count="320" uniqueCount="62">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</sst>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46286</v>
          </cell>
          <cell r="E2">
            <v>14</v>
          </cell>
        </row>
        <row r="3">
          <cell r="C3" t="str">
            <v>FINAL VENTAS</v>
          </cell>
          <cell r="D3">
            <v>46295</v>
          </cell>
          <cell r="E3">
            <v>8</v>
          </cell>
        </row>
        <row r="8">
          <cell r="C8">
            <v>625</v>
          </cell>
        </row>
        <row r="9">
          <cell r="C9">
            <v>75</v>
          </cell>
        </row>
        <row r="10">
          <cell r="C10">
            <v>164</v>
          </cell>
        </row>
        <row r="11">
          <cell r="C11">
            <v>32</v>
          </cell>
        </row>
        <row r="12">
          <cell r="C12">
            <v>7</v>
          </cell>
        </row>
        <row r="13">
          <cell r="C13">
            <v>757</v>
          </cell>
        </row>
        <row r="14">
          <cell r="C14">
            <v>61</v>
          </cell>
        </row>
        <row r="15">
          <cell r="C15">
            <v>130</v>
          </cell>
        </row>
        <row r="16">
          <cell r="C16">
            <v>348</v>
          </cell>
        </row>
        <row r="17">
          <cell r="C17">
            <v>80</v>
          </cell>
        </row>
        <row r="18">
          <cell r="C18">
            <v>1990</v>
          </cell>
        </row>
        <row r="19">
          <cell r="C19">
            <v>1169</v>
          </cell>
        </row>
        <row r="20">
          <cell r="C20">
            <v>1459</v>
          </cell>
        </row>
        <row r="21">
          <cell r="C21">
            <v>1158</v>
          </cell>
        </row>
        <row r="22">
          <cell r="C22">
            <v>412</v>
          </cell>
        </row>
        <row r="23">
          <cell r="C23">
            <v>537</v>
          </cell>
        </row>
        <row r="24">
          <cell r="C24">
            <v>560</v>
          </cell>
        </row>
        <row r="25">
          <cell r="C25">
            <v>74</v>
          </cell>
        </row>
        <row r="26">
          <cell r="C26">
            <v>10</v>
          </cell>
        </row>
        <row r="27">
          <cell r="C27">
            <v>188</v>
          </cell>
        </row>
        <row r="28">
          <cell r="C28">
            <v>269</v>
          </cell>
        </row>
        <row r="29">
          <cell r="C29">
            <v>32</v>
          </cell>
        </row>
        <row r="30">
          <cell r="C30">
            <v>477</v>
          </cell>
        </row>
        <row r="31">
          <cell r="C31">
            <v>1270</v>
          </cell>
        </row>
        <row r="32">
          <cell r="C32">
            <v>789</v>
          </cell>
        </row>
        <row r="33">
          <cell r="C33">
            <v>490</v>
          </cell>
        </row>
        <row r="34">
          <cell r="C34">
            <v>428</v>
          </cell>
        </row>
        <row r="35">
          <cell r="C35">
            <v>512</v>
          </cell>
        </row>
        <row r="36">
          <cell r="C36">
            <v>70</v>
          </cell>
        </row>
        <row r="37">
          <cell r="C37">
            <v>94</v>
          </cell>
        </row>
        <row r="38">
          <cell r="C38">
            <v>619</v>
          </cell>
        </row>
        <row r="39">
          <cell r="C39">
            <v>376</v>
          </cell>
        </row>
        <row r="40">
          <cell r="C40">
            <v>543</v>
          </cell>
        </row>
        <row r="41">
          <cell r="C41">
            <v>300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94</v>
          </cell>
        </row>
        <row r="45">
          <cell r="C45">
            <v>584</v>
          </cell>
        </row>
        <row r="46">
          <cell r="C46">
            <v>168</v>
          </cell>
        </row>
        <row r="47">
          <cell r="C47">
            <v>81</v>
          </cell>
        </row>
        <row r="48">
          <cell r="C48">
            <v>399</v>
          </cell>
        </row>
        <row r="49">
          <cell r="C49">
            <v>166</v>
          </cell>
        </row>
        <row r="50">
          <cell r="C50">
            <v>182</v>
          </cell>
        </row>
        <row r="51">
          <cell r="C51">
            <v>36</v>
          </cell>
        </row>
        <row r="52">
          <cell r="C52">
            <v>57</v>
          </cell>
        </row>
        <row r="53">
          <cell r="C53">
            <v>14</v>
          </cell>
        </row>
        <row r="54">
          <cell r="C54">
            <v>29</v>
          </cell>
        </row>
      </sheetData>
      <sheetData sheetId="2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46286</v>
          </cell>
          <cell r="E2">
            <v>14</v>
          </cell>
        </row>
        <row r="3">
          <cell r="C3" t="str">
            <v>FINAL VENTAS</v>
          </cell>
          <cell r="D3">
            <v>46295</v>
          </cell>
          <cell r="E3">
            <v>8</v>
          </cell>
        </row>
        <row r="8">
          <cell r="C8">
            <v>687</v>
          </cell>
        </row>
        <row r="9">
          <cell r="C9">
            <v>27</v>
          </cell>
        </row>
        <row r="10">
          <cell r="C10">
            <v>204</v>
          </cell>
        </row>
        <row r="11">
          <cell r="C11">
            <v>14</v>
          </cell>
        </row>
        <row r="12">
          <cell r="C12">
            <v>0</v>
          </cell>
        </row>
        <row r="13">
          <cell r="C13">
            <v>2153</v>
          </cell>
        </row>
        <row r="14">
          <cell r="C14">
            <v>170</v>
          </cell>
        </row>
        <row r="15">
          <cell r="C15">
            <v>226</v>
          </cell>
        </row>
        <row r="16">
          <cell r="C16">
            <v>1015</v>
          </cell>
        </row>
        <row r="17">
          <cell r="C17">
            <v>283</v>
          </cell>
        </row>
        <row r="18">
          <cell r="C18">
            <v>7803</v>
          </cell>
        </row>
        <row r="19">
          <cell r="C19">
            <v>4166</v>
          </cell>
        </row>
        <row r="20">
          <cell r="C20">
            <v>4149</v>
          </cell>
        </row>
        <row r="21">
          <cell r="C21">
            <v>5149</v>
          </cell>
        </row>
        <row r="22">
          <cell r="C22">
            <v>1734</v>
          </cell>
        </row>
        <row r="23">
          <cell r="C23">
            <v>1920</v>
          </cell>
        </row>
        <row r="24">
          <cell r="C24">
            <v>2097</v>
          </cell>
        </row>
        <row r="25">
          <cell r="C25">
            <v>406</v>
          </cell>
        </row>
        <row r="26">
          <cell r="C26">
            <v>114</v>
          </cell>
        </row>
        <row r="27">
          <cell r="C27">
            <v>1197</v>
          </cell>
        </row>
        <row r="28">
          <cell r="C28">
            <v>1493</v>
          </cell>
        </row>
        <row r="29">
          <cell r="C29">
            <v>70</v>
          </cell>
        </row>
        <row r="30">
          <cell r="C30">
            <v>609</v>
          </cell>
        </row>
        <row r="31">
          <cell r="C31">
            <v>1488</v>
          </cell>
        </row>
        <row r="32">
          <cell r="C32">
            <v>791</v>
          </cell>
        </row>
        <row r="33">
          <cell r="C33">
            <v>488</v>
          </cell>
        </row>
        <row r="34">
          <cell r="C34">
            <v>703</v>
          </cell>
        </row>
        <row r="35">
          <cell r="C35">
            <v>820</v>
          </cell>
        </row>
        <row r="36">
          <cell r="C36">
            <v>140</v>
          </cell>
        </row>
        <row r="37">
          <cell r="C37">
            <v>220</v>
          </cell>
        </row>
        <row r="38">
          <cell r="C38">
            <v>1669</v>
          </cell>
        </row>
        <row r="39">
          <cell r="C39">
            <v>850</v>
          </cell>
        </row>
        <row r="40">
          <cell r="C40">
            <v>1267</v>
          </cell>
        </row>
        <row r="41">
          <cell r="C41">
            <v>558</v>
          </cell>
        </row>
        <row r="42">
          <cell r="C42">
            <v>15</v>
          </cell>
        </row>
        <row r="43">
          <cell r="C43">
            <v>0</v>
          </cell>
        </row>
        <row r="44">
          <cell r="C44">
            <v>194</v>
          </cell>
        </row>
        <row r="45">
          <cell r="C45">
            <v>339</v>
          </cell>
        </row>
        <row r="46">
          <cell r="C46">
            <v>463</v>
          </cell>
        </row>
        <row r="47">
          <cell r="C47">
            <v>225</v>
          </cell>
        </row>
        <row r="48">
          <cell r="C48">
            <v>631</v>
          </cell>
        </row>
        <row r="49">
          <cell r="C49">
            <v>325</v>
          </cell>
        </row>
        <row r="50">
          <cell r="C50">
            <v>367</v>
          </cell>
        </row>
        <row r="51">
          <cell r="C51">
            <v>84</v>
          </cell>
        </row>
        <row r="52">
          <cell r="C52">
            <v>305</v>
          </cell>
        </row>
        <row r="53">
          <cell r="C53">
            <v>69</v>
          </cell>
        </row>
        <row r="54">
          <cell r="C54">
            <v>72</v>
          </cell>
        </row>
      </sheetData>
      <sheetData sheetId="3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46286</v>
          </cell>
          <cell r="E2">
            <v>14</v>
          </cell>
        </row>
        <row r="3">
          <cell r="C3" t="str">
            <v>FINAL VENTAS</v>
          </cell>
          <cell r="D3">
            <v>46295</v>
          </cell>
          <cell r="E3">
            <v>8</v>
          </cell>
        </row>
        <row r="8">
          <cell r="C8">
            <v>11207</v>
          </cell>
        </row>
        <row r="9">
          <cell r="C9">
            <v>459</v>
          </cell>
        </row>
        <row r="10">
          <cell r="C10">
            <v>4876</v>
          </cell>
        </row>
        <row r="11">
          <cell r="C11">
            <v>1075</v>
          </cell>
        </row>
        <row r="12">
          <cell r="C12">
            <v>146</v>
          </cell>
        </row>
        <row r="13">
          <cell r="C13">
            <v>11852</v>
          </cell>
        </row>
        <row r="14">
          <cell r="C14">
            <v>774</v>
          </cell>
        </row>
        <row r="15">
          <cell r="C15">
            <v>1687</v>
          </cell>
        </row>
        <row r="16">
          <cell r="C16">
            <v>4034</v>
          </cell>
        </row>
        <row r="17">
          <cell r="C17">
            <v>2288</v>
          </cell>
        </row>
        <row r="18">
          <cell r="C18">
            <v>22941</v>
          </cell>
        </row>
        <row r="19">
          <cell r="C19">
            <v>14964</v>
          </cell>
        </row>
        <row r="20">
          <cell r="C20">
            <v>14872</v>
          </cell>
        </row>
        <row r="21">
          <cell r="C21">
            <v>19028</v>
          </cell>
        </row>
        <row r="22">
          <cell r="C22">
            <v>4587</v>
          </cell>
        </row>
        <row r="23">
          <cell r="C23">
            <v>4423</v>
          </cell>
        </row>
        <row r="24">
          <cell r="C24">
            <v>4797</v>
          </cell>
        </row>
        <row r="25">
          <cell r="C25">
            <v>1212</v>
          </cell>
        </row>
        <row r="26">
          <cell r="C26">
            <v>587</v>
          </cell>
        </row>
        <row r="27">
          <cell r="C27">
            <v>2901</v>
          </cell>
        </row>
        <row r="28">
          <cell r="C28">
            <v>5727</v>
          </cell>
        </row>
        <row r="29">
          <cell r="C29">
            <v>890</v>
          </cell>
        </row>
        <row r="30">
          <cell r="C30">
            <v>5935</v>
          </cell>
        </row>
        <row r="31">
          <cell r="C31">
            <v>8758</v>
          </cell>
        </row>
        <row r="32">
          <cell r="C32">
            <v>3748</v>
          </cell>
        </row>
        <row r="33">
          <cell r="C33">
            <v>2856</v>
          </cell>
        </row>
        <row r="34">
          <cell r="C34">
            <v>1169</v>
          </cell>
        </row>
        <row r="35">
          <cell r="C35">
            <v>1519</v>
          </cell>
        </row>
        <row r="36">
          <cell r="C36">
            <v>910</v>
          </cell>
        </row>
        <row r="37">
          <cell r="C37">
            <v>987</v>
          </cell>
        </row>
        <row r="38">
          <cell r="C38">
            <v>4319</v>
          </cell>
        </row>
        <row r="39">
          <cell r="C39">
            <v>3782</v>
          </cell>
        </row>
        <row r="40">
          <cell r="C40">
            <v>5035</v>
          </cell>
        </row>
        <row r="41">
          <cell r="C41">
            <v>3634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690</v>
          </cell>
        </row>
        <row r="45">
          <cell r="C45">
            <v>3770</v>
          </cell>
        </row>
        <row r="46">
          <cell r="C46">
            <v>2700</v>
          </cell>
        </row>
        <row r="47">
          <cell r="C47">
            <v>2027</v>
          </cell>
        </row>
        <row r="48">
          <cell r="C48">
            <v>3671</v>
          </cell>
        </row>
        <row r="49">
          <cell r="C49">
            <v>2525</v>
          </cell>
        </row>
        <row r="50">
          <cell r="C50">
            <v>2256</v>
          </cell>
        </row>
        <row r="51">
          <cell r="C51">
            <v>505</v>
          </cell>
        </row>
        <row r="52">
          <cell r="C52">
            <v>1027</v>
          </cell>
        </row>
        <row r="53">
          <cell r="C53">
            <v>353</v>
          </cell>
        </row>
        <row r="54">
          <cell r="C54">
            <v>496</v>
          </cell>
        </row>
      </sheetData>
      <sheetData sheetId="4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46286</v>
          </cell>
          <cell r="E2">
            <v>14</v>
          </cell>
        </row>
        <row r="3">
          <cell r="C3" t="str">
            <v>FINAL VENTAS</v>
          </cell>
          <cell r="D3">
            <v>46295</v>
          </cell>
          <cell r="E3">
            <v>8</v>
          </cell>
        </row>
        <row r="8">
          <cell r="C8">
            <v>3505</v>
          </cell>
        </row>
        <row r="9">
          <cell r="C9">
            <v>249</v>
          </cell>
        </row>
        <row r="10">
          <cell r="C10">
            <v>1301</v>
          </cell>
        </row>
        <row r="11">
          <cell r="C11">
            <v>356</v>
          </cell>
        </row>
        <row r="12">
          <cell r="C12">
            <v>28</v>
          </cell>
        </row>
        <row r="13">
          <cell r="C13">
            <v>4594</v>
          </cell>
        </row>
        <row r="14">
          <cell r="C14">
            <v>827</v>
          </cell>
        </row>
        <row r="15">
          <cell r="C15">
            <v>1779</v>
          </cell>
        </row>
        <row r="16">
          <cell r="C16">
            <v>4317</v>
          </cell>
        </row>
        <row r="17">
          <cell r="C17">
            <v>1953</v>
          </cell>
        </row>
        <row r="18">
          <cell r="C18">
            <v>12724</v>
          </cell>
        </row>
        <row r="19">
          <cell r="C19">
            <v>7789</v>
          </cell>
        </row>
        <row r="20">
          <cell r="C20">
            <v>8438</v>
          </cell>
        </row>
        <row r="21">
          <cell r="C21">
            <v>9759</v>
          </cell>
        </row>
        <row r="22">
          <cell r="C22">
            <v>2575</v>
          </cell>
        </row>
        <row r="23">
          <cell r="C23">
            <v>3612</v>
          </cell>
        </row>
        <row r="24">
          <cell r="C24">
            <v>3729</v>
          </cell>
        </row>
        <row r="25">
          <cell r="C25">
            <v>1548</v>
          </cell>
        </row>
        <row r="26">
          <cell r="C26">
            <v>864</v>
          </cell>
        </row>
        <row r="27">
          <cell r="C27">
            <v>2359</v>
          </cell>
        </row>
        <row r="28">
          <cell r="C28">
            <v>3510</v>
          </cell>
        </row>
        <row r="29">
          <cell r="C29">
            <v>0</v>
          </cell>
        </row>
        <row r="30">
          <cell r="C30">
            <v>2210</v>
          </cell>
        </row>
        <row r="31">
          <cell r="C31">
            <v>3098</v>
          </cell>
        </row>
        <row r="32">
          <cell r="C32">
            <v>1837</v>
          </cell>
        </row>
        <row r="33">
          <cell r="C33">
            <v>1336</v>
          </cell>
        </row>
        <row r="34">
          <cell r="C34">
            <v>771</v>
          </cell>
        </row>
        <row r="35">
          <cell r="C35">
            <v>905</v>
          </cell>
        </row>
        <row r="36">
          <cell r="C36">
            <v>468</v>
          </cell>
        </row>
        <row r="37">
          <cell r="C37">
            <v>468</v>
          </cell>
        </row>
        <row r="38">
          <cell r="C38">
            <v>3102</v>
          </cell>
        </row>
        <row r="39">
          <cell r="C39">
            <v>2509</v>
          </cell>
        </row>
        <row r="40">
          <cell r="C40">
            <v>3472</v>
          </cell>
        </row>
        <row r="41">
          <cell r="C41">
            <v>2003</v>
          </cell>
        </row>
        <row r="42">
          <cell r="C42">
            <v>39</v>
          </cell>
        </row>
        <row r="43">
          <cell r="C43">
            <v>7</v>
          </cell>
        </row>
        <row r="44">
          <cell r="C44">
            <v>865</v>
          </cell>
        </row>
        <row r="45">
          <cell r="C45">
            <v>2467</v>
          </cell>
        </row>
        <row r="46">
          <cell r="C46">
            <v>2328</v>
          </cell>
        </row>
        <row r="47">
          <cell r="C47">
            <v>421</v>
          </cell>
        </row>
        <row r="48">
          <cell r="C48">
            <v>1499</v>
          </cell>
        </row>
        <row r="49">
          <cell r="C49">
            <v>783</v>
          </cell>
        </row>
        <row r="50">
          <cell r="C50">
            <v>974</v>
          </cell>
        </row>
        <row r="51">
          <cell r="C51">
            <v>146</v>
          </cell>
        </row>
        <row r="52">
          <cell r="C52">
            <v>344</v>
          </cell>
        </row>
        <row r="53">
          <cell r="C53">
            <v>94</v>
          </cell>
        </row>
        <row r="54">
          <cell r="C54">
            <v>126</v>
          </cell>
        </row>
      </sheetData>
      <sheetData sheetId="5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46286</v>
          </cell>
          <cell r="E2">
            <v>14</v>
          </cell>
        </row>
        <row r="3">
          <cell r="C3" t="str">
            <v>FINAL VENTAS</v>
          </cell>
          <cell r="D3">
            <v>46295</v>
          </cell>
          <cell r="E3">
            <v>8</v>
          </cell>
        </row>
        <row r="8">
          <cell r="C8">
            <v>445</v>
          </cell>
        </row>
        <row r="9">
          <cell r="C9">
            <v>66</v>
          </cell>
        </row>
        <row r="10">
          <cell r="C10">
            <v>138</v>
          </cell>
        </row>
        <row r="11">
          <cell r="C11">
            <v>57</v>
          </cell>
        </row>
        <row r="12">
          <cell r="C12">
            <v>6</v>
          </cell>
        </row>
        <row r="13">
          <cell r="C13">
            <v>191</v>
          </cell>
        </row>
        <row r="14">
          <cell r="C14">
            <v>153</v>
          </cell>
        </row>
        <row r="15">
          <cell r="C15">
            <v>192</v>
          </cell>
        </row>
        <row r="16">
          <cell r="C16">
            <v>268</v>
          </cell>
        </row>
        <row r="17">
          <cell r="C17">
            <v>59</v>
          </cell>
        </row>
        <row r="18">
          <cell r="C18">
            <v>807</v>
          </cell>
        </row>
        <row r="19">
          <cell r="C19">
            <v>518</v>
          </cell>
        </row>
        <row r="20">
          <cell r="C20">
            <v>369</v>
          </cell>
        </row>
        <row r="21">
          <cell r="C21">
            <v>575</v>
          </cell>
        </row>
        <row r="22">
          <cell r="C22">
            <v>163</v>
          </cell>
        </row>
        <row r="23">
          <cell r="C23">
            <v>238</v>
          </cell>
        </row>
        <row r="24">
          <cell r="C24">
            <v>239</v>
          </cell>
        </row>
        <row r="25">
          <cell r="C25">
            <v>64</v>
          </cell>
        </row>
        <row r="26">
          <cell r="C26">
            <v>21</v>
          </cell>
        </row>
        <row r="27">
          <cell r="C27">
            <v>61</v>
          </cell>
        </row>
        <row r="28">
          <cell r="C28">
            <v>174</v>
          </cell>
        </row>
        <row r="29">
          <cell r="C29">
            <v>0</v>
          </cell>
        </row>
        <row r="30">
          <cell r="C30">
            <v>189</v>
          </cell>
        </row>
        <row r="31">
          <cell r="C31">
            <v>338</v>
          </cell>
        </row>
        <row r="32">
          <cell r="C32">
            <v>246</v>
          </cell>
        </row>
        <row r="33">
          <cell r="C33">
            <v>356</v>
          </cell>
        </row>
        <row r="34">
          <cell r="C34">
            <v>64</v>
          </cell>
        </row>
        <row r="35">
          <cell r="C35">
            <v>63</v>
          </cell>
        </row>
        <row r="36">
          <cell r="C36">
            <v>65</v>
          </cell>
        </row>
        <row r="37">
          <cell r="C37">
            <v>57</v>
          </cell>
        </row>
        <row r="38">
          <cell r="C38">
            <v>371</v>
          </cell>
        </row>
        <row r="39">
          <cell r="C39">
            <v>342</v>
          </cell>
        </row>
        <row r="40">
          <cell r="C40">
            <v>356</v>
          </cell>
        </row>
        <row r="41">
          <cell r="C41">
            <v>335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64</v>
          </cell>
        </row>
        <row r="45">
          <cell r="C45">
            <v>149</v>
          </cell>
        </row>
        <row r="46">
          <cell r="C46">
            <v>55</v>
          </cell>
        </row>
        <row r="47">
          <cell r="C47">
            <v>23</v>
          </cell>
        </row>
        <row r="48">
          <cell r="C48">
            <v>101</v>
          </cell>
        </row>
        <row r="49">
          <cell r="C49">
            <v>113</v>
          </cell>
        </row>
        <row r="50">
          <cell r="C50">
            <v>113</v>
          </cell>
        </row>
        <row r="51">
          <cell r="C51">
            <v>26</v>
          </cell>
        </row>
        <row r="52">
          <cell r="C52">
            <v>32</v>
          </cell>
        </row>
        <row r="53">
          <cell r="C53">
            <v>27</v>
          </cell>
        </row>
        <row r="54">
          <cell r="C54">
            <v>15</v>
          </cell>
        </row>
      </sheetData>
      <sheetData sheetId="6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46286</v>
          </cell>
          <cell r="E2">
            <v>14</v>
          </cell>
        </row>
        <row r="3">
          <cell r="C3" t="str">
            <v>FINAL VENTAS</v>
          </cell>
          <cell r="D3">
            <v>46295</v>
          </cell>
          <cell r="E3">
            <v>8</v>
          </cell>
        </row>
        <row r="8">
          <cell r="C8">
            <v>16741</v>
          </cell>
        </row>
        <row r="9">
          <cell r="C9">
            <v>879</v>
          </cell>
        </row>
        <row r="10">
          <cell r="C10">
            <v>6771</v>
          </cell>
        </row>
        <row r="11">
          <cell r="C11">
            <v>1547</v>
          </cell>
        </row>
        <row r="12">
          <cell r="C12">
            <v>193</v>
          </cell>
        </row>
        <row r="13">
          <cell r="C13">
            <v>19721</v>
          </cell>
        </row>
        <row r="14">
          <cell r="C14">
            <v>2006</v>
          </cell>
        </row>
        <row r="15">
          <cell r="C15">
            <v>4057</v>
          </cell>
        </row>
        <row r="16">
          <cell r="C16">
            <v>10147</v>
          </cell>
        </row>
        <row r="17">
          <cell r="C17">
            <v>4787</v>
          </cell>
        </row>
        <row r="18">
          <cell r="C18">
            <v>46685</v>
          </cell>
        </row>
        <row r="19">
          <cell r="C19">
            <v>28881</v>
          </cell>
        </row>
        <row r="20">
          <cell r="C20">
            <v>29573</v>
          </cell>
        </row>
        <row r="21">
          <cell r="C21">
            <v>36027</v>
          </cell>
        </row>
        <row r="22">
          <cell r="C22">
            <v>9499</v>
          </cell>
        </row>
        <row r="23">
          <cell r="C23">
            <v>10771</v>
          </cell>
        </row>
        <row r="24">
          <cell r="C24">
            <v>11462</v>
          </cell>
        </row>
        <row r="25">
          <cell r="C25">
            <v>3408</v>
          </cell>
        </row>
        <row r="26">
          <cell r="C26">
            <v>1626</v>
          </cell>
        </row>
        <row r="27">
          <cell r="C27">
            <v>6771</v>
          </cell>
        </row>
        <row r="28">
          <cell r="C28">
            <v>11392</v>
          </cell>
        </row>
        <row r="29">
          <cell r="C29">
            <v>992</v>
          </cell>
        </row>
        <row r="30">
          <cell r="C30">
            <v>9604</v>
          </cell>
        </row>
        <row r="31">
          <cell r="C31">
            <v>15085</v>
          </cell>
        </row>
        <row r="32">
          <cell r="C32">
            <v>7550</v>
          </cell>
        </row>
        <row r="33">
          <cell r="C33">
            <v>5884</v>
          </cell>
        </row>
        <row r="34">
          <cell r="C34">
            <v>3202</v>
          </cell>
        </row>
        <row r="35">
          <cell r="C35">
            <v>3847</v>
          </cell>
        </row>
        <row r="36">
          <cell r="C36">
            <v>1696</v>
          </cell>
        </row>
        <row r="37">
          <cell r="C37">
            <v>1864</v>
          </cell>
        </row>
        <row r="38">
          <cell r="C38">
            <v>10293</v>
          </cell>
        </row>
        <row r="39">
          <cell r="C39">
            <v>8032</v>
          </cell>
        </row>
        <row r="40">
          <cell r="C40">
            <v>10763</v>
          </cell>
        </row>
        <row r="41">
          <cell r="C41">
            <v>6944</v>
          </cell>
        </row>
        <row r="42">
          <cell r="C42">
            <v>54</v>
          </cell>
        </row>
        <row r="43">
          <cell r="C43">
            <v>7</v>
          </cell>
        </row>
        <row r="44">
          <cell r="C44">
            <v>1944</v>
          </cell>
        </row>
        <row r="45">
          <cell r="C45">
            <v>7380</v>
          </cell>
        </row>
        <row r="46">
          <cell r="C46">
            <v>5762</v>
          </cell>
        </row>
        <row r="47">
          <cell r="C47">
            <v>2854</v>
          </cell>
        </row>
        <row r="48">
          <cell r="C48">
            <v>6379</v>
          </cell>
        </row>
        <row r="49">
          <cell r="C49">
            <v>3942</v>
          </cell>
        </row>
        <row r="50">
          <cell r="C50">
            <v>3878</v>
          </cell>
        </row>
        <row r="51">
          <cell r="C51">
            <v>775</v>
          </cell>
        </row>
        <row r="52">
          <cell r="C52">
            <v>1809</v>
          </cell>
        </row>
        <row r="53">
          <cell r="C53">
            <v>561</v>
          </cell>
        </row>
        <row r="54">
          <cell r="C54">
            <v>742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E55" sqref="E5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'[1]VENTAS CONSOLIDADA ZULIA'!D1</f>
        <v>46266</v>
      </c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'[1]VENTAS CONSOLIDADA ZULIA'!D2</f>
        <v>46286</v>
      </c>
      <c r="E2" s="4">
        <f ca="1">'[1]VENTAS CONSOLIDADA ZULIA'!E2</f>
        <v>14</v>
      </c>
    </row>
    <row r="3" spans="1:5" x14ac:dyDescent="0.25">
      <c r="B3" s="9"/>
      <c r="C3" s="2" t="str">
        <f>'[1]VENTAS CONSOLIDADA ZULIA'!C3</f>
        <v>FINAL VENTAS</v>
      </c>
      <c r="D3" s="3">
        <f>'[1]VENTAS CONSOLIDADA ZULIA'!D3</f>
        <v>46295</v>
      </c>
      <c r="E3" s="4">
        <f ca="1">'[1]VENTAS CONSOLIDADA ZULIA'!E3</f>
        <v>8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ZULIA'!C8</f>
        <v>445</v>
      </c>
      <c r="D8" s="5">
        <f t="shared" ref="D8:D54" ca="1" si="0">C8/$E$2</f>
        <v>31.785714285714285</v>
      </c>
      <c r="E8" s="5">
        <f ca="1">D8*($E$2+$E$3)</f>
        <v>699.28571428571422</v>
      </c>
    </row>
    <row r="9" spans="1:5" x14ac:dyDescent="0.25">
      <c r="A9">
        <v>110151</v>
      </c>
      <c r="B9" t="s">
        <v>5</v>
      </c>
      <c r="C9">
        <f>'[1]VENTAS CONSOLIDADA ZULIA'!C9</f>
        <v>66</v>
      </c>
      <c r="D9" s="5">
        <f t="shared" ca="1" si="0"/>
        <v>4.7142857142857144</v>
      </c>
      <c r="E9" s="5">
        <f t="shared" ref="E9:E54" ca="1" si="1">D9*($E$2+$E$3)</f>
        <v>103.71428571428572</v>
      </c>
    </row>
    <row r="10" spans="1:5" x14ac:dyDescent="0.25">
      <c r="A10">
        <v>110230</v>
      </c>
      <c r="B10" t="s">
        <v>1</v>
      </c>
      <c r="C10">
        <f>'[1]VENTAS CONSOLIDADA ZULIA'!C10</f>
        <v>138</v>
      </c>
      <c r="D10" s="5">
        <f t="shared" ca="1" si="0"/>
        <v>9.8571428571428577</v>
      </c>
      <c r="E10" s="5">
        <f t="shared" ca="1" si="1"/>
        <v>216.85714285714286</v>
      </c>
    </row>
    <row r="11" spans="1:5" x14ac:dyDescent="0.25">
      <c r="A11">
        <v>110400</v>
      </c>
      <c r="B11" t="s">
        <v>13</v>
      </c>
      <c r="C11">
        <f>'[1]VENTAS CONSOLIDADA ZULIA'!C11</f>
        <v>57</v>
      </c>
      <c r="D11" s="5">
        <f t="shared" ca="1" si="0"/>
        <v>4.0714285714285712</v>
      </c>
      <c r="E11" s="5">
        <f t="shared" ca="1" si="1"/>
        <v>89.571428571428569</v>
      </c>
    </row>
    <row r="12" spans="1:5" x14ac:dyDescent="0.25">
      <c r="A12">
        <v>111000</v>
      </c>
      <c r="B12" t="s">
        <v>14</v>
      </c>
      <c r="C12">
        <f>'[1]VENTAS CONSOLIDADA ZULIA'!C12</f>
        <v>6</v>
      </c>
      <c r="D12" s="5">
        <f t="shared" ca="1" si="0"/>
        <v>0.42857142857142855</v>
      </c>
      <c r="E12" s="5">
        <f t="shared" ca="1" si="1"/>
        <v>9.4285714285714288</v>
      </c>
    </row>
    <row r="13" spans="1:5" x14ac:dyDescent="0.25">
      <c r="A13">
        <v>120130</v>
      </c>
      <c r="B13" t="s">
        <v>15</v>
      </c>
      <c r="C13">
        <f>'[1]VENTAS CONSOLIDADA ZULIA'!C13</f>
        <v>191</v>
      </c>
      <c r="D13" s="5">
        <f t="shared" ca="1" si="0"/>
        <v>13.642857142857142</v>
      </c>
      <c r="E13" s="5">
        <f t="shared" ca="1" si="1"/>
        <v>300.14285714285711</v>
      </c>
    </row>
    <row r="14" spans="1:5" x14ac:dyDescent="0.25">
      <c r="A14">
        <v>120131</v>
      </c>
      <c r="B14" t="s">
        <v>23</v>
      </c>
      <c r="C14">
        <f>'[1]VENTAS CONSOLIDADA ZULIA'!C14</f>
        <v>153</v>
      </c>
      <c r="D14" s="5">
        <f t="shared" ca="1" si="0"/>
        <v>10.928571428571429</v>
      </c>
      <c r="E14" s="5">
        <f t="shared" ca="1" si="1"/>
        <v>240.42857142857144</v>
      </c>
    </row>
    <row r="15" spans="1:5" x14ac:dyDescent="0.25">
      <c r="A15">
        <v>120132</v>
      </c>
      <c r="B15" t="s">
        <v>21</v>
      </c>
      <c r="C15">
        <f>'[1]VENTAS CONSOLIDADA ZULIA'!C15</f>
        <v>192</v>
      </c>
      <c r="D15" s="5">
        <f t="shared" ca="1" si="0"/>
        <v>13.714285714285714</v>
      </c>
      <c r="E15" s="5">
        <f t="shared" ca="1" si="1"/>
        <v>301.71428571428572</v>
      </c>
    </row>
    <row r="16" spans="1:5" x14ac:dyDescent="0.25">
      <c r="A16">
        <v>130150</v>
      </c>
      <c r="B16" t="s">
        <v>0</v>
      </c>
      <c r="C16">
        <f>'[1]VENTAS CONSOLIDADA ZULIA'!C16</f>
        <v>268</v>
      </c>
      <c r="D16" s="5">
        <f t="shared" ca="1" si="0"/>
        <v>19.142857142857142</v>
      </c>
      <c r="E16" s="5">
        <f t="shared" ca="1" si="1"/>
        <v>421.14285714285711</v>
      </c>
    </row>
    <row r="17" spans="1:5" x14ac:dyDescent="0.25">
      <c r="A17">
        <v>130151</v>
      </c>
      <c r="B17" t="s">
        <v>4</v>
      </c>
      <c r="C17">
        <f>'[1]VENTAS CONSOLIDADA ZULIA'!C17</f>
        <v>59</v>
      </c>
      <c r="D17" s="5">
        <f t="shared" ca="1" si="0"/>
        <v>4.2142857142857144</v>
      </c>
      <c r="E17" s="5">
        <f t="shared" ca="1" si="1"/>
        <v>92.714285714285722</v>
      </c>
    </row>
    <row r="18" spans="1:5" x14ac:dyDescent="0.25">
      <c r="A18">
        <v>130152</v>
      </c>
      <c r="B18" t="s">
        <v>51</v>
      </c>
      <c r="C18">
        <f>'[1]VENTAS CONSOLIDADA ZULIA'!C18</f>
        <v>807</v>
      </c>
      <c r="D18" s="5">
        <f t="shared" ca="1" si="0"/>
        <v>57.642857142857146</v>
      </c>
      <c r="E18" s="5">
        <f t="shared" ca="1" si="1"/>
        <v>1268.1428571428571</v>
      </c>
    </row>
    <row r="19" spans="1:5" x14ac:dyDescent="0.25">
      <c r="A19">
        <v>130153</v>
      </c>
      <c r="B19" t="s">
        <v>52</v>
      </c>
      <c r="C19">
        <f>'[1]VENTAS CONSOLIDADA ZULIA'!C19</f>
        <v>518</v>
      </c>
      <c r="D19" s="5">
        <f t="shared" ca="1" si="0"/>
        <v>37</v>
      </c>
      <c r="E19" s="5">
        <f t="shared" ca="1" si="1"/>
        <v>814</v>
      </c>
    </row>
    <row r="20" spans="1:5" x14ac:dyDescent="0.25">
      <c r="A20">
        <v>130154</v>
      </c>
      <c r="B20" t="s">
        <v>53</v>
      </c>
      <c r="C20">
        <f>'[1]VENTAS CONSOLIDADA ZULIA'!C20</f>
        <v>369</v>
      </c>
      <c r="D20" s="5">
        <f t="shared" ca="1" si="0"/>
        <v>26.357142857142858</v>
      </c>
      <c r="E20" s="5">
        <f t="shared" ca="1" si="1"/>
        <v>579.85714285714289</v>
      </c>
    </row>
    <row r="21" spans="1:5" x14ac:dyDescent="0.25">
      <c r="A21">
        <v>130155</v>
      </c>
      <c r="B21" t="s">
        <v>16</v>
      </c>
      <c r="C21">
        <f>'[1]VENTAS CONSOLIDADA ZULIA'!C21</f>
        <v>575</v>
      </c>
      <c r="D21" s="5">
        <f t="shared" ca="1" si="0"/>
        <v>41.071428571428569</v>
      </c>
      <c r="E21" s="5">
        <f t="shared" ca="1" si="1"/>
        <v>903.57142857142856</v>
      </c>
    </row>
    <row r="22" spans="1:5" x14ac:dyDescent="0.25">
      <c r="A22">
        <v>130157</v>
      </c>
      <c r="B22" t="s">
        <v>43</v>
      </c>
      <c r="C22">
        <f>'[1]VENTAS CONSOLIDADA ZULIA'!C22</f>
        <v>163</v>
      </c>
      <c r="D22" s="5">
        <f t="shared" ca="1" si="0"/>
        <v>11.642857142857142</v>
      </c>
      <c r="E22" s="5">
        <f t="shared" ca="1" si="1"/>
        <v>256.14285714285711</v>
      </c>
    </row>
    <row r="23" spans="1:5" x14ac:dyDescent="0.25">
      <c r="A23">
        <v>130158</v>
      </c>
      <c r="B23" t="s">
        <v>44</v>
      </c>
      <c r="C23">
        <f>'[1]VENTAS CONSOLIDADA ZULIA'!C23</f>
        <v>238</v>
      </c>
      <c r="D23" s="5">
        <f t="shared" ca="1" si="0"/>
        <v>17</v>
      </c>
      <c r="E23" s="5">
        <f t="shared" ca="1" si="1"/>
        <v>374</v>
      </c>
    </row>
    <row r="24" spans="1:5" x14ac:dyDescent="0.25">
      <c r="A24">
        <v>130159</v>
      </c>
      <c r="B24" t="s">
        <v>45</v>
      </c>
      <c r="C24">
        <f>'[1]VENTAS CONSOLIDADA ZULIA'!C24</f>
        <v>239</v>
      </c>
      <c r="D24" s="5">
        <f t="shared" ca="1" si="0"/>
        <v>17.071428571428573</v>
      </c>
      <c r="E24" s="5">
        <f t="shared" ca="1" si="1"/>
        <v>375.57142857142861</v>
      </c>
    </row>
    <row r="25" spans="1:5" x14ac:dyDescent="0.25">
      <c r="A25">
        <v>130700</v>
      </c>
      <c r="B25" t="s">
        <v>3</v>
      </c>
      <c r="C25">
        <f>'[1]VENTAS CONSOLIDADA ZULIA'!C25</f>
        <v>64</v>
      </c>
      <c r="D25" s="5">
        <f t="shared" ca="1" si="0"/>
        <v>4.5714285714285712</v>
      </c>
      <c r="E25" s="5">
        <f t="shared" ca="1" si="1"/>
        <v>100.57142857142857</v>
      </c>
    </row>
    <row r="26" spans="1:5" x14ac:dyDescent="0.25">
      <c r="A26">
        <v>130701</v>
      </c>
      <c r="B26" t="s">
        <v>30</v>
      </c>
      <c r="C26">
        <f>'[1]VENTAS CONSOLIDADA ZULIA'!C26</f>
        <v>21</v>
      </c>
      <c r="D26" s="5">
        <f t="shared" ca="1" si="0"/>
        <v>1.5</v>
      </c>
      <c r="E26" s="5">
        <f t="shared" ca="1" si="1"/>
        <v>33</v>
      </c>
    </row>
    <row r="27" spans="1:5" x14ac:dyDescent="0.25">
      <c r="A27">
        <v>130702</v>
      </c>
      <c r="B27" t="s">
        <v>12</v>
      </c>
      <c r="C27">
        <f>'[1]VENTAS CONSOLIDADA ZULIA'!C27</f>
        <v>61</v>
      </c>
      <c r="D27" s="5">
        <f t="shared" ca="1" si="0"/>
        <v>4.3571428571428568</v>
      </c>
      <c r="E27" s="5">
        <f t="shared" ca="1" si="1"/>
        <v>95.857142857142847</v>
      </c>
    </row>
    <row r="28" spans="1:5" x14ac:dyDescent="0.25">
      <c r="A28">
        <v>130703</v>
      </c>
      <c r="B28" t="s">
        <v>17</v>
      </c>
      <c r="C28">
        <f>'[1]VENTAS CONSOLIDADA ZULIA'!C28</f>
        <v>174</v>
      </c>
      <c r="D28" s="5">
        <f t="shared" ca="1" si="0"/>
        <v>12.428571428571429</v>
      </c>
      <c r="E28" s="5">
        <f t="shared" ca="1" si="1"/>
        <v>273.42857142857144</v>
      </c>
    </row>
    <row r="29" spans="1:5" x14ac:dyDescent="0.25">
      <c r="A29">
        <v>130707</v>
      </c>
      <c r="B29" t="s">
        <v>42</v>
      </c>
      <c r="C29">
        <f>'[1]VENTAS CONSOLIDADA ZULIA'!C29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ZULIA'!C30</f>
        <v>189</v>
      </c>
      <c r="D30" s="5">
        <f t="shared" ca="1" si="0"/>
        <v>13.5</v>
      </c>
      <c r="E30" s="5">
        <f t="shared" ca="1" si="1"/>
        <v>297</v>
      </c>
    </row>
    <row r="31" spans="1:5" x14ac:dyDescent="0.25">
      <c r="A31">
        <v>131151</v>
      </c>
      <c r="B31" t="s">
        <v>19</v>
      </c>
      <c r="C31">
        <f>'[1]VENTAS CONSOLIDADA ZULIA'!C31</f>
        <v>338</v>
      </c>
      <c r="D31" s="5">
        <f t="shared" ca="1" si="0"/>
        <v>24.142857142857142</v>
      </c>
      <c r="E31" s="5">
        <f t="shared" ca="1" si="1"/>
        <v>531.14285714285711</v>
      </c>
    </row>
    <row r="32" spans="1:5" x14ac:dyDescent="0.25">
      <c r="A32">
        <v>131152</v>
      </c>
      <c r="B32" t="s">
        <v>32</v>
      </c>
      <c r="C32">
        <f>'[1]VENTAS CONSOLIDADA ZULIA'!C32</f>
        <v>246</v>
      </c>
      <c r="D32" s="5">
        <f t="shared" ca="1" si="0"/>
        <v>17.571428571428573</v>
      </c>
      <c r="E32" s="5">
        <f t="shared" ca="1" si="1"/>
        <v>386.57142857142861</v>
      </c>
    </row>
    <row r="33" spans="1:5" x14ac:dyDescent="0.25">
      <c r="A33">
        <v>131153</v>
      </c>
      <c r="B33" t="s">
        <v>11</v>
      </c>
      <c r="C33">
        <f>'[1]VENTAS CONSOLIDADA ZULIA'!C33</f>
        <v>356</v>
      </c>
      <c r="D33" s="5">
        <f t="shared" ca="1" si="0"/>
        <v>25.428571428571427</v>
      </c>
      <c r="E33" s="5">
        <f t="shared" ca="1" si="1"/>
        <v>559.42857142857144</v>
      </c>
    </row>
    <row r="34" spans="1:5" x14ac:dyDescent="0.25">
      <c r="A34">
        <v>131154</v>
      </c>
      <c r="B34" t="s">
        <v>48</v>
      </c>
      <c r="C34">
        <f>'[1]VENTAS CONSOLIDADA ZULIA'!C34</f>
        <v>64</v>
      </c>
      <c r="D34" s="5">
        <f t="shared" ca="1" si="0"/>
        <v>4.5714285714285712</v>
      </c>
      <c r="E34" s="5">
        <f t="shared" ca="1" si="1"/>
        <v>100.57142857142857</v>
      </c>
    </row>
    <row r="35" spans="1:5" x14ac:dyDescent="0.25">
      <c r="A35">
        <v>131155</v>
      </c>
      <c r="B35" t="s">
        <v>57</v>
      </c>
      <c r="C35">
        <f>'[1]VENTAS CONSOLIDADA ZULIA'!C35</f>
        <v>63</v>
      </c>
      <c r="D35" s="5">
        <f t="shared" ca="1" si="0"/>
        <v>4.5</v>
      </c>
      <c r="E35" s="5">
        <f t="shared" ca="1" si="1"/>
        <v>99</v>
      </c>
    </row>
    <row r="36" spans="1:5" x14ac:dyDescent="0.25">
      <c r="A36">
        <v>131700</v>
      </c>
      <c r="B36" t="s">
        <v>20</v>
      </c>
      <c r="C36">
        <f>'[1]VENTAS CONSOLIDADA ZULIA'!C36</f>
        <v>65</v>
      </c>
      <c r="D36" s="5">
        <f t="shared" ca="1" si="0"/>
        <v>4.6428571428571432</v>
      </c>
      <c r="E36" s="5">
        <f t="shared" ca="1" si="1"/>
        <v>102.14285714285715</v>
      </c>
    </row>
    <row r="37" spans="1:5" x14ac:dyDescent="0.25">
      <c r="A37">
        <v>131701</v>
      </c>
      <c r="B37" t="s">
        <v>24</v>
      </c>
      <c r="C37">
        <f>'[1]VENTAS CONSOLIDADA ZULIA'!C37</f>
        <v>57</v>
      </c>
      <c r="D37" s="5">
        <f t="shared" ca="1" si="0"/>
        <v>4.0714285714285712</v>
      </c>
      <c r="E37" s="5">
        <f t="shared" ca="1" si="1"/>
        <v>89.571428571428569</v>
      </c>
    </row>
    <row r="38" spans="1:5" x14ac:dyDescent="0.25">
      <c r="A38">
        <v>132150</v>
      </c>
      <c r="B38" t="s">
        <v>25</v>
      </c>
      <c r="C38">
        <f>'[1]VENTAS CONSOLIDADA ZULIA'!C38</f>
        <v>371</v>
      </c>
      <c r="D38" s="5">
        <f t="shared" ca="1" si="0"/>
        <v>26.5</v>
      </c>
      <c r="E38" s="5">
        <f t="shared" ca="1" si="1"/>
        <v>583</v>
      </c>
    </row>
    <row r="39" spans="1:5" x14ac:dyDescent="0.25">
      <c r="A39">
        <v>132151</v>
      </c>
      <c r="B39" t="s">
        <v>26</v>
      </c>
      <c r="C39">
        <f>'[1]VENTAS CONSOLIDADA ZULIA'!C39</f>
        <v>342</v>
      </c>
      <c r="D39" s="5">
        <f t="shared" ca="1" si="0"/>
        <v>24.428571428571427</v>
      </c>
      <c r="E39" s="5">
        <f t="shared" ca="1" si="1"/>
        <v>537.42857142857144</v>
      </c>
    </row>
    <row r="40" spans="1:5" x14ac:dyDescent="0.25">
      <c r="A40">
        <v>132152</v>
      </c>
      <c r="B40" t="s">
        <v>27</v>
      </c>
      <c r="C40">
        <f>'[1]VENTAS CONSOLIDADA ZULIA'!C40</f>
        <v>356</v>
      </c>
      <c r="D40" s="5">
        <f t="shared" ca="1" si="0"/>
        <v>25.428571428571427</v>
      </c>
      <c r="E40" s="5">
        <f t="shared" ca="1" si="1"/>
        <v>559.42857142857144</v>
      </c>
    </row>
    <row r="41" spans="1:5" x14ac:dyDescent="0.25">
      <c r="A41">
        <v>132153</v>
      </c>
      <c r="B41" t="s">
        <v>40</v>
      </c>
      <c r="C41">
        <f>'[1]VENTAS CONSOLIDADA ZULIA'!C41</f>
        <v>335</v>
      </c>
      <c r="D41" s="5">
        <f t="shared" ca="1" si="0"/>
        <v>23.928571428571427</v>
      </c>
      <c r="E41" s="5">
        <f t="shared" ca="1" si="1"/>
        <v>526.42857142857144</v>
      </c>
    </row>
    <row r="42" spans="1:5" x14ac:dyDescent="0.25">
      <c r="A42">
        <v>134000</v>
      </c>
      <c r="B42" t="s">
        <v>35</v>
      </c>
      <c r="C42">
        <f>'[1]VENTAS CONSOLIDADA ZULIA'!C42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ZULIA'!C43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ZULIA'!C44</f>
        <v>64</v>
      </c>
      <c r="D44" s="5">
        <f t="shared" ca="1" si="0"/>
        <v>4.5714285714285712</v>
      </c>
      <c r="E44" s="5">
        <f t="shared" ca="1" si="1"/>
        <v>100.57142857142857</v>
      </c>
    </row>
    <row r="45" spans="1:5" x14ac:dyDescent="0.25">
      <c r="A45">
        <v>140231</v>
      </c>
      <c r="B45" t="s">
        <v>10</v>
      </c>
      <c r="C45">
        <f>'[1]VENTAS CONSOLIDADA ZULIA'!C45</f>
        <v>149</v>
      </c>
      <c r="D45" s="5">
        <f t="shared" ca="1" si="0"/>
        <v>10.642857142857142</v>
      </c>
      <c r="E45" s="5">
        <f t="shared" ca="1" si="1"/>
        <v>234.14285714285714</v>
      </c>
    </row>
    <row r="46" spans="1:5" x14ac:dyDescent="0.25">
      <c r="A46">
        <v>140232</v>
      </c>
      <c r="B46" t="s">
        <v>9</v>
      </c>
      <c r="C46">
        <f>'[1]VENTAS CONSOLIDADA ZULIA'!C46</f>
        <v>55</v>
      </c>
      <c r="D46" s="5">
        <f t="shared" ca="1" si="0"/>
        <v>3.9285714285714284</v>
      </c>
      <c r="E46" s="5">
        <f t="shared" ca="1" si="1"/>
        <v>86.428571428571431</v>
      </c>
    </row>
    <row r="47" spans="1:5" x14ac:dyDescent="0.25">
      <c r="A47">
        <v>150360</v>
      </c>
      <c r="B47" t="s">
        <v>28</v>
      </c>
      <c r="C47">
        <f>'[1]VENTAS CONSOLIDADA ZULIA'!C47</f>
        <v>23</v>
      </c>
      <c r="D47" s="5">
        <f t="shared" ca="1" si="0"/>
        <v>1.6428571428571428</v>
      </c>
      <c r="E47" s="5">
        <f t="shared" ca="1" si="1"/>
        <v>36.142857142857139</v>
      </c>
    </row>
    <row r="48" spans="1:5" x14ac:dyDescent="0.25">
      <c r="A48">
        <v>150361</v>
      </c>
      <c r="B48" t="s">
        <v>29</v>
      </c>
      <c r="C48">
        <f>'[1]VENTAS CONSOLIDADA ZULIA'!C48</f>
        <v>101</v>
      </c>
      <c r="D48" s="5">
        <f t="shared" ca="1" si="0"/>
        <v>7.2142857142857144</v>
      </c>
      <c r="E48" s="5">
        <f t="shared" ca="1" si="1"/>
        <v>158.71428571428572</v>
      </c>
    </row>
    <row r="49" spans="1:5" x14ac:dyDescent="0.25">
      <c r="A49">
        <v>150362</v>
      </c>
      <c r="B49" t="s">
        <v>36</v>
      </c>
      <c r="C49">
        <f>'[1]VENTAS CONSOLIDADA ZULIA'!C49</f>
        <v>113</v>
      </c>
      <c r="D49" s="5">
        <f t="shared" ca="1" si="0"/>
        <v>8.0714285714285712</v>
      </c>
      <c r="E49" s="5">
        <f t="shared" ca="1" si="1"/>
        <v>177.57142857142856</v>
      </c>
    </row>
    <row r="50" spans="1:5" x14ac:dyDescent="0.25">
      <c r="A50">
        <v>150363</v>
      </c>
      <c r="B50" t="s">
        <v>31</v>
      </c>
      <c r="C50">
        <f>'[1]VENTAS CONSOLIDADA ZULIA'!C50</f>
        <v>113</v>
      </c>
      <c r="D50" s="5">
        <f t="shared" ca="1" si="0"/>
        <v>8.0714285714285712</v>
      </c>
      <c r="E50" s="5">
        <f t="shared" ca="1" si="1"/>
        <v>177.57142857142856</v>
      </c>
    </row>
    <row r="51" spans="1:5" x14ac:dyDescent="0.25">
      <c r="A51">
        <v>151500</v>
      </c>
      <c r="B51" t="s">
        <v>41</v>
      </c>
      <c r="C51">
        <f>'[1]VENTAS CONSOLIDADA ZULIA'!C51</f>
        <v>26</v>
      </c>
      <c r="D51" s="5">
        <f t="shared" ca="1" si="0"/>
        <v>1.8571428571428572</v>
      </c>
      <c r="E51" s="5">
        <f t="shared" ca="1" si="1"/>
        <v>40.857142857142861</v>
      </c>
    </row>
    <row r="52" spans="1:5" x14ac:dyDescent="0.25">
      <c r="A52">
        <v>151501</v>
      </c>
      <c r="B52" t="s">
        <v>33</v>
      </c>
      <c r="C52">
        <f>'[1]VENTAS CONSOLIDADA ZULIA'!C52</f>
        <v>32</v>
      </c>
      <c r="D52" s="5">
        <f t="shared" ca="1" si="0"/>
        <v>2.2857142857142856</v>
      </c>
      <c r="E52" s="5">
        <f t="shared" ca="1" si="1"/>
        <v>50.285714285714285</v>
      </c>
    </row>
    <row r="53" spans="1:5" x14ac:dyDescent="0.25">
      <c r="A53">
        <v>151502</v>
      </c>
      <c r="B53" t="s">
        <v>37</v>
      </c>
      <c r="C53">
        <f>'[1]VENTAS CONSOLIDADA ZULIA'!C53</f>
        <v>27</v>
      </c>
      <c r="D53" s="5">
        <f t="shared" ca="1" si="0"/>
        <v>1.9285714285714286</v>
      </c>
      <c r="E53" s="5">
        <f t="shared" ca="1" si="1"/>
        <v>42.428571428571431</v>
      </c>
    </row>
    <row r="54" spans="1:5" x14ac:dyDescent="0.25">
      <c r="A54">
        <v>151503</v>
      </c>
      <c r="B54" t="s">
        <v>34</v>
      </c>
      <c r="C54">
        <f>'[1]VENTAS CONSOLIDADA ZULIA'!C54</f>
        <v>15</v>
      </c>
      <c r="D54" s="5">
        <f t="shared" ca="1" si="0"/>
        <v>1.0714285714285714</v>
      </c>
      <c r="E54" s="5">
        <f t="shared" ca="1" si="1"/>
        <v>23.571428571428569</v>
      </c>
    </row>
    <row r="55" spans="1:5" x14ac:dyDescent="0.25">
      <c r="D55" s="5">
        <f ca="1">SUM(D8:D54)</f>
        <v>593.14285714285711</v>
      </c>
      <c r="E55" s="5">
        <f ca="1">SUM(E8:E54)</f>
        <v>13049.142857142859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D55" sqref="D5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'[1]VENTAS CONSOLIDADA VALENCIA'!D1</f>
        <v>46266</v>
      </c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'[1]VENTAS CONSOLIDADA VALENCIA'!D2</f>
        <v>46286</v>
      </c>
      <c r="E2" s="4">
        <f ca="1">'[1]VENTAS CONSOLIDADA VALENCIA'!E2</f>
        <v>14</v>
      </c>
    </row>
    <row r="3" spans="1:5" x14ac:dyDescent="0.25">
      <c r="B3" s="9"/>
      <c r="C3" s="2" t="str">
        <f>'[1]VENTAS CONSOLIDADA VALENCIA'!C3</f>
        <v>FINAL VENTAS</v>
      </c>
      <c r="D3" s="3">
        <f>'[1]VENTAS CONSOLIDADA VALENCIA'!D3</f>
        <v>46295</v>
      </c>
      <c r="E3" s="4">
        <f ca="1">'[1]VENTAS CONSOLIDADA VALENCIA'!E3</f>
        <v>8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VALENCIA'!C8</f>
        <v>3505</v>
      </c>
      <c r="D8" s="5">
        <f t="shared" ref="D8:D54" ca="1" si="0">C8/$E$2</f>
        <v>250.35714285714286</v>
      </c>
      <c r="E8" s="5">
        <f ca="1">D8*($E$2+$E$3)</f>
        <v>5507.8571428571431</v>
      </c>
    </row>
    <row r="9" spans="1:5" x14ac:dyDescent="0.25">
      <c r="A9">
        <v>110151</v>
      </c>
      <c r="B9" t="s">
        <v>5</v>
      </c>
      <c r="C9">
        <f>'[1]VENTAS CONSOLIDADA VALENCIA'!C9</f>
        <v>249</v>
      </c>
      <c r="D9" s="5">
        <f t="shared" ca="1" si="0"/>
        <v>17.785714285714285</v>
      </c>
      <c r="E9" s="5">
        <f t="shared" ref="E9:E54" ca="1" si="1">D9*($E$2+$E$3)</f>
        <v>391.28571428571428</v>
      </c>
    </row>
    <row r="10" spans="1:5" x14ac:dyDescent="0.25">
      <c r="A10">
        <v>110230</v>
      </c>
      <c r="B10" t="s">
        <v>1</v>
      </c>
      <c r="C10">
        <f>'[1]VENTAS CONSOLIDADA VALENCIA'!C10</f>
        <v>1301</v>
      </c>
      <c r="D10" s="5">
        <f t="shared" ca="1" si="0"/>
        <v>92.928571428571431</v>
      </c>
      <c r="E10" s="5">
        <f t="shared" ca="1" si="1"/>
        <v>2044.4285714285716</v>
      </c>
    </row>
    <row r="11" spans="1:5" x14ac:dyDescent="0.25">
      <c r="A11">
        <v>110400</v>
      </c>
      <c r="B11" t="s">
        <v>13</v>
      </c>
      <c r="C11">
        <f>'[1]VENTAS CONSOLIDADA VALENCIA'!C11</f>
        <v>356</v>
      </c>
      <c r="D11" s="5">
        <f t="shared" ca="1" si="0"/>
        <v>25.428571428571427</v>
      </c>
      <c r="E11" s="5">
        <f t="shared" ca="1" si="1"/>
        <v>559.42857142857144</v>
      </c>
    </row>
    <row r="12" spans="1:5" x14ac:dyDescent="0.25">
      <c r="A12">
        <v>111000</v>
      </c>
      <c r="B12" t="s">
        <v>14</v>
      </c>
      <c r="C12">
        <f>'[1]VENTAS CONSOLIDADA VALENCIA'!C12</f>
        <v>28</v>
      </c>
      <c r="D12" s="5">
        <f t="shared" ca="1" si="0"/>
        <v>2</v>
      </c>
      <c r="E12" s="5">
        <f t="shared" ca="1" si="1"/>
        <v>44</v>
      </c>
    </row>
    <row r="13" spans="1:5" x14ac:dyDescent="0.25">
      <c r="A13">
        <v>120130</v>
      </c>
      <c r="B13" t="s">
        <v>15</v>
      </c>
      <c r="C13">
        <f>'[1]VENTAS CONSOLIDADA VALENCIA'!C13</f>
        <v>4594</v>
      </c>
      <c r="D13" s="5">
        <f t="shared" ca="1" si="0"/>
        <v>328.14285714285717</v>
      </c>
      <c r="E13" s="5">
        <f t="shared" ca="1" si="1"/>
        <v>7219.1428571428578</v>
      </c>
    </row>
    <row r="14" spans="1:5" x14ac:dyDescent="0.25">
      <c r="A14">
        <v>120131</v>
      </c>
      <c r="B14" t="s">
        <v>23</v>
      </c>
      <c r="C14">
        <f>'[1]VENTAS CONSOLIDADA VALENCIA'!C14</f>
        <v>827</v>
      </c>
      <c r="D14" s="5">
        <f t="shared" ca="1" si="0"/>
        <v>59.071428571428569</v>
      </c>
      <c r="E14" s="5">
        <f t="shared" ca="1" si="1"/>
        <v>1299.5714285714284</v>
      </c>
    </row>
    <row r="15" spans="1:5" x14ac:dyDescent="0.25">
      <c r="A15">
        <v>120132</v>
      </c>
      <c r="B15" t="s">
        <v>21</v>
      </c>
      <c r="C15">
        <f>'[1]VENTAS CONSOLIDADA VALENCIA'!C15</f>
        <v>1779</v>
      </c>
      <c r="D15" s="5">
        <f t="shared" ca="1" si="0"/>
        <v>127.07142857142857</v>
      </c>
      <c r="E15" s="5">
        <f t="shared" ca="1" si="1"/>
        <v>2795.5714285714284</v>
      </c>
    </row>
    <row r="16" spans="1:5" x14ac:dyDescent="0.25">
      <c r="A16">
        <v>130150</v>
      </c>
      <c r="B16" t="s">
        <v>0</v>
      </c>
      <c r="C16">
        <f>'[1]VENTAS CONSOLIDADA VALENCIA'!C16</f>
        <v>4317</v>
      </c>
      <c r="D16" s="5">
        <f t="shared" ca="1" si="0"/>
        <v>308.35714285714283</v>
      </c>
      <c r="E16" s="5">
        <f t="shared" ca="1" si="1"/>
        <v>6783.8571428571422</v>
      </c>
    </row>
    <row r="17" spans="1:5" x14ac:dyDescent="0.25">
      <c r="A17">
        <v>130151</v>
      </c>
      <c r="B17" t="s">
        <v>4</v>
      </c>
      <c r="C17">
        <f>'[1]VENTAS CONSOLIDADA VALENCIA'!C17</f>
        <v>1953</v>
      </c>
      <c r="D17" s="5">
        <f t="shared" ca="1" si="0"/>
        <v>139.5</v>
      </c>
      <c r="E17" s="5">
        <f t="shared" ca="1" si="1"/>
        <v>3069</v>
      </c>
    </row>
    <row r="18" spans="1:5" x14ac:dyDescent="0.25">
      <c r="A18">
        <v>130152</v>
      </c>
      <c r="B18" t="s">
        <v>51</v>
      </c>
      <c r="C18">
        <f>'[1]VENTAS CONSOLIDADA VALENCIA'!C18</f>
        <v>12724</v>
      </c>
      <c r="D18" s="5">
        <f t="shared" ca="1" si="0"/>
        <v>908.85714285714289</v>
      </c>
      <c r="E18" s="5">
        <f t="shared" ca="1" si="1"/>
        <v>19994.857142857145</v>
      </c>
    </row>
    <row r="19" spans="1:5" x14ac:dyDescent="0.25">
      <c r="A19">
        <v>130153</v>
      </c>
      <c r="B19" t="s">
        <v>52</v>
      </c>
      <c r="C19">
        <f>'[1]VENTAS CONSOLIDADA VALENCIA'!C19</f>
        <v>7789</v>
      </c>
      <c r="D19" s="5">
        <f t="shared" ca="1" si="0"/>
        <v>556.35714285714289</v>
      </c>
      <c r="E19" s="5">
        <f t="shared" ca="1" si="1"/>
        <v>12239.857142857143</v>
      </c>
    </row>
    <row r="20" spans="1:5" x14ac:dyDescent="0.25">
      <c r="A20">
        <v>130154</v>
      </c>
      <c r="B20" t="s">
        <v>53</v>
      </c>
      <c r="C20">
        <f>'[1]VENTAS CONSOLIDADA VALENCIA'!C20</f>
        <v>8438</v>
      </c>
      <c r="D20" s="5">
        <f t="shared" ca="1" si="0"/>
        <v>602.71428571428567</v>
      </c>
      <c r="E20" s="5">
        <f t="shared" ca="1" si="1"/>
        <v>13259.714285714284</v>
      </c>
    </row>
    <row r="21" spans="1:5" x14ac:dyDescent="0.25">
      <c r="A21">
        <v>130155</v>
      </c>
      <c r="B21" t="s">
        <v>16</v>
      </c>
      <c r="C21">
        <f>'[1]VENTAS CONSOLIDADA VALENCIA'!C21</f>
        <v>9759</v>
      </c>
      <c r="D21" s="5">
        <f t="shared" ca="1" si="0"/>
        <v>697.07142857142856</v>
      </c>
      <c r="E21" s="5">
        <f t="shared" ca="1" si="1"/>
        <v>15335.571428571428</v>
      </c>
    </row>
    <row r="22" spans="1:5" x14ac:dyDescent="0.25">
      <c r="A22">
        <v>130157</v>
      </c>
      <c r="B22" t="s">
        <v>43</v>
      </c>
      <c r="C22">
        <f>'[1]VENTAS CONSOLIDADA VALENCIA'!C22</f>
        <v>2575</v>
      </c>
      <c r="D22" s="5">
        <f t="shared" ca="1" si="0"/>
        <v>183.92857142857142</v>
      </c>
      <c r="E22" s="5">
        <f t="shared" ca="1" si="1"/>
        <v>4046.4285714285711</v>
      </c>
    </row>
    <row r="23" spans="1:5" x14ac:dyDescent="0.25">
      <c r="A23">
        <v>130158</v>
      </c>
      <c r="B23" t="s">
        <v>44</v>
      </c>
      <c r="C23">
        <f>'[1]VENTAS CONSOLIDADA VALENCIA'!C23</f>
        <v>3612</v>
      </c>
      <c r="D23" s="5">
        <f t="shared" ca="1" si="0"/>
        <v>258</v>
      </c>
      <c r="E23" s="5">
        <f t="shared" ca="1" si="1"/>
        <v>5676</v>
      </c>
    </row>
    <row r="24" spans="1:5" x14ac:dyDescent="0.25">
      <c r="A24">
        <v>130159</v>
      </c>
      <c r="B24" t="s">
        <v>45</v>
      </c>
      <c r="C24">
        <f>'[1]VENTAS CONSOLIDADA VALENCIA'!C24</f>
        <v>3729</v>
      </c>
      <c r="D24" s="5">
        <f t="shared" ca="1" si="0"/>
        <v>266.35714285714283</v>
      </c>
      <c r="E24" s="5">
        <f t="shared" ca="1" si="1"/>
        <v>5859.8571428571422</v>
      </c>
    </row>
    <row r="25" spans="1:5" x14ac:dyDescent="0.25">
      <c r="A25">
        <v>130700</v>
      </c>
      <c r="B25" t="s">
        <v>3</v>
      </c>
      <c r="C25">
        <f>'[1]VENTAS CONSOLIDADA VALENCIA'!C25</f>
        <v>1548</v>
      </c>
      <c r="D25" s="5">
        <f t="shared" ca="1" si="0"/>
        <v>110.57142857142857</v>
      </c>
      <c r="E25" s="5">
        <f t="shared" ca="1" si="1"/>
        <v>2432.5714285714284</v>
      </c>
    </row>
    <row r="26" spans="1:5" x14ac:dyDescent="0.25">
      <c r="A26">
        <v>130701</v>
      </c>
      <c r="B26" t="s">
        <v>30</v>
      </c>
      <c r="C26">
        <f>'[1]VENTAS CONSOLIDADA VALENCIA'!C26</f>
        <v>864</v>
      </c>
      <c r="D26" s="5">
        <f t="shared" ca="1" si="0"/>
        <v>61.714285714285715</v>
      </c>
      <c r="E26" s="5">
        <f t="shared" ca="1" si="1"/>
        <v>1357.7142857142858</v>
      </c>
    </row>
    <row r="27" spans="1:5" x14ac:dyDescent="0.25">
      <c r="A27">
        <v>130702</v>
      </c>
      <c r="B27" t="s">
        <v>12</v>
      </c>
      <c r="C27">
        <f>'[1]VENTAS CONSOLIDADA VALENCIA'!C27</f>
        <v>2359</v>
      </c>
      <c r="D27" s="5">
        <f t="shared" ca="1" si="0"/>
        <v>168.5</v>
      </c>
      <c r="E27" s="5">
        <f t="shared" ca="1" si="1"/>
        <v>3707</v>
      </c>
    </row>
    <row r="28" spans="1:5" x14ac:dyDescent="0.25">
      <c r="A28">
        <v>130703</v>
      </c>
      <c r="B28" t="s">
        <v>17</v>
      </c>
      <c r="C28">
        <f>'[1]VENTAS CONSOLIDADA VALENCIA'!C28</f>
        <v>3510</v>
      </c>
      <c r="D28" s="5">
        <f t="shared" ca="1" si="0"/>
        <v>250.71428571428572</v>
      </c>
      <c r="E28" s="5">
        <f t="shared" ca="1" si="1"/>
        <v>5515.7142857142862</v>
      </c>
    </row>
    <row r="29" spans="1:5" x14ac:dyDescent="0.25">
      <c r="A29">
        <v>130707</v>
      </c>
      <c r="B29" t="s">
        <v>42</v>
      </c>
      <c r="C29">
        <f>'[1]VENTAS CONSOLIDADA VALENCIA'!C29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VALENCIA'!C30</f>
        <v>2210</v>
      </c>
      <c r="D30" s="5">
        <f t="shared" ca="1" si="0"/>
        <v>157.85714285714286</v>
      </c>
      <c r="E30" s="5">
        <f t="shared" ca="1" si="1"/>
        <v>3472.8571428571431</v>
      </c>
    </row>
    <row r="31" spans="1:5" x14ac:dyDescent="0.25">
      <c r="A31">
        <v>131151</v>
      </c>
      <c r="B31" t="s">
        <v>19</v>
      </c>
      <c r="C31">
        <f>'[1]VENTAS CONSOLIDADA VALENCIA'!C31</f>
        <v>3098</v>
      </c>
      <c r="D31" s="5">
        <f t="shared" ca="1" si="0"/>
        <v>221.28571428571428</v>
      </c>
      <c r="E31" s="5">
        <f t="shared" ca="1" si="1"/>
        <v>4868.2857142857138</v>
      </c>
    </row>
    <row r="32" spans="1:5" x14ac:dyDescent="0.25">
      <c r="A32">
        <v>131152</v>
      </c>
      <c r="B32" t="s">
        <v>32</v>
      </c>
      <c r="C32">
        <f>'[1]VENTAS CONSOLIDADA VALENCIA'!C32</f>
        <v>1837</v>
      </c>
      <c r="D32" s="5">
        <f t="shared" ca="1" si="0"/>
        <v>131.21428571428572</v>
      </c>
      <c r="E32" s="5">
        <f t="shared" ca="1" si="1"/>
        <v>2886.7142857142858</v>
      </c>
    </row>
    <row r="33" spans="1:5" x14ac:dyDescent="0.25">
      <c r="A33">
        <v>131153</v>
      </c>
      <c r="B33" t="s">
        <v>11</v>
      </c>
      <c r="C33">
        <f>'[1]VENTAS CONSOLIDADA VALENCIA'!C33</f>
        <v>1336</v>
      </c>
      <c r="D33" s="5">
        <f t="shared" ca="1" si="0"/>
        <v>95.428571428571431</v>
      </c>
      <c r="E33" s="5">
        <f t="shared" ca="1" si="1"/>
        <v>2099.4285714285716</v>
      </c>
    </row>
    <row r="34" spans="1:5" x14ac:dyDescent="0.25">
      <c r="A34">
        <v>131154</v>
      </c>
      <c r="B34" t="s">
        <v>48</v>
      </c>
      <c r="C34">
        <f>'[1]VENTAS CONSOLIDADA VALENCIA'!C34</f>
        <v>771</v>
      </c>
      <c r="D34" s="5">
        <f t="shared" ca="1" si="0"/>
        <v>55.071428571428569</v>
      </c>
      <c r="E34" s="5">
        <f t="shared" ca="1" si="1"/>
        <v>1211.5714285714284</v>
      </c>
    </row>
    <row r="35" spans="1:5" x14ac:dyDescent="0.25">
      <c r="A35">
        <v>131155</v>
      </c>
      <c r="B35" t="s">
        <v>57</v>
      </c>
      <c r="C35">
        <f>'[1]VENTAS CONSOLIDADA VALENCIA'!C35</f>
        <v>905</v>
      </c>
      <c r="D35" s="5">
        <f t="shared" ca="1" si="0"/>
        <v>64.642857142857139</v>
      </c>
      <c r="E35" s="5">
        <f t="shared" ca="1" si="1"/>
        <v>1422.1428571428571</v>
      </c>
    </row>
    <row r="36" spans="1:5" x14ac:dyDescent="0.25">
      <c r="A36">
        <v>131700</v>
      </c>
      <c r="B36" t="s">
        <v>20</v>
      </c>
      <c r="C36">
        <f>'[1]VENTAS CONSOLIDADA VALENCIA'!C36</f>
        <v>468</v>
      </c>
      <c r="D36" s="5">
        <f t="shared" ca="1" si="0"/>
        <v>33.428571428571431</v>
      </c>
      <c r="E36" s="5">
        <f t="shared" ca="1" si="1"/>
        <v>735.42857142857144</v>
      </c>
    </row>
    <row r="37" spans="1:5" x14ac:dyDescent="0.25">
      <c r="A37">
        <v>131701</v>
      </c>
      <c r="B37" t="s">
        <v>24</v>
      </c>
      <c r="C37">
        <f>'[1]VENTAS CONSOLIDADA VALENCIA'!C37</f>
        <v>468</v>
      </c>
      <c r="D37" s="5">
        <f t="shared" ca="1" si="0"/>
        <v>33.428571428571431</v>
      </c>
      <c r="E37" s="5">
        <f t="shared" ca="1" si="1"/>
        <v>735.42857142857144</v>
      </c>
    </row>
    <row r="38" spans="1:5" x14ac:dyDescent="0.25">
      <c r="A38">
        <v>132150</v>
      </c>
      <c r="B38" t="s">
        <v>25</v>
      </c>
      <c r="C38">
        <f>'[1]VENTAS CONSOLIDADA VALENCIA'!C38</f>
        <v>3102</v>
      </c>
      <c r="D38" s="5">
        <f t="shared" ca="1" si="0"/>
        <v>221.57142857142858</v>
      </c>
      <c r="E38" s="5">
        <f t="shared" ca="1" si="1"/>
        <v>4874.5714285714284</v>
      </c>
    </row>
    <row r="39" spans="1:5" x14ac:dyDescent="0.25">
      <c r="A39">
        <v>132151</v>
      </c>
      <c r="B39" t="s">
        <v>26</v>
      </c>
      <c r="C39">
        <f>'[1]VENTAS CONSOLIDADA VALENCIA'!C39</f>
        <v>2509</v>
      </c>
      <c r="D39" s="5">
        <f t="shared" ca="1" si="0"/>
        <v>179.21428571428572</v>
      </c>
      <c r="E39" s="5">
        <f t="shared" ca="1" si="1"/>
        <v>3942.7142857142858</v>
      </c>
    </row>
    <row r="40" spans="1:5" x14ac:dyDescent="0.25">
      <c r="A40">
        <v>132152</v>
      </c>
      <c r="B40" t="s">
        <v>27</v>
      </c>
      <c r="C40">
        <f>'[1]VENTAS CONSOLIDADA VALENCIA'!C40</f>
        <v>3472</v>
      </c>
      <c r="D40" s="5">
        <f t="shared" ca="1" si="0"/>
        <v>248</v>
      </c>
      <c r="E40" s="5">
        <f t="shared" ca="1" si="1"/>
        <v>5456</v>
      </c>
    </row>
    <row r="41" spans="1:5" x14ac:dyDescent="0.25">
      <c r="A41">
        <v>132153</v>
      </c>
      <c r="B41" t="s">
        <v>40</v>
      </c>
      <c r="C41">
        <f>'[1]VENTAS CONSOLIDADA VALENCIA'!C41</f>
        <v>2003</v>
      </c>
      <c r="D41" s="5">
        <f t="shared" ca="1" si="0"/>
        <v>143.07142857142858</v>
      </c>
      <c r="E41" s="5">
        <f t="shared" ca="1" si="1"/>
        <v>3147.5714285714289</v>
      </c>
    </row>
    <row r="42" spans="1:5" x14ac:dyDescent="0.25">
      <c r="A42">
        <v>134000</v>
      </c>
      <c r="B42" t="s">
        <v>35</v>
      </c>
      <c r="C42">
        <f>'[1]VENTAS CONSOLIDADA VALENCIA'!C42</f>
        <v>39</v>
      </c>
      <c r="D42" s="5">
        <f t="shared" ca="1" si="0"/>
        <v>2.7857142857142856</v>
      </c>
      <c r="E42" s="5">
        <f t="shared" ca="1" si="1"/>
        <v>61.285714285714285</v>
      </c>
    </row>
    <row r="43" spans="1:5" x14ac:dyDescent="0.25">
      <c r="A43">
        <v>134001</v>
      </c>
      <c r="B43" t="s">
        <v>47</v>
      </c>
      <c r="C43">
        <f>'[1]VENTAS CONSOLIDADA VALENCIA'!C43</f>
        <v>7</v>
      </c>
      <c r="D43" s="5">
        <f t="shared" ca="1" si="0"/>
        <v>0.5</v>
      </c>
      <c r="E43" s="5">
        <f t="shared" ca="1" si="1"/>
        <v>11</v>
      </c>
    </row>
    <row r="44" spans="1:5" x14ac:dyDescent="0.25">
      <c r="A44">
        <v>140230</v>
      </c>
      <c r="B44" t="s">
        <v>18</v>
      </c>
      <c r="C44">
        <f>'[1]VENTAS CONSOLIDADA VALENCIA'!C44</f>
        <v>865</v>
      </c>
      <c r="D44" s="5">
        <f t="shared" ca="1" si="0"/>
        <v>61.785714285714285</v>
      </c>
      <c r="E44" s="5">
        <f t="shared" ca="1" si="1"/>
        <v>1359.2857142857142</v>
      </c>
    </row>
    <row r="45" spans="1:5" x14ac:dyDescent="0.25">
      <c r="A45">
        <v>140231</v>
      </c>
      <c r="B45" t="s">
        <v>10</v>
      </c>
      <c r="C45">
        <f>'[1]VENTAS CONSOLIDADA VALENCIA'!C45</f>
        <v>2467</v>
      </c>
      <c r="D45" s="5">
        <f t="shared" ca="1" si="0"/>
        <v>176.21428571428572</v>
      </c>
      <c r="E45" s="5">
        <f t="shared" ca="1" si="1"/>
        <v>3876.7142857142858</v>
      </c>
    </row>
    <row r="46" spans="1:5" x14ac:dyDescent="0.25">
      <c r="A46">
        <v>140232</v>
      </c>
      <c r="B46" t="s">
        <v>9</v>
      </c>
      <c r="C46">
        <f>'[1]VENTAS CONSOLIDADA VALENCIA'!C46</f>
        <v>2328</v>
      </c>
      <c r="D46" s="5">
        <f t="shared" ca="1" si="0"/>
        <v>166.28571428571428</v>
      </c>
      <c r="E46" s="5">
        <f t="shared" ca="1" si="1"/>
        <v>3658.2857142857142</v>
      </c>
    </row>
    <row r="47" spans="1:5" x14ac:dyDescent="0.25">
      <c r="A47">
        <v>150360</v>
      </c>
      <c r="B47" t="s">
        <v>28</v>
      </c>
      <c r="C47">
        <f>'[1]VENTAS CONSOLIDADA VALENCIA'!C47</f>
        <v>421</v>
      </c>
      <c r="D47" s="5">
        <f t="shared" ca="1" si="0"/>
        <v>30.071428571428573</v>
      </c>
      <c r="E47" s="5">
        <f t="shared" ca="1" si="1"/>
        <v>661.57142857142856</v>
      </c>
    </row>
    <row r="48" spans="1:5" x14ac:dyDescent="0.25">
      <c r="A48">
        <v>150361</v>
      </c>
      <c r="B48" t="s">
        <v>29</v>
      </c>
      <c r="C48">
        <f>'[1]VENTAS CONSOLIDADA VALENCIA'!C48</f>
        <v>1499</v>
      </c>
      <c r="D48" s="5">
        <f t="shared" ca="1" si="0"/>
        <v>107.07142857142857</v>
      </c>
      <c r="E48" s="5">
        <f t="shared" ca="1" si="1"/>
        <v>2355.5714285714284</v>
      </c>
    </row>
    <row r="49" spans="1:5" x14ac:dyDescent="0.25">
      <c r="A49">
        <v>150362</v>
      </c>
      <c r="B49" t="s">
        <v>36</v>
      </c>
      <c r="C49">
        <f>'[1]VENTAS CONSOLIDADA VALENCIA'!C49</f>
        <v>783</v>
      </c>
      <c r="D49" s="5">
        <f t="shared" ca="1" si="0"/>
        <v>55.928571428571431</v>
      </c>
      <c r="E49" s="5">
        <f t="shared" ca="1" si="1"/>
        <v>1230.4285714285716</v>
      </c>
    </row>
    <row r="50" spans="1:5" x14ac:dyDescent="0.25">
      <c r="A50">
        <v>150363</v>
      </c>
      <c r="B50" t="s">
        <v>31</v>
      </c>
      <c r="C50">
        <f>'[1]VENTAS CONSOLIDADA VALENCIA'!C50</f>
        <v>974</v>
      </c>
      <c r="D50" s="5">
        <f t="shared" ca="1" si="0"/>
        <v>69.571428571428569</v>
      </c>
      <c r="E50" s="5">
        <f t="shared" ca="1" si="1"/>
        <v>1530.5714285714284</v>
      </c>
    </row>
    <row r="51" spans="1:5" x14ac:dyDescent="0.25">
      <c r="A51">
        <v>151500</v>
      </c>
      <c r="B51" t="s">
        <v>41</v>
      </c>
      <c r="C51">
        <f>'[1]VENTAS CONSOLIDADA VALENCIA'!C51</f>
        <v>146</v>
      </c>
      <c r="D51" s="5">
        <f t="shared" ca="1" si="0"/>
        <v>10.428571428571429</v>
      </c>
      <c r="E51" s="5">
        <f t="shared" ca="1" si="1"/>
        <v>229.42857142857144</v>
      </c>
    </row>
    <row r="52" spans="1:5" x14ac:dyDescent="0.25">
      <c r="A52">
        <v>151501</v>
      </c>
      <c r="B52" t="s">
        <v>33</v>
      </c>
      <c r="C52">
        <f>'[1]VENTAS CONSOLIDADA VALENCIA'!C52</f>
        <v>344</v>
      </c>
      <c r="D52" s="5">
        <f t="shared" ca="1" si="0"/>
        <v>24.571428571428573</v>
      </c>
      <c r="E52" s="5">
        <f t="shared" ca="1" si="1"/>
        <v>540.57142857142856</v>
      </c>
    </row>
    <row r="53" spans="1:5" x14ac:dyDescent="0.25">
      <c r="A53">
        <v>151502</v>
      </c>
      <c r="B53" t="s">
        <v>37</v>
      </c>
      <c r="C53">
        <f>'[1]VENTAS CONSOLIDADA VALENCIA'!C53</f>
        <v>94</v>
      </c>
      <c r="D53" s="5">
        <f t="shared" ca="1" si="0"/>
        <v>6.7142857142857144</v>
      </c>
      <c r="E53" s="5">
        <f t="shared" ca="1" si="1"/>
        <v>147.71428571428572</v>
      </c>
    </row>
    <row r="54" spans="1:5" x14ac:dyDescent="0.25">
      <c r="A54">
        <v>151503</v>
      </c>
      <c r="B54" t="s">
        <v>34</v>
      </c>
      <c r="C54">
        <f>'[1]VENTAS CONSOLIDADA VALENCIA'!C54</f>
        <v>126</v>
      </c>
      <c r="D54" s="5">
        <f t="shared" ca="1" si="0"/>
        <v>9</v>
      </c>
      <c r="E54" s="5">
        <f t="shared" ca="1" si="1"/>
        <v>198</v>
      </c>
    </row>
    <row r="55" spans="1:5" x14ac:dyDescent="0.25">
      <c r="D55" s="5">
        <f ca="1">SUM(D8:D54)</f>
        <v>7720.5714285714284</v>
      </c>
      <c r="E55" s="5">
        <f ca="1">SUM(E8:E54)</f>
        <v>169852.57142857145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64" sqref="G64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'[1]VENTAS CONSOLIDADA CARACAS'!D1</f>
        <v>46266</v>
      </c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'[1]VENTAS CONSOLIDADA CARACAS'!D2</f>
        <v>46286</v>
      </c>
      <c r="E2" s="4">
        <f ca="1">'[1]VENTAS CONSOLIDADA CARACAS'!E2</f>
        <v>14</v>
      </c>
    </row>
    <row r="3" spans="1:6" x14ac:dyDescent="0.25">
      <c r="B3" s="9"/>
      <c r="C3" s="2" t="str">
        <f>'[1]VENTAS CONSOLIDADA CARACAS'!C3</f>
        <v>FINAL VENTAS</v>
      </c>
      <c r="D3" s="3">
        <f>'[1]VENTAS CONSOLIDADA CARACAS'!D3</f>
        <v>46295</v>
      </c>
      <c r="E3" s="4">
        <f ca="1">'[1]VENTAS CONSOLIDADA CARACAS'!E3</f>
        <v>8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'[1]VENTAS CONSOLIDADA CARACAS'!C8</f>
        <v>11207</v>
      </c>
      <c r="D8" s="5">
        <f t="shared" ref="D8:D54" ca="1" si="0">C8/$E$2</f>
        <v>800.5</v>
      </c>
      <c r="E8" s="5">
        <f ca="1">D8*($E$2+$E$3)</f>
        <v>17611</v>
      </c>
      <c r="F8" s="5"/>
    </row>
    <row r="9" spans="1:6" x14ac:dyDescent="0.25">
      <c r="A9">
        <v>110151</v>
      </c>
      <c r="B9" t="s">
        <v>5</v>
      </c>
      <c r="C9">
        <f>'[1]VENTAS CONSOLIDADA CARACAS'!C9</f>
        <v>459</v>
      </c>
      <c r="D9" s="5">
        <f t="shared" ca="1" si="0"/>
        <v>32.785714285714285</v>
      </c>
      <c r="E9" s="5">
        <f t="shared" ref="E9:E54" ca="1" si="1">D9*($E$2+$E$3)</f>
        <v>721.28571428571422</v>
      </c>
    </row>
    <row r="10" spans="1:6" x14ac:dyDescent="0.25">
      <c r="A10">
        <v>110230</v>
      </c>
      <c r="B10" t="s">
        <v>1</v>
      </c>
      <c r="C10">
        <f>'[1]VENTAS CONSOLIDADA CARACAS'!C10</f>
        <v>4876</v>
      </c>
      <c r="D10" s="5">
        <f t="shared" ca="1" si="0"/>
        <v>348.28571428571428</v>
      </c>
      <c r="E10" s="5">
        <f t="shared" ca="1" si="1"/>
        <v>7662.2857142857138</v>
      </c>
    </row>
    <row r="11" spans="1:6" x14ac:dyDescent="0.25">
      <c r="A11">
        <v>110400</v>
      </c>
      <c r="B11" t="s">
        <v>13</v>
      </c>
      <c r="C11">
        <f>'[1]VENTAS CONSOLIDADA CARACAS'!C11</f>
        <v>1075</v>
      </c>
      <c r="D11" s="5">
        <f t="shared" ca="1" si="0"/>
        <v>76.785714285714292</v>
      </c>
      <c r="E11" s="5">
        <f t="shared" ca="1" si="1"/>
        <v>1689.2857142857144</v>
      </c>
    </row>
    <row r="12" spans="1:6" x14ac:dyDescent="0.25">
      <c r="A12">
        <v>111000</v>
      </c>
      <c r="B12" t="s">
        <v>14</v>
      </c>
      <c r="C12">
        <f>'[1]VENTAS CONSOLIDADA CARACAS'!C12</f>
        <v>146</v>
      </c>
      <c r="D12" s="5">
        <f t="shared" ca="1" si="0"/>
        <v>10.428571428571429</v>
      </c>
      <c r="E12" s="5">
        <f t="shared" ca="1" si="1"/>
        <v>229.42857142857144</v>
      </c>
    </row>
    <row r="13" spans="1:6" x14ac:dyDescent="0.25">
      <c r="A13">
        <v>120130</v>
      </c>
      <c r="B13" t="s">
        <v>15</v>
      </c>
      <c r="C13">
        <f>'[1]VENTAS CONSOLIDADA CARACAS'!C13</f>
        <v>11852</v>
      </c>
      <c r="D13" s="5">
        <f t="shared" ca="1" si="0"/>
        <v>846.57142857142856</v>
      </c>
      <c r="E13" s="5">
        <f t="shared" ca="1" si="1"/>
        <v>18624.571428571428</v>
      </c>
    </row>
    <row r="14" spans="1:6" x14ac:dyDescent="0.25">
      <c r="A14">
        <v>120131</v>
      </c>
      <c r="B14" t="s">
        <v>23</v>
      </c>
      <c r="C14">
        <f>'[1]VENTAS CONSOLIDADA CARACAS'!C14</f>
        <v>774</v>
      </c>
      <c r="D14" s="5">
        <f t="shared" ca="1" si="0"/>
        <v>55.285714285714285</v>
      </c>
      <c r="E14" s="5">
        <f t="shared" ca="1" si="1"/>
        <v>1216.2857142857142</v>
      </c>
    </row>
    <row r="15" spans="1:6" x14ac:dyDescent="0.25">
      <c r="A15">
        <v>120132</v>
      </c>
      <c r="B15" t="s">
        <v>21</v>
      </c>
      <c r="C15">
        <f>'[1]VENTAS CONSOLIDADA CARACAS'!C15</f>
        <v>1687</v>
      </c>
      <c r="D15" s="5">
        <f t="shared" ca="1" si="0"/>
        <v>120.5</v>
      </c>
      <c r="E15" s="5">
        <f t="shared" ca="1" si="1"/>
        <v>2651</v>
      </c>
    </row>
    <row r="16" spans="1:6" x14ac:dyDescent="0.25">
      <c r="A16">
        <v>130150</v>
      </c>
      <c r="B16" t="s">
        <v>0</v>
      </c>
      <c r="C16">
        <f>'[1]VENTAS CONSOLIDADA CARACAS'!C16</f>
        <v>4034</v>
      </c>
      <c r="D16" s="5">
        <f t="shared" ca="1" si="0"/>
        <v>288.14285714285717</v>
      </c>
      <c r="E16" s="5">
        <f t="shared" ca="1" si="1"/>
        <v>6339.1428571428578</v>
      </c>
    </row>
    <row r="17" spans="1:5" x14ac:dyDescent="0.25">
      <c r="A17">
        <v>130151</v>
      </c>
      <c r="B17" t="s">
        <v>4</v>
      </c>
      <c r="C17">
        <f>'[1]VENTAS CONSOLIDADA CARACAS'!C17</f>
        <v>2288</v>
      </c>
      <c r="D17" s="5">
        <f t="shared" ca="1" si="0"/>
        <v>163.42857142857142</v>
      </c>
      <c r="E17" s="5">
        <f t="shared" ca="1" si="1"/>
        <v>3595.4285714285711</v>
      </c>
    </row>
    <row r="18" spans="1:5" x14ac:dyDescent="0.25">
      <c r="A18">
        <v>130152</v>
      </c>
      <c r="B18" t="s">
        <v>51</v>
      </c>
      <c r="C18">
        <f>'[1]VENTAS CONSOLIDADA CARACAS'!C18</f>
        <v>22941</v>
      </c>
      <c r="D18" s="5">
        <f t="shared" ca="1" si="0"/>
        <v>1638.6428571428571</v>
      </c>
      <c r="E18" s="5">
        <f t="shared" ca="1" si="1"/>
        <v>36050.142857142855</v>
      </c>
    </row>
    <row r="19" spans="1:5" x14ac:dyDescent="0.25">
      <c r="A19">
        <v>130153</v>
      </c>
      <c r="B19" t="s">
        <v>52</v>
      </c>
      <c r="C19">
        <f>'[1]VENTAS CONSOLIDADA CARACAS'!C19</f>
        <v>14964</v>
      </c>
      <c r="D19" s="5">
        <f t="shared" ca="1" si="0"/>
        <v>1068.8571428571429</v>
      </c>
      <c r="E19" s="5">
        <f t="shared" ca="1" si="1"/>
        <v>23514.857142857145</v>
      </c>
    </row>
    <row r="20" spans="1:5" x14ac:dyDescent="0.25">
      <c r="A20">
        <v>130154</v>
      </c>
      <c r="B20" t="s">
        <v>53</v>
      </c>
      <c r="C20">
        <f>'[1]VENTAS CONSOLIDADA CARACAS'!C20</f>
        <v>14872</v>
      </c>
      <c r="D20" s="5">
        <f t="shared" ca="1" si="0"/>
        <v>1062.2857142857142</v>
      </c>
      <c r="E20" s="5">
        <f t="shared" ca="1" si="1"/>
        <v>23370.285714285714</v>
      </c>
    </row>
    <row r="21" spans="1:5" x14ac:dyDescent="0.25">
      <c r="A21">
        <v>130155</v>
      </c>
      <c r="B21" t="s">
        <v>16</v>
      </c>
      <c r="C21">
        <f>'[1]VENTAS CONSOLIDADA CARACAS'!C21</f>
        <v>19028</v>
      </c>
      <c r="D21" s="5">
        <f t="shared" ca="1" si="0"/>
        <v>1359.1428571428571</v>
      </c>
      <c r="E21" s="5">
        <f t="shared" ca="1" si="1"/>
        <v>29901.142857142855</v>
      </c>
    </row>
    <row r="22" spans="1:5" x14ac:dyDescent="0.25">
      <c r="A22">
        <v>130157</v>
      </c>
      <c r="B22" t="s">
        <v>43</v>
      </c>
      <c r="C22">
        <f>'[1]VENTAS CONSOLIDADA CARACAS'!C22</f>
        <v>4587</v>
      </c>
      <c r="D22" s="5">
        <f t="shared" ca="1" si="0"/>
        <v>327.64285714285717</v>
      </c>
      <c r="E22" s="5">
        <f t="shared" ca="1" si="1"/>
        <v>7208.1428571428578</v>
      </c>
    </row>
    <row r="23" spans="1:5" x14ac:dyDescent="0.25">
      <c r="A23">
        <v>130158</v>
      </c>
      <c r="B23" t="s">
        <v>44</v>
      </c>
      <c r="C23">
        <f>'[1]VENTAS CONSOLIDADA CARACAS'!C23</f>
        <v>4423</v>
      </c>
      <c r="D23" s="5">
        <f t="shared" ca="1" si="0"/>
        <v>315.92857142857144</v>
      </c>
      <c r="E23" s="5">
        <f t="shared" ca="1" si="1"/>
        <v>6950.4285714285716</v>
      </c>
    </row>
    <row r="24" spans="1:5" x14ac:dyDescent="0.25">
      <c r="A24">
        <v>130159</v>
      </c>
      <c r="B24" t="s">
        <v>45</v>
      </c>
      <c r="C24">
        <f>'[1]VENTAS CONSOLIDADA CARACAS'!C24</f>
        <v>4797</v>
      </c>
      <c r="D24" s="5">
        <f t="shared" ca="1" si="0"/>
        <v>342.64285714285717</v>
      </c>
      <c r="E24" s="5">
        <f t="shared" ca="1" si="1"/>
        <v>7538.1428571428578</v>
      </c>
    </row>
    <row r="25" spans="1:5" x14ac:dyDescent="0.25">
      <c r="A25">
        <v>130700</v>
      </c>
      <c r="B25" t="s">
        <v>3</v>
      </c>
      <c r="C25">
        <f>'[1]VENTAS CONSOLIDADA CARACAS'!C25</f>
        <v>1212</v>
      </c>
      <c r="D25" s="5">
        <f t="shared" ca="1" si="0"/>
        <v>86.571428571428569</v>
      </c>
      <c r="E25" s="5">
        <f t="shared" ca="1" si="1"/>
        <v>1904.5714285714284</v>
      </c>
    </row>
    <row r="26" spans="1:5" x14ac:dyDescent="0.25">
      <c r="A26">
        <v>130701</v>
      </c>
      <c r="B26" t="s">
        <v>30</v>
      </c>
      <c r="C26">
        <f>'[1]VENTAS CONSOLIDADA CARACAS'!C26</f>
        <v>587</v>
      </c>
      <c r="D26" s="5">
        <f t="shared" ca="1" si="0"/>
        <v>41.928571428571431</v>
      </c>
      <c r="E26" s="5">
        <f t="shared" ca="1" si="1"/>
        <v>922.42857142857144</v>
      </c>
    </row>
    <row r="27" spans="1:5" x14ac:dyDescent="0.25">
      <c r="A27">
        <v>130702</v>
      </c>
      <c r="B27" t="s">
        <v>12</v>
      </c>
      <c r="C27">
        <f>'[1]VENTAS CONSOLIDADA CARACAS'!C27</f>
        <v>2901</v>
      </c>
      <c r="D27" s="5">
        <f t="shared" ca="1" si="0"/>
        <v>207.21428571428572</v>
      </c>
      <c r="E27" s="5">
        <f t="shared" ca="1" si="1"/>
        <v>4558.7142857142862</v>
      </c>
    </row>
    <row r="28" spans="1:5" x14ac:dyDescent="0.25">
      <c r="A28">
        <v>130703</v>
      </c>
      <c r="B28" t="s">
        <v>17</v>
      </c>
      <c r="C28">
        <f>'[1]VENTAS CONSOLIDADA CARACAS'!C28</f>
        <v>5727</v>
      </c>
      <c r="D28" s="5">
        <f t="shared" ca="1" si="0"/>
        <v>409.07142857142856</v>
      </c>
      <c r="E28" s="5">
        <f t="shared" ca="1" si="1"/>
        <v>8999.5714285714275</v>
      </c>
    </row>
    <row r="29" spans="1:5" x14ac:dyDescent="0.25">
      <c r="A29">
        <v>130707</v>
      </c>
      <c r="B29" t="s">
        <v>42</v>
      </c>
      <c r="C29">
        <f>'[1]VENTAS CONSOLIDADA CARACAS'!C29</f>
        <v>890</v>
      </c>
      <c r="D29" s="5">
        <f t="shared" ca="1" si="0"/>
        <v>63.571428571428569</v>
      </c>
      <c r="E29" s="5">
        <f t="shared" ca="1" si="1"/>
        <v>1398.5714285714284</v>
      </c>
    </row>
    <row r="30" spans="1:5" x14ac:dyDescent="0.25">
      <c r="A30">
        <v>131150</v>
      </c>
      <c r="B30" t="s">
        <v>22</v>
      </c>
      <c r="C30">
        <f>'[1]VENTAS CONSOLIDADA CARACAS'!C30</f>
        <v>5935</v>
      </c>
      <c r="D30" s="5">
        <f t="shared" ca="1" si="0"/>
        <v>423.92857142857144</v>
      </c>
      <c r="E30" s="5">
        <f t="shared" ca="1" si="1"/>
        <v>9326.4285714285725</v>
      </c>
    </row>
    <row r="31" spans="1:5" x14ac:dyDescent="0.25">
      <c r="A31">
        <v>131151</v>
      </c>
      <c r="B31" t="s">
        <v>19</v>
      </c>
      <c r="C31">
        <f>'[1]VENTAS CONSOLIDADA CARACAS'!C31</f>
        <v>8758</v>
      </c>
      <c r="D31" s="5">
        <f t="shared" ca="1" si="0"/>
        <v>625.57142857142856</v>
      </c>
      <c r="E31" s="5">
        <f t="shared" ca="1" si="1"/>
        <v>13762.571428571428</v>
      </c>
    </row>
    <row r="32" spans="1:5" x14ac:dyDescent="0.25">
      <c r="A32">
        <v>131152</v>
      </c>
      <c r="B32" t="s">
        <v>32</v>
      </c>
      <c r="C32">
        <f>'[1]VENTAS CONSOLIDADA CARACAS'!C32</f>
        <v>3748</v>
      </c>
      <c r="D32" s="5">
        <f t="shared" ca="1" si="0"/>
        <v>267.71428571428572</v>
      </c>
      <c r="E32" s="5">
        <f t="shared" ca="1" si="1"/>
        <v>5889.7142857142862</v>
      </c>
    </row>
    <row r="33" spans="1:5" x14ac:dyDescent="0.25">
      <c r="A33">
        <v>131153</v>
      </c>
      <c r="B33" t="s">
        <v>11</v>
      </c>
      <c r="C33">
        <f>'[1]VENTAS CONSOLIDADA CARACAS'!C33</f>
        <v>2856</v>
      </c>
      <c r="D33" s="5">
        <f t="shared" ca="1" si="0"/>
        <v>204</v>
      </c>
      <c r="E33" s="5">
        <f t="shared" ca="1" si="1"/>
        <v>4488</v>
      </c>
    </row>
    <row r="34" spans="1:5" x14ac:dyDescent="0.25">
      <c r="A34">
        <v>131154</v>
      </c>
      <c r="B34" t="s">
        <v>48</v>
      </c>
      <c r="C34">
        <f>'[1]VENTAS CONSOLIDADA CARACAS'!C34</f>
        <v>1169</v>
      </c>
      <c r="D34" s="5">
        <f t="shared" ca="1" si="0"/>
        <v>83.5</v>
      </c>
      <c r="E34" s="5">
        <f t="shared" ca="1" si="1"/>
        <v>1837</v>
      </c>
    </row>
    <row r="35" spans="1:5" x14ac:dyDescent="0.25">
      <c r="A35">
        <v>131155</v>
      </c>
      <c r="B35" t="s">
        <v>57</v>
      </c>
      <c r="C35">
        <f>'[1]VENTAS CONSOLIDADA CARACAS'!C35</f>
        <v>1519</v>
      </c>
      <c r="D35" s="5">
        <f t="shared" ca="1" si="0"/>
        <v>108.5</v>
      </c>
      <c r="E35" s="5">
        <f t="shared" ca="1" si="1"/>
        <v>2387</v>
      </c>
    </row>
    <row r="36" spans="1:5" x14ac:dyDescent="0.25">
      <c r="A36">
        <v>131700</v>
      </c>
      <c r="B36" t="s">
        <v>20</v>
      </c>
      <c r="C36">
        <f>'[1]VENTAS CONSOLIDADA CARACAS'!C36</f>
        <v>910</v>
      </c>
      <c r="D36" s="5">
        <f t="shared" ca="1" si="0"/>
        <v>65</v>
      </c>
      <c r="E36" s="5">
        <f t="shared" ca="1" si="1"/>
        <v>1430</v>
      </c>
    </row>
    <row r="37" spans="1:5" x14ac:dyDescent="0.25">
      <c r="A37">
        <v>131701</v>
      </c>
      <c r="B37" t="s">
        <v>24</v>
      </c>
      <c r="C37">
        <f>'[1]VENTAS CONSOLIDADA CARACAS'!C37</f>
        <v>987</v>
      </c>
      <c r="D37" s="5">
        <f t="shared" ca="1" si="0"/>
        <v>70.5</v>
      </c>
      <c r="E37" s="5">
        <f t="shared" ca="1" si="1"/>
        <v>1551</v>
      </c>
    </row>
    <row r="38" spans="1:5" x14ac:dyDescent="0.25">
      <c r="A38">
        <v>132150</v>
      </c>
      <c r="B38" t="s">
        <v>25</v>
      </c>
      <c r="C38">
        <f>'[1]VENTAS CONSOLIDADA CARACAS'!C38</f>
        <v>4319</v>
      </c>
      <c r="D38" s="5">
        <f t="shared" ca="1" si="0"/>
        <v>308.5</v>
      </c>
      <c r="E38" s="5">
        <f t="shared" ca="1" si="1"/>
        <v>6787</v>
      </c>
    </row>
    <row r="39" spans="1:5" x14ac:dyDescent="0.25">
      <c r="A39">
        <v>132151</v>
      </c>
      <c r="B39" t="s">
        <v>26</v>
      </c>
      <c r="C39">
        <f>'[1]VENTAS CONSOLIDADA CARACAS'!C39</f>
        <v>3782</v>
      </c>
      <c r="D39" s="5">
        <f t="shared" ca="1" si="0"/>
        <v>270.14285714285717</v>
      </c>
      <c r="E39" s="5">
        <f t="shared" ca="1" si="1"/>
        <v>5943.1428571428578</v>
      </c>
    </row>
    <row r="40" spans="1:5" x14ac:dyDescent="0.25">
      <c r="A40">
        <v>132152</v>
      </c>
      <c r="B40" t="s">
        <v>27</v>
      </c>
      <c r="C40">
        <f>'[1]VENTAS CONSOLIDADA CARACAS'!C40</f>
        <v>5035</v>
      </c>
      <c r="D40" s="5">
        <f t="shared" ca="1" si="0"/>
        <v>359.64285714285717</v>
      </c>
      <c r="E40" s="5">
        <f t="shared" ca="1" si="1"/>
        <v>7912.1428571428578</v>
      </c>
    </row>
    <row r="41" spans="1:5" x14ac:dyDescent="0.25">
      <c r="A41">
        <v>132153</v>
      </c>
      <c r="B41" t="s">
        <v>40</v>
      </c>
      <c r="C41">
        <f>'[1]VENTAS CONSOLIDADA CARACAS'!C41</f>
        <v>3634</v>
      </c>
      <c r="D41" s="5">
        <f t="shared" ca="1" si="0"/>
        <v>259.57142857142856</v>
      </c>
      <c r="E41" s="5">
        <f t="shared" ca="1" si="1"/>
        <v>5710.5714285714284</v>
      </c>
    </row>
    <row r="42" spans="1:5" x14ac:dyDescent="0.25">
      <c r="A42">
        <v>134000</v>
      </c>
      <c r="B42" t="s">
        <v>35</v>
      </c>
      <c r="C42">
        <f>'[1]VENTAS CONSOLIDADA CARACAS'!C42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CARACAS'!C43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CARACAS'!C44</f>
        <v>690</v>
      </c>
      <c r="D44" s="5">
        <f t="shared" ca="1" si="0"/>
        <v>49.285714285714285</v>
      </c>
      <c r="E44" s="5">
        <f t="shared" ca="1" si="1"/>
        <v>1084.2857142857142</v>
      </c>
    </row>
    <row r="45" spans="1:5" x14ac:dyDescent="0.25">
      <c r="A45">
        <v>140231</v>
      </c>
      <c r="B45" t="s">
        <v>10</v>
      </c>
      <c r="C45">
        <f>'[1]VENTAS CONSOLIDADA CARACAS'!C45</f>
        <v>3770</v>
      </c>
      <c r="D45" s="5">
        <f t="shared" ca="1" si="0"/>
        <v>269.28571428571428</v>
      </c>
      <c r="E45" s="5">
        <f t="shared" ca="1" si="1"/>
        <v>5924.2857142857138</v>
      </c>
    </row>
    <row r="46" spans="1:5" x14ac:dyDescent="0.25">
      <c r="A46">
        <v>140232</v>
      </c>
      <c r="B46" t="s">
        <v>9</v>
      </c>
      <c r="C46">
        <f>'[1]VENTAS CONSOLIDADA CARACAS'!C46</f>
        <v>2700</v>
      </c>
      <c r="D46" s="5">
        <f t="shared" ca="1" si="0"/>
        <v>192.85714285714286</v>
      </c>
      <c r="E46" s="5">
        <f t="shared" ca="1" si="1"/>
        <v>4242.8571428571431</v>
      </c>
    </row>
    <row r="47" spans="1:5" x14ac:dyDescent="0.25">
      <c r="A47">
        <v>150360</v>
      </c>
      <c r="B47" t="s">
        <v>28</v>
      </c>
      <c r="C47">
        <f>'[1]VENTAS CONSOLIDADA CARACAS'!C47</f>
        <v>2027</v>
      </c>
      <c r="D47" s="5">
        <f t="shared" ca="1" si="0"/>
        <v>144.78571428571428</v>
      </c>
      <c r="E47" s="5">
        <f t="shared" ca="1" si="1"/>
        <v>3185.2857142857142</v>
      </c>
    </row>
    <row r="48" spans="1:5" x14ac:dyDescent="0.25">
      <c r="A48">
        <v>150361</v>
      </c>
      <c r="B48" t="s">
        <v>29</v>
      </c>
      <c r="C48">
        <f>'[1]VENTAS CONSOLIDADA CARACAS'!C48</f>
        <v>3671</v>
      </c>
      <c r="D48" s="5">
        <f t="shared" ca="1" si="0"/>
        <v>262.21428571428572</v>
      </c>
      <c r="E48" s="5">
        <f t="shared" ca="1" si="1"/>
        <v>5768.7142857142862</v>
      </c>
    </row>
    <row r="49" spans="1:5" x14ac:dyDescent="0.25">
      <c r="A49">
        <v>150362</v>
      </c>
      <c r="B49" t="s">
        <v>36</v>
      </c>
      <c r="C49">
        <f>'[1]VENTAS CONSOLIDADA CARACAS'!C49</f>
        <v>2525</v>
      </c>
      <c r="D49" s="5">
        <f t="shared" ca="1" si="0"/>
        <v>180.35714285714286</v>
      </c>
      <c r="E49" s="5">
        <f t="shared" ca="1" si="1"/>
        <v>3967.8571428571431</v>
      </c>
    </row>
    <row r="50" spans="1:5" x14ac:dyDescent="0.25">
      <c r="A50">
        <v>150363</v>
      </c>
      <c r="B50" t="s">
        <v>31</v>
      </c>
      <c r="C50">
        <f>'[1]VENTAS CONSOLIDADA CARACAS'!C50</f>
        <v>2256</v>
      </c>
      <c r="D50" s="5">
        <f t="shared" ca="1" si="0"/>
        <v>161.14285714285714</v>
      </c>
      <c r="E50" s="5">
        <f t="shared" ca="1" si="1"/>
        <v>3545.1428571428569</v>
      </c>
    </row>
    <row r="51" spans="1:5" x14ac:dyDescent="0.25">
      <c r="A51">
        <v>151500</v>
      </c>
      <c r="B51" t="s">
        <v>41</v>
      </c>
      <c r="C51">
        <f>'[1]VENTAS CONSOLIDADA CARACAS'!C51</f>
        <v>505</v>
      </c>
      <c r="D51" s="5">
        <f t="shared" ca="1" si="0"/>
        <v>36.071428571428569</v>
      </c>
      <c r="E51" s="5">
        <f t="shared" ca="1" si="1"/>
        <v>793.57142857142856</v>
      </c>
    </row>
    <row r="52" spans="1:5" x14ac:dyDescent="0.25">
      <c r="A52">
        <v>151501</v>
      </c>
      <c r="B52" t="s">
        <v>33</v>
      </c>
      <c r="C52">
        <f>'[1]VENTAS CONSOLIDADA CARACAS'!C52</f>
        <v>1027</v>
      </c>
      <c r="D52" s="5">
        <f t="shared" ca="1" si="0"/>
        <v>73.357142857142861</v>
      </c>
      <c r="E52" s="5">
        <f t="shared" ca="1" si="1"/>
        <v>1613.8571428571429</v>
      </c>
    </row>
    <row r="53" spans="1:5" x14ac:dyDescent="0.25">
      <c r="A53">
        <v>151502</v>
      </c>
      <c r="B53" t="s">
        <v>37</v>
      </c>
      <c r="C53">
        <f>'[1]VENTAS CONSOLIDADA CARACAS'!C53</f>
        <v>353</v>
      </c>
      <c r="D53" s="5">
        <f t="shared" ca="1" si="0"/>
        <v>25.214285714285715</v>
      </c>
      <c r="E53" s="5">
        <f t="shared" ca="1" si="1"/>
        <v>554.71428571428578</v>
      </c>
    </row>
    <row r="54" spans="1:5" x14ac:dyDescent="0.25">
      <c r="A54">
        <v>151503</v>
      </c>
      <c r="B54" t="s">
        <v>34</v>
      </c>
      <c r="C54">
        <f>'[1]VENTAS CONSOLIDADA CARACAS'!C54</f>
        <v>496</v>
      </c>
      <c r="D54" s="5">
        <f t="shared" ca="1" si="0"/>
        <v>35.428571428571431</v>
      </c>
      <c r="E54" s="5">
        <f t="shared" ca="1" si="1"/>
        <v>779.42857142857144</v>
      </c>
    </row>
    <row r="55" spans="1:5" x14ac:dyDescent="0.25">
      <c r="D55" s="5">
        <f ca="1">SUM(D8:D54)</f>
        <v>14142.785714285716</v>
      </c>
      <c r="E55" s="5">
        <f ca="1">SUM(E8:E54)</f>
        <v>311141.28571428574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H21" sqref="H21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'[1]VENTAS CONSOLIDADA LARA'!D1</f>
        <v>46266</v>
      </c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'[1]VENTAS CONSOLIDADA LARA'!D2</f>
        <v>46286</v>
      </c>
      <c r="E2" s="4">
        <f ca="1">'[1]VENTAS CONSOLIDADA LARA'!E2</f>
        <v>14</v>
      </c>
    </row>
    <row r="3" spans="1:5" x14ac:dyDescent="0.25">
      <c r="B3" s="9"/>
      <c r="C3" s="2" t="str">
        <f>'[1]VENTAS CONSOLIDADA LARA'!C3</f>
        <v>FINAL VENTAS</v>
      </c>
      <c r="D3" s="3">
        <f>'[1]VENTAS CONSOLIDADA LARA'!D3</f>
        <v>46295</v>
      </c>
      <c r="E3" s="4">
        <f ca="1">'[1]VENTAS CONSOLIDADA LARA'!E3</f>
        <v>8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LARA'!C8</f>
        <v>687</v>
      </c>
      <c r="D8" s="5">
        <f t="shared" ref="D8:D54" ca="1" si="0">C8/$E$2</f>
        <v>49.071428571428569</v>
      </c>
      <c r="E8" s="5">
        <f ca="1">D8*($E$2+$E$3)</f>
        <v>1079.5714285714284</v>
      </c>
    </row>
    <row r="9" spans="1:5" x14ac:dyDescent="0.25">
      <c r="A9">
        <v>110151</v>
      </c>
      <c r="B9" t="s">
        <v>5</v>
      </c>
      <c r="C9">
        <f>'[1]VENTAS CONSOLIDADA LARA'!C9</f>
        <v>27</v>
      </c>
      <c r="D9" s="5">
        <f t="shared" ca="1" si="0"/>
        <v>1.9285714285714286</v>
      </c>
      <c r="E9" s="5">
        <f t="shared" ref="E9:E54" ca="1" si="1">D9*($E$2+$E$3)</f>
        <v>42.428571428571431</v>
      </c>
    </row>
    <row r="10" spans="1:5" x14ac:dyDescent="0.25">
      <c r="A10">
        <v>110230</v>
      </c>
      <c r="B10" t="s">
        <v>1</v>
      </c>
      <c r="C10">
        <f>'[1]VENTAS CONSOLIDADA LARA'!C10</f>
        <v>204</v>
      </c>
      <c r="D10" s="5">
        <f t="shared" ca="1" si="0"/>
        <v>14.571428571428571</v>
      </c>
      <c r="E10" s="5">
        <f t="shared" ca="1" si="1"/>
        <v>320.57142857142856</v>
      </c>
    </row>
    <row r="11" spans="1:5" x14ac:dyDescent="0.25">
      <c r="A11">
        <v>110400</v>
      </c>
      <c r="B11" t="s">
        <v>13</v>
      </c>
      <c r="C11">
        <f>'[1]VENTAS CONSOLIDADA LARA'!C11</f>
        <v>14</v>
      </c>
      <c r="D11" s="5">
        <f t="shared" ca="1" si="0"/>
        <v>1</v>
      </c>
      <c r="E11" s="5">
        <f t="shared" ca="1" si="1"/>
        <v>22</v>
      </c>
    </row>
    <row r="12" spans="1:5" x14ac:dyDescent="0.25">
      <c r="A12">
        <v>111000</v>
      </c>
      <c r="B12" t="s">
        <v>14</v>
      </c>
      <c r="C12">
        <f>'[1]VENTAS CONSOLIDADA LARA'!C12</f>
        <v>0</v>
      </c>
      <c r="D12" s="5">
        <f t="shared" ca="1" si="0"/>
        <v>0</v>
      </c>
      <c r="E12" s="5">
        <f t="shared" ca="1" si="1"/>
        <v>0</v>
      </c>
    </row>
    <row r="13" spans="1:5" x14ac:dyDescent="0.25">
      <c r="A13">
        <v>120130</v>
      </c>
      <c r="B13" t="s">
        <v>15</v>
      </c>
      <c r="C13">
        <f>'[1]VENTAS CONSOLIDADA LARA'!C13</f>
        <v>2153</v>
      </c>
      <c r="D13" s="5">
        <f t="shared" ca="1" si="0"/>
        <v>153.78571428571428</v>
      </c>
      <c r="E13" s="5">
        <f t="shared" ca="1" si="1"/>
        <v>3383.2857142857142</v>
      </c>
    </row>
    <row r="14" spans="1:5" x14ac:dyDescent="0.25">
      <c r="A14">
        <v>120131</v>
      </c>
      <c r="B14" t="s">
        <v>23</v>
      </c>
      <c r="C14">
        <f>'[1]VENTAS CONSOLIDADA LARA'!C14</f>
        <v>170</v>
      </c>
      <c r="D14" s="5">
        <f t="shared" ca="1" si="0"/>
        <v>12.142857142857142</v>
      </c>
      <c r="E14" s="5">
        <f t="shared" ca="1" si="1"/>
        <v>267.14285714285711</v>
      </c>
    </row>
    <row r="15" spans="1:5" x14ac:dyDescent="0.25">
      <c r="A15">
        <v>120132</v>
      </c>
      <c r="B15" t="s">
        <v>21</v>
      </c>
      <c r="C15">
        <f>'[1]VENTAS CONSOLIDADA LARA'!C15</f>
        <v>226</v>
      </c>
      <c r="D15" s="5">
        <f t="shared" ca="1" si="0"/>
        <v>16.142857142857142</v>
      </c>
      <c r="E15" s="5">
        <f t="shared" ca="1" si="1"/>
        <v>355.14285714285711</v>
      </c>
    </row>
    <row r="16" spans="1:5" x14ac:dyDescent="0.25">
      <c r="A16">
        <v>130150</v>
      </c>
      <c r="B16" t="s">
        <v>0</v>
      </c>
      <c r="C16">
        <f>'[1]VENTAS CONSOLIDADA LARA'!C16</f>
        <v>1015</v>
      </c>
      <c r="D16" s="5">
        <f t="shared" ca="1" si="0"/>
        <v>72.5</v>
      </c>
      <c r="E16" s="5">
        <f t="shared" ca="1" si="1"/>
        <v>1595</v>
      </c>
    </row>
    <row r="17" spans="1:5" x14ac:dyDescent="0.25">
      <c r="A17">
        <v>130151</v>
      </c>
      <c r="B17" t="s">
        <v>4</v>
      </c>
      <c r="C17">
        <f>'[1]VENTAS CONSOLIDADA LARA'!C17</f>
        <v>283</v>
      </c>
      <c r="D17" s="5">
        <f t="shared" ca="1" si="0"/>
        <v>20.214285714285715</v>
      </c>
      <c r="E17" s="5">
        <f t="shared" ca="1" si="1"/>
        <v>444.71428571428572</v>
      </c>
    </row>
    <row r="18" spans="1:5" x14ac:dyDescent="0.25">
      <c r="A18">
        <v>130152</v>
      </c>
      <c r="B18" t="s">
        <v>51</v>
      </c>
      <c r="C18">
        <f>'[1]VENTAS CONSOLIDADA LARA'!C18</f>
        <v>7803</v>
      </c>
      <c r="D18" s="5">
        <f t="shared" ca="1" si="0"/>
        <v>557.35714285714289</v>
      </c>
      <c r="E18" s="5">
        <f t="shared" ca="1" si="1"/>
        <v>12261.857142857143</v>
      </c>
    </row>
    <row r="19" spans="1:5" x14ac:dyDescent="0.25">
      <c r="A19">
        <v>130153</v>
      </c>
      <c r="B19" t="s">
        <v>52</v>
      </c>
      <c r="C19">
        <f>'[1]VENTAS CONSOLIDADA LARA'!C19</f>
        <v>4166</v>
      </c>
      <c r="D19" s="5">
        <f t="shared" ca="1" si="0"/>
        <v>297.57142857142856</v>
      </c>
      <c r="E19" s="5">
        <f t="shared" ca="1" si="1"/>
        <v>6546.5714285714284</v>
      </c>
    </row>
    <row r="20" spans="1:5" x14ac:dyDescent="0.25">
      <c r="A20">
        <v>130154</v>
      </c>
      <c r="B20" t="s">
        <v>53</v>
      </c>
      <c r="C20">
        <f>'[1]VENTAS CONSOLIDADA LARA'!C20</f>
        <v>4149</v>
      </c>
      <c r="D20" s="5">
        <f t="shared" ca="1" si="0"/>
        <v>296.35714285714283</v>
      </c>
      <c r="E20" s="5">
        <f t="shared" ca="1" si="1"/>
        <v>6519.8571428571422</v>
      </c>
    </row>
    <row r="21" spans="1:5" x14ac:dyDescent="0.25">
      <c r="A21">
        <v>130155</v>
      </c>
      <c r="B21" t="s">
        <v>16</v>
      </c>
      <c r="C21">
        <f>'[1]VENTAS CONSOLIDADA LARA'!C21</f>
        <v>5149</v>
      </c>
      <c r="D21" s="5">
        <f t="shared" ca="1" si="0"/>
        <v>367.78571428571428</v>
      </c>
      <c r="E21" s="5">
        <f t="shared" ca="1" si="1"/>
        <v>8091.2857142857138</v>
      </c>
    </row>
    <row r="22" spans="1:5" x14ac:dyDescent="0.25">
      <c r="A22">
        <v>130157</v>
      </c>
      <c r="B22" t="s">
        <v>43</v>
      </c>
      <c r="C22">
        <f>'[1]VENTAS CONSOLIDADA LARA'!C22</f>
        <v>1734</v>
      </c>
      <c r="D22" s="5">
        <f t="shared" ca="1" si="0"/>
        <v>123.85714285714286</v>
      </c>
      <c r="E22" s="5">
        <f t="shared" ca="1" si="1"/>
        <v>2724.8571428571431</v>
      </c>
    </row>
    <row r="23" spans="1:5" x14ac:dyDescent="0.25">
      <c r="A23">
        <v>130158</v>
      </c>
      <c r="B23" t="s">
        <v>44</v>
      </c>
      <c r="C23">
        <f>'[1]VENTAS CONSOLIDADA LARA'!C23</f>
        <v>1920</v>
      </c>
      <c r="D23" s="5">
        <f t="shared" ca="1" si="0"/>
        <v>137.14285714285714</v>
      </c>
      <c r="E23" s="5">
        <f t="shared" ca="1" si="1"/>
        <v>3017.1428571428569</v>
      </c>
    </row>
    <row r="24" spans="1:5" x14ac:dyDescent="0.25">
      <c r="A24">
        <v>130159</v>
      </c>
      <c r="B24" t="s">
        <v>45</v>
      </c>
      <c r="C24">
        <f>'[1]VENTAS CONSOLIDADA LARA'!C24</f>
        <v>2097</v>
      </c>
      <c r="D24" s="5">
        <f t="shared" ca="1" si="0"/>
        <v>149.78571428571428</v>
      </c>
      <c r="E24" s="5">
        <f t="shared" ca="1" si="1"/>
        <v>3295.2857142857142</v>
      </c>
    </row>
    <row r="25" spans="1:5" x14ac:dyDescent="0.25">
      <c r="A25">
        <v>130700</v>
      </c>
      <c r="B25" t="s">
        <v>3</v>
      </c>
      <c r="C25">
        <f>'[1]VENTAS CONSOLIDADA LARA'!C25</f>
        <v>406</v>
      </c>
      <c r="D25" s="5">
        <f t="shared" ca="1" si="0"/>
        <v>29</v>
      </c>
      <c r="E25" s="5">
        <f t="shared" ca="1" si="1"/>
        <v>638</v>
      </c>
    </row>
    <row r="26" spans="1:5" x14ac:dyDescent="0.25">
      <c r="A26">
        <v>130701</v>
      </c>
      <c r="B26" t="s">
        <v>30</v>
      </c>
      <c r="C26">
        <f>'[1]VENTAS CONSOLIDADA LARA'!C26</f>
        <v>114</v>
      </c>
      <c r="D26" s="5">
        <f t="shared" ca="1" si="0"/>
        <v>8.1428571428571423</v>
      </c>
      <c r="E26" s="5">
        <f t="shared" ca="1" si="1"/>
        <v>179.14285714285714</v>
      </c>
    </row>
    <row r="27" spans="1:5" x14ac:dyDescent="0.25">
      <c r="A27">
        <v>130702</v>
      </c>
      <c r="B27" t="s">
        <v>12</v>
      </c>
      <c r="C27">
        <f>'[1]VENTAS CONSOLIDADA LARA'!C27</f>
        <v>1197</v>
      </c>
      <c r="D27" s="5">
        <f t="shared" ca="1" si="0"/>
        <v>85.5</v>
      </c>
      <c r="E27" s="5">
        <f t="shared" ca="1" si="1"/>
        <v>1881</v>
      </c>
    </row>
    <row r="28" spans="1:5" x14ac:dyDescent="0.25">
      <c r="A28">
        <v>130703</v>
      </c>
      <c r="B28" t="s">
        <v>17</v>
      </c>
      <c r="C28">
        <f>'[1]VENTAS CONSOLIDADA LARA'!C28</f>
        <v>1493</v>
      </c>
      <c r="D28" s="5">
        <f t="shared" ca="1" si="0"/>
        <v>106.64285714285714</v>
      </c>
      <c r="E28" s="5">
        <f t="shared" ca="1" si="1"/>
        <v>2346.1428571428569</v>
      </c>
    </row>
    <row r="29" spans="1:5" x14ac:dyDescent="0.25">
      <c r="A29">
        <v>130707</v>
      </c>
      <c r="B29" t="s">
        <v>42</v>
      </c>
      <c r="C29">
        <f>'[1]VENTAS CONSOLIDADA LARA'!C29</f>
        <v>70</v>
      </c>
      <c r="D29" s="5">
        <f t="shared" ca="1" si="0"/>
        <v>5</v>
      </c>
      <c r="E29" s="5">
        <f t="shared" ca="1" si="1"/>
        <v>110</v>
      </c>
    </row>
    <row r="30" spans="1:5" x14ac:dyDescent="0.25">
      <c r="A30">
        <v>131150</v>
      </c>
      <c r="B30" t="s">
        <v>22</v>
      </c>
      <c r="C30">
        <f>'[1]VENTAS CONSOLIDADA LARA'!C30</f>
        <v>609</v>
      </c>
      <c r="D30" s="5">
        <f t="shared" ca="1" si="0"/>
        <v>43.5</v>
      </c>
      <c r="E30" s="5">
        <f t="shared" ca="1" si="1"/>
        <v>957</v>
      </c>
    </row>
    <row r="31" spans="1:5" x14ac:dyDescent="0.25">
      <c r="A31">
        <v>131151</v>
      </c>
      <c r="B31" t="s">
        <v>19</v>
      </c>
      <c r="C31">
        <f>'[1]VENTAS CONSOLIDADA LARA'!C31</f>
        <v>1488</v>
      </c>
      <c r="D31" s="5">
        <f t="shared" ca="1" si="0"/>
        <v>106.28571428571429</v>
      </c>
      <c r="E31" s="5">
        <f t="shared" ca="1" si="1"/>
        <v>2338.2857142857142</v>
      </c>
    </row>
    <row r="32" spans="1:5" x14ac:dyDescent="0.25">
      <c r="A32">
        <v>131152</v>
      </c>
      <c r="B32" t="s">
        <v>32</v>
      </c>
      <c r="C32">
        <f>'[1]VENTAS CONSOLIDADA LARA'!C32</f>
        <v>791</v>
      </c>
      <c r="D32" s="5">
        <f t="shared" ca="1" si="0"/>
        <v>56.5</v>
      </c>
      <c r="E32" s="5">
        <f t="shared" ca="1" si="1"/>
        <v>1243</v>
      </c>
    </row>
    <row r="33" spans="1:5" x14ac:dyDescent="0.25">
      <c r="A33">
        <v>131153</v>
      </c>
      <c r="B33" t="s">
        <v>11</v>
      </c>
      <c r="C33">
        <f>'[1]VENTAS CONSOLIDADA LARA'!C33</f>
        <v>488</v>
      </c>
      <c r="D33" s="5">
        <f t="shared" ca="1" si="0"/>
        <v>34.857142857142854</v>
      </c>
      <c r="E33" s="5">
        <f t="shared" ca="1" si="1"/>
        <v>766.85714285714278</v>
      </c>
    </row>
    <row r="34" spans="1:5" x14ac:dyDescent="0.25">
      <c r="A34">
        <v>131154</v>
      </c>
      <c r="B34" t="s">
        <v>48</v>
      </c>
      <c r="C34">
        <f>'[1]VENTAS CONSOLIDADA LARA'!C34</f>
        <v>703</v>
      </c>
      <c r="D34" s="5">
        <f t="shared" ca="1" si="0"/>
        <v>50.214285714285715</v>
      </c>
      <c r="E34" s="5">
        <f t="shared" ca="1" si="1"/>
        <v>1104.7142857142858</v>
      </c>
    </row>
    <row r="35" spans="1:5" x14ac:dyDescent="0.25">
      <c r="A35">
        <v>131155</v>
      </c>
      <c r="B35" t="s">
        <v>57</v>
      </c>
      <c r="C35">
        <f>'[1]VENTAS CONSOLIDADA LARA'!C35</f>
        <v>820</v>
      </c>
      <c r="D35" s="5">
        <f t="shared" ca="1" si="0"/>
        <v>58.571428571428569</v>
      </c>
      <c r="E35" s="5">
        <f t="shared" ca="1" si="1"/>
        <v>1288.5714285714284</v>
      </c>
    </row>
    <row r="36" spans="1:5" x14ac:dyDescent="0.25">
      <c r="A36">
        <v>131700</v>
      </c>
      <c r="B36" t="s">
        <v>20</v>
      </c>
      <c r="C36">
        <f>'[1]VENTAS CONSOLIDADA LARA'!C36</f>
        <v>140</v>
      </c>
      <c r="D36" s="5">
        <f t="shared" ca="1" si="0"/>
        <v>10</v>
      </c>
      <c r="E36" s="5">
        <f t="shared" ca="1" si="1"/>
        <v>220</v>
      </c>
    </row>
    <row r="37" spans="1:5" x14ac:dyDescent="0.25">
      <c r="A37">
        <v>131701</v>
      </c>
      <c r="B37" t="s">
        <v>24</v>
      </c>
      <c r="C37">
        <f>'[1]VENTAS CONSOLIDADA LARA'!C37</f>
        <v>220</v>
      </c>
      <c r="D37" s="5">
        <f t="shared" ca="1" si="0"/>
        <v>15.714285714285714</v>
      </c>
      <c r="E37" s="5">
        <f t="shared" ca="1" si="1"/>
        <v>345.71428571428572</v>
      </c>
    </row>
    <row r="38" spans="1:5" x14ac:dyDescent="0.25">
      <c r="A38">
        <v>132150</v>
      </c>
      <c r="B38" t="s">
        <v>25</v>
      </c>
      <c r="C38">
        <f>'[1]VENTAS CONSOLIDADA LARA'!C38</f>
        <v>1669</v>
      </c>
      <c r="D38" s="5">
        <f t="shared" ca="1" si="0"/>
        <v>119.21428571428571</v>
      </c>
      <c r="E38" s="5">
        <f t="shared" ca="1" si="1"/>
        <v>2622.7142857142858</v>
      </c>
    </row>
    <row r="39" spans="1:5" x14ac:dyDescent="0.25">
      <c r="A39">
        <v>132151</v>
      </c>
      <c r="B39" t="s">
        <v>26</v>
      </c>
      <c r="C39">
        <f>'[1]VENTAS CONSOLIDADA LARA'!C39</f>
        <v>850</v>
      </c>
      <c r="D39" s="5">
        <f t="shared" ca="1" si="0"/>
        <v>60.714285714285715</v>
      </c>
      <c r="E39" s="5">
        <f t="shared" ca="1" si="1"/>
        <v>1335.7142857142858</v>
      </c>
    </row>
    <row r="40" spans="1:5" x14ac:dyDescent="0.25">
      <c r="A40">
        <v>132152</v>
      </c>
      <c r="B40" t="s">
        <v>27</v>
      </c>
      <c r="C40">
        <f>'[1]VENTAS CONSOLIDADA LARA'!C40</f>
        <v>1267</v>
      </c>
      <c r="D40" s="5">
        <f t="shared" ca="1" si="0"/>
        <v>90.5</v>
      </c>
      <c r="E40" s="5">
        <f t="shared" ca="1" si="1"/>
        <v>1991</v>
      </c>
    </row>
    <row r="41" spans="1:5" x14ac:dyDescent="0.25">
      <c r="A41">
        <v>132153</v>
      </c>
      <c r="B41" t="s">
        <v>40</v>
      </c>
      <c r="C41">
        <f>'[1]VENTAS CONSOLIDADA LARA'!C41</f>
        <v>558</v>
      </c>
      <c r="D41" s="5">
        <f t="shared" ca="1" si="0"/>
        <v>39.857142857142854</v>
      </c>
      <c r="E41" s="5">
        <f t="shared" ca="1" si="1"/>
        <v>876.85714285714278</v>
      </c>
    </row>
    <row r="42" spans="1:5" x14ac:dyDescent="0.25">
      <c r="A42">
        <v>134000</v>
      </c>
      <c r="B42" t="s">
        <v>35</v>
      </c>
      <c r="C42">
        <f>'[1]VENTAS CONSOLIDADA LARA'!C42</f>
        <v>15</v>
      </c>
      <c r="D42" s="5">
        <f t="shared" ca="1" si="0"/>
        <v>1.0714285714285714</v>
      </c>
      <c r="E42" s="5">
        <f t="shared" ca="1" si="1"/>
        <v>23.571428571428569</v>
      </c>
    </row>
    <row r="43" spans="1:5" x14ac:dyDescent="0.25">
      <c r="A43">
        <v>134001</v>
      </c>
      <c r="B43" t="s">
        <v>47</v>
      </c>
      <c r="C43">
        <f>'[1]VENTAS CONSOLIDADA LARA'!C43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LARA'!C44</f>
        <v>194</v>
      </c>
      <c r="D44" s="5">
        <f t="shared" ca="1" si="0"/>
        <v>13.857142857142858</v>
      </c>
      <c r="E44" s="5">
        <f t="shared" ca="1" si="1"/>
        <v>304.85714285714289</v>
      </c>
    </row>
    <row r="45" spans="1:5" x14ac:dyDescent="0.25">
      <c r="A45">
        <v>140231</v>
      </c>
      <c r="B45" t="s">
        <v>10</v>
      </c>
      <c r="C45">
        <f>'[1]VENTAS CONSOLIDADA LARA'!C45</f>
        <v>339</v>
      </c>
      <c r="D45" s="5">
        <f t="shared" ca="1" si="0"/>
        <v>24.214285714285715</v>
      </c>
      <c r="E45" s="5">
        <f t="shared" ca="1" si="1"/>
        <v>532.71428571428578</v>
      </c>
    </row>
    <row r="46" spans="1:5" x14ac:dyDescent="0.25">
      <c r="A46">
        <v>140232</v>
      </c>
      <c r="B46" t="s">
        <v>9</v>
      </c>
      <c r="C46">
        <f>'[1]VENTAS CONSOLIDADA LARA'!C46</f>
        <v>463</v>
      </c>
      <c r="D46" s="5">
        <f t="shared" ca="1" si="0"/>
        <v>33.071428571428569</v>
      </c>
      <c r="E46" s="5">
        <f t="shared" ca="1" si="1"/>
        <v>727.57142857142856</v>
      </c>
    </row>
    <row r="47" spans="1:5" x14ac:dyDescent="0.25">
      <c r="A47">
        <v>150360</v>
      </c>
      <c r="B47" t="s">
        <v>28</v>
      </c>
      <c r="C47">
        <f>'[1]VENTAS CONSOLIDADA LARA'!C47</f>
        <v>225</v>
      </c>
      <c r="D47" s="5">
        <f t="shared" ca="1" si="0"/>
        <v>16.071428571428573</v>
      </c>
      <c r="E47" s="5">
        <f t="shared" ca="1" si="1"/>
        <v>353.57142857142861</v>
      </c>
    </row>
    <row r="48" spans="1:5" x14ac:dyDescent="0.25">
      <c r="A48">
        <v>150361</v>
      </c>
      <c r="B48" t="s">
        <v>29</v>
      </c>
      <c r="C48">
        <f>'[1]VENTAS CONSOLIDADA LARA'!C48</f>
        <v>631</v>
      </c>
      <c r="D48" s="5">
        <f t="shared" ca="1" si="0"/>
        <v>45.071428571428569</v>
      </c>
      <c r="E48" s="5">
        <f t="shared" ca="1" si="1"/>
        <v>991.57142857142856</v>
      </c>
    </row>
    <row r="49" spans="1:5" x14ac:dyDescent="0.25">
      <c r="A49">
        <v>150362</v>
      </c>
      <c r="B49" t="s">
        <v>36</v>
      </c>
      <c r="C49">
        <f>'[1]VENTAS CONSOLIDADA LARA'!C49</f>
        <v>325</v>
      </c>
      <c r="D49" s="5">
        <f t="shared" ca="1" si="0"/>
        <v>23.214285714285715</v>
      </c>
      <c r="E49" s="5">
        <f t="shared" ca="1" si="1"/>
        <v>510.71428571428572</v>
      </c>
    </row>
    <row r="50" spans="1:5" x14ac:dyDescent="0.25">
      <c r="A50">
        <v>150363</v>
      </c>
      <c r="B50" t="s">
        <v>31</v>
      </c>
      <c r="C50">
        <f>'[1]VENTAS CONSOLIDADA LARA'!C50</f>
        <v>367</v>
      </c>
      <c r="D50" s="5">
        <f t="shared" ca="1" si="0"/>
        <v>26.214285714285715</v>
      </c>
      <c r="E50" s="5">
        <f t="shared" ca="1" si="1"/>
        <v>576.71428571428578</v>
      </c>
    </row>
    <row r="51" spans="1:5" x14ac:dyDescent="0.25">
      <c r="A51">
        <v>151500</v>
      </c>
      <c r="B51" t="s">
        <v>41</v>
      </c>
      <c r="C51">
        <f>'[1]VENTAS CONSOLIDADA LARA'!C51</f>
        <v>84</v>
      </c>
      <c r="D51" s="5">
        <f t="shared" ca="1" si="0"/>
        <v>6</v>
      </c>
      <c r="E51" s="5">
        <f t="shared" ca="1" si="1"/>
        <v>132</v>
      </c>
    </row>
    <row r="52" spans="1:5" x14ac:dyDescent="0.25">
      <c r="A52">
        <v>151501</v>
      </c>
      <c r="B52" t="s">
        <v>33</v>
      </c>
      <c r="C52">
        <f>'[1]VENTAS CONSOLIDADA LARA'!C52</f>
        <v>305</v>
      </c>
      <c r="D52" s="5">
        <f t="shared" ca="1" si="0"/>
        <v>21.785714285714285</v>
      </c>
      <c r="E52" s="5">
        <f t="shared" ca="1" si="1"/>
        <v>479.28571428571428</v>
      </c>
    </row>
    <row r="53" spans="1:5" x14ac:dyDescent="0.25">
      <c r="A53">
        <v>151502</v>
      </c>
      <c r="B53" t="s">
        <v>37</v>
      </c>
      <c r="C53">
        <f>'[1]VENTAS CONSOLIDADA LARA'!C53</f>
        <v>69</v>
      </c>
      <c r="D53" s="5">
        <f t="shared" ca="1" si="0"/>
        <v>4.9285714285714288</v>
      </c>
      <c r="E53" s="5">
        <f t="shared" ca="1" si="1"/>
        <v>108.42857142857143</v>
      </c>
    </row>
    <row r="54" spans="1:5" x14ac:dyDescent="0.25">
      <c r="A54">
        <v>151503</v>
      </c>
      <c r="B54" t="s">
        <v>34</v>
      </c>
      <c r="C54">
        <f>'[1]VENTAS CONSOLIDADA LARA'!C54</f>
        <v>72</v>
      </c>
      <c r="D54" s="5">
        <f t="shared" ca="1" si="0"/>
        <v>5.1428571428571432</v>
      </c>
      <c r="E54" s="5">
        <f t="shared" ca="1" si="1"/>
        <v>113.14285714285715</v>
      </c>
    </row>
    <row r="55" spans="1:5" x14ac:dyDescent="0.25">
      <c r="D55" s="5">
        <f ca="1">SUM(D8:D54)</f>
        <v>3412.0714285714284</v>
      </c>
      <c r="E55" s="5">
        <f ca="1">SUM(E8:E54)</f>
        <v>75065.571428571449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F13" sqref="F1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'[1]VENTAS CONSOLIDADA ANZOATEGUI'!D1</f>
        <v>46266</v>
      </c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'[1]VENTAS CONSOLIDADA ANZOATEGUI'!D2</f>
        <v>46286</v>
      </c>
      <c r="E2" s="4">
        <f ca="1">'[1]VENTAS CONSOLIDADA ANZOATEGUI'!E2</f>
        <v>14</v>
      </c>
    </row>
    <row r="3" spans="1:5" x14ac:dyDescent="0.25">
      <c r="B3" s="9"/>
      <c r="C3" s="2" t="str">
        <f>'[1]VENTAS CONSOLIDADA ANZOATEGUI'!C3</f>
        <v>FINAL VENTAS</v>
      </c>
      <c r="D3" s="3">
        <f>'[1]VENTAS CONSOLIDADA ANZOATEGUI'!D3</f>
        <v>46295</v>
      </c>
      <c r="E3" s="4">
        <f ca="1">'[1]VENTAS CONSOLIDADA ANZOATEGUI'!E3</f>
        <v>8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ANZOATEGUI'!C8</f>
        <v>625</v>
      </c>
      <c r="D8" s="5">
        <f t="shared" ref="D8:D54" ca="1" si="0">C8/$E$2</f>
        <v>44.642857142857146</v>
      </c>
      <c r="E8" s="5">
        <f t="shared" ref="E8:E54" ca="1" si="1">D8*($E$2+$E$3)</f>
        <v>982.14285714285722</v>
      </c>
    </row>
    <row r="9" spans="1:5" x14ac:dyDescent="0.25">
      <c r="A9">
        <v>110151</v>
      </c>
      <c r="B9" t="s">
        <v>5</v>
      </c>
      <c r="C9">
        <f>'[1]VENTAS CONSOLIDADA ANZOATEGUI'!C9</f>
        <v>75</v>
      </c>
      <c r="D9" s="5">
        <f t="shared" ca="1" si="0"/>
        <v>5.3571428571428568</v>
      </c>
      <c r="E9" s="5">
        <f t="shared" ca="1" si="1"/>
        <v>117.85714285714285</v>
      </c>
    </row>
    <row r="10" spans="1:5" x14ac:dyDescent="0.25">
      <c r="A10">
        <v>110230</v>
      </c>
      <c r="B10" t="s">
        <v>1</v>
      </c>
      <c r="C10">
        <f>'[1]VENTAS CONSOLIDADA ANZOATEGUI'!C10</f>
        <v>164</v>
      </c>
      <c r="D10" s="5">
        <f t="shared" ca="1" si="0"/>
        <v>11.714285714285714</v>
      </c>
      <c r="E10" s="5">
        <f t="shared" ca="1" si="1"/>
        <v>257.71428571428572</v>
      </c>
    </row>
    <row r="11" spans="1:5" x14ac:dyDescent="0.25">
      <c r="A11">
        <v>110400</v>
      </c>
      <c r="B11" t="s">
        <v>13</v>
      </c>
      <c r="C11">
        <f>'[1]VENTAS CONSOLIDADA ANZOATEGUI'!C11</f>
        <v>32</v>
      </c>
      <c r="D11" s="5">
        <f t="shared" ca="1" si="0"/>
        <v>2.2857142857142856</v>
      </c>
      <c r="E11" s="5">
        <f t="shared" ca="1" si="1"/>
        <v>50.285714285714285</v>
      </c>
    </row>
    <row r="12" spans="1:5" x14ac:dyDescent="0.25">
      <c r="A12">
        <v>111000</v>
      </c>
      <c r="B12" t="s">
        <v>14</v>
      </c>
      <c r="C12">
        <f>'[1]VENTAS CONSOLIDADA ANZOATEGUI'!C12</f>
        <v>7</v>
      </c>
      <c r="D12" s="5">
        <f t="shared" ca="1" si="0"/>
        <v>0.5</v>
      </c>
      <c r="E12" s="5">
        <f t="shared" ca="1" si="1"/>
        <v>11</v>
      </c>
    </row>
    <row r="13" spans="1:5" x14ac:dyDescent="0.25">
      <c r="A13">
        <v>120130</v>
      </c>
      <c r="B13" t="s">
        <v>15</v>
      </c>
      <c r="C13">
        <f>'[1]VENTAS CONSOLIDADA ANZOATEGUI'!C13</f>
        <v>757</v>
      </c>
      <c r="D13" s="5">
        <f t="shared" ca="1" si="0"/>
        <v>54.071428571428569</v>
      </c>
      <c r="E13" s="5">
        <f t="shared" ca="1" si="1"/>
        <v>1189.5714285714284</v>
      </c>
    </row>
    <row r="14" spans="1:5" x14ac:dyDescent="0.25">
      <c r="A14">
        <v>120131</v>
      </c>
      <c r="B14" t="s">
        <v>23</v>
      </c>
      <c r="C14">
        <f>'[1]VENTAS CONSOLIDADA ANZOATEGUI'!C14</f>
        <v>61</v>
      </c>
      <c r="D14" s="5">
        <f t="shared" ca="1" si="0"/>
        <v>4.3571428571428568</v>
      </c>
      <c r="E14" s="5">
        <f t="shared" ca="1" si="1"/>
        <v>95.857142857142847</v>
      </c>
    </row>
    <row r="15" spans="1:5" x14ac:dyDescent="0.25">
      <c r="A15">
        <v>120132</v>
      </c>
      <c r="B15" t="s">
        <v>21</v>
      </c>
      <c r="C15">
        <f>'[1]VENTAS CONSOLIDADA ANZOATEGUI'!C15</f>
        <v>130</v>
      </c>
      <c r="D15" s="5">
        <f t="shared" ca="1" si="0"/>
        <v>9.2857142857142865</v>
      </c>
      <c r="E15" s="5">
        <f t="shared" ca="1" si="1"/>
        <v>204.28571428571431</v>
      </c>
    </row>
    <row r="16" spans="1:5" x14ac:dyDescent="0.25">
      <c r="A16">
        <v>130150</v>
      </c>
      <c r="B16" t="s">
        <v>0</v>
      </c>
      <c r="C16">
        <f>'[1]VENTAS CONSOLIDADA ANZOATEGUI'!C16</f>
        <v>348</v>
      </c>
      <c r="D16" s="5">
        <f t="shared" ca="1" si="0"/>
        <v>24.857142857142858</v>
      </c>
      <c r="E16" s="5">
        <f t="shared" ca="1" si="1"/>
        <v>546.85714285714289</v>
      </c>
    </row>
    <row r="17" spans="1:5" x14ac:dyDescent="0.25">
      <c r="A17">
        <v>130151</v>
      </c>
      <c r="B17" t="s">
        <v>4</v>
      </c>
      <c r="C17">
        <f>'[1]VENTAS CONSOLIDADA ANZOATEGUI'!C17</f>
        <v>80</v>
      </c>
      <c r="D17" s="5">
        <f t="shared" ca="1" si="0"/>
        <v>5.7142857142857144</v>
      </c>
      <c r="E17" s="5">
        <f t="shared" ca="1" si="1"/>
        <v>125.71428571428572</v>
      </c>
    </row>
    <row r="18" spans="1:5" x14ac:dyDescent="0.25">
      <c r="A18">
        <v>130152</v>
      </c>
      <c r="B18" t="s">
        <v>51</v>
      </c>
      <c r="C18">
        <f>'[1]VENTAS CONSOLIDADA ANZOATEGUI'!C18</f>
        <v>1990</v>
      </c>
      <c r="D18" s="5">
        <f t="shared" ca="1" si="0"/>
        <v>142.14285714285714</v>
      </c>
      <c r="E18" s="5">
        <f t="shared" ca="1" si="1"/>
        <v>3127.1428571428569</v>
      </c>
    </row>
    <row r="19" spans="1:5" x14ac:dyDescent="0.25">
      <c r="A19">
        <v>130153</v>
      </c>
      <c r="B19" t="s">
        <v>52</v>
      </c>
      <c r="C19">
        <f>'[1]VENTAS CONSOLIDADA ANZOATEGUI'!C19</f>
        <v>1169</v>
      </c>
      <c r="D19" s="5">
        <f t="shared" ca="1" si="0"/>
        <v>83.5</v>
      </c>
      <c r="E19" s="5">
        <f t="shared" ca="1" si="1"/>
        <v>1837</v>
      </c>
    </row>
    <row r="20" spans="1:5" x14ac:dyDescent="0.25">
      <c r="A20">
        <v>130154</v>
      </c>
      <c r="B20" t="s">
        <v>53</v>
      </c>
      <c r="C20">
        <f>'[1]VENTAS CONSOLIDADA ANZOATEGUI'!C20</f>
        <v>1459</v>
      </c>
      <c r="D20" s="5">
        <f t="shared" ca="1" si="0"/>
        <v>104.21428571428571</v>
      </c>
      <c r="E20" s="5">
        <f t="shared" ca="1" si="1"/>
        <v>2292.7142857142858</v>
      </c>
    </row>
    <row r="21" spans="1:5" x14ac:dyDescent="0.25">
      <c r="A21">
        <v>130155</v>
      </c>
      <c r="B21" t="s">
        <v>16</v>
      </c>
      <c r="C21">
        <f>'[1]VENTAS CONSOLIDADA ANZOATEGUI'!C21</f>
        <v>1158</v>
      </c>
      <c r="D21" s="5">
        <f t="shared" ca="1" si="0"/>
        <v>82.714285714285708</v>
      </c>
      <c r="E21" s="5">
        <f t="shared" ca="1" si="1"/>
        <v>1819.7142857142856</v>
      </c>
    </row>
    <row r="22" spans="1:5" x14ac:dyDescent="0.25">
      <c r="A22">
        <v>130157</v>
      </c>
      <c r="B22" t="s">
        <v>43</v>
      </c>
      <c r="C22">
        <f>'[1]VENTAS CONSOLIDADA ANZOATEGUI'!C22</f>
        <v>412</v>
      </c>
      <c r="D22" s="5">
        <f t="shared" ca="1" si="0"/>
        <v>29.428571428571427</v>
      </c>
      <c r="E22" s="5">
        <f t="shared" ca="1" si="1"/>
        <v>647.42857142857144</v>
      </c>
    </row>
    <row r="23" spans="1:5" x14ac:dyDescent="0.25">
      <c r="A23">
        <v>130158</v>
      </c>
      <c r="B23" t="s">
        <v>44</v>
      </c>
      <c r="C23">
        <f>'[1]VENTAS CONSOLIDADA ANZOATEGUI'!C23</f>
        <v>537</v>
      </c>
      <c r="D23" s="5">
        <f t="shared" ca="1" si="0"/>
        <v>38.357142857142854</v>
      </c>
      <c r="E23" s="5">
        <f t="shared" ca="1" si="1"/>
        <v>843.85714285714278</v>
      </c>
    </row>
    <row r="24" spans="1:5" x14ac:dyDescent="0.25">
      <c r="A24">
        <v>130159</v>
      </c>
      <c r="B24" t="s">
        <v>45</v>
      </c>
      <c r="C24">
        <f>'[1]VENTAS CONSOLIDADA ANZOATEGUI'!C24</f>
        <v>560</v>
      </c>
      <c r="D24" s="5">
        <f t="shared" ca="1" si="0"/>
        <v>40</v>
      </c>
      <c r="E24" s="5">
        <f t="shared" ca="1" si="1"/>
        <v>880</v>
      </c>
    </row>
    <row r="25" spans="1:5" x14ac:dyDescent="0.25">
      <c r="A25">
        <v>130700</v>
      </c>
      <c r="B25" t="s">
        <v>3</v>
      </c>
      <c r="C25">
        <f>'[1]VENTAS CONSOLIDADA ANZOATEGUI'!C25</f>
        <v>74</v>
      </c>
      <c r="D25" s="5">
        <f t="shared" ca="1" si="0"/>
        <v>5.2857142857142856</v>
      </c>
      <c r="E25" s="5">
        <f t="shared" ca="1" si="1"/>
        <v>116.28571428571428</v>
      </c>
    </row>
    <row r="26" spans="1:5" x14ac:dyDescent="0.25">
      <c r="A26">
        <v>130701</v>
      </c>
      <c r="B26" t="s">
        <v>30</v>
      </c>
      <c r="C26">
        <f>'[1]VENTAS CONSOLIDADA ANZOATEGUI'!C26</f>
        <v>10</v>
      </c>
      <c r="D26" s="5">
        <f t="shared" ca="1" si="0"/>
        <v>0.7142857142857143</v>
      </c>
      <c r="E26" s="5">
        <f t="shared" ca="1" si="1"/>
        <v>15.714285714285715</v>
      </c>
    </row>
    <row r="27" spans="1:5" x14ac:dyDescent="0.25">
      <c r="A27">
        <v>130702</v>
      </c>
      <c r="B27" t="s">
        <v>12</v>
      </c>
      <c r="C27">
        <f>'[1]VENTAS CONSOLIDADA ANZOATEGUI'!C27</f>
        <v>188</v>
      </c>
      <c r="D27" s="5">
        <f t="shared" ca="1" si="0"/>
        <v>13.428571428571429</v>
      </c>
      <c r="E27" s="5">
        <f t="shared" ca="1" si="1"/>
        <v>295.42857142857144</v>
      </c>
    </row>
    <row r="28" spans="1:5" x14ac:dyDescent="0.25">
      <c r="A28">
        <v>130703</v>
      </c>
      <c r="B28" t="s">
        <v>17</v>
      </c>
      <c r="C28">
        <f>'[1]VENTAS CONSOLIDADA ANZOATEGUI'!C28</f>
        <v>269</v>
      </c>
      <c r="D28" s="5">
        <f t="shared" ca="1" si="0"/>
        <v>19.214285714285715</v>
      </c>
      <c r="E28" s="5">
        <f t="shared" ca="1" si="1"/>
        <v>422.71428571428572</v>
      </c>
    </row>
    <row r="29" spans="1:5" x14ac:dyDescent="0.25">
      <c r="A29">
        <v>130707</v>
      </c>
      <c r="B29" t="s">
        <v>42</v>
      </c>
      <c r="C29">
        <f>'[1]VENTAS CONSOLIDADA ANZOATEGUI'!C29</f>
        <v>32</v>
      </c>
      <c r="D29" s="5">
        <f t="shared" ca="1" si="0"/>
        <v>2.2857142857142856</v>
      </c>
      <c r="E29" s="5">
        <f t="shared" ca="1" si="1"/>
        <v>50.285714285714285</v>
      </c>
    </row>
    <row r="30" spans="1:5" x14ac:dyDescent="0.25">
      <c r="A30">
        <v>131150</v>
      </c>
      <c r="B30" t="s">
        <v>22</v>
      </c>
      <c r="C30">
        <f>'[1]VENTAS CONSOLIDADA ANZOATEGUI'!C30</f>
        <v>477</v>
      </c>
      <c r="D30" s="5">
        <f t="shared" ca="1" si="0"/>
        <v>34.071428571428569</v>
      </c>
      <c r="E30" s="5">
        <f t="shared" ca="1" si="1"/>
        <v>749.57142857142856</v>
      </c>
    </row>
    <row r="31" spans="1:5" x14ac:dyDescent="0.25">
      <c r="A31">
        <v>131151</v>
      </c>
      <c r="B31" t="s">
        <v>19</v>
      </c>
      <c r="C31">
        <f>'[1]VENTAS CONSOLIDADA ANZOATEGUI'!C31</f>
        <v>1270</v>
      </c>
      <c r="D31" s="5">
        <f t="shared" ca="1" si="0"/>
        <v>90.714285714285708</v>
      </c>
      <c r="E31" s="5">
        <f t="shared" ca="1" si="1"/>
        <v>1995.7142857142856</v>
      </c>
    </row>
    <row r="32" spans="1:5" x14ac:dyDescent="0.25">
      <c r="A32">
        <v>131152</v>
      </c>
      <c r="B32" t="s">
        <v>32</v>
      </c>
      <c r="C32">
        <f>'[1]VENTAS CONSOLIDADA ANZOATEGUI'!C32</f>
        <v>789</v>
      </c>
      <c r="D32" s="5">
        <f t="shared" ca="1" si="0"/>
        <v>56.357142857142854</v>
      </c>
      <c r="E32" s="5">
        <f t="shared" ca="1" si="1"/>
        <v>1239.8571428571429</v>
      </c>
    </row>
    <row r="33" spans="1:5" x14ac:dyDescent="0.25">
      <c r="A33">
        <v>131153</v>
      </c>
      <c r="B33" t="s">
        <v>11</v>
      </c>
      <c r="C33">
        <f>'[1]VENTAS CONSOLIDADA ANZOATEGUI'!C33</f>
        <v>490</v>
      </c>
      <c r="D33" s="5">
        <f t="shared" ca="1" si="0"/>
        <v>35</v>
      </c>
      <c r="E33" s="5">
        <f t="shared" ca="1" si="1"/>
        <v>770</v>
      </c>
    </row>
    <row r="34" spans="1:5" x14ac:dyDescent="0.25">
      <c r="A34">
        <v>131154</v>
      </c>
      <c r="B34" t="s">
        <v>48</v>
      </c>
      <c r="C34">
        <f>'[1]VENTAS CONSOLIDADA ANZOATEGUI'!C34</f>
        <v>428</v>
      </c>
      <c r="D34" s="5">
        <f t="shared" ca="1" si="0"/>
        <v>30.571428571428573</v>
      </c>
      <c r="E34" s="5">
        <f t="shared" ca="1" si="1"/>
        <v>672.57142857142856</v>
      </c>
    </row>
    <row r="35" spans="1:5" x14ac:dyDescent="0.25">
      <c r="A35">
        <v>131155</v>
      </c>
      <c r="B35" t="s">
        <v>57</v>
      </c>
      <c r="C35">
        <f>'[1]VENTAS CONSOLIDADA ANZOATEGUI'!C35</f>
        <v>512</v>
      </c>
      <c r="D35" s="5">
        <f t="shared" ca="1" si="0"/>
        <v>36.571428571428569</v>
      </c>
      <c r="E35" s="5">
        <f t="shared" ca="1" si="1"/>
        <v>804.57142857142856</v>
      </c>
    </row>
    <row r="36" spans="1:5" x14ac:dyDescent="0.25">
      <c r="A36">
        <v>131700</v>
      </c>
      <c r="B36" t="s">
        <v>20</v>
      </c>
      <c r="C36">
        <f>'[1]VENTAS CONSOLIDADA ANZOATEGUI'!C36</f>
        <v>70</v>
      </c>
      <c r="D36" s="5">
        <f t="shared" ca="1" si="0"/>
        <v>5</v>
      </c>
      <c r="E36" s="5">
        <f t="shared" ca="1" si="1"/>
        <v>110</v>
      </c>
    </row>
    <row r="37" spans="1:5" x14ac:dyDescent="0.25">
      <c r="A37">
        <v>131701</v>
      </c>
      <c r="B37" t="s">
        <v>24</v>
      </c>
      <c r="C37">
        <f>'[1]VENTAS CONSOLIDADA ANZOATEGUI'!C37</f>
        <v>94</v>
      </c>
      <c r="D37" s="5">
        <f t="shared" ca="1" si="0"/>
        <v>6.7142857142857144</v>
      </c>
      <c r="E37" s="5">
        <f t="shared" ca="1" si="1"/>
        <v>147.71428571428572</v>
      </c>
    </row>
    <row r="38" spans="1:5" x14ac:dyDescent="0.25">
      <c r="A38">
        <v>132150</v>
      </c>
      <c r="B38" t="s">
        <v>25</v>
      </c>
      <c r="C38">
        <f>'[1]VENTAS CONSOLIDADA ANZOATEGUI'!C38</f>
        <v>619</v>
      </c>
      <c r="D38" s="5">
        <f t="shared" ca="1" si="0"/>
        <v>44.214285714285715</v>
      </c>
      <c r="E38" s="5">
        <f t="shared" ca="1" si="1"/>
        <v>972.71428571428578</v>
      </c>
    </row>
    <row r="39" spans="1:5" x14ac:dyDescent="0.25">
      <c r="A39">
        <v>132151</v>
      </c>
      <c r="B39" t="s">
        <v>26</v>
      </c>
      <c r="C39">
        <f>'[1]VENTAS CONSOLIDADA ANZOATEGUI'!C39</f>
        <v>376</v>
      </c>
      <c r="D39" s="5">
        <f t="shared" ca="1" si="0"/>
        <v>26.857142857142858</v>
      </c>
      <c r="E39" s="5">
        <f t="shared" ca="1" si="1"/>
        <v>590.85714285714289</v>
      </c>
    </row>
    <row r="40" spans="1:5" x14ac:dyDescent="0.25">
      <c r="A40">
        <v>132152</v>
      </c>
      <c r="B40" t="s">
        <v>27</v>
      </c>
      <c r="C40">
        <f>'[1]VENTAS CONSOLIDADA ANZOATEGUI'!C40</f>
        <v>543</v>
      </c>
      <c r="D40" s="5">
        <f t="shared" ca="1" si="0"/>
        <v>38.785714285714285</v>
      </c>
      <c r="E40" s="5">
        <f t="shared" ca="1" si="1"/>
        <v>853.28571428571422</v>
      </c>
    </row>
    <row r="41" spans="1:5" x14ac:dyDescent="0.25">
      <c r="A41">
        <v>132153</v>
      </c>
      <c r="B41" t="s">
        <v>40</v>
      </c>
      <c r="C41">
        <f>'[1]VENTAS CONSOLIDADA ANZOATEGUI'!C41</f>
        <v>300</v>
      </c>
      <c r="D41" s="5">
        <f t="shared" ca="1" si="0"/>
        <v>21.428571428571427</v>
      </c>
      <c r="E41" s="5">
        <f t="shared" ca="1" si="1"/>
        <v>471.42857142857139</v>
      </c>
    </row>
    <row r="42" spans="1:5" x14ac:dyDescent="0.25">
      <c r="A42">
        <v>134000</v>
      </c>
      <c r="B42" t="s">
        <v>35</v>
      </c>
      <c r="C42">
        <f>'[1]VENTAS CONSOLIDADA ANZOATEGUI'!C42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ANZOATEGUI'!C43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ANZOATEGUI'!C44</f>
        <v>94</v>
      </c>
      <c r="D44" s="5">
        <f t="shared" ca="1" si="0"/>
        <v>6.7142857142857144</v>
      </c>
      <c r="E44" s="5">
        <f t="shared" ca="1" si="1"/>
        <v>147.71428571428572</v>
      </c>
    </row>
    <row r="45" spans="1:5" x14ac:dyDescent="0.25">
      <c r="A45">
        <v>140231</v>
      </c>
      <c r="B45" t="s">
        <v>10</v>
      </c>
      <c r="C45">
        <f>'[1]VENTAS CONSOLIDADA ANZOATEGUI'!C45</f>
        <v>584</v>
      </c>
      <c r="D45" s="5">
        <f t="shared" ca="1" si="0"/>
        <v>41.714285714285715</v>
      </c>
      <c r="E45" s="5">
        <f t="shared" ca="1" si="1"/>
        <v>917.71428571428578</v>
      </c>
    </row>
    <row r="46" spans="1:5" x14ac:dyDescent="0.25">
      <c r="A46">
        <v>140232</v>
      </c>
      <c r="B46" t="s">
        <v>9</v>
      </c>
      <c r="C46">
        <f>'[1]VENTAS CONSOLIDADA ANZOATEGUI'!C46</f>
        <v>168</v>
      </c>
      <c r="D46" s="5">
        <f t="shared" ca="1" si="0"/>
        <v>12</v>
      </c>
      <c r="E46" s="5">
        <f t="shared" ca="1" si="1"/>
        <v>264</v>
      </c>
    </row>
    <row r="47" spans="1:5" x14ac:dyDescent="0.25">
      <c r="A47">
        <v>150360</v>
      </c>
      <c r="B47" t="s">
        <v>28</v>
      </c>
      <c r="C47">
        <f>'[1]VENTAS CONSOLIDADA ANZOATEGUI'!C47</f>
        <v>81</v>
      </c>
      <c r="D47" s="5">
        <f t="shared" ca="1" si="0"/>
        <v>5.7857142857142856</v>
      </c>
      <c r="E47" s="5">
        <f t="shared" ca="1" si="1"/>
        <v>127.28571428571428</v>
      </c>
    </row>
    <row r="48" spans="1:5" x14ac:dyDescent="0.25">
      <c r="A48">
        <v>150361</v>
      </c>
      <c r="B48" t="s">
        <v>29</v>
      </c>
      <c r="C48">
        <f>'[1]VENTAS CONSOLIDADA ANZOATEGUI'!C48</f>
        <v>399</v>
      </c>
      <c r="D48" s="5">
        <f t="shared" ca="1" si="0"/>
        <v>28.5</v>
      </c>
      <c r="E48" s="5">
        <f t="shared" ca="1" si="1"/>
        <v>627</v>
      </c>
    </row>
    <row r="49" spans="1:5" x14ac:dyDescent="0.25">
      <c r="A49">
        <v>150362</v>
      </c>
      <c r="B49" t="s">
        <v>36</v>
      </c>
      <c r="C49">
        <f>'[1]VENTAS CONSOLIDADA ANZOATEGUI'!C49</f>
        <v>166</v>
      </c>
      <c r="D49" s="5">
        <f t="shared" ca="1" si="0"/>
        <v>11.857142857142858</v>
      </c>
      <c r="E49" s="5">
        <f t="shared" ca="1" si="1"/>
        <v>260.85714285714289</v>
      </c>
    </row>
    <row r="50" spans="1:5" x14ac:dyDescent="0.25">
      <c r="A50">
        <v>150363</v>
      </c>
      <c r="B50" t="s">
        <v>31</v>
      </c>
      <c r="C50">
        <f>'[1]VENTAS CONSOLIDADA ANZOATEGUI'!C50</f>
        <v>182</v>
      </c>
      <c r="D50" s="5">
        <f t="shared" ca="1" si="0"/>
        <v>13</v>
      </c>
      <c r="E50" s="5">
        <f t="shared" ca="1" si="1"/>
        <v>286</v>
      </c>
    </row>
    <row r="51" spans="1:5" x14ac:dyDescent="0.25">
      <c r="A51">
        <v>151500</v>
      </c>
      <c r="B51" t="s">
        <v>41</v>
      </c>
      <c r="C51">
        <f>'[1]VENTAS CONSOLIDADA ANZOATEGUI'!C51</f>
        <v>36</v>
      </c>
      <c r="D51" s="5">
        <f t="shared" ca="1" si="0"/>
        <v>2.5714285714285716</v>
      </c>
      <c r="E51" s="5">
        <f t="shared" ca="1" si="1"/>
        <v>56.571428571428577</v>
      </c>
    </row>
    <row r="52" spans="1:5" x14ac:dyDescent="0.25">
      <c r="A52">
        <v>151501</v>
      </c>
      <c r="B52" t="s">
        <v>33</v>
      </c>
      <c r="C52">
        <f>'[1]VENTAS CONSOLIDADA ANZOATEGUI'!C52</f>
        <v>57</v>
      </c>
      <c r="D52" s="5">
        <f t="shared" ca="1" si="0"/>
        <v>4.0714285714285712</v>
      </c>
      <c r="E52" s="5">
        <f t="shared" ca="1" si="1"/>
        <v>89.571428571428569</v>
      </c>
    </row>
    <row r="53" spans="1:5" x14ac:dyDescent="0.25">
      <c r="A53">
        <v>151502</v>
      </c>
      <c r="B53" t="s">
        <v>37</v>
      </c>
      <c r="C53">
        <f>'[1]VENTAS CONSOLIDADA ANZOATEGUI'!C53</f>
        <v>14</v>
      </c>
      <c r="D53" s="5">
        <f t="shared" ca="1" si="0"/>
        <v>1</v>
      </c>
      <c r="E53" s="5">
        <f t="shared" ca="1" si="1"/>
        <v>22</v>
      </c>
    </row>
    <row r="54" spans="1:5" x14ac:dyDescent="0.25">
      <c r="A54">
        <v>151503</v>
      </c>
      <c r="B54" t="s">
        <v>34</v>
      </c>
      <c r="C54">
        <f>'[1]VENTAS CONSOLIDADA ANZOATEGUI'!C54</f>
        <v>29</v>
      </c>
      <c r="D54" s="5">
        <f t="shared" ca="1" si="0"/>
        <v>2.0714285714285716</v>
      </c>
      <c r="E54" s="5">
        <f t="shared" ca="1" si="1"/>
        <v>45.571428571428577</v>
      </c>
    </row>
    <row r="55" spans="1:5" x14ac:dyDescent="0.25">
      <c r="D55" s="7">
        <f ca="1">SUM(D8:D54)</f>
        <v>1279.6428571428573</v>
      </c>
      <c r="E55" s="7">
        <f ca="1">SUM(E8:E54)</f>
        <v>28152.142857142848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F32" sqref="F32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'[1]VENTAS CONSOLIDADA 1,0'!D1</f>
        <v>46266</v>
      </c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'[1]VENTAS CONSOLIDADA 1,0'!D2</f>
        <v>46286</v>
      </c>
      <c r="E2" s="4">
        <f ca="1">'[1]VENTAS CONSOLIDADA 1,0'!E2</f>
        <v>14</v>
      </c>
    </row>
    <row r="3" spans="1:5" x14ac:dyDescent="0.25">
      <c r="B3" s="9"/>
      <c r="C3" s="2" t="str">
        <f>'[1]VENTAS CONSOLIDADA 1,0'!C3</f>
        <v>FINAL VENTAS</v>
      </c>
      <c r="D3" s="3">
        <f>'[1]VENTAS CONSOLIDADA 1,0'!D3</f>
        <v>46295</v>
      </c>
      <c r="E3" s="4">
        <f ca="1">'[1]VENTAS CONSOLIDADA 1,0'!E3</f>
        <v>8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1,0'!C8</f>
        <v>16741</v>
      </c>
      <c r="D8" s="5">
        <f t="shared" ref="D8:D54" ca="1" si="0">C8/$E$2</f>
        <v>1195.7857142857142</v>
      </c>
      <c r="E8" s="5">
        <f ca="1">D8*($E$2+$E$3)</f>
        <v>26307.285714285714</v>
      </c>
    </row>
    <row r="9" spans="1:5" x14ac:dyDescent="0.25">
      <c r="A9">
        <v>110151</v>
      </c>
      <c r="B9" t="s">
        <v>5</v>
      </c>
      <c r="C9">
        <f>'[1]VENTAS CONSOLIDADA 1,0'!C9</f>
        <v>879</v>
      </c>
      <c r="D9" s="5">
        <f t="shared" ca="1" si="0"/>
        <v>62.785714285714285</v>
      </c>
      <c r="E9" s="5">
        <f t="shared" ref="E9:E54" ca="1" si="1">D9*($E$2+$E$3)</f>
        <v>1381.2857142857142</v>
      </c>
    </row>
    <row r="10" spans="1:5" x14ac:dyDescent="0.25">
      <c r="A10">
        <v>110230</v>
      </c>
      <c r="B10" t="s">
        <v>1</v>
      </c>
      <c r="C10">
        <f>'[1]VENTAS CONSOLIDADA 1,0'!C10</f>
        <v>6771</v>
      </c>
      <c r="D10" s="5">
        <f t="shared" ca="1" si="0"/>
        <v>483.64285714285717</v>
      </c>
      <c r="E10" s="5">
        <f t="shared" ca="1" si="1"/>
        <v>10640.142857142857</v>
      </c>
    </row>
    <row r="11" spans="1:5" x14ac:dyDescent="0.25">
      <c r="A11">
        <v>110400</v>
      </c>
      <c r="B11" t="s">
        <v>13</v>
      </c>
      <c r="C11">
        <f>'[1]VENTAS CONSOLIDADA 1,0'!C11</f>
        <v>1547</v>
      </c>
      <c r="D11" s="5">
        <f t="shared" ca="1" si="0"/>
        <v>110.5</v>
      </c>
      <c r="E11" s="5">
        <f t="shared" ca="1" si="1"/>
        <v>2431</v>
      </c>
    </row>
    <row r="12" spans="1:5" x14ac:dyDescent="0.25">
      <c r="A12">
        <v>111000</v>
      </c>
      <c r="B12" t="s">
        <v>14</v>
      </c>
      <c r="C12">
        <f>'[1]VENTAS CONSOLIDADA 1,0'!C12</f>
        <v>193</v>
      </c>
      <c r="D12" s="5">
        <f t="shared" ca="1" si="0"/>
        <v>13.785714285714286</v>
      </c>
      <c r="E12" s="5">
        <f t="shared" ca="1" si="1"/>
        <v>303.28571428571428</v>
      </c>
    </row>
    <row r="13" spans="1:5" x14ac:dyDescent="0.25">
      <c r="A13">
        <v>120130</v>
      </c>
      <c r="B13" t="s">
        <v>15</v>
      </c>
      <c r="C13">
        <f>'[1]VENTAS CONSOLIDADA 1,0'!C13</f>
        <v>19721</v>
      </c>
      <c r="D13" s="5">
        <f t="shared" ca="1" si="0"/>
        <v>1408.6428571428571</v>
      </c>
      <c r="E13" s="5">
        <f t="shared" ca="1" si="1"/>
        <v>30990.142857142855</v>
      </c>
    </row>
    <row r="14" spans="1:5" x14ac:dyDescent="0.25">
      <c r="A14">
        <v>120131</v>
      </c>
      <c r="B14" t="s">
        <v>23</v>
      </c>
      <c r="C14">
        <f>'[1]VENTAS CONSOLIDADA 1,0'!C14</f>
        <v>2006</v>
      </c>
      <c r="D14" s="5">
        <f t="shared" ca="1" si="0"/>
        <v>143.28571428571428</v>
      </c>
      <c r="E14" s="5">
        <f t="shared" ca="1" si="1"/>
        <v>3152.2857142857142</v>
      </c>
    </row>
    <row r="15" spans="1:5" x14ac:dyDescent="0.25">
      <c r="A15">
        <v>120132</v>
      </c>
      <c r="B15" t="s">
        <v>21</v>
      </c>
      <c r="C15">
        <f>'[1]VENTAS CONSOLIDADA 1,0'!C15</f>
        <v>4057</v>
      </c>
      <c r="D15" s="5">
        <f t="shared" ca="1" si="0"/>
        <v>289.78571428571428</v>
      </c>
      <c r="E15" s="5">
        <f t="shared" ca="1" si="1"/>
        <v>6375.2857142857138</v>
      </c>
    </row>
    <row r="16" spans="1:5" x14ac:dyDescent="0.25">
      <c r="A16">
        <v>130150</v>
      </c>
      <c r="B16" t="s">
        <v>0</v>
      </c>
      <c r="C16">
        <f>'[1]VENTAS CONSOLIDADA 1,0'!C16</f>
        <v>10147</v>
      </c>
      <c r="D16" s="5">
        <f t="shared" ca="1" si="0"/>
        <v>724.78571428571433</v>
      </c>
      <c r="E16" s="5">
        <f t="shared" ca="1" si="1"/>
        <v>15945.285714285716</v>
      </c>
    </row>
    <row r="17" spans="1:5" x14ac:dyDescent="0.25">
      <c r="A17">
        <v>130151</v>
      </c>
      <c r="B17" t="s">
        <v>4</v>
      </c>
      <c r="C17">
        <f>'[1]VENTAS CONSOLIDADA 1,0'!C17</f>
        <v>4787</v>
      </c>
      <c r="D17" s="5">
        <f t="shared" ca="1" si="0"/>
        <v>341.92857142857144</v>
      </c>
      <c r="E17" s="5">
        <f t="shared" ca="1" si="1"/>
        <v>7522.4285714285716</v>
      </c>
    </row>
    <row r="18" spans="1:5" x14ac:dyDescent="0.25">
      <c r="A18">
        <v>130152</v>
      </c>
      <c r="B18" t="s">
        <v>51</v>
      </c>
      <c r="C18">
        <f>'[1]VENTAS CONSOLIDADA 1,0'!C18</f>
        <v>46685</v>
      </c>
      <c r="D18" s="5">
        <f t="shared" ca="1" si="0"/>
        <v>3334.6428571428573</v>
      </c>
      <c r="E18" s="5">
        <f t="shared" ca="1" si="1"/>
        <v>73362.142857142855</v>
      </c>
    </row>
    <row r="19" spans="1:5" x14ac:dyDescent="0.25">
      <c r="A19">
        <v>130153</v>
      </c>
      <c r="B19" t="s">
        <v>52</v>
      </c>
      <c r="C19">
        <f>'[1]VENTAS CONSOLIDADA 1,0'!C19</f>
        <v>28881</v>
      </c>
      <c r="D19" s="5">
        <f t="shared" ca="1" si="0"/>
        <v>2062.9285714285716</v>
      </c>
      <c r="E19" s="5">
        <f t="shared" ca="1" si="1"/>
        <v>45384.428571428572</v>
      </c>
    </row>
    <row r="20" spans="1:5" x14ac:dyDescent="0.25">
      <c r="A20">
        <v>130154</v>
      </c>
      <c r="B20" t="s">
        <v>53</v>
      </c>
      <c r="C20">
        <f>'[1]VENTAS CONSOLIDADA 1,0'!C20</f>
        <v>29573</v>
      </c>
      <c r="D20" s="5">
        <f t="shared" ca="1" si="0"/>
        <v>2112.3571428571427</v>
      </c>
      <c r="E20" s="5">
        <f t="shared" ca="1" si="1"/>
        <v>46471.857142857138</v>
      </c>
    </row>
    <row r="21" spans="1:5" x14ac:dyDescent="0.25">
      <c r="A21">
        <v>130155</v>
      </c>
      <c r="B21" t="s">
        <v>16</v>
      </c>
      <c r="C21">
        <f>'[1]VENTAS CONSOLIDADA 1,0'!C21</f>
        <v>36027</v>
      </c>
      <c r="D21" s="5">
        <f t="shared" ca="1" si="0"/>
        <v>2573.3571428571427</v>
      </c>
      <c r="E21" s="5">
        <f t="shared" ca="1" si="1"/>
        <v>56613.857142857138</v>
      </c>
    </row>
    <row r="22" spans="1:5" x14ac:dyDescent="0.25">
      <c r="A22">
        <v>130157</v>
      </c>
      <c r="B22" t="s">
        <v>43</v>
      </c>
      <c r="C22">
        <f>'[1]VENTAS CONSOLIDADA 1,0'!C22</f>
        <v>9499</v>
      </c>
      <c r="D22" s="5">
        <f t="shared" ca="1" si="0"/>
        <v>678.5</v>
      </c>
      <c r="E22" s="5">
        <f t="shared" ca="1" si="1"/>
        <v>14927</v>
      </c>
    </row>
    <row r="23" spans="1:5" x14ac:dyDescent="0.25">
      <c r="A23">
        <v>130158</v>
      </c>
      <c r="B23" t="s">
        <v>44</v>
      </c>
      <c r="C23">
        <f>'[1]VENTAS CONSOLIDADA 1,0'!C23</f>
        <v>10771</v>
      </c>
      <c r="D23" s="5">
        <f t="shared" ca="1" si="0"/>
        <v>769.35714285714289</v>
      </c>
      <c r="E23" s="5">
        <f t="shared" ca="1" si="1"/>
        <v>16925.857142857145</v>
      </c>
    </row>
    <row r="24" spans="1:5" x14ac:dyDescent="0.25">
      <c r="A24">
        <v>130159</v>
      </c>
      <c r="B24" t="s">
        <v>45</v>
      </c>
      <c r="C24">
        <f>'[1]VENTAS CONSOLIDADA 1,0'!C24</f>
        <v>11462</v>
      </c>
      <c r="D24" s="5">
        <f t="shared" ca="1" si="0"/>
        <v>818.71428571428567</v>
      </c>
      <c r="E24" s="5">
        <f t="shared" ca="1" si="1"/>
        <v>18011.714285714286</v>
      </c>
    </row>
    <row r="25" spans="1:5" x14ac:dyDescent="0.25">
      <c r="A25">
        <v>130700</v>
      </c>
      <c r="B25" t="s">
        <v>3</v>
      </c>
      <c r="C25">
        <f>'[1]VENTAS CONSOLIDADA 1,0'!C25</f>
        <v>3408</v>
      </c>
      <c r="D25" s="5">
        <f t="shared" ca="1" si="0"/>
        <v>243.42857142857142</v>
      </c>
      <c r="E25" s="5">
        <f t="shared" ca="1" si="1"/>
        <v>5355.4285714285716</v>
      </c>
    </row>
    <row r="26" spans="1:5" x14ac:dyDescent="0.25">
      <c r="A26">
        <v>130701</v>
      </c>
      <c r="B26" t="s">
        <v>30</v>
      </c>
      <c r="C26">
        <f>'[1]VENTAS CONSOLIDADA 1,0'!C26</f>
        <v>1626</v>
      </c>
      <c r="D26" s="5">
        <f t="shared" ca="1" si="0"/>
        <v>116.14285714285714</v>
      </c>
      <c r="E26" s="5">
        <f t="shared" ca="1" si="1"/>
        <v>2555.1428571428569</v>
      </c>
    </row>
    <row r="27" spans="1:5" x14ac:dyDescent="0.25">
      <c r="A27">
        <v>130702</v>
      </c>
      <c r="B27" t="s">
        <v>12</v>
      </c>
      <c r="C27">
        <f>'[1]VENTAS CONSOLIDADA 1,0'!C27</f>
        <v>6771</v>
      </c>
      <c r="D27" s="5">
        <f t="shared" ca="1" si="0"/>
        <v>483.64285714285717</v>
      </c>
      <c r="E27" s="5">
        <f t="shared" ca="1" si="1"/>
        <v>10640.142857142857</v>
      </c>
    </row>
    <row r="28" spans="1:5" x14ac:dyDescent="0.25">
      <c r="A28">
        <v>130703</v>
      </c>
      <c r="B28" t="s">
        <v>17</v>
      </c>
      <c r="C28">
        <f>'[1]VENTAS CONSOLIDADA 1,0'!C28</f>
        <v>11392</v>
      </c>
      <c r="D28" s="5">
        <f t="shared" ca="1" si="0"/>
        <v>813.71428571428567</v>
      </c>
      <c r="E28" s="5">
        <f t="shared" ca="1" si="1"/>
        <v>17901.714285714286</v>
      </c>
    </row>
    <row r="29" spans="1:5" x14ac:dyDescent="0.25">
      <c r="A29">
        <v>130707</v>
      </c>
      <c r="B29" t="s">
        <v>42</v>
      </c>
      <c r="C29">
        <f>'[1]VENTAS CONSOLIDADA 1,0'!C29</f>
        <v>992</v>
      </c>
      <c r="D29" s="5">
        <f t="shared" ca="1" si="0"/>
        <v>70.857142857142861</v>
      </c>
      <c r="E29" s="5">
        <f t="shared" ca="1" si="1"/>
        <v>1558.8571428571429</v>
      </c>
    </row>
    <row r="30" spans="1:5" x14ac:dyDescent="0.25">
      <c r="A30">
        <v>131150</v>
      </c>
      <c r="B30" t="s">
        <v>22</v>
      </c>
      <c r="C30">
        <f>'[1]VENTAS CONSOLIDADA 1,0'!C30</f>
        <v>9604</v>
      </c>
      <c r="D30" s="5">
        <f t="shared" ca="1" si="0"/>
        <v>686</v>
      </c>
      <c r="E30" s="5">
        <f t="shared" ca="1" si="1"/>
        <v>15092</v>
      </c>
    </row>
    <row r="31" spans="1:5" x14ac:dyDescent="0.25">
      <c r="A31">
        <v>131151</v>
      </c>
      <c r="B31" t="s">
        <v>19</v>
      </c>
      <c r="C31">
        <f>'[1]VENTAS CONSOLIDADA 1,0'!C31</f>
        <v>15085</v>
      </c>
      <c r="D31" s="5">
        <f t="shared" ca="1" si="0"/>
        <v>1077.5</v>
      </c>
      <c r="E31" s="5">
        <f t="shared" ca="1" si="1"/>
        <v>23705</v>
      </c>
    </row>
    <row r="32" spans="1:5" x14ac:dyDescent="0.25">
      <c r="A32">
        <v>131152</v>
      </c>
      <c r="B32" t="s">
        <v>32</v>
      </c>
      <c r="C32">
        <f>'[1]VENTAS CONSOLIDADA 1,0'!C32</f>
        <v>7550</v>
      </c>
      <c r="D32" s="5">
        <f t="shared" ca="1" si="0"/>
        <v>539.28571428571433</v>
      </c>
      <c r="E32" s="5">
        <f t="shared" ca="1" si="1"/>
        <v>11864.285714285716</v>
      </c>
    </row>
    <row r="33" spans="1:5" x14ac:dyDescent="0.25">
      <c r="A33">
        <v>131153</v>
      </c>
      <c r="B33" t="s">
        <v>11</v>
      </c>
      <c r="C33">
        <f>'[1]VENTAS CONSOLIDADA 1,0'!C33</f>
        <v>5884</v>
      </c>
      <c r="D33" s="5">
        <f t="shared" ca="1" si="0"/>
        <v>420.28571428571428</v>
      </c>
      <c r="E33" s="5">
        <f t="shared" ca="1" si="1"/>
        <v>9246.2857142857138</v>
      </c>
    </row>
    <row r="34" spans="1:5" x14ac:dyDescent="0.25">
      <c r="A34">
        <v>131154</v>
      </c>
      <c r="B34" t="s">
        <v>48</v>
      </c>
      <c r="C34">
        <f>'[1]VENTAS CONSOLIDADA 1,0'!C34</f>
        <v>3202</v>
      </c>
      <c r="D34" s="5">
        <f t="shared" ca="1" si="0"/>
        <v>228.71428571428572</v>
      </c>
      <c r="E34" s="5">
        <f t="shared" ca="1" si="1"/>
        <v>5031.7142857142862</v>
      </c>
    </row>
    <row r="35" spans="1:5" x14ac:dyDescent="0.25">
      <c r="A35">
        <v>131155</v>
      </c>
      <c r="B35" t="s">
        <v>57</v>
      </c>
      <c r="C35">
        <f>'[1]VENTAS CONSOLIDADA 1,0'!C35</f>
        <v>3847</v>
      </c>
      <c r="D35" s="5">
        <f t="shared" ca="1" si="0"/>
        <v>274.78571428571428</v>
      </c>
      <c r="E35" s="5">
        <f t="shared" ca="1" si="1"/>
        <v>6045.2857142857138</v>
      </c>
    </row>
    <row r="36" spans="1:5" x14ac:dyDescent="0.25">
      <c r="A36">
        <v>131700</v>
      </c>
      <c r="B36" t="s">
        <v>20</v>
      </c>
      <c r="C36">
        <f>'[1]VENTAS CONSOLIDADA 1,0'!C36</f>
        <v>1696</v>
      </c>
      <c r="D36" s="5">
        <f t="shared" ca="1" si="0"/>
        <v>121.14285714285714</v>
      </c>
      <c r="E36" s="5">
        <f t="shared" ca="1" si="1"/>
        <v>2665.1428571428569</v>
      </c>
    </row>
    <row r="37" spans="1:5" x14ac:dyDescent="0.25">
      <c r="A37">
        <v>131701</v>
      </c>
      <c r="B37" t="s">
        <v>24</v>
      </c>
      <c r="C37">
        <f>'[1]VENTAS CONSOLIDADA 1,0'!C37</f>
        <v>1864</v>
      </c>
      <c r="D37" s="5">
        <f t="shared" ca="1" si="0"/>
        <v>133.14285714285714</v>
      </c>
      <c r="E37" s="5">
        <f t="shared" ca="1" si="1"/>
        <v>2929.1428571428569</v>
      </c>
    </row>
    <row r="38" spans="1:5" x14ac:dyDescent="0.25">
      <c r="A38">
        <v>132150</v>
      </c>
      <c r="B38" t="s">
        <v>25</v>
      </c>
      <c r="C38">
        <f>'[1]VENTAS CONSOLIDADA 1,0'!C38</f>
        <v>10293</v>
      </c>
      <c r="D38" s="5">
        <f t="shared" ca="1" si="0"/>
        <v>735.21428571428567</v>
      </c>
      <c r="E38" s="5">
        <f t="shared" ca="1" si="1"/>
        <v>16174.714285714284</v>
      </c>
    </row>
    <row r="39" spans="1:5" x14ac:dyDescent="0.25">
      <c r="A39">
        <v>132151</v>
      </c>
      <c r="B39" t="s">
        <v>26</v>
      </c>
      <c r="C39">
        <f>'[1]VENTAS CONSOLIDADA 1,0'!C39</f>
        <v>8032</v>
      </c>
      <c r="D39" s="5">
        <f t="shared" ca="1" si="0"/>
        <v>573.71428571428567</v>
      </c>
      <c r="E39" s="5">
        <f t="shared" ca="1" si="1"/>
        <v>12621.714285714284</v>
      </c>
    </row>
    <row r="40" spans="1:5" x14ac:dyDescent="0.25">
      <c r="A40">
        <v>132152</v>
      </c>
      <c r="B40" t="s">
        <v>27</v>
      </c>
      <c r="C40">
        <f>'[1]VENTAS CONSOLIDADA 1,0'!C40</f>
        <v>10763</v>
      </c>
      <c r="D40" s="5">
        <f t="shared" ca="1" si="0"/>
        <v>768.78571428571433</v>
      </c>
      <c r="E40" s="5">
        <f t="shared" ca="1" si="1"/>
        <v>16913.285714285714</v>
      </c>
    </row>
    <row r="41" spans="1:5" x14ac:dyDescent="0.25">
      <c r="A41">
        <v>132153</v>
      </c>
      <c r="B41" t="s">
        <v>40</v>
      </c>
      <c r="C41">
        <f>'[1]VENTAS CONSOLIDADA 1,0'!C41</f>
        <v>6944</v>
      </c>
      <c r="D41" s="5">
        <f t="shared" ca="1" si="0"/>
        <v>496</v>
      </c>
      <c r="E41" s="5">
        <f t="shared" ca="1" si="1"/>
        <v>10912</v>
      </c>
    </row>
    <row r="42" spans="1:5" x14ac:dyDescent="0.25">
      <c r="A42">
        <v>134000</v>
      </c>
      <c r="B42" t="s">
        <v>35</v>
      </c>
      <c r="C42">
        <f>'[1]VENTAS CONSOLIDADA 1,0'!C42</f>
        <v>54</v>
      </c>
      <c r="D42" s="5">
        <f t="shared" ca="1" si="0"/>
        <v>3.8571428571428572</v>
      </c>
      <c r="E42" s="5">
        <f t="shared" ca="1" si="1"/>
        <v>84.857142857142861</v>
      </c>
    </row>
    <row r="43" spans="1:5" x14ac:dyDescent="0.25">
      <c r="A43">
        <v>134001</v>
      </c>
      <c r="B43" t="s">
        <v>47</v>
      </c>
      <c r="C43">
        <f>'[1]VENTAS CONSOLIDADA 1,0'!C43</f>
        <v>7</v>
      </c>
      <c r="D43" s="5">
        <f t="shared" ca="1" si="0"/>
        <v>0.5</v>
      </c>
      <c r="E43" s="5">
        <f t="shared" ca="1" si="1"/>
        <v>11</v>
      </c>
    </row>
    <row r="44" spans="1:5" x14ac:dyDescent="0.25">
      <c r="A44">
        <v>140230</v>
      </c>
      <c r="B44" t="s">
        <v>18</v>
      </c>
      <c r="C44">
        <f>'[1]VENTAS CONSOLIDADA 1,0'!C44</f>
        <v>1944</v>
      </c>
      <c r="D44" s="5">
        <f t="shared" ca="1" si="0"/>
        <v>138.85714285714286</v>
      </c>
      <c r="E44" s="5">
        <f t="shared" ca="1" si="1"/>
        <v>3054.8571428571431</v>
      </c>
    </row>
    <row r="45" spans="1:5" x14ac:dyDescent="0.25">
      <c r="A45">
        <v>140231</v>
      </c>
      <c r="B45" t="s">
        <v>10</v>
      </c>
      <c r="C45">
        <f>'[1]VENTAS CONSOLIDADA 1,0'!C45</f>
        <v>7380</v>
      </c>
      <c r="D45" s="5">
        <f t="shared" ca="1" si="0"/>
        <v>527.14285714285711</v>
      </c>
      <c r="E45" s="5">
        <f t="shared" ca="1" si="1"/>
        <v>11597.142857142857</v>
      </c>
    </row>
    <row r="46" spans="1:5" x14ac:dyDescent="0.25">
      <c r="A46">
        <v>140232</v>
      </c>
      <c r="B46" t="s">
        <v>9</v>
      </c>
      <c r="C46">
        <f>'[1]VENTAS CONSOLIDADA 1,0'!C46</f>
        <v>5762</v>
      </c>
      <c r="D46" s="5">
        <f t="shared" ca="1" si="0"/>
        <v>411.57142857142856</v>
      </c>
      <c r="E46" s="5">
        <f t="shared" ca="1" si="1"/>
        <v>9054.5714285714275</v>
      </c>
    </row>
    <row r="47" spans="1:5" x14ac:dyDescent="0.25">
      <c r="A47">
        <v>150360</v>
      </c>
      <c r="B47" t="s">
        <v>28</v>
      </c>
      <c r="C47">
        <f>'[1]VENTAS CONSOLIDADA 1,0'!C47</f>
        <v>2854</v>
      </c>
      <c r="D47" s="5">
        <f t="shared" ca="1" si="0"/>
        <v>203.85714285714286</v>
      </c>
      <c r="E47" s="5">
        <f t="shared" ca="1" si="1"/>
        <v>4484.8571428571431</v>
      </c>
    </row>
    <row r="48" spans="1:5" x14ac:dyDescent="0.25">
      <c r="A48">
        <v>150361</v>
      </c>
      <c r="B48" t="s">
        <v>29</v>
      </c>
      <c r="C48">
        <f>'[1]VENTAS CONSOLIDADA 1,0'!C48</f>
        <v>6379</v>
      </c>
      <c r="D48" s="5">
        <f t="shared" ca="1" si="0"/>
        <v>455.64285714285717</v>
      </c>
      <c r="E48" s="5">
        <f t="shared" ca="1" si="1"/>
        <v>10024.142857142857</v>
      </c>
    </row>
    <row r="49" spans="1:5" x14ac:dyDescent="0.25">
      <c r="A49">
        <v>150362</v>
      </c>
      <c r="B49" t="s">
        <v>36</v>
      </c>
      <c r="C49">
        <f>'[1]VENTAS CONSOLIDADA 1,0'!C49</f>
        <v>3942</v>
      </c>
      <c r="D49" s="5">
        <f t="shared" ca="1" si="0"/>
        <v>281.57142857142856</v>
      </c>
      <c r="E49" s="5">
        <f t="shared" ca="1" si="1"/>
        <v>6194.5714285714284</v>
      </c>
    </row>
    <row r="50" spans="1:5" x14ac:dyDescent="0.25">
      <c r="A50">
        <v>150363</v>
      </c>
      <c r="B50" t="s">
        <v>31</v>
      </c>
      <c r="C50">
        <f>'[1]VENTAS CONSOLIDADA 1,0'!C50</f>
        <v>3878</v>
      </c>
      <c r="D50" s="5">
        <f t="shared" ca="1" si="0"/>
        <v>277</v>
      </c>
      <c r="E50" s="5">
        <f t="shared" ca="1" si="1"/>
        <v>6094</v>
      </c>
    </row>
    <row r="51" spans="1:5" x14ac:dyDescent="0.25">
      <c r="A51">
        <v>151500</v>
      </c>
      <c r="B51" t="s">
        <v>41</v>
      </c>
      <c r="C51">
        <f>'[1]VENTAS CONSOLIDADA 1,0'!C51</f>
        <v>775</v>
      </c>
      <c r="D51" s="5">
        <f t="shared" ca="1" si="0"/>
        <v>55.357142857142854</v>
      </c>
      <c r="E51" s="5">
        <f t="shared" ca="1" si="1"/>
        <v>1217.8571428571429</v>
      </c>
    </row>
    <row r="52" spans="1:5" x14ac:dyDescent="0.25">
      <c r="A52">
        <v>151501</v>
      </c>
      <c r="B52" t="s">
        <v>33</v>
      </c>
      <c r="C52">
        <f>'[1]VENTAS CONSOLIDADA 1,0'!C52</f>
        <v>1809</v>
      </c>
      <c r="D52" s="5">
        <f t="shared" ca="1" si="0"/>
        <v>129.21428571428572</v>
      </c>
      <c r="E52" s="5">
        <f t="shared" ca="1" si="1"/>
        <v>2842.7142857142858</v>
      </c>
    </row>
    <row r="53" spans="1:5" x14ac:dyDescent="0.25">
      <c r="A53">
        <v>151502</v>
      </c>
      <c r="B53" t="s">
        <v>37</v>
      </c>
      <c r="C53">
        <f>'[1]VENTAS CONSOLIDADA 1,0'!C53</f>
        <v>561</v>
      </c>
      <c r="D53" s="5">
        <f t="shared" ca="1" si="0"/>
        <v>40.071428571428569</v>
      </c>
      <c r="E53" s="5">
        <f t="shared" ca="1" si="1"/>
        <v>881.57142857142856</v>
      </c>
    </row>
    <row r="54" spans="1:5" x14ac:dyDescent="0.25">
      <c r="A54">
        <v>151503</v>
      </c>
      <c r="B54" t="s">
        <v>34</v>
      </c>
      <c r="C54">
        <f>'[1]VENTAS CONSOLIDADA 1,0'!C54</f>
        <v>742</v>
      </c>
      <c r="D54" s="5">
        <f t="shared" ca="1" si="0"/>
        <v>53</v>
      </c>
      <c r="E54" s="5">
        <f t="shared" ca="1" si="1"/>
        <v>1166</v>
      </c>
    </row>
    <row r="55" spans="1:5" x14ac:dyDescent="0.25">
      <c r="C55">
        <f>SUM(C8:C54)</f>
        <v>384787</v>
      </c>
      <c r="D55" s="5">
        <f ca="1">SUM(D8:D54)</f>
        <v>27484.785714285714</v>
      </c>
      <c r="E55" s="5">
        <f ca="1">SUM(E8:E54)</f>
        <v>604665.28571428591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1624F75C-FD6B-41DE-81B8-76266AB6E660}">
  <ds:schemaRefs/>
</ds:datastoreItem>
</file>

<file path=customXml/itemProps2.xml><?xml version="1.0" encoding="utf-8"?>
<ds:datastoreItem xmlns:ds="http://schemas.openxmlformats.org/officeDocument/2006/customXml" ds:itemID="{CC2043D8-989E-412C-8862-ACDB973E448B}">
  <ds:schemaRefs/>
</ds:datastoreItem>
</file>

<file path=customXml/itemProps3.xml><?xml version="1.0" encoding="utf-8"?>
<ds:datastoreItem xmlns:ds="http://schemas.openxmlformats.org/officeDocument/2006/customXml" ds:itemID="{2FB7461A-5A6D-4ED3-B35C-48147355CFC0}">
  <ds:schemaRefs/>
</ds:datastoreItem>
</file>

<file path=customXml/itemProps4.xml><?xml version="1.0" encoding="utf-8"?>
<ds:datastoreItem xmlns:ds="http://schemas.openxmlformats.org/officeDocument/2006/customXml" ds:itemID="{B0CC2B14-7DD7-4033-8A48-822C26B12A45}">
  <ds:schemaRefs/>
</ds:datastoreItem>
</file>

<file path=customXml/itemProps5.xml><?xml version="1.0" encoding="utf-8"?>
<ds:datastoreItem xmlns:ds="http://schemas.openxmlformats.org/officeDocument/2006/customXml" ds:itemID="{AF2AF42B-D484-4F26-B929-D7FB2E56F71D}">
  <ds:schemaRefs/>
</ds:datastoreItem>
</file>

<file path=customXml/itemProps6.xml><?xml version="1.0" encoding="utf-8"?>
<ds:datastoreItem xmlns:ds="http://schemas.openxmlformats.org/officeDocument/2006/customXml" ds:itemID="{52FA8FE5-D878-4A8D-B664-9568032292DD}">
  <ds:schemaRefs/>
</ds:datastoreItem>
</file>

<file path=customXml/itemProps7.xml><?xml version="1.0" encoding="utf-8"?>
<ds:datastoreItem xmlns:ds="http://schemas.openxmlformats.org/officeDocument/2006/customXml" ds:itemID="{8E0207D3-36B0-4047-99FA-B78F3EBADFAC}">
  <ds:schemaRefs/>
</ds:datastoreItem>
</file>

<file path=customXml/itemProps8.xml><?xml version="1.0" encoding="utf-8"?>
<ds:datastoreItem xmlns:ds="http://schemas.openxmlformats.org/officeDocument/2006/customXml" ds:itemID="{0AD6CB95-564A-49A8-92C3-BDDCD21D69FF}">
  <ds:schemaRefs/>
</ds:datastoreItem>
</file>

<file path=customXml/itemProps9.xml><?xml version="1.0" encoding="utf-8"?>
<ds:datastoreItem xmlns:ds="http://schemas.openxmlformats.org/officeDocument/2006/customXml" ds:itemID="{F5D7323A-644E-4D3D-8486-43C2FFAD8146}">
  <ds:schemaRefs/>
</ds:datastoreItem>
</file>

<file path=customXml/itemProps10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11.xml><?xml version="1.0" encoding="utf-8"?>
<ds:datastoreItem xmlns:ds="http://schemas.openxmlformats.org/officeDocument/2006/customXml" ds:itemID="{4DF253BA-E348-4CD2-AA4E-97FB2A32A7F0}">
  <ds:schemaRefs/>
</ds:datastoreItem>
</file>

<file path=customXml/itemProps12.xml><?xml version="1.0" encoding="utf-8"?>
<ds:datastoreItem xmlns:ds="http://schemas.openxmlformats.org/officeDocument/2006/customXml" ds:itemID="{7845B0CC-F2DA-4435-B3A8-0B67EEA59E3E}">
  <ds:schemaRefs/>
</ds:datastoreItem>
</file>

<file path=customXml/itemProps13.xml><?xml version="1.0" encoding="utf-8"?>
<ds:datastoreItem xmlns:ds="http://schemas.openxmlformats.org/officeDocument/2006/customXml" ds:itemID="{CAB6C292-B853-467D-B711-6EBB7D36CC58}">
  <ds:schemaRefs/>
</ds:datastoreItem>
</file>

<file path=customXml/itemProps14.xml><?xml version="1.0" encoding="utf-8"?>
<ds:datastoreItem xmlns:ds="http://schemas.openxmlformats.org/officeDocument/2006/customXml" ds:itemID="{DEFC51E7-3E67-4621-B139-07F56E3C51B6}">
  <ds:schemaRefs/>
</ds:datastoreItem>
</file>

<file path=customXml/itemProps15.xml><?xml version="1.0" encoding="utf-8"?>
<ds:datastoreItem xmlns:ds="http://schemas.openxmlformats.org/officeDocument/2006/customXml" ds:itemID="{DB2ACCEB-6CC9-4D35-BDF4-AC9EF8C2F118}">
  <ds:schemaRefs/>
</ds:datastoreItem>
</file>

<file path=customXml/itemProps16.xml><?xml version="1.0" encoding="utf-8"?>
<ds:datastoreItem xmlns:ds="http://schemas.openxmlformats.org/officeDocument/2006/customXml" ds:itemID="{7AE93A93-CA27-4BDA-AA62-2C35967BA493}">
  <ds:schemaRefs/>
</ds:datastoreItem>
</file>

<file path=customXml/itemProps17.xml><?xml version="1.0" encoding="utf-8"?>
<ds:datastoreItem xmlns:ds="http://schemas.openxmlformats.org/officeDocument/2006/customXml" ds:itemID="{65BE5737-5D13-4B92-9A1E-66AAD091BECC}">
  <ds:schemaRefs/>
</ds:datastoreItem>
</file>

<file path=customXml/itemProps18.xml><?xml version="1.0" encoding="utf-8"?>
<ds:datastoreItem xmlns:ds="http://schemas.openxmlformats.org/officeDocument/2006/customXml" ds:itemID="{084C0BCB-4732-44D2-A228-50E994334BF1}">
  <ds:schemaRefs/>
</ds:datastoreItem>
</file>

<file path=customXml/itemProps19.xml><?xml version="1.0" encoding="utf-8"?>
<ds:datastoreItem xmlns:ds="http://schemas.openxmlformats.org/officeDocument/2006/customXml" ds:itemID="{CFB06E3D-1317-4F60-85DB-890000D02217}">
  <ds:schemaRefs/>
</ds:datastoreItem>
</file>

<file path=customXml/itemProps20.xml><?xml version="1.0" encoding="utf-8"?>
<ds:datastoreItem xmlns:ds="http://schemas.openxmlformats.org/officeDocument/2006/customXml" ds:itemID="{38DB5A37-2218-4EAC-B67D-146D68E76E3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2026-09-21T11:51:32Z</dcterms:modified>
</cp:coreProperties>
</file>