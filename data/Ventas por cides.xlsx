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903590F0-8053-474B-A2EB-3858667B9801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</externalReferences>
  <calcPr calcId="191029"/>
  <pivotCaches>
    <pivotCache cacheId="5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55" l="1"/>
  <c r="D1" i="55"/>
  <c r="C2" i="55"/>
  <c r="C3" i="55"/>
  <c r="D3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1" i="54"/>
  <c r="D1" i="54"/>
  <c r="C2" i="54"/>
  <c r="C3" i="54"/>
  <c r="D3" i="54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1" i="53"/>
  <c r="D1" i="53"/>
  <c r="C2" i="53"/>
  <c r="C3" i="53"/>
  <c r="D3" i="53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1" i="52"/>
  <c r="D1" i="52"/>
  <c r="C2" i="52"/>
  <c r="C3" i="52"/>
  <c r="D3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1" i="51"/>
  <c r="D1" i="51"/>
  <c r="C2" i="51"/>
  <c r="C3" i="51"/>
  <c r="D3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C1" i="50"/>
  <c r="D1" i="50"/>
  <c r="C2" i="50"/>
  <c r="C3" i="50"/>
  <c r="D3" i="50"/>
  <c r="D2" i="50"/>
  <c r="D2" i="54"/>
  <c r="D2" i="52"/>
  <c r="D2" i="51"/>
  <c r="D2" i="53"/>
  <c r="C55" i="55" l="1"/>
  <c r="D2" i="55"/>
  <c r="E2" i="55"/>
  <c r="E3" i="55"/>
  <c r="E3" i="50"/>
  <c r="E2" i="50"/>
  <c r="D46" i="50" s="1"/>
  <c r="E3" i="51"/>
  <c r="E2" i="51"/>
  <c r="E3" i="52"/>
  <c r="E2" i="52"/>
  <c r="E2" i="54"/>
  <c r="E3" i="54"/>
  <c r="E3" i="53"/>
  <c r="E2" i="53" l="1"/>
  <c r="E46" i="50"/>
  <c r="D43" i="52"/>
  <c r="E43" i="52" s="1"/>
  <c r="D8" i="52"/>
  <c r="D44" i="52"/>
  <c r="E44" i="52" s="1"/>
  <c r="D33" i="55"/>
  <c r="E33" i="55" s="1"/>
  <c r="D30" i="55"/>
  <c r="E30" i="55" s="1"/>
  <c r="D28" i="55"/>
  <c r="E28" i="55" s="1"/>
  <c r="D27" i="55"/>
  <c r="E27" i="55" s="1"/>
  <c r="D26" i="55"/>
  <c r="E26" i="55" s="1"/>
  <c r="D24" i="55"/>
  <c r="E24" i="55" s="1"/>
  <c r="D23" i="55"/>
  <c r="E23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2" i="55"/>
  <c r="E32" i="55" s="1"/>
  <c r="D29" i="55"/>
  <c r="E29" i="55" s="1"/>
  <c r="D25" i="55"/>
  <c r="E25" i="55" s="1"/>
  <c r="D22" i="55"/>
  <c r="E22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3" i="54"/>
  <c r="E43" i="54" s="1"/>
  <c r="D46" i="54"/>
  <c r="E46" i="54" s="1"/>
  <c r="D35" i="54"/>
  <c r="E35" i="54" s="1"/>
  <c r="D42" i="54"/>
  <c r="E42" i="54" s="1"/>
  <c r="D39" i="55"/>
  <c r="E39" i="55" s="1"/>
  <c r="D36" i="55"/>
  <c r="E36" i="55" s="1"/>
  <c r="D35" i="55"/>
  <c r="E35" i="55" s="1"/>
  <c r="D34" i="55"/>
  <c r="E34" i="55" s="1"/>
  <c r="D31" i="55"/>
  <c r="E31" i="55" s="1"/>
  <c r="D37" i="55"/>
  <c r="E37" i="55" s="1"/>
  <c r="D38" i="55"/>
  <c r="E38" i="55" s="1"/>
  <c r="D29" i="54"/>
  <c r="E29" i="54" s="1"/>
  <c r="D34" i="54"/>
  <c r="E34" i="54" s="1"/>
  <c r="D12" i="53"/>
  <c r="E12" i="53" s="1"/>
  <c r="D43" i="53"/>
  <c r="E43" i="53" s="1"/>
  <c r="D8" i="55"/>
  <c r="E8" i="55" s="1"/>
  <c r="D40" i="55"/>
  <c r="E40" i="55" s="1"/>
  <c r="D42" i="50"/>
  <c r="E42" i="50" s="1"/>
  <c r="D43" i="50"/>
  <c r="E43" i="50" s="1"/>
  <c r="D29" i="50"/>
  <c r="E29" i="50" s="1"/>
  <c r="D8" i="50"/>
  <c r="E8" i="50" s="1"/>
  <c r="D17" i="50"/>
  <c r="E17" i="50" s="1"/>
  <c r="D43" i="55"/>
  <c r="E43" i="55" s="1"/>
  <c r="D41" i="55"/>
  <c r="E41" i="55" s="1"/>
  <c r="D42" i="55"/>
  <c r="E42" i="55" s="1"/>
  <c r="D44" i="55"/>
  <c r="E44" i="55" s="1"/>
  <c r="D46" i="55"/>
  <c r="E46" i="55" s="1"/>
  <c r="D45" i="55"/>
  <c r="E45" i="55" s="1"/>
  <c r="D49" i="55"/>
  <c r="E49" i="55" s="1"/>
  <c r="D47" i="55"/>
  <c r="E47" i="55" s="1"/>
  <c r="D48" i="55"/>
  <c r="E48" i="55" s="1"/>
  <c r="D51" i="55"/>
  <c r="E51" i="55" s="1"/>
  <c r="D50" i="55"/>
  <c r="E50" i="55" s="1"/>
  <c r="D52" i="55"/>
  <c r="E52" i="55" s="1"/>
  <c r="D53" i="55"/>
  <c r="E53" i="55" s="1"/>
  <c r="D54" i="55"/>
  <c r="E54" i="55" s="1"/>
  <c r="D50" i="50"/>
  <c r="E50" i="50" s="1"/>
  <c r="D51" i="50"/>
  <c r="E51" i="50" s="1"/>
  <c r="D52" i="50"/>
  <c r="E52" i="50" s="1"/>
  <c r="D53" i="50"/>
  <c r="E53" i="50" s="1"/>
  <c r="D54" i="50"/>
  <c r="E54" i="50" s="1"/>
  <c r="D45" i="50"/>
  <c r="E45" i="50" s="1"/>
  <c r="D49" i="50"/>
  <c r="E49" i="50" s="1"/>
  <c r="D47" i="50"/>
  <c r="E47" i="50" s="1"/>
  <c r="D48" i="50"/>
  <c r="E48" i="50" s="1"/>
  <c r="D41" i="50"/>
  <c r="E41" i="50" s="1"/>
  <c r="D44" i="50"/>
  <c r="E44" i="50" s="1"/>
  <c r="D36" i="50"/>
  <c r="E36" i="50" s="1"/>
  <c r="D39" i="50"/>
  <c r="E39" i="50" s="1"/>
  <c r="D31" i="50"/>
  <c r="E31" i="50" s="1"/>
  <c r="D38" i="50"/>
  <c r="E38" i="50" s="1"/>
  <c r="D40" i="50"/>
  <c r="E40" i="50" s="1"/>
  <c r="D37" i="50"/>
  <c r="E37" i="50" s="1"/>
  <c r="D34" i="50"/>
  <c r="E34" i="50" s="1"/>
  <c r="D33" i="50"/>
  <c r="E33" i="50" s="1"/>
  <c r="D32" i="50"/>
  <c r="E32" i="50" s="1"/>
  <c r="D35" i="50"/>
  <c r="E35" i="50" s="1"/>
  <c r="D9" i="50"/>
  <c r="E9" i="50" s="1"/>
  <c r="D11" i="50"/>
  <c r="E11" i="50" s="1"/>
  <c r="D15" i="50"/>
  <c r="E15" i="50" s="1"/>
  <c r="D18" i="50"/>
  <c r="E18" i="50" s="1"/>
  <c r="D23" i="50"/>
  <c r="E23" i="50" s="1"/>
  <c r="D26" i="50"/>
  <c r="E26" i="50" s="1"/>
  <c r="D30" i="50"/>
  <c r="E30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5" i="50"/>
  <c r="E25" i="50" s="1"/>
  <c r="D28" i="50"/>
  <c r="E28" i="50" s="1"/>
  <c r="D12" i="50"/>
  <c r="E12" i="50" s="1"/>
  <c r="D20" i="50"/>
  <c r="E20" i="50" s="1"/>
  <c r="D22" i="50"/>
  <c r="E22" i="50" s="1"/>
  <c r="D24" i="50"/>
  <c r="E24" i="50" s="1"/>
  <c r="D27" i="50"/>
  <c r="E27" i="50" s="1"/>
  <c r="D8" i="51"/>
  <c r="D51" i="51"/>
  <c r="E51" i="51" s="1"/>
  <c r="D53" i="51"/>
  <c r="E53" i="51" s="1"/>
  <c r="D50" i="51"/>
  <c r="E50" i="51" s="1"/>
  <c r="D52" i="51"/>
  <c r="E52" i="51" s="1"/>
  <c r="D54" i="51"/>
  <c r="E54" i="51" s="1"/>
  <c r="D45" i="51"/>
  <c r="E45" i="51" s="1"/>
  <c r="D46" i="51"/>
  <c r="E46" i="51" s="1"/>
  <c r="D47" i="51"/>
  <c r="E47" i="51" s="1"/>
  <c r="D49" i="51"/>
  <c r="E49" i="51" s="1"/>
  <c r="D48" i="51"/>
  <c r="E48" i="51" s="1"/>
  <c r="D42" i="51"/>
  <c r="E42" i="51" s="1"/>
  <c r="D44" i="51"/>
  <c r="E44" i="51" s="1"/>
  <c r="D43" i="51"/>
  <c r="E43" i="51" s="1"/>
  <c r="D11" i="51"/>
  <c r="E11" i="51" s="1"/>
  <c r="D16" i="51"/>
  <c r="E16" i="51" s="1"/>
  <c r="D20" i="51"/>
  <c r="E20" i="51" s="1"/>
  <c r="D22" i="51"/>
  <c r="E22" i="51" s="1"/>
  <c r="D25" i="51"/>
  <c r="E25" i="51" s="1"/>
  <c r="D29" i="51"/>
  <c r="E29" i="51" s="1"/>
  <c r="D34" i="51"/>
  <c r="E34" i="51" s="1"/>
  <c r="D39" i="51"/>
  <c r="E39" i="51" s="1"/>
  <c r="D41" i="51"/>
  <c r="E41" i="51" s="1"/>
  <c r="D12" i="51"/>
  <c r="E12" i="51" s="1"/>
  <c r="D13" i="51"/>
  <c r="E13" i="51" s="1"/>
  <c r="D18" i="51"/>
  <c r="E18" i="51" s="1"/>
  <c r="D21" i="51"/>
  <c r="E21" i="51" s="1"/>
  <c r="D24" i="51"/>
  <c r="E24" i="51" s="1"/>
  <c r="D26" i="51"/>
  <c r="E26" i="51" s="1"/>
  <c r="D32" i="51"/>
  <c r="E32" i="51" s="1"/>
  <c r="D37" i="51"/>
  <c r="E37" i="51" s="1"/>
  <c r="D9" i="51"/>
  <c r="E9" i="51" s="1"/>
  <c r="D14" i="51"/>
  <c r="E14" i="51" s="1"/>
  <c r="D19" i="51"/>
  <c r="E19" i="51" s="1"/>
  <c r="D23" i="51"/>
  <c r="E23" i="51" s="1"/>
  <c r="D27" i="51"/>
  <c r="E27" i="51" s="1"/>
  <c r="D31" i="51"/>
  <c r="E31" i="51" s="1"/>
  <c r="D35" i="51"/>
  <c r="E35" i="51" s="1"/>
  <c r="D38" i="51"/>
  <c r="E38" i="51" s="1"/>
  <c r="D10" i="51"/>
  <c r="E10" i="51" s="1"/>
  <c r="D15" i="51"/>
  <c r="E15" i="51" s="1"/>
  <c r="D17" i="51"/>
  <c r="E17" i="51" s="1"/>
  <c r="D28" i="51"/>
  <c r="E28" i="51" s="1"/>
  <c r="D30" i="51"/>
  <c r="E30" i="51" s="1"/>
  <c r="D33" i="51"/>
  <c r="E33" i="51" s="1"/>
  <c r="D36" i="51"/>
  <c r="E36" i="51" s="1"/>
  <c r="D40" i="51"/>
  <c r="E40" i="51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5" i="52"/>
  <c r="E45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2" i="54"/>
  <c r="E22" i="54" s="1"/>
  <c r="D17" i="54"/>
  <c r="E17" i="54" s="1"/>
  <c r="D14" i="54"/>
  <c r="E14" i="54" s="1"/>
  <c r="D13" i="54"/>
  <c r="E13" i="54" s="1"/>
  <c r="D15" i="54"/>
  <c r="E15" i="54" s="1"/>
  <c r="D12" i="54"/>
  <c r="E12" i="54" s="1"/>
  <c r="D53" i="54"/>
  <c r="E53" i="54" s="1"/>
  <c r="D23" i="54"/>
  <c r="E23" i="54" s="1"/>
  <c r="D45" i="54"/>
  <c r="E45" i="54" s="1"/>
  <c r="D48" i="54"/>
  <c r="E48" i="54" s="1"/>
  <c r="D41" i="54"/>
  <c r="E41" i="54" s="1"/>
  <c r="D50" i="54"/>
  <c r="E50" i="54" s="1"/>
  <c r="D33" i="54"/>
  <c r="E33" i="54" s="1"/>
  <c r="D37" i="54"/>
  <c r="E37" i="54" s="1"/>
  <c r="D31" i="54"/>
  <c r="E31" i="54" s="1"/>
  <c r="D27" i="54"/>
  <c r="E27" i="54" s="1"/>
  <c r="D54" i="54"/>
  <c r="E54" i="54" s="1"/>
  <c r="D21" i="54"/>
  <c r="E21" i="54" s="1"/>
  <c r="D39" i="54"/>
  <c r="E39" i="54" s="1"/>
  <c r="D24" i="54"/>
  <c r="E24" i="54" s="1"/>
  <c r="D51" i="54"/>
  <c r="E51" i="54" s="1"/>
  <c r="D47" i="54"/>
  <c r="E47" i="54" s="1"/>
  <c r="D44" i="54"/>
  <c r="E44" i="54" s="1"/>
  <c r="D49" i="54"/>
  <c r="E49" i="54" s="1"/>
  <c r="D52" i="54"/>
  <c r="E52" i="54" s="1"/>
  <c r="D36" i="54"/>
  <c r="E36" i="54" s="1"/>
  <c r="D32" i="54"/>
  <c r="E32" i="54" s="1"/>
  <c r="D38" i="54"/>
  <c r="E38" i="54" s="1"/>
  <c r="D40" i="54"/>
  <c r="E40" i="54" s="1"/>
  <c r="D28" i="54"/>
  <c r="E28" i="54" s="1"/>
  <c r="D30" i="54"/>
  <c r="E30" i="54" s="1"/>
  <c r="D8" i="54"/>
  <c r="D20" i="54"/>
  <c r="E20" i="54" s="1"/>
  <c r="D25" i="54"/>
  <c r="E25" i="54" s="1"/>
  <c r="D26" i="54"/>
  <c r="E26" i="54" s="1"/>
  <c r="E8" i="54" l="1"/>
  <c r="E55" i="54" s="1"/>
  <c r="D55" i="54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8" i="53"/>
  <c r="E8" i="53" s="1"/>
  <c r="D34" i="53"/>
  <c r="E34" i="53" s="1"/>
  <c r="D36" i="53"/>
  <c r="E36" i="53" s="1"/>
  <c r="D37" i="53"/>
  <c r="E37" i="53" s="1"/>
  <c r="D38" i="53"/>
  <c r="E38" i="53" s="1"/>
  <c r="D39" i="53"/>
  <c r="D41" i="53"/>
  <c r="E41" i="53" s="1"/>
  <c r="D44" i="53"/>
  <c r="E44" i="53" s="1"/>
  <c r="D46" i="53"/>
  <c r="E46" i="53" s="1"/>
  <c r="D49" i="53"/>
  <c r="E49" i="53" s="1"/>
  <c r="D52" i="53"/>
  <c r="E52" i="53" s="1"/>
  <c r="D33" i="53"/>
  <c r="E33" i="53" s="1"/>
  <c r="D42" i="53"/>
  <c r="E42" i="53" s="1"/>
  <c r="D47" i="53"/>
  <c r="E47" i="53" s="1"/>
  <c r="D50" i="53"/>
  <c r="E50" i="53" s="1"/>
  <c r="D53" i="53"/>
  <c r="E53" i="53" s="1"/>
  <c r="D35" i="53"/>
  <c r="E35" i="53" s="1"/>
  <c r="D40" i="53"/>
  <c r="E40" i="53" s="1"/>
  <c r="D45" i="53"/>
  <c r="E45" i="53" s="1"/>
  <c r="D48" i="53"/>
  <c r="E48" i="53" s="1"/>
  <c r="D51" i="53"/>
  <c r="E51" i="53" s="1"/>
  <c r="D54" i="53"/>
  <c r="E54" i="53" s="1"/>
  <c r="D18" i="53"/>
  <c r="E18" i="53" s="1"/>
  <c r="D20" i="53"/>
  <c r="E20" i="53" s="1"/>
  <c r="D21" i="53"/>
  <c r="E21" i="53" s="1"/>
  <c r="D22" i="53"/>
  <c r="E22" i="53" s="1"/>
  <c r="E55" i="50"/>
  <c r="E8" i="51"/>
  <c r="D55" i="51"/>
  <c r="E8" i="52"/>
  <c r="E55" i="52" s="1"/>
  <c r="D55" i="52"/>
  <c r="E55" i="51"/>
  <c r="E55" i="55"/>
  <c r="D55" i="55"/>
  <c r="D55" i="50"/>
  <c r="E39" i="53" l="1"/>
  <c r="D55" i="53"/>
  <c r="E55" i="5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<sst xmlns="http://schemas.openxmlformats.org/spreadsheetml/2006/main" count="320" uniqueCount="62">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</sst>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46282</v>
          </cell>
          <cell r="E2">
            <v>12</v>
          </cell>
        </row>
        <row r="3">
          <cell r="C3" t="str">
            <v>FINAL VENTAS</v>
          </cell>
          <cell r="D3">
            <v>46295</v>
          </cell>
          <cell r="E3">
            <v>10</v>
          </cell>
        </row>
        <row r="8">
          <cell r="C8">
            <v>517</v>
          </cell>
        </row>
        <row r="9">
          <cell r="C9">
            <v>50</v>
          </cell>
        </row>
        <row r="10">
          <cell r="C10">
            <v>149</v>
          </cell>
        </row>
        <row r="11">
          <cell r="C11">
            <v>32</v>
          </cell>
        </row>
        <row r="12">
          <cell r="C12">
            <v>5</v>
          </cell>
        </row>
        <row r="13">
          <cell r="C13">
            <v>607</v>
          </cell>
        </row>
        <row r="14">
          <cell r="C14">
            <v>53</v>
          </cell>
        </row>
        <row r="15">
          <cell r="C15">
            <v>106</v>
          </cell>
        </row>
        <row r="16">
          <cell r="C16">
            <v>239</v>
          </cell>
        </row>
        <row r="17">
          <cell r="C17">
            <v>64</v>
          </cell>
        </row>
        <row r="18">
          <cell r="C18">
            <v>1587</v>
          </cell>
        </row>
        <row r="19">
          <cell r="C19">
            <v>925</v>
          </cell>
        </row>
        <row r="20">
          <cell r="C20">
            <v>1204</v>
          </cell>
        </row>
        <row r="21">
          <cell r="C21">
            <v>974</v>
          </cell>
        </row>
        <row r="22">
          <cell r="C22">
            <v>266</v>
          </cell>
        </row>
        <row r="23">
          <cell r="C23">
            <v>388</v>
          </cell>
        </row>
        <row r="24">
          <cell r="C24">
            <v>373</v>
          </cell>
        </row>
        <row r="25">
          <cell r="C25">
            <v>63</v>
          </cell>
        </row>
        <row r="26">
          <cell r="C26">
            <v>10</v>
          </cell>
        </row>
        <row r="27">
          <cell r="C27">
            <v>150</v>
          </cell>
        </row>
        <row r="28">
          <cell r="C28">
            <v>218</v>
          </cell>
        </row>
        <row r="29">
          <cell r="C29">
            <v>0</v>
          </cell>
        </row>
        <row r="30">
          <cell r="C30">
            <v>343</v>
          </cell>
        </row>
        <row r="31">
          <cell r="C31">
            <v>993</v>
          </cell>
        </row>
        <row r="32">
          <cell r="C32">
            <v>732</v>
          </cell>
        </row>
        <row r="33">
          <cell r="C33">
            <v>368</v>
          </cell>
        </row>
        <row r="34">
          <cell r="C34">
            <v>278</v>
          </cell>
        </row>
        <row r="35">
          <cell r="C35">
            <v>359</v>
          </cell>
        </row>
        <row r="36">
          <cell r="C36">
            <v>65</v>
          </cell>
        </row>
        <row r="37">
          <cell r="C37">
            <v>79</v>
          </cell>
        </row>
        <row r="38">
          <cell r="C38">
            <v>497</v>
          </cell>
        </row>
        <row r="39">
          <cell r="C39">
            <v>313</v>
          </cell>
        </row>
        <row r="40">
          <cell r="C40">
            <v>435</v>
          </cell>
        </row>
        <row r="41">
          <cell r="C41">
            <v>252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90</v>
          </cell>
        </row>
        <row r="45">
          <cell r="C45">
            <v>518</v>
          </cell>
        </row>
        <row r="46">
          <cell r="C46">
            <v>103</v>
          </cell>
        </row>
        <row r="47">
          <cell r="C47">
            <v>57</v>
          </cell>
        </row>
        <row r="48">
          <cell r="C48">
            <v>350</v>
          </cell>
        </row>
        <row r="49">
          <cell r="C49">
            <v>125</v>
          </cell>
        </row>
        <row r="50">
          <cell r="C50">
            <v>138</v>
          </cell>
        </row>
        <row r="51">
          <cell r="C51">
            <v>26</v>
          </cell>
        </row>
        <row r="52">
          <cell r="C52">
            <v>47</v>
          </cell>
        </row>
        <row r="53">
          <cell r="C53">
            <v>8</v>
          </cell>
        </row>
        <row r="54">
          <cell r="C54">
            <v>29</v>
          </cell>
        </row>
      </sheetData>
      <sheetData sheetId="2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46282</v>
          </cell>
          <cell r="E2">
            <v>12</v>
          </cell>
        </row>
        <row r="3">
          <cell r="C3" t="str">
            <v>FINAL VENTAS</v>
          </cell>
          <cell r="D3">
            <v>46295</v>
          </cell>
          <cell r="E3">
            <v>10</v>
          </cell>
        </row>
        <row r="8">
          <cell r="C8">
            <v>592</v>
          </cell>
        </row>
        <row r="9">
          <cell r="C9">
            <v>18</v>
          </cell>
        </row>
        <row r="10">
          <cell r="C10">
            <v>115</v>
          </cell>
        </row>
        <row r="11">
          <cell r="C11">
            <v>14</v>
          </cell>
        </row>
        <row r="12">
          <cell r="C12">
            <v>0</v>
          </cell>
        </row>
        <row r="13">
          <cell r="C13">
            <v>1817</v>
          </cell>
        </row>
        <row r="14">
          <cell r="C14">
            <v>151</v>
          </cell>
        </row>
        <row r="15">
          <cell r="C15">
            <v>135</v>
          </cell>
        </row>
        <row r="16">
          <cell r="C16">
            <v>833</v>
          </cell>
        </row>
        <row r="17">
          <cell r="C17">
            <v>261</v>
          </cell>
        </row>
        <row r="18">
          <cell r="C18">
            <v>6718</v>
          </cell>
        </row>
        <row r="19">
          <cell r="C19">
            <v>3666</v>
          </cell>
        </row>
        <row r="20">
          <cell r="C20">
            <v>3621</v>
          </cell>
        </row>
        <row r="21">
          <cell r="C21">
            <v>4440</v>
          </cell>
        </row>
        <row r="22">
          <cell r="C22">
            <v>1522</v>
          </cell>
        </row>
        <row r="23">
          <cell r="C23">
            <v>1787</v>
          </cell>
        </row>
        <row r="24">
          <cell r="C24">
            <v>1797</v>
          </cell>
        </row>
        <row r="25">
          <cell r="C25">
            <v>369</v>
          </cell>
        </row>
        <row r="26">
          <cell r="C26">
            <v>97</v>
          </cell>
        </row>
        <row r="27">
          <cell r="C27">
            <v>1088</v>
          </cell>
        </row>
        <row r="28">
          <cell r="C28">
            <v>1319</v>
          </cell>
        </row>
        <row r="29">
          <cell r="C29">
            <v>40</v>
          </cell>
        </row>
        <row r="30">
          <cell r="C30">
            <v>519</v>
          </cell>
        </row>
        <row r="31">
          <cell r="C31">
            <v>1268</v>
          </cell>
        </row>
        <row r="32">
          <cell r="C32">
            <v>692</v>
          </cell>
        </row>
        <row r="33">
          <cell r="C33">
            <v>437</v>
          </cell>
        </row>
        <row r="34">
          <cell r="C34">
            <v>615</v>
          </cell>
        </row>
        <row r="35">
          <cell r="C35">
            <v>686</v>
          </cell>
        </row>
        <row r="36">
          <cell r="C36">
            <v>132</v>
          </cell>
        </row>
        <row r="37">
          <cell r="C37">
            <v>194</v>
          </cell>
        </row>
        <row r="38">
          <cell r="C38">
            <v>1473</v>
          </cell>
        </row>
        <row r="39">
          <cell r="C39">
            <v>727</v>
          </cell>
        </row>
        <row r="40">
          <cell r="C40">
            <v>1160</v>
          </cell>
        </row>
        <row r="41">
          <cell r="C41">
            <v>511</v>
          </cell>
        </row>
        <row r="42">
          <cell r="C42">
            <v>14</v>
          </cell>
        </row>
        <row r="43">
          <cell r="C43">
            <v>0</v>
          </cell>
        </row>
        <row r="44">
          <cell r="C44">
            <v>168</v>
          </cell>
        </row>
        <row r="45">
          <cell r="C45">
            <v>207</v>
          </cell>
        </row>
        <row r="46">
          <cell r="C46">
            <v>393</v>
          </cell>
        </row>
        <row r="47">
          <cell r="C47">
            <v>201</v>
          </cell>
        </row>
        <row r="48">
          <cell r="C48">
            <v>543</v>
          </cell>
        </row>
        <row r="49">
          <cell r="C49">
            <v>295</v>
          </cell>
        </row>
        <row r="50">
          <cell r="C50">
            <v>325</v>
          </cell>
        </row>
        <row r="51">
          <cell r="C51">
            <v>78</v>
          </cell>
        </row>
        <row r="52">
          <cell r="C52">
            <v>263</v>
          </cell>
        </row>
        <row r="53">
          <cell r="C53">
            <v>69</v>
          </cell>
        </row>
        <row r="54">
          <cell r="C54">
            <v>66</v>
          </cell>
        </row>
      </sheetData>
      <sheetData sheetId="3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46282</v>
          </cell>
          <cell r="E2">
            <v>12</v>
          </cell>
        </row>
        <row r="3">
          <cell r="C3" t="str">
            <v>FINAL VENTAS</v>
          </cell>
          <cell r="D3">
            <v>46295</v>
          </cell>
          <cell r="E3">
            <v>10</v>
          </cell>
        </row>
        <row r="8">
          <cell r="C8">
            <v>9960</v>
          </cell>
        </row>
        <row r="9">
          <cell r="C9">
            <v>455</v>
          </cell>
        </row>
        <row r="10">
          <cell r="C10">
            <v>4344</v>
          </cell>
        </row>
        <row r="11">
          <cell r="C11">
            <v>1028</v>
          </cell>
        </row>
        <row r="12">
          <cell r="C12">
            <v>144</v>
          </cell>
        </row>
        <row r="13">
          <cell r="C13">
            <v>10388</v>
          </cell>
        </row>
        <row r="14">
          <cell r="C14">
            <v>733</v>
          </cell>
        </row>
        <row r="15">
          <cell r="C15">
            <v>1515</v>
          </cell>
        </row>
        <row r="16">
          <cell r="C16">
            <v>3618</v>
          </cell>
        </row>
        <row r="17">
          <cell r="C17">
            <v>2049</v>
          </cell>
        </row>
        <row r="18">
          <cell r="C18">
            <v>20730</v>
          </cell>
        </row>
        <row r="19">
          <cell r="C19">
            <v>13263</v>
          </cell>
        </row>
        <row r="20">
          <cell r="C20">
            <v>13149</v>
          </cell>
        </row>
        <row r="21">
          <cell r="C21">
            <v>16874</v>
          </cell>
        </row>
        <row r="22">
          <cell r="C22">
            <v>4160</v>
          </cell>
        </row>
        <row r="23">
          <cell r="C23">
            <v>4135</v>
          </cell>
        </row>
        <row r="24">
          <cell r="C24">
            <v>4551</v>
          </cell>
        </row>
        <row r="25">
          <cell r="C25">
            <v>1075</v>
          </cell>
        </row>
        <row r="26">
          <cell r="C26">
            <v>514</v>
          </cell>
        </row>
        <row r="27">
          <cell r="C27">
            <v>2645</v>
          </cell>
        </row>
        <row r="28">
          <cell r="C28">
            <v>4962</v>
          </cell>
        </row>
        <row r="29">
          <cell r="C29">
            <v>890</v>
          </cell>
        </row>
        <row r="30">
          <cell r="C30">
            <v>5189</v>
          </cell>
        </row>
        <row r="31">
          <cell r="C31">
            <v>7835</v>
          </cell>
        </row>
        <row r="32">
          <cell r="C32">
            <v>3372</v>
          </cell>
        </row>
        <row r="33">
          <cell r="C33">
            <v>2549</v>
          </cell>
        </row>
        <row r="34">
          <cell r="C34">
            <v>986</v>
          </cell>
        </row>
        <row r="35">
          <cell r="C35">
            <v>1276</v>
          </cell>
        </row>
        <row r="36">
          <cell r="C36">
            <v>865</v>
          </cell>
        </row>
        <row r="37">
          <cell r="C37">
            <v>830</v>
          </cell>
        </row>
        <row r="38">
          <cell r="C38">
            <v>3732</v>
          </cell>
        </row>
        <row r="39">
          <cell r="C39">
            <v>3368</v>
          </cell>
        </row>
        <row r="40">
          <cell r="C40">
            <v>4408</v>
          </cell>
        </row>
        <row r="41">
          <cell r="C41">
            <v>3233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605</v>
          </cell>
        </row>
        <row r="45">
          <cell r="C45">
            <v>3260</v>
          </cell>
        </row>
        <row r="46">
          <cell r="C46">
            <v>2318</v>
          </cell>
        </row>
        <row r="47">
          <cell r="C47">
            <v>1656</v>
          </cell>
        </row>
        <row r="48">
          <cell r="C48">
            <v>3242</v>
          </cell>
        </row>
        <row r="49">
          <cell r="C49">
            <v>2296</v>
          </cell>
        </row>
        <row r="50">
          <cell r="C50">
            <v>1290</v>
          </cell>
        </row>
        <row r="51">
          <cell r="C51">
            <v>195</v>
          </cell>
        </row>
        <row r="52">
          <cell r="C52">
            <v>610</v>
          </cell>
        </row>
        <row r="53">
          <cell r="C53">
            <v>347</v>
          </cell>
        </row>
        <row r="54">
          <cell r="C54">
            <v>487</v>
          </cell>
        </row>
      </sheetData>
      <sheetData sheetId="4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46282</v>
          </cell>
          <cell r="E2">
            <v>12</v>
          </cell>
        </row>
        <row r="3">
          <cell r="C3" t="str">
            <v>FINAL VENTAS</v>
          </cell>
          <cell r="D3">
            <v>46295</v>
          </cell>
          <cell r="E3">
            <v>10</v>
          </cell>
        </row>
        <row r="8">
          <cell r="C8">
            <v>3161</v>
          </cell>
        </row>
        <row r="9">
          <cell r="C9">
            <v>245</v>
          </cell>
        </row>
        <row r="10">
          <cell r="C10">
            <v>1175</v>
          </cell>
        </row>
        <row r="11">
          <cell r="C11">
            <v>328</v>
          </cell>
        </row>
        <row r="12">
          <cell r="C12">
            <v>24</v>
          </cell>
        </row>
        <row r="13">
          <cell r="C13">
            <v>4015</v>
          </cell>
        </row>
        <row r="14">
          <cell r="C14">
            <v>666</v>
          </cell>
        </row>
        <row r="15">
          <cell r="C15">
            <v>1448</v>
          </cell>
        </row>
        <row r="16">
          <cell r="C16">
            <v>3748</v>
          </cell>
        </row>
        <row r="17">
          <cell r="C17">
            <v>1645</v>
          </cell>
        </row>
        <row r="18">
          <cell r="C18">
            <v>11433</v>
          </cell>
        </row>
        <row r="19">
          <cell r="C19">
            <v>7112</v>
          </cell>
        </row>
        <row r="20">
          <cell r="C20">
            <v>7591</v>
          </cell>
        </row>
        <row r="21">
          <cell r="C21">
            <v>8688</v>
          </cell>
        </row>
        <row r="22">
          <cell r="C22">
            <v>2320</v>
          </cell>
        </row>
        <row r="23">
          <cell r="C23">
            <v>3266</v>
          </cell>
        </row>
        <row r="24">
          <cell r="C24">
            <v>3358</v>
          </cell>
        </row>
        <row r="25">
          <cell r="C25">
            <v>1403</v>
          </cell>
        </row>
        <row r="26">
          <cell r="C26">
            <v>787</v>
          </cell>
        </row>
        <row r="27">
          <cell r="C27">
            <v>2167</v>
          </cell>
        </row>
        <row r="28">
          <cell r="C28">
            <v>3220</v>
          </cell>
        </row>
        <row r="29">
          <cell r="C29">
            <v>0</v>
          </cell>
        </row>
        <row r="30">
          <cell r="C30">
            <v>1945</v>
          </cell>
        </row>
        <row r="31">
          <cell r="C31">
            <v>2807</v>
          </cell>
        </row>
        <row r="32">
          <cell r="C32">
            <v>1633</v>
          </cell>
        </row>
        <row r="33">
          <cell r="C33">
            <v>1189</v>
          </cell>
        </row>
        <row r="34">
          <cell r="C34">
            <v>678</v>
          </cell>
        </row>
        <row r="35">
          <cell r="C35">
            <v>803</v>
          </cell>
        </row>
        <row r="36">
          <cell r="C36">
            <v>447</v>
          </cell>
        </row>
        <row r="37">
          <cell r="C37">
            <v>440</v>
          </cell>
        </row>
        <row r="38">
          <cell r="C38">
            <v>2833</v>
          </cell>
        </row>
        <row r="39">
          <cell r="C39">
            <v>2193</v>
          </cell>
        </row>
        <row r="40">
          <cell r="C40">
            <v>3108</v>
          </cell>
        </row>
        <row r="41">
          <cell r="C41">
            <v>1798</v>
          </cell>
        </row>
        <row r="42">
          <cell r="C42">
            <v>37</v>
          </cell>
        </row>
        <row r="43">
          <cell r="C43">
            <v>7</v>
          </cell>
        </row>
        <row r="44">
          <cell r="C44">
            <v>799</v>
          </cell>
        </row>
        <row r="45">
          <cell r="C45">
            <v>2324</v>
          </cell>
        </row>
        <row r="46">
          <cell r="C46">
            <v>2134</v>
          </cell>
        </row>
        <row r="47">
          <cell r="C47">
            <v>379</v>
          </cell>
        </row>
        <row r="48">
          <cell r="C48">
            <v>1390</v>
          </cell>
        </row>
        <row r="49">
          <cell r="C49">
            <v>699</v>
          </cell>
        </row>
        <row r="50">
          <cell r="C50">
            <v>913</v>
          </cell>
        </row>
        <row r="51">
          <cell r="C51">
            <v>139</v>
          </cell>
        </row>
        <row r="52">
          <cell r="C52">
            <v>331</v>
          </cell>
        </row>
        <row r="53">
          <cell r="C53">
            <v>94</v>
          </cell>
        </row>
        <row r="54">
          <cell r="C54">
            <v>125</v>
          </cell>
        </row>
      </sheetData>
      <sheetData sheetId="5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46282</v>
          </cell>
          <cell r="E2">
            <v>12</v>
          </cell>
        </row>
        <row r="3">
          <cell r="C3" t="str">
            <v>FINAL VENTAS</v>
          </cell>
          <cell r="D3">
            <v>46295</v>
          </cell>
          <cell r="E3">
            <v>10</v>
          </cell>
        </row>
        <row r="8">
          <cell r="C8">
            <v>340</v>
          </cell>
        </row>
        <row r="9">
          <cell r="C9">
            <v>30</v>
          </cell>
        </row>
        <row r="10">
          <cell r="C10">
            <v>70</v>
          </cell>
        </row>
        <row r="11">
          <cell r="C11">
            <v>24</v>
          </cell>
        </row>
        <row r="12">
          <cell r="C12">
            <v>6</v>
          </cell>
        </row>
        <row r="13">
          <cell r="C13">
            <v>163</v>
          </cell>
        </row>
        <row r="14">
          <cell r="C14">
            <v>144</v>
          </cell>
        </row>
        <row r="15">
          <cell r="C15">
            <v>177</v>
          </cell>
        </row>
        <row r="16">
          <cell r="C16">
            <v>258</v>
          </cell>
        </row>
        <row r="17">
          <cell r="C17">
            <v>56</v>
          </cell>
        </row>
        <row r="18">
          <cell r="C18">
            <v>732</v>
          </cell>
        </row>
        <row r="19">
          <cell r="C19">
            <v>475</v>
          </cell>
        </row>
        <row r="20">
          <cell r="C20">
            <v>341</v>
          </cell>
        </row>
        <row r="21">
          <cell r="C21">
            <v>547</v>
          </cell>
        </row>
        <row r="22">
          <cell r="C22">
            <v>152</v>
          </cell>
        </row>
        <row r="23">
          <cell r="C23">
            <v>214</v>
          </cell>
        </row>
        <row r="24">
          <cell r="C24">
            <v>221</v>
          </cell>
        </row>
        <row r="25">
          <cell r="C25">
            <v>58</v>
          </cell>
        </row>
        <row r="26">
          <cell r="C26">
            <v>21</v>
          </cell>
        </row>
        <row r="27">
          <cell r="C27">
            <v>60</v>
          </cell>
        </row>
        <row r="28">
          <cell r="C28">
            <v>161</v>
          </cell>
        </row>
        <row r="29">
          <cell r="C29">
            <v>0</v>
          </cell>
        </row>
        <row r="30">
          <cell r="C30">
            <v>165</v>
          </cell>
        </row>
        <row r="31">
          <cell r="C31">
            <v>311</v>
          </cell>
        </row>
        <row r="32">
          <cell r="C32">
            <v>238</v>
          </cell>
        </row>
        <row r="33">
          <cell r="C33">
            <v>318</v>
          </cell>
        </row>
        <row r="34">
          <cell r="C34">
            <v>62</v>
          </cell>
        </row>
        <row r="35">
          <cell r="C35">
            <v>61</v>
          </cell>
        </row>
        <row r="36">
          <cell r="C36">
            <v>65</v>
          </cell>
        </row>
        <row r="37">
          <cell r="C37">
            <v>57</v>
          </cell>
        </row>
        <row r="38">
          <cell r="C38">
            <v>347</v>
          </cell>
        </row>
        <row r="39">
          <cell r="C39">
            <v>323</v>
          </cell>
        </row>
        <row r="40">
          <cell r="C40">
            <v>335</v>
          </cell>
        </row>
        <row r="41">
          <cell r="C41">
            <v>301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58</v>
          </cell>
        </row>
        <row r="45">
          <cell r="C45">
            <v>135</v>
          </cell>
        </row>
        <row r="46">
          <cell r="C46">
            <v>47</v>
          </cell>
        </row>
        <row r="47">
          <cell r="C47">
            <v>23</v>
          </cell>
        </row>
        <row r="48">
          <cell r="C48">
            <v>90</v>
          </cell>
        </row>
        <row r="49">
          <cell r="C49">
            <v>102</v>
          </cell>
        </row>
        <row r="50">
          <cell r="C50">
            <v>102</v>
          </cell>
        </row>
        <row r="51">
          <cell r="C51">
            <v>26</v>
          </cell>
        </row>
        <row r="52">
          <cell r="C52">
            <v>32</v>
          </cell>
        </row>
        <row r="53">
          <cell r="C53">
            <v>27</v>
          </cell>
        </row>
        <row r="54">
          <cell r="C54">
            <v>15</v>
          </cell>
        </row>
      </sheetData>
      <sheetData sheetId="6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46282</v>
          </cell>
          <cell r="E2">
            <v>12</v>
          </cell>
        </row>
        <row r="3">
          <cell r="C3" t="str">
            <v>FINAL VENTAS</v>
          </cell>
          <cell r="D3">
            <v>46295</v>
          </cell>
          <cell r="E3">
            <v>10</v>
          </cell>
        </row>
        <row r="8">
          <cell r="C8">
            <v>14842</v>
          </cell>
        </row>
        <row r="9">
          <cell r="C9">
            <v>801</v>
          </cell>
        </row>
        <row r="10">
          <cell r="C10">
            <v>5941</v>
          </cell>
        </row>
        <row r="11">
          <cell r="C11">
            <v>1439</v>
          </cell>
        </row>
        <row r="12">
          <cell r="C12">
            <v>185</v>
          </cell>
        </row>
        <row r="13">
          <cell r="C13">
            <v>17164</v>
          </cell>
        </row>
        <row r="14">
          <cell r="C14">
            <v>1768</v>
          </cell>
        </row>
        <row r="15">
          <cell r="C15">
            <v>3424</v>
          </cell>
        </row>
        <row r="16">
          <cell r="C16">
            <v>8861</v>
          </cell>
        </row>
        <row r="17">
          <cell r="C17">
            <v>4199</v>
          </cell>
        </row>
        <row r="18">
          <cell r="C18">
            <v>41620</v>
          </cell>
        </row>
        <row r="19">
          <cell r="C19">
            <v>25716</v>
          </cell>
        </row>
        <row r="20">
          <cell r="C20">
            <v>26192</v>
          </cell>
        </row>
        <row r="21">
          <cell r="C21">
            <v>31881</v>
          </cell>
        </row>
        <row r="22">
          <cell r="C22">
            <v>8448</v>
          </cell>
        </row>
        <row r="23">
          <cell r="C23">
            <v>9831</v>
          </cell>
        </row>
        <row r="24">
          <cell r="C24">
            <v>10340</v>
          </cell>
        </row>
        <row r="25">
          <cell r="C25">
            <v>3072</v>
          </cell>
        </row>
        <row r="26">
          <cell r="C26">
            <v>1459</v>
          </cell>
        </row>
        <row r="27">
          <cell r="C27">
            <v>6175</v>
          </cell>
        </row>
        <row r="28">
          <cell r="C28">
            <v>10099</v>
          </cell>
        </row>
        <row r="29">
          <cell r="C29">
            <v>930</v>
          </cell>
        </row>
        <row r="30">
          <cell r="C30">
            <v>8345</v>
          </cell>
        </row>
        <row r="31">
          <cell r="C31">
            <v>13347</v>
          </cell>
        </row>
        <row r="32">
          <cell r="C32">
            <v>6806</v>
          </cell>
        </row>
        <row r="33">
          <cell r="C33">
            <v>5219</v>
          </cell>
        </row>
        <row r="34">
          <cell r="C34">
            <v>2686</v>
          </cell>
        </row>
        <row r="35">
          <cell r="C35">
            <v>3213</v>
          </cell>
        </row>
        <row r="36">
          <cell r="C36">
            <v>1617</v>
          </cell>
        </row>
        <row r="37">
          <cell r="C37">
            <v>1638</v>
          </cell>
        </row>
        <row r="38">
          <cell r="C38">
            <v>9095</v>
          </cell>
        </row>
        <row r="39">
          <cell r="C39">
            <v>7097</v>
          </cell>
        </row>
        <row r="40">
          <cell r="C40">
            <v>9536</v>
          </cell>
        </row>
        <row r="41">
          <cell r="C41">
            <v>6209</v>
          </cell>
        </row>
        <row r="42">
          <cell r="C42">
            <v>51</v>
          </cell>
        </row>
        <row r="43">
          <cell r="C43">
            <v>7</v>
          </cell>
        </row>
        <row r="44">
          <cell r="C44">
            <v>1757</v>
          </cell>
        </row>
        <row r="45">
          <cell r="C45">
            <v>6515</v>
          </cell>
        </row>
        <row r="46">
          <cell r="C46">
            <v>5043</v>
          </cell>
        </row>
        <row r="47">
          <cell r="C47">
            <v>2393</v>
          </cell>
        </row>
        <row r="48">
          <cell r="C48">
            <v>5693</v>
          </cell>
        </row>
        <row r="49">
          <cell r="C49">
            <v>3547</v>
          </cell>
        </row>
        <row r="50">
          <cell r="C50">
            <v>2754</v>
          </cell>
        </row>
        <row r="51">
          <cell r="C51">
            <v>442</v>
          </cell>
        </row>
        <row r="52">
          <cell r="C52">
            <v>1327</v>
          </cell>
        </row>
        <row r="53">
          <cell r="C53">
            <v>549</v>
          </cell>
        </row>
        <row r="54">
          <cell r="C54">
            <v>726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E55" sqref="E5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'[1]VENTAS CONSOLIDADA ZULIA'!D1</f>
        <v>46266</v>
      </c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'[1]VENTAS CONSOLIDADA ZULIA'!D2</f>
        <v>46282</v>
      </c>
      <c r="E2" s="4">
        <f ca="1">'[1]VENTAS CONSOLIDADA ZULIA'!E2</f>
        <v>12</v>
      </c>
    </row>
    <row r="3" spans="1:5" x14ac:dyDescent="0.25">
      <c r="B3" s="9"/>
      <c r="C3" s="2" t="str">
        <f>'[1]VENTAS CONSOLIDADA ZULIA'!C3</f>
        <v>FINAL VENTAS</v>
      </c>
      <c r="D3" s="3">
        <f>'[1]VENTAS CONSOLIDADA ZULIA'!D3</f>
        <v>46295</v>
      </c>
      <c r="E3" s="4">
        <f ca="1">'[1]VENTAS CONSOLIDADA ZULIA'!E3</f>
        <v>10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ZULIA'!C8</f>
        <v>340</v>
      </c>
      <c r="D8" s="5">
        <f t="shared" ref="D8:D54" ca="1" si="0">C8/$E$2</f>
        <v>28.333333333333332</v>
      </c>
      <c r="E8" s="5">
        <f ca="1">D8*($E$2+$E$3)</f>
        <v>623.33333333333326</v>
      </c>
    </row>
    <row r="9" spans="1:5" x14ac:dyDescent="0.25">
      <c r="A9">
        <v>110151</v>
      </c>
      <c r="B9" t="s">
        <v>5</v>
      </c>
      <c r="C9">
        <f>'[1]VENTAS CONSOLIDADA ZULIA'!C9</f>
        <v>30</v>
      </c>
      <c r="D9" s="5">
        <f t="shared" ca="1" si="0"/>
        <v>2.5</v>
      </c>
      <c r="E9" s="5">
        <f t="shared" ref="E9:E54" ca="1" si="1">D9*($E$2+$E$3)</f>
        <v>55</v>
      </c>
    </row>
    <row r="10" spans="1:5" x14ac:dyDescent="0.25">
      <c r="A10">
        <v>110230</v>
      </c>
      <c r="B10" t="s">
        <v>1</v>
      </c>
      <c r="C10">
        <f>'[1]VENTAS CONSOLIDADA ZULIA'!C10</f>
        <v>70</v>
      </c>
      <c r="D10" s="5">
        <f t="shared" ca="1" si="0"/>
        <v>5.833333333333333</v>
      </c>
      <c r="E10" s="5">
        <f t="shared" ca="1" si="1"/>
        <v>128.33333333333331</v>
      </c>
    </row>
    <row r="11" spans="1:5" x14ac:dyDescent="0.25">
      <c r="A11">
        <v>110400</v>
      </c>
      <c r="B11" t="s">
        <v>13</v>
      </c>
      <c r="C11">
        <f>'[1]VENTAS CONSOLIDADA ZULIA'!C11</f>
        <v>24</v>
      </c>
      <c r="D11" s="5">
        <f t="shared" ca="1" si="0"/>
        <v>2</v>
      </c>
      <c r="E11" s="5">
        <f t="shared" ca="1" si="1"/>
        <v>44</v>
      </c>
    </row>
    <row r="12" spans="1:5" x14ac:dyDescent="0.25">
      <c r="A12">
        <v>111000</v>
      </c>
      <c r="B12" t="s">
        <v>14</v>
      </c>
      <c r="C12">
        <f>'[1]VENTAS CONSOLIDADA ZULIA'!C12</f>
        <v>6</v>
      </c>
      <c r="D12" s="5">
        <f t="shared" ca="1" si="0"/>
        <v>0.5</v>
      </c>
      <c r="E12" s="5">
        <f t="shared" ca="1" si="1"/>
        <v>11</v>
      </c>
    </row>
    <row r="13" spans="1:5" x14ac:dyDescent="0.25">
      <c r="A13">
        <v>120130</v>
      </c>
      <c r="B13" t="s">
        <v>15</v>
      </c>
      <c r="C13">
        <f>'[1]VENTAS CONSOLIDADA ZULIA'!C13</f>
        <v>163</v>
      </c>
      <c r="D13" s="5">
        <f t="shared" ca="1" si="0"/>
        <v>13.583333333333334</v>
      </c>
      <c r="E13" s="5">
        <f t="shared" ca="1" si="1"/>
        <v>298.83333333333337</v>
      </c>
    </row>
    <row r="14" spans="1:5" x14ac:dyDescent="0.25">
      <c r="A14">
        <v>120131</v>
      </c>
      <c r="B14" t="s">
        <v>23</v>
      </c>
      <c r="C14">
        <f>'[1]VENTAS CONSOLIDADA ZULIA'!C14</f>
        <v>144</v>
      </c>
      <c r="D14" s="5">
        <f t="shared" ca="1" si="0"/>
        <v>12</v>
      </c>
      <c r="E14" s="5">
        <f t="shared" ca="1" si="1"/>
        <v>264</v>
      </c>
    </row>
    <row r="15" spans="1:5" x14ac:dyDescent="0.25">
      <c r="A15">
        <v>120132</v>
      </c>
      <c r="B15" t="s">
        <v>21</v>
      </c>
      <c r="C15">
        <f>'[1]VENTAS CONSOLIDADA ZULIA'!C15</f>
        <v>177</v>
      </c>
      <c r="D15" s="5">
        <f t="shared" ca="1" si="0"/>
        <v>14.75</v>
      </c>
      <c r="E15" s="5">
        <f t="shared" ca="1" si="1"/>
        <v>324.5</v>
      </c>
    </row>
    <row r="16" spans="1:5" x14ac:dyDescent="0.25">
      <c r="A16">
        <v>130150</v>
      </c>
      <c r="B16" t="s">
        <v>0</v>
      </c>
      <c r="C16">
        <f>'[1]VENTAS CONSOLIDADA ZULIA'!C16</f>
        <v>258</v>
      </c>
      <c r="D16" s="5">
        <f t="shared" ca="1" si="0"/>
        <v>21.5</v>
      </c>
      <c r="E16" s="5">
        <f t="shared" ca="1" si="1"/>
        <v>473</v>
      </c>
    </row>
    <row r="17" spans="1:5" x14ac:dyDescent="0.25">
      <c r="A17">
        <v>130151</v>
      </c>
      <c r="B17" t="s">
        <v>4</v>
      </c>
      <c r="C17">
        <f>'[1]VENTAS CONSOLIDADA ZULIA'!C17</f>
        <v>56</v>
      </c>
      <c r="D17" s="5">
        <f t="shared" ca="1" si="0"/>
        <v>4.666666666666667</v>
      </c>
      <c r="E17" s="5">
        <f t="shared" ca="1" si="1"/>
        <v>102.66666666666667</v>
      </c>
    </row>
    <row r="18" spans="1:5" x14ac:dyDescent="0.25">
      <c r="A18">
        <v>130152</v>
      </c>
      <c r="B18" t="s">
        <v>51</v>
      </c>
      <c r="C18">
        <f>'[1]VENTAS CONSOLIDADA ZULIA'!C18</f>
        <v>732</v>
      </c>
      <c r="D18" s="5">
        <f t="shared" ca="1" si="0"/>
        <v>61</v>
      </c>
      <c r="E18" s="5">
        <f t="shared" ca="1" si="1"/>
        <v>1342</v>
      </c>
    </row>
    <row r="19" spans="1:5" x14ac:dyDescent="0.25">
      <c r="A19">
        <v>130153</v>
      </c>
      <c r="B19" t="s">
        <v>52</v>
      </c>
      <c r="C19">
        <f>'[1]VENTAS CONSOLIDADA ZULIA'!C19</f>
        <v>475</v>
      </c>
      <c r="D19" s="5">
        <f t="shared" ca="1" si="0"/>
        <v>39.583333333333336</v>
      </c>
      <c r="E19" s="5">
        <f t="shared" ca="1" si="1"/>
        <v>870.83333333333337</v>
      </c>
    </row>
    <row r="20" spans="1:5" x14ac:dyDescent="0.25">
      <c r="A20">
        <v>130154</v>
      </c>
      <c r="B20" t="s">
        <v>53</v>
      </c>
      <c r="C20">
        <f>'[1]VENTAS CONSOLIDADA ZULIA'!C20</f>
        <v>341</v>
      </c>
      <c r="D20" s="5">
        <f t="shared" ca="1" si="0"/>
        <v>28.416666666666668</v>
      </c>
      <c r="E20" s="5">
        <f t="shared" ca="1" si="1"/>
        <v>625.16666666666674</v>
      </c>
    </row>
    <row r="21" spans="1:5" x14ac:dyDescent="0.25">
      <c r="A21">
        <v>130155</v>
      </c>
      <c r="B21" t="s">
        <v>16</v>
      </c>
      <c r="C21">
        <f>'[1]VENTAS CONSOLIDADA ZULIA'!C21</f>
        <v>547</v>
      </c>
      <c r="D21" s="5">
        <f t="shared" ca="1" si="0"/>
        <v>45.583333333333336</v>
      </c>
      <c r="E21" s="5">
        <f t="shared" ca="1" si="1"/>
        <v>1002.8333333333334</v>
      </c>
    </row>
    <row r="22" spans="1:5" x14ac:dyDescent="0.25">
      <c r="A22">
        <v>130157</v>
      </c>
      <c r="B22" t="s">
        <v>43</v>
      </c>
      <c r="C22">
        <f>'[1]VENTAS CONSOLIDADA ZULIA'!C22</f>
        <v>152</v>
      </c>
      <c r="D22" s="5">
        <f t="shared" ca="1" si="0"/>
        <v>12.666666666666666</v>
      </c>
      <c r="E22" s="5">
        <f t="shared" ca="1" si="1"/>
        <v>278.66666666666663</v>
      </c>
    </row>
    <row r="23" spans="1:5" x14ac:dyDescent="0.25">
      <c r="A23">
        <v>130158</v>
      </c>
      <c r="B23" t="s">
        <v>44</v>
      </c>
      <c r="C23">
        <f>'[1]VENTAS CONSOLIDADA ZULIA'!C23</f>
        <v>214</v>
      </c>
      <c r="D23" s="5">
        <f t="shared" ca="1" si="0"/>
        <v>17.833333333333332</v>
      </c>
      <c r="E23" s="5">
        <f t="shared" ca="1" si="1"/>
        <v>392.33333333333331</v>
      </c>
    </row>
    <row r="24" spans="1:5" x14ac:dyDescent="0.25">
      <c r="A24">
        <v>130159</v>
      </c>
      <c r="B24" t="s">
        <v>45</v>
      </c>
      <c r="C24">
        <f>'[1]VENTAS CONSOLIDADA ZULIA'!C24</f>
        <v>221</v>
      </c>
      <c r="D24" s="5">
        <f t="shared" ca="1" si="0"/>
        <v>18.416666666666668</v>
      </c>
      <c r="E24" s="5">
        <f t="shared" ca="1" si="1"/>
        <v>405.16666666666669</v>
      </c>
    </row>
    <row r="25" spans="1:5" x14ac:dyDescent="0.25">
      <c r="A25">
        <v>130700</v>
      </c>
      <c r="B25" t="s">
        <v>3</v>
      </c>
      <c r="C25">
        <f>'[1]VENTAS CONSOLIDADA ZULIA'!C25</f>
        <v>58</v>
      </c>
      <c r="D25" s="5">
        <f t="shared" ca="1" si="0"/>
        <v>4.833333333333333</v>
      </c>
      <c r="E25" s="5">
        <f t="shared" ca="1" si="1"/>
        <v>106.33333333333333</v>
      </c>
    </row>
    <row r="26" spans="1:5" x14ac:dyDescent="0.25">
      <c r="A26">
        <v>130701</v>
      </c>
      <c r="B26" t="s">
        <v>30</v>
      </c>
      <c r="C26">
        <f>'[1]VENTAS CONSOLIDADA ZULIA'!C26</f>
        <v>21</v>
      </c>
      <c r="D26" s="5">
        <f t="shared" ca="1" si="0"/>
        <v>1.75</v>
      </c>
      <c r="E26" s="5">
        <f t="shared" ca="1" si="1"/>
        <v>38.5</v>
      </c>
    </row>
    <row r="27" spans="1:5" x14ac:dyDescent="0.25">
      <c r="A27">
        <v>130702</v>
      </c>
      <c r="B27" t="s">
        <v>12</v>
      </c>
      <c r="C27">
        <f>'[1]VENTAS CONSOLIDADA ZULIA'!C27</f>
        <v>60</v>
      </c>
      <c r="D27" s="5">
        <f t="shared" ca="1" si="0"/>
        <v>5</v>
      </c>
      <c r="E27" s="5">
        <f t="shared" ca="1" si="1"/>
        <v>110</v>
      </c>
    </row>
    <row r="28" spans="1:5" x14ac:dyDescent="0.25">
      <c r="A28">
        <v>130703</v>
      </c>
      <c r="B28" t="s">
        <v>17</v>
      </c>
      <c r="C28">
        <f>'[1]VENTAS CONSOLIDADA ZULIA'!C28</f>
        <v>161</v>
      </c>
      <c r="D28" s="5">
        <f t="shared" ca="1" si="0"/>
        <v>13.416666666666666</v>
      </c>
      <c r="E28" s="5">
        <f t="shared" ca="1" si="1"/>
        <v>295.16666666666663</v>
      </c>
    </row>
    <row r="29" spans="1:5" x14ac:dyDescent="0.25">
      <c r="A29">
        <v>130707</v>
      </c>
      <c r="B29" t="s">
        <v>42</v>
      </c>
      <c r="C29">
        <f>'[1]VENTAS CONSOLIDADA ZULIA'!C29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ZULIA'!C30</f>
        <v>165</v>
      </c>
      <c r="D30" s="5">
        <f t="shared" ca="1" si="0"/>
        <v>13.75</v>
      </c>
      <c r="E30" s="5">
        <f t="shared" ca="1" si="1"/>
        <v>302.5</v>
      </c>
    </row>
    <row r="31" spans="1:5" x14ac:dyDescent="0.25">
      <c r="A31">
        <v>131151</v>
      </c>
      <c r="B31" t="s">
        <v>19</v>
      </c>
      <c r="C31">
        <f>'[1]VENTAS CONSOLIDADA ZULIA'!C31</f>
        <v>311</v>
      </c>
      <c r="D31" s="5">
        <f t="shared" ca="1" si="0"/>
        <v>25.916666666666668</v>
      </c>
      <c r="E31" s="5">
        <f t="shared" ca="1" si="1"/>
        <v>570.16666666666674</v>
      </c>
    </row>
    <row r="32" spans="1:5" x14ac:dyDescent="0.25">
      <c r="A32">
        <v>131152</v>
      </c>
      <c r="B32" t="s">
        <v>32</v>
      </c>
      <c r="C32">
        <f>'[1]VENTAS CONSOLIDADA ZULIA'!C32</f>
        <v>238</v>
      </c>
      <c r="D32" s="5">
        <f t="shared" ca="1" si="0"/>
        <v>19.833333333333332</v>
      </c>
      <c r="E32" s="5">
        <f t="shared" ca="1" si="1"/>
        <v>436.33333333333331</v>
      </c>
    </row>
    <row r="33" spans="1:5" x14ac:dyDescent="0.25">
      <c r="A33">
        <v>131153</v>
      </c>
      <c r="B33" t="s">
        <v>11</v>
      </c>
      <c r="C33">
        <f>'[1]VENTAS CONSOLIDADA ZULIA'!C33</f>
        <v>318</v>
      </c>
      <c r="D33" s="5">
        <f t="shared" ca="1" si="0"/>
        <v>26.5</v>
      </c>
      <c r="E33" s="5">
        <f t="shared" ca="1" si="1"/>
        <v>583</v>
      </c>
    </row>
    <row r="34" spans="1:5" x14ac:dyDescent="0.25">
      <c r="A34">
        <v>131154</v>
      </c>
      <c r="B34" t="s">
        <v>48</v>
      </c>
      <c r="C34">
        <f>'[1]VENTAS CONSOLIDADA ZULIA'!C34</f>
        <v>62</v>
      </c>
      <c r="D34" s="5">
        <f t="shared" ca="1" si="0"/>
        <v>5.166666666666667</v>
      </c>
      <c r="E34" s="5">
        <f t="shared" ca="1" si="1"/>
        <v>113.66666666666667</v>
      </c>
    </row>
    <row r="35" spans="1:5" x14ac:dyDescent="0.25">
      <c r="A35">
        <v>131155</v>
      </c>
      <c r="B35" t="s">
        <v>57</v>
      </c>
      <c r="C35">
        <f>'[1]VENTAS CONSOLIDADA ZULIA'!C35</f>
        <v>61</v>
      </c>
      <c r="D35" s="5">
        <f t="shared" ca="1" si="0"/>
        <v>5.083333333333333</v>
      </c>
      <c r="E35" s="5">
        <f t="shared" ca="1" si="1"/>
        <v>111.83333333333333</v>
      </c>
    </row>
    <row r="36" spans="1:5" x14ac:dyDescent="0.25">
      <c r="A36">
        <v>131700</v>
      </c>
      <c r="B36" t="s">
        <v>20</v>
      </c>
      <c r="C36">
        <f>'[1]VENTAS CONSOLIDADA ZULIA'!C36</f>
        <v>65</v>
      </c>
      <c r="D36" s="5">
        <f t="shared" ca="1" si="0"/>
        <v>5.416666666666667</v>
      </c>
      <c r="E36" s="5">
        <f t="shared" ca="1" si="1"/>
        <v>119.16666666666667</v>
      </c>
    </row>
    <row r="37" spans="1:5" x14ac:dyDescent="0.25">
      <c r="A37">
        <v>131701</v>
      </c>
      <c r="B37" t="s">
        <v>24</v>
      </c>
      <c r="C37">
        <f>'[1]VENTAS CONSOLIDADA ZULIA'!C37</f>
        <v>57</v>
      </c>
      <c r="D37" s="5">
        <f t="shared" ca="1" si="0"/>
        <v>4.75</v>
      </c>
      <c r="E37" s="5">
        <f t="shared" ca="1" si="1"/>
        <v>104.5</v>
      </c>
    </row>
    <row r="38" spans="1:5" x14ac:dyDescent="0.25">
      <c r="A38">
        <v>132150</v>
      </c>
      <c r="B38" t="s">
        <v>25</v>
      </c>
      <c r="C38">
        <f>'[1]VENTAS CONSOLIDADA ZULIA'!C38</f>
        <v>347</v>
      </c>
      <c r="D38" s="5">
        <f t="shared" ca="1" si="0"/>
        <v>28.916666666666668</v>
      </c>
      <c r="E38" s="5">
        <f t="shared" ca="1" si="1"/>
        <v>636.16666666666674</v>
      </c>
    </row>
    <row r="39" spans="1:5" x14ac:dyDescent="0.25">
      <c r="A39">
        <v>132151</v>
      </c>
      <c r="B39" t="s">
        <v>26</v>
      </c>
      <c r="C39">
        <f>'[1]VENTAS CONSOLIDADA ZULIA'!C39</f>
        <v>323</v>
      </c>
      <c r="D39" s="5">
        <f t="shared" ca="1" si="0"/>
        <v>26.916666666666668</v>
      </c>
      <c r="E39" s="5">
        <f t="shared" ca="1" si="1"/>
        <v>592.16666666666674</v>
      </c>
    </row>
    <row r="40" spans="1:5" x14ac:dyDescent="0.25">
      <c r="A40">
        <v>132152</v>
      </c>
      <c r="B40" t="s">
        <v>27</v>
      </c>
      <c r="C40">
        <f>'[1]VENTAS CONSOLIDADA ZULIA'!C40</f>
        <v>335</v>
      </c>
      <c r="D40" s="5">
        <f t="shared" ca="1" si="0"/>
        <v>27.916666666666668</v>
      </c>
      <c r="E40" s="5">
        <f t="shared" ca="1" si="1"/>
        <v>614.16666666666674</v>
      </c>
    </row>
    <row r="41" spans="1:5" x14ac:dyDescent="0.25">
      <c r="A41">
        <v>132153</v>
      </c>
      <c r="B41" t="s">
        <v>40</v>
      </c>
      <c r="C41">
        <f>'[1]VENTAS CONSOLIDADA ZULIA'!C41</f>
        <v>301</v>
      </c>
      <c r="D41" s="5">
        <f t="shared" ca="1" si="0"/>
        <v>25.083333333333332</v>
      </c>
      <c r="E41" s="5">
        <f t="shared" ca="1" si="1"/>
        <v>551.83333333333326</v>
      </c>
    </row>
    <row r="42" spans="1:5" x14ac:dyDescent="0.25">
      <c r="A42">
        <v>134000</v>
      </c>
      <c r="B42" t="s">
        <v>35</v>
      </c>
      <c r="C42">
        <f>'[1]VENTAS CONSOLIDADA ZULIA'!C42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ZULIA'!C43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ZULIA'!C44</f>
        <v>58</v>
      </c>
      <c r="D44" s="5">
        <f t="shared" ca="1" si="0"/>
        <v>4.833333333333333</v>
      </c>
      <c r="E44" s="5">
        <f t="shared" ca="1" si="1"/>
        <v>106.33333333333333</v>
      </c>
    </row>
    <row r="45" spans="1:5" x14ac:dyDescent="0.25">
      <c r="A45">
        <v>140231</v>
      </c>
      <c r="B45" t="s">
        <v>10</v>
      </c>
      <c r="C45">
        <f>'[1]VENTAS CONSOLIDADA ZULIA'!C45</f>
        <v>135</v>
      </c>
      <c r="D45" s="5">
        <f t="shared" ca="1" si="0"/>
        <v>11.25</v>
      </c>
      <c r="E45" s="5">
        <f t="shared" ca="1" si="1"/>
        <v>247.5</v>
      </c>
    </row>
    <row r="46" spans="1:5" x14ac:dyDescent="0.25">
      <c r="A46">
        <v>140232</v>
      </c>
      <c r="B46" t="s">
        <v>9</v>
      </c>
      <c r="C46">
        <f>'[1]VENTAS CONSOLIDADA ZULIA'!C46</f>
        <v>47</v>
      </c>
      <c r="D46" s="5">
        <f t="shared" ca="1" si="0"/>
        <v>3.9166666666666665</v>
      </c>
      <c r="E46" s="5">
        <f t="shared" ca="1" si="1"/>
        <v>86.166666666666657</v>
      </c>
    </row>
    <row r="47" spans="1:5" x14ac:dyDescent="0.25">
      <c r="A47">
        <v>150360</v>
      </c>
      <c r="B47" t="s">
        <v>28</v>
      </c>
      <c r="C47">
        <f>'[1]VENTAS CONSOLIDADA ZULIA'!C47</f>
        <v>23</v>
      </c>
      <c r="D47" s="5">
        <f t="shared" ca="1" si="0"/>
        <v>1.9166666666666667</v>
      </c>
      <c r="E47" s="5">
        <f t="shared" ca="1" si="1"/>
        <v>42.166666666666671</v>
      </c>
    </row>
    <row r="48" spans="1:5" x14ac:dyDescent="0.25">
      <c r="A48">
        <v>150361</v>
      </c>
      <c r="B48" t="s">
        <v>29</v>
      </c>
      <c r="C48">
        <f>'[1]VENTAS CONSOLIDADA ZULIA'!C48</f>
        <v>90</v>
      </c>
      <c r="D48" s="5">
        <f t="shared" ca="1" si="0"/>
        <v>7.5</v>
      </c>
      <c r="E48" s="5">
        <f t="shared" ca="1" si="1"/>
        <v>165</v>
      </c>
    </row>
    <row r="49" spans="1:5" x14ac:dyDescent="0.25">
      <c r="A49">
        <v>150362</v>
      </c>
      <c r="B49" t="s">
        <v>36</v>
      </c>
      <c r="C49">
        <f>'[1]VENTAS CONSOLIDADA ZULIA'!C49</f>
        <v>102</v>
      </c>
      <c r="D49" s="5">
        <f t="shared" ca="1" si="0"/>
        <v>8.5</v>
      </c>
      <c r="E49" s="5">
        <f t="shared" ca="1" si="1"/>
        <v>187</v>
      </c>
    </row>
    <row r="50" spans="1:5" x14ac:dyDescent="0.25">
      <c r="A50">
        <v>150363</v>
      </c>
      <c r="B50" t="s">
        <v>31</v>
      </c>
      <c r="C50">
        <f>'[1]VENTAS CONSOLIDADA ZULIA'!C50</f>
        <v>102</v>
      </c>
      <c r="D50" s="5">
        <f t="shared" ca="1" si="0"/>
        <v>8.5</v>
      </c>
      <c r="E50" s="5">
        <f t="shared" ca="1" si="1"/>
        <v>187</v>
      </c>
    </row>
    <row r="51" spans="1:5" x14ac:dyDescent="0.25">
      <c r="A51">
        <v>151500</v>
      </c>
      <c r="B51" t="s">
        <v>41</v>
      </c>
      <c r="C51">
        <f>'[1]VENTAS CONSOLIDADA ZULIA'!C51</f>
        <v>26</v>
      </c>
      <c r="D51" s="5">
        <f t="shared" ca="1" si="0"/>
        <v>2.1666666666666665</v>
      </c>
      <c r="E51" s="5">
        <f t="shared" ca="1" si="1"/>
        <v>47.666666666666664</v>
      </c>
    </row>
    <row r="52" spans="1:5" x14ac:dyDescent="0.25">
      <c r="A52">
        <v>151501</v>
      </c>
      <c r="B52" t="s">
        <v>33</v>
      </c>
      <c r="C52">
        <f>'[1]VENTAS CONSOLIDADA ZULIA'!C52</f>
        <v>32</v>
      </c>
      <c r="D52" s="5">
        <f t="shared" ca="1" si="0"/>
        <v>2.6666666666666665</v>
      </c>
      <c r="E52" s="5">
        <f t="shared" ca="1" si="1"/>
        <v>58.666666666666664</v>
      </c>
    </row>
    <row r="53" spans="1:5" x14ac:dyDescent="0.25">
      <c r="A53">
        <v>151502</v>
      </c>
      <c r="B53" t="s">
        <v>37</v>
      </c>
      <c r="C53">
        <f>'[1]VENTAS CONSOLIDADA ZULIA'!C53</f>
        <v>27</v>
      </c>
      <c r="D53" s="5">
        <f t="shared" ca="1" si="0"/>
        <v>2.25</v>
      </c>
      <c r="E53" s="5">
        <f t="shared" ca="1" si="1"/>
        <v>49.5</v>
      </c>
    </row>
    <row r="54" spans="1:5" x14ac:dyDescent="0.25">
      <c r="A54">
        <v>151503</v>
      </c>
      <c r="B54" t="s">
        <v>34</v>
      </c>
      <c r="C54">
        <f>'[1]VENTAS CONSOLIDADA ZULIA'!C54</f>
        <v>15</v>
      </c>
      <c r="D54" s="5">
        <f t="shared" ca="1" si="0"/>
        <v>1.25</v>
      </c>
      <c r="E54" s="5">
        <f t="shared" ca="1" si="1"/>
        <v>27.5</v>
      </c>
    </row>
    <row r="55" spans="1:5" x14ac:dyDescent="0.25">
      <c r="D55" s="5">
        <f ca="1">SUM(D8:D54)</f>
        <v>624.16666666666663</v>
      </c>
      <c r="E55" s="5">
        <f ca="1">SUM(E8:E54)</f>
        <v>13731.666666666664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D55" sqref="D5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'[1]VENTAS CONSOLIDADA VALENCIA'!D1</f>
        <v>46266</v>
      </c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'[1]VENTAS CONSOLIDADA VALENCIA'!D2</f>
        <v>46282</v>
      </c>
      <c r="E2" s="4">
        <f ca="1">'[1]VENTAS CONSOLIDADA VALENCIA'!E2</f>
        <v>12</v>
      </c>
    </row>
    <row r="3" spans="1:5" x14ac:dyDescent="0.25">
      <c r="B3" s="9"/>
      <c r="C3" s="2" t="str">
        <f>'[1]VENTAS CONSOLIDADA VALENCIA'!C3</f>
        <v>FINAL VENTAS</v>
      </c>
      <c r="D3" s="3">
        <f>'[1]VENTAS CONSOLIDADA VALENCIA'!D3</f>
        <v>46295</v>
      </c>
      <c r="E3" s="4">
        <f ca="1">'[1]VENTAS CONSOLIDADA VALENCIA'!E3</f>
        <v>10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VALENCIA'!C8</f>
        <v>3161</v>
      </c>
      <c r="D8" s="5">
        <f t="shared" ref="D8:D54" ca="1" si="0">C8/$E$2</f>
        <v>263.41666666666669</v>
      </c>
      <c r="E8" s="5">
        <f ca="1">D8*($E$2+$E$3)</f>
        <v>5795.166666666667</v>
      </c>
    </row>
    <row r="9" spans="1:5" x14ac:dyDescent="0.25">
      <c r="A9">
        <v>110151</v>
      </c>
      <c r="B9" t="s">
        <v>5</v>
      </c>
      <c r="C9">
        <f>'[1]VENTAS CONSOLIDADA VALENCIA'!C9</f>
        <v>245</v>
      </c>
      <c r="D9" s="5">
        <f t="shared" ca="1" si="0"/>
        <v>20.416666666666668</v>
      </c>
      <c r="E9" s="5">
        <f t="shared" ref="E9:E54" ca="1" si="1">D9*($E$2+$E$3)</f>
        <v>449.16666666666669</v>
      </c>
    </row>
    <row r="10" spans="1:5" x14ac:dyDescent="0.25">
      <c r="A10">
        <v>110230</v>
      </c>
      <c r="B10" t="s">
        <v>1</v>
      </c>
      <c r="C10">
        <f>'[1]VENTAS CONSOLIDADA VALENCIA'!C10</f>
        <v>1175</v>
      </c>
      <c r="D10" s="5">
        <f t="shared" ca="1" si="0"/>
        <v>97.916666666666671</v>
      </c>
      <c r="E10" s="5">
        <f t="shared" ca="1" si="1"/>
        <v>2154.166666666667</v>
      </c>
    </row>
    <row r="11" spans="1:5" x14ac:dyDescent="0.25">
      <c r="A11">
        <v>110400</v>
      </c>
      <c r="B11" t="s">
        <v>13</v>
      </c>
      <c r="C11">
        <f>'[1]VENTAS CONSOLIDADA VALENCIA'!C11</f>
        <v>328</v>
      </c>
      <c r="D11" s="5">
        <f t="shared" ca="1" si="0"/>
        <v>27.333333333333332</v>
      </c>
      <c r="E11" s="5">
        <f t="shared" ca="1" si="1"/>
        <v>601.33333333333326</v>
      </c>
    </row>
    <row r="12" spans="1:5" x14ac:dyDescent="0.25">
      <c r="A12">
        <v>111000</v>
      </c>
      <c r="B12" t="s">
        <v>14</v>
      </c>
      <c r="C12">
        <f>'[1]VENTAS CONSOLIDADA VALENCIA'!C12</f>
        <v>24</v>
      </c>
      <c r="D12" s="5">
        <f t="shared" ca="1" si="0"/>
        <v>2</v>
      </c>
      <c r="E12" s="5">
        <f t="shared" ca="1" si="1"/>
        <v>44</v>
      </c>
    </row>
    <row r="13" spans="1:5" x14ac:dyDescent="0.25">
      <c r="A13">
        <v>120130</v>
      </c>
      <c r="B13" t="s">
        <v>15</v>
      </c>
      <c r="C13">
        <f>'[1]VENTAS CONSOLIDADA VALENCIA'!C13</f>
        <v>4015</v>
      </c>
      <c r="D13" s="5">
        <f t="shared" ca="1" si="0"/>
        <v>334.58333333333331</v>
      </c>
      <c r="E13" s="5">
        <f t="shared" ca="1" si="1"/>
        <v>7360.833333333333</v>
      </c>
    </row>
    <row r="14" spans="1:5" x14ac:dyDescent="0.25">
      <c r="A14">
        <v>120131</v>
      </c>
      <c r="B14" t="s">
        <v>23</v>
      </c>
      <c r="C14">
        <f>'[1]VENTAS CONSOLIDADA VALENCIA'!C14</f>
        <v>666</v>
      </c>
      <c r="D14" s="5">
        <f t="shared" ca="1" si="0"/>
        <v>55.5</v>
      </c>
      <c r="E14" s="5">
        <f t="shared" ca="1" si="1"/>
        <v>1221</v>
      </c>
    </row>
    <row r="15" spans="1:5" x14ac:dyDescent="0.25">
      <c r="A15">
        <v>120132</v>
      </c>
      <c r="B15" t="s">
        <v>21</v>
      </c>
      <c r="C15">
        <f>'[1]VENTAS CONSOLIDADA VALENCIA'!C15</f>
        <v>1448</v>
      </c>
      <c r="D15" s="5">
        <f t="shared" ca="1" si="0"/>
        <v>120.66666666666667</v>
      </c>
      <c r="E15" s="5">
        <f t="shared" ca="1" si="1"/>
        <v>2654.666666666667</v>
      </c>
    </row>
    <row r="16" spans="1:5" x14ac:dyDescent="0.25">
      <c r="A16">
        <v>130150</v>
      </c>
      <c r="B16" t="s">
        <v>0</v>
      </c>
      <c r="C16">
        <f>'[1]VENTAS CONSOLIDADA VALENCIA'!C16</f>
        <v>3748</v>
      </c>
      <c r="D16" s="5">
        <f t="shared" ca="1" si="0"/>
        <v>312.33333333333331</v>
      </c>
      <c r="E16" s="5">
        <f t="shared" ca="1" si="1"/>
        <v>6871.333333333333</v>
      </c>
    </row>
    <row r="17" spans="1:5" x14ac:dyDescent="0.25">
      <c r="A17">
        <v>130151</v>
      </c>
      <c r="B17" t="s">
        <v>4</v>
      </c>
      <c r="C17">
        <f>'[1]VENTAS CONSOLIDADA VALENCIA'!C17</f>
        <v>1645</v>
      </c>
      <c r="D17" s="5">
        <f t="shared" ca="1" si="0"/>
        <v>137.08333333333334</v>
      </c>
      <c r="E17" s="5">
        <f t="shared" ca="1" si="1"/>
        <v>3015.8333333333335</v>
      </c>
    </row>
    <row r="18" spans="1:5" x14ac:dyDescent="0.25">
      <c r="A18">
        <v>130152</v>
      </c>
      <c r="B18" t="s">
        <v>51</v>
      </c>
      <c r="C18">
        <f>'[1]VENTAS CONSOLIDADA VALENCIA'!C18</f>
        <v>11433</v>
      </c>
      <c r="D18" s="5">
        <f t="shared" ca="1" si="0"/>
        <v>952.75</v>
      </c>
      <c r="E18" s="5">
        <f t="shared" ca="1" si="1"/>
        <v>20960.5</v>
      </c>
    </row>
    <row r="19" spans="1:5" x14ac:dyDescent="0.25">
      <c r="A19">
        <v>130153</v>
      </c>
      <c r="B19" t="s">
        <v>52</v>
      </c>
      <c r="C19">
        <f>'[1]VENTAS CONSOLIDADA VALENCIA'!C19</f>
        <v>7112</v>
      </c>
      <c r="D19" s="5">
        <f t="shared" ca="1" si="0"/>
        <v>592.66666666666663</v>
      </c>
      <c r="E19" s="5">
        <f t="shared" ca="1" si="1"/>
        <v>13038.666666666666</v>
      </c>
    </row>
    <row r="20" spans="1:5" x14ac:dyDescent="0.25">
      <c r="A20">
        <v>130154</v>
      </c>
      <c r="B20" t="s">
        <v>53</v>
      </c>
      <c r="C20">
        <f>'[1]VENTAS CONSOLIDADA VALENCIA'!C20</f>
        <v>7591</v>
      </c>
      <c r="D20" s="5">
        <f t="shared" ca="1" si="0"/>
        <v>632.58333333333337</v>
      </c>
      <c r="E20" s="5">
        <f t="shared" ca="1" si="1"/>
        <v>13916.833333333334</v>
      </c>
    </row>
    <row r="21" spans="1:5" x14ac:dyDescent="0.25">
      <c r="A21">
        <v>130155</v>
      </c>
      <c r="B21" t="s">
        <v>16</v>
      </c>
      <c r="C21">
        <f>'[1]VENTAS CONSOLIDADA VALENCIA'!C21</f>
        <v>8688</v>
      </c>
      <c r="D21" s="5">
        <f t="shared" ca="1" si="0"/>
        <v>724</v>
      </c>
      <c r="E21" s="5">
        <f t="shared" ca="1" si="1"/>
        <v>15928</v>
      </c>
    </row>
    <row r="22" spans="1:5" x14ac:dyDescent="0.25">
      <c r="A22">
        <v>130157</v>
      </c>
      <c r="B22" t="s">
        <v>43</v>
      </c>
      <c r="C22">
        <f>'[1]VENTAS CONSOLIDADA VALENCIA'!C22</f>
        <v>2320</v>
      </c>
      <c r="D22" s="5">
        <f t="shared" ca="1" si="0"/>
        <v>193.33333333333334</v>
      </c>
      <c r="E22" s="5">
        <f t="shared" ca="1" si="1"/>
        <v>4253.3333333333339</v>
      </c>
    </row>
    <row r="23" spans="1:5" x14ac:dyDescent="0.25">
      <c r="A23">
        <v>130158</v>
      </c>
      <c r="B23" t="s">
        <v>44</v>
      </c>
      <c r="C23">
        <f>'[1]VENTAS CONSOLIDADA VALENCIA'!C23</f>
        <v>3266</v>
      </c>
      <c r="D23" s="5">
        <f t="shared" ca="1" si="0"/>
        <v>272.16666666666669</v>
      </c>
      <c r="E23" s="5">
        <f t="shared" ca="1" si="1"/>
        <v>5987.666666666667</v>
      </c>
    </row>
    <row r="24" spans="1:5" x14ac:dyDescent="0.25">
      <c r="A24">
        <v>130159</v>
      </c>
      <c r="B24" t="s">
        <v>45</v>
      </c>
      <c r="C24">
        <f>'[1]VENTAS CONSOLIDADA VALENCIA'!C24</f>
        <v>3358</v>
      </c>
      <c r="D24" s="5">
        <f t="shared" ca="1" si="0"/>
        <v>279.83333333333331</v>
      </c>
      <c r="E24" s="5">
        <f t="shared" ca="1" si="1"/>
        <v>6156.333333333333</v>
      </c>
    </row>
    <row r="25" spans="1:5" x14ac:dyDescent="0.25">
      <c r="A25">
        <v>130700</v>
      </c>
      <c r="B25" t="s">
        <v>3</v>
      </c>
      <c r="C25">
        <f>'[1]VENTAS CONSOLIDADA VALENCIA'!C25</f>
        <v>1403</v>
      </c>
      <c r="D25" s="5">
        <f t="shared" ca="1" si="0"/>
        <v>116.91666666666667</v>
      </c>
      <c r="E25" s="5">
        <f t="shared" ca="1" si="1"/>
        <v>2572.166666666667</v>
      </c>
    </row>
    <row r="26" spans="1:5" x14ac:dyDescent="0.25">
      <c r="A26">
        <v>130701</v>
      </c>
      <c r="B26" t="s">
        <v>30</v>
      </c>
      <c r="C26">
        <f>'[1]VENTAS CONSOLIDADA VALENCIA'!C26</f>
        <v>787</v>
      </c>
      <c r="D26" s="5">
        <f t="shared" ca="1" si="0"/>
        <v>65.583333333333329</v>
      </c>
      <c r="E26" s="5">
        <f t="shared" ca="1" si="1"/>
        <v>1442.8333333333333</v>
      </c>
    </row>
    <row r="27" spans="1:5" x14ac:dyDescent="0.25">
      <c r="A27">
        <v>130702</v>
      </c>
      <c r="B27" t="s">
        <v>12</v>
      </c>
      <c r="C27">
        <f>'[1]VENTAS CONSOLIDADA VALENCIA'!C27</f>
        <v>2167</v>
      </c>
      <c r="D27" s="5">
        <f t="shared" ca="1" si="0"/>
        <v>180.58333333333334</v>
      </c>
      <c r="E27" s="5">
        <f t="shared" ca="1" si="1"/>
        <v>3972.8333333333335</v>
      </c>
    </row>
    <row r="28" spans="1:5" x14ac:dyDescent="0.25">
      <c r="A28">
        <v>130703</v>
      </c>
      <c r="B28" t="s">
        <v>17</v>
      </c>
      <c r="C28">
        <f>'[1]VENTAS CONSOLIDADA VALENCIA'!C28</f>
        <v>3220</v>
      </c>
      <c r="D28" s="5">
        <f t="shared" ca="1" si="0"/>
        <v>268.33333333333331</v>
      </c>
      <c r="E28" s="5">
        <f t="shared" ca="1" si="1"/>
        <v>5903.333333333333</v>
      </c>
    </row>
    <row r="29" spans="1:5" x14ac:dyDescent="0.25">
      <c r="A29">
        <v>130707</v>
      </c>
      <c r="B29" t="s">
        <v>42</v>
      </c>
      <c r="C29">
        <f>'[1]VENTAS CONSOLIDADA VALENCIA'!C29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VALENCIA'!C30</f>
        <v>1945</v>
      </c>
      <c r="D30" s="5">
        <f t="shared" ca="1" si="0"/>
        <v>162.08333333333334</v>
      </c>
      <c r="E30" s="5">
        <f t="shared" ca="1" si="1"/>
        <v>3565.8333333333335</v>
      </c>
    </row>
    <row r="31" spans="1:5" x14ac:dyDescent="0.25">
      <c r="A31">
        <v>131151</v>
      </c>
      <c r="B31" t="s">
        <v>19</v>
      </c>
      <c r="C31">
        <f>'[1]VENTAS CONSOLIDADA VALENCIA'!C31</f>
        <v>2807</v>
      </c>
      <c r="D31" s="5">
        <f t="shared" ca="1" si="0"/>
        <v>233.91666666666666</v>
      </c>
      <c r="E31" s="5">
        <f t="shared" ca="1" si="1"/>
        <v>5146.1666666666661</v>
      </c>
    </row>
    <row r="32" spans="1:5" x14ac:dyDescent="0.25">
      <c r="A32">
        <v>131152</v>
      </c>
      <c r="B32" t="s">
        <v>32</v>
      </c>
      <c r="C32">
        <f>'[1]VENTAS CONSOLIDADA VALENCIA'!C32</f>
        <v>1633</v>
      </c>
      <c r="D32" s="5">
        <f t="shared" ca="1" si="0"/>
        <v>136.08333333333334</v>
      </c>
      <c r="E32" s="5">
        <f t="shared" ca="1" si="1"/>
        <v>2993.8333333333335</v>
      </c>
    </row>
    <row r="33" spans="1:5" x14ac:dyDescent="0.25">
      <c r="A33">
        <v>131153</v>
      </c>
      <c r="B33" t="s">
        <v>11</v>
      </c>
      <c r="C33">
        <f>'[1]VENTAS CONSOLIDADA VALENCIA'!C33</f>
        <v>1189</v>
      </c>
      <c r="D33" s="5">
        <f t="shared" ca="1" si="0"/>
        <v>99.083333333333329</v>
      </c>
      <c r="E33" s="5">
        <f t="shared" ca="1" si="1"/>
        <v>2179.833333333333</v>
      </c>
    </row>
    <row r="34" spans="1:5" x14ac:dyDescent="0.25">
      <c r="A34">
        <v>131154</v>
      </c>
      <c r="B34" t="s">
        <v>48</v>
      </c>
      <c r="C34">
        <f>'[1]VENTAS CONSOLIDADA VALENCIA'!C34</f>
        <v>678</v>
      </c>
      <c r="D34" s="5">
        <f t="shared" ca="1" si="0"/>
        <v>56.5</v>
      </c>
      <c r="E34" s="5">
        <f t="shared" ca="1" si="1"/>
        <v>1243</v>
      </c>
    </row>
    <row r="35" spans="1:5" x14ac:dyDescent="0.25">
      <c r="A35">
        <v>131155</v>
      </c>
      <c r="B35" t="s">
        <v>57</v>
      </c>
      <c r="C35">
        <f>'[1]VENTAS CONSOLIDADA VALENCIA'!C35</f>
        <v>803</v>
      </c>
      <c r="D35" s="5">
        <f t="shared" ca="1" si="0"/>
        <v>66.916666666666671</v>
      </c>
      <c r="E35" s="5">
        <f t="shared" ca="1" si="1"/>
        <v>1472.1666666666667</v>
      </c>
    </row>
    <row r="36" spans="1:5" x14ac:dyDescent="0.25">
      <c r="A36">
        <v>131700</v>
      </c>
      <c r="B36" t="s">
        <v>20</v>
      </c>
      <c r="C36">
        <f>'[1]VENTAS CONSOLIDADA VALENCIA'!C36</f>
        <v>447</v>
      </c>
      <c r="D36" s="5">
        <f t="shared" ca="1" si="0"/>
        <v>37.25</v>
      </c>
      <c r="E36" s="5">
        <f t="shared" ca="1" si="1"/>
        <v>819.5</v>
      </c>
    </row>
    <row r="37" spans="1:5" x14ac:dyDescent="0.25">
      <c r="A37">
        <v>131701</v>
      </c>
      <c r="B37" t="s">
        <v>24</v>
      </c>
      <c r="C37">
        <f>'[1]VENTAS CONSOLIDADA VALENCIA'!C37</f>
        <v>440</v>
      </c>
      <c r="D37" s="5">
        <f t="shared" ca="1" si="0"/>
        <v>36.666666666666664</v>
      </c>
      <c r="E37" s="5">
        <f t="shared" ca="1" si="1"/>
        <v>806.66666666666663</v>
      </c>
    </row>
    <row r="38" spans="1:5" x14ac:dyDescent="0.25">
      <c r="A38">
        <v>132150</v>
      </c>
      <c r="B38" t="s">
        <v>25</v>
      </c>
      <c r="C38">
        <f>'[1]VENTAS CONSOLIDADA VALENCIA'!C38</f>
        <v>2833</v>
      </c>
      <c r="D38" s="5">
        <f t="shared" ca="1" si="0"/>
        <v>236.08333333333334</v>
      </c>
      <c r="E38" s="5">
        <f t="shared" ca="1" si="1"/>
        <v>5193.8333333333339</v>
      </c>
    </row>
    <row r="39" spans="1:5" x14ac:dyDescent="0.25">
      <c r="A39">
        <v>132151</v>
      </c>
      <c r="B39" t="s">
        <v>26</v>
      </c>
      <c r="C39">
        <f>'[1]VENTAS CONSOLIDADA VALENCIA'!C39</f>
        <v>2193</v>
      </c>
      <c r="D39" s="5">
        <f t="shared" ca="1" si="0"/>
        <v>182.75</v>
      </c>
      <c r="E39" s="5">
        <f t="shared" ca="1" si="1"/>
        <v>4020.5</v>
      </c>
    </row>
    <row r="40" spans="1:5" x14ac:dyDescent="0.25">
      <c r="A40">
        <v>132152</v>
      </c>
      <c r="B40" t="s">
        <v>27</v>
      </c>
      <c r="C40">
        <f>'[1]VENTAS CONSOLIDADA VALENCIA'!C40</f>
        <v>3108</v>
      </c>
      <c r="D40" s="5">
        <f t="shared" ca="1" si="0"/>
        <v>259</v>
      </c>
      <c r="E40" s="5">
        <f t="shared" ca="1" si="1"/>
        <v>5698</v>
      </c>
    </row>
    <row r="41" spans="1:5" x14ac:dyDescent="0.25">
      <c r="A41">
        <v>132153</v>
      </c>
      <c r="B41" t="s">
        <v>40</v>
      </c>
      <c r="C41">
        <f>'[1]VENTAS CONSOLIDADA VALENCIA'!C41</f>
        <v>1798</v>
      </c>
      <c r="D41" s="5">
        <f t="shared" ca="1" si="0"/>
        <v>149.83333333333334</v>
      </c>
      <c r="E41" s="5">
        <f t="shared" ca="1" si="1"/>
        <v>3296.3333333333335</v>
      </c>
    </row>
    <row r="42" spans="1:5" x14ac:dyDescent="0.25">
      <c r="A42">
        <v>134000</v>
      </c>
      <c r="B42" t="s">
        <v>35</v>
      </c>
      <c r="C42">
        <f>'[1]VENTAS CONSOLIDADA VALENCIA'!C42</f>
        <v>37</v>
      </c>
      <c r="D42" s="5">
        <f t="shared" ca="1" si="0"/>
        <v>3.0833333333333335</v>
      </c>
      <c r="E42" s="5">
        <f t="shared" ca="1" si="1"/>
        <v>67.833333333333343</v>
      </c>
    </row>
    <row r="43" spans="1:5" x14ac:dyDescent="0.25">
      <c r="A43">
        <v>134001</v>
      </c>
      <c r="B43" t="s">
        <v>47</v>
      </c>
      <c r="C43">
        <f>'[1]VENTAS CONSOLIDADA VALENCIA'!C43</f>
        <v>7</v>
      </c>
      <c r="D43" s="5">
        <f t="shared" ca="1" si="0"/>
        <v>0.58333333333333337</v>
      </c>
      <c r="E43" s="5">
        <f t="shared" ca="1" si="1"/>
        <v>12.833333333333334</v>
      </c>
    </row>
    <row r="44" spans="1:5" x14ac:dyDescent="0.25">
      <c r="A44">
        <v>140230</v>
      </c>
      <c r="B44" t="s">
        <v>18</v>
      </c>
      <c r="C44">
        <f>'[1]VENTAS CONSOLIDADA VALENCIA'!C44</f>
        <v>799</v>
      </c>
      <c r="D44" s="5">
        <f t="shared" ca="1" si="0"/>
        <v>66.583333333333329</v>
      </c>
      <c r="E44" s="5">
        <f t="shared" ca="1" si="1"/>
        <v>1464.8333333333333</v>
      </c>
    </row>
    <row r="45" spans="1:5" x14ac:dyDescent="0.25">
      <c r="A45">
        <v>140231</v>
      </c>
      <c r="B45" t="s">
        <v>10</v>
      </c>
      <c r="C45">
        <f>'[1]VENTAS CONSOLIDADA VALENCIA'!C45</f>
        <v>2324</v>
      </c>
      <c r="D45" s="5">
        <f t="shared" ca="1" si="0"/>
        <v>193.66666666666666</v>
      </c>
      <c r="E45" s="5">
        <f t="shared" ca="1" si="1"/>
        <v>4260.6666666666661</v>
      </c>
    </row>
    <row r="46" spans="1:5" x14ac:dyDescent="0.25">
      <c r="A46">
        <v>140232</v>
      </c>
      <c r="B46" t="s">
        <v>9</v>
      </c>
      <c r="C46">
        <f>'[1]VENTAS CONSOLIDADA VALENCIA'!C46</f>
        <v>2134</v>
      </c>
      <c r="D46" s="5">
        <f t="shared" ca="1" si="0"/>
        <v>177.83333333333334</v>
      </c>
      <c r="E46" s="5">
        <f t="shared" ca="1" si="1"/>
        <v>3912.3333333333335</v>
      </c>
    </row>
    <row r="47" spans="1:5" x14ac:dyDescent="0.25">
      <c r="A47">
        <v>150360</v>
      </c>
      <c r="B47" t="s">
        <v>28</v>
      </c>
      <c r="C47">
        <f>'[1]VENTAS CONSOLIDADA VALENCIA'!C47</f>
        <v>379</v>
      </c>
      <c r="D47" s="5">
        <f t="shared" ca="1" si="0"/>
        <v>31.583333333333332</v>
      </c>
      <c r="E47" s="5">
        <f t="shared" ca="1" si="1"/>
        <v>694.83333333333326</v>
      </c>
    </row>
    <row r="48" spans="1:5" x14ac:dyDescent="0.25">
      <c r="A48">
        <v>150361</v>
      </c>
      <c r="B48" t="s">
        <v>29</v>
      </c>
      <c r="C48">
        <f>'[1]VENTAS CONSOLIDADA VALENCIA'!C48</f>
        <v>1390</v>
      </c>
      <c r="D48" s="5">
        <f t="shared" ca="1" si="0"/>
        <v>115.83333333333333</v>
      </c>
      <c r="E48" s="5">
        <f t="shared" ca="1" si="1"/>
        <v>2548.333333333333</v>
      </c>
    </row>
    <row r="49" spans="1:5" x14ac:dyDescent="0.25">
      <c r="A49">
        <v>150362</v>
      </c>
      <c r="B49" t="s">
        <v>36</v>
      </c>
      <c r="C49">
        <f>'[1]VENTAS CONSOLIDADA VALENCIA'!C49</f>
        <v>699</v>
      </c>
      <c r="D49" s="5">
        <f t="shared" ca="1" si="0"/>
        <v>58.25</v>
      </c>
      <c r="E49" s="5">
        <f t="shared" ca="1" si="1"/>
        <v>1281.5</v>
      </c>
    </row>
    <row r="50" spans="1:5" x14ac:dyDescent="0.25">
      <c r="A50">
        <v>150363</v>
      </c>
      <c r="B50" t="s">
        <v>31</v>
      </c>
      <c r="C50">
        <f>'[1]VENTAS CONSOLIDADA VALENCIA'!C50</f>
        <v>913</v>
      </c>
      <c r="D50" s="5">
        <f t="shared" ca="1" si="0"/>
        <v>76.083333333333329</v>
      </c>
      <c r="E50" s="5">
        <f t="shared" ca="1" si="1"/>
        <v>1673.8333333333333</v>
      </c>
    </row>
    <row r="51" spans="1:5" x14ac:dyDescent="0.25">
      <c r="A51">
        <v>151500</v>
      </c>
      <c r="B51" t="s">
        <v>41</v>
      </c>
      <c r="C51">
        <f>'[1]VENTAS CONSOLIDADA VALENCIA'!C51</f>
        <v>139</v>
      </c>
      <c r="D51" s="5">
        <f t="shared" ca="1" si="0"/>
        <v>11.583333333333334</v>
      </c>
      <c r="E51" s="5">
        <f t="shared" ca="1" si="1"/>
        <v>254.83333333333334</v>
      </c>
    </row>
    <row r="52" spans="1:5" x14ac:dyDescent="0.25">
      <c r="A52">
        <v>151501</v>
      </c>
      <c r="B52" t="s">
        <v>33</v>
      </c>
      <c r="C52">
        <f>'[1]VENTAS CONSOLIDADA VALENCIA'!C52</f>
        <v>331</v>
      </c>
      <c r="D52" s="5">
        <f t="shared" ca="1" si="0"/>
        <v>27.583333333333332</v>
      </c>
      <c r="E52" s="5">
        <f t="shared" ca="1" si="1"/>
        <v>606.83333333333326</v>
      </c>
    </row>
    <row r="53" spans="1:5" x14ac:dyDescent="0.25">
      <c r="A53">
        <v>151502</v>
      </c>
      <c r="B53" t="s">
        <v>37</v>
      </c>
      <c r="C53">
        <f>'[1]VENTAS CONSOLIDADA VALENCIA'!C53</f>
        <v>94</v>
      </c>
      <c r="D53" s="5">
        <f t="shared" ca="1" si="0"/>
        <v>7.833333333333333</v>
      </c>
      <c r="E53" s="5">
        <f t="shared" ca="1" si="1"/>
        <v>172.33333333333331</v>
      </c>
    </row>
    <row r="54" spans="1:5" x14ac:dyDescent="0.25">
      <c r="A54">
        <v>151503</v>
      </c>
      <c r="B54" t="s">
        <v>34</v>
      </c>
      <c r="C54">
        <f>'[1]VENTAS CONSOLIDADA VALENCIA'!C54</f>
        <v>125</v>
      </c>
      <c r="D54" s="5">
        <f t="shared" ca="1" si="0"/>
        <v>10.416666666666666</v>
      </c>
      <c r="E54" s="5">
        <f t="shared" ca="1" si="1"/>
        <v>229.16666666666666</v>
      </c>
    </row>
    <row r="55" spans="1:5" x14ac:dyDescent="0.25">
      <c r="D55" s="5">
        <f ca="1">SUM(D8:D54)</f>
        <v>8087.0833333333294</v>
      </c>
      <c r="E55" s="5">
        <f ca="1">SUM(E8:E54)</f>
        <v>177915.8333333334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64" sqref="G64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'[1]VENTAS CONSOLIDADA CARACAS'!D1</f>
        <v>46266</v>
      </c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'[1]VENTAS CONSOLIDADA CARACAS'!D2</f>
        <v>46282</v>
      </c>
      <c r="E2" s="4">
        <f ca="1">'[1]VENTAS CONSOLIDADA CARACAS'!E2</f>
        <v>12</v>
      </c>
    </row>
    <row r="3" spans="1:6" x14ac:dyDescent="0.25">
      <c r="B3" s="9"/>
      <c r="C3" s="2" t="str">
        <f>'[1]VENTAS CONSOLIDADA CARACAS'!C3</f>
        <v>FINAL VENTAS</v>
      </c>
      <c r="D3" s="3">
        <f>'[1]VENTAS CONSOLIDADA CARACAS'!D3</f>
        <v>46295</v>
      </c>
      <c r="E3" s="4">
        <f ca="1">'[1]VENTAS CONSOLIDADA CARACAS'!E3</f>
        <v>10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'[1]VENTAS CONSOLIDADA CARACAS'!C8</f>
        <v>9960</v>
      </c>
      <c r="D8" s="5">
        <f t="shared" ref="D8:D54" ca="1" si="0">C8/$E$2</f>
        <v>830</v>
      </c>
      <c r="E8" s="5">
        <f ca="1">D8*($E$2+$E$3)</f>
        <v>18260</v>
      </c>
      <c r="F8" s="5"/>
    </row>
    <row r="9" spans="1:6" x14ac:dyDescent="0.25">
      <c r="A9">
        <v>110151</v>
      </c>
      <c r="B9" t="s">
        <v>5</v>
      </c>
      <c r="C9">
        <f>'[1]VENTAS CONSOLIDADA CARACAS'!C9</f>
        <v>455</v>
      </c>
      <c r="D9" s="5">
        <f t="shared" ca="1" si="0"/>
        <v>37.916666666666664</v>
      </c>
      <c r="E9" s="5">
        <f t="shared" ref="E9:E54" ca="1" si="1">D9*($E$2+$E$3)</f>
        <v>834.16666666666663</v>
      </c>
    </row>
    <row r="10" spans="1:6" x14ac:dyDescent="0.25">
      <c r="A10">
        <v>110230</v>
      </c>
      <c r="B10" t="s">
        <v>1</v>
      </c>
      <c r="C10">
        <f>'[1]VENTAS CONSOLIDADA CARACAS'!C10</f>
        <v>4344</v>
      </c>
      <c r="D10" s="5">
        <f t="shared" ca="1" si="0"/>
        <v>362</v>
      </c>
      <c r="E10" s="5">
        <f t="shared" ca="1" si="1"/>
        <v>7964</v>
      </c>
    </row>
    <row r="11" spans="1:6" x14ac:dyDescent="0.25">
      <c r="A11">
        <v>110400</v>
      </c>
      <c r="B11" t="s">
        <v>13</v>
      </c>
      <c r="C11">
        <f>'[1]VENTAS CONSOLIDADA CARACAS'!C11</f>
        <v>1028</v>
      </c>
      <c r="D11" s="5">
        <f t="shared" ca="1" si="0"/>
        <v>85.666666666666671</v>
      </c>
      <c r="E11" s="5">
        <f t="shared" ca="1" si="1"/>
        <v>1884.6666666666667</v>
      </c>
    </row>
    <row r="12" spans="1:6" x14ac:dyDescent="0.25">
      <c r="A12">
        <v>111000</v>
      </c>
      <c r="B12" t="s">
        <v>14</v>
      </c>
      <c r="C12">
        <f>'[1]VENTAS CONSOLIDADA CARACAS'!C12</f>
        <v>144</v>
      </c>
      <c r="D12" s="5">
        <f t="shared" ca="1" si="0"/>
        <v>12</v>
      </c>
      <c r="E12" s="5">
        <f t="shared" ca="1" si="1"/>
        <v>264</v>
      </c>
    </row>
    <row r="13" spans="1:6" x14ac:dyDescent="0.25">
      <c r="A13">
        <v>120130</v>
      </c>
      <c r="B13" t="s">
        <v>15</v>
      </c>
      <c r="C13">
        <f>'[1]VENTAS CONSOLIDADA CARACAS'!C13</f>
        <v>10388</v>
      </c>
      <c r="D13" s="5">
        <f t="shared" ca="1" si="0"/>
        <v>865.66666666666663</v>
      </c>
      <c r="E13" s="5">
        <f t="shared" ca="1" si="1"/>
        <v>19044.666666666664</v>
      </c>
    </row>
    <row r="14" spans="1:6" x14ac:dyDescent="0.25">
      <c r="A14">
        <v>120131</v>
      </c>
      <c r="B14" t="s">
        <v>23</v>
      </c>
      <c r="C14">
        <f>'[1]VENTAS CONSOLIDADA CARACAS'!C14</f>
        <v>733</v>
      </c>
      <c r="D14" s="5">
        <f t="shared" ca="1" si="0"/>
        <v>61.083333333333336</v>
      </c>
      <c r="E14" s="5">
        <f t="shared" ca="1" si="1"/>
        <v>1343.8333333333335</v>
      </c>
    </row>
    <row r="15" spans="1:6" x14ac:dyDescent="0.25">
      <c r="A15">
        <v>120132</v>
      </c>
      <c r="B15" t="s">
        <v>21</v>
      </c>
      <c r="C15">
        <f>'[1]VENTAS CONSOLIDADA CARACAS'!C15</f>
        <v>1515</v>
      </c>
      <c r="D15" s="5">
        <f t="shared" ca="1" si="0"/>
        <v>126.25</v>
      </c>
      <c r="E15" s="5">
        <f t="shared" ca="1" si="1"/>
        <v>2777.5</v>
      </c>
    </row>
    <row r="16" spans="1:6" x14ac:dyDescent="0.25">
      <c r="A16">
        <v>130150</v>
      </c>
      <c r="B16" t="s">
        <v>0</v>
      </c>
      <c r="C16">
        <f>'[1]VENTAS CONSOLIDADA CARACAS'!C16</f>
        <v>3618</v>
      </c>
      <c r="D16" s="5">
        <f t="shared" ca="1" si="0"/>
        <v>301.5</v>
      </c>
      <c r="E16" s="5">
        <f t="shared" ca="1" si="1"/>
        <v>6633</v>
      </c>
    </row>
    <row r="17" spans="1:5" x14ac:dyDescent="0.25">
      <c r="A17">
        <v>130151</v>
      </c>
      <c r="B17" t="s">
        <v>4</v>
      </c>
      <c r="C17">
        <f>'[1]VENTAS CONSOLIDADA CARACAS'!C17</f>
        <v>2049</v>
      </c>
      <c r="D17" s="5">
        <f t="shared" ca="1" si="0"/>
        <v>170.75</v>
      </c>
      <c r="E17" s="5">
        <f t="shared" ca="1" si="1"/>
        <v>3756.5</v>
      </c>
    </row>
    <row r="18" spans="1:5" x14ac:dyDescent="0.25">
      <c r="A18">
        <v>130152</v>
      </c>
      <c r="B18" t="s">
        <v>51</v>
      </c>
      <c r="C18">
        <f>'[1]VENTAS CONSOLIDADA CARACAS'!C18</f>
        <v>20730</v>
      </c>
      <c r="D18" s="5">
        <f t="shared" ca="1" si="0"/>
        <v>1727.5</v>
      </c>
      <c r="E18" s="5">
        <f t="shared" ca="1" si="1"/>
        <v>38005</v>
      </c>
    </row>
    <row r="19" spans="1:5" x14ac:dyDescent="0.25">
      <c r="A19">
        <v>130153</v>
      </c>
      <c r="B19" t="s">
        <v>52</v>
      </c>
      <c r="C19">
        <f>'[1]VENTAS CONSOLIDADA CARACAS'!C19</f>
        <v>13263</v>
      </c>
      <c r="D19" s="5">
        <f t="shared" ca="1" si="0"/>
        <v>1105.25</v>
      </c>
      <c r="E19" s="5">
        <f t="shared" ca="1" si="1"/>
        <v>24315.5</v>
      </c>
    </row>
    <row r="20" spans="1:5" x14ac:dyDescent="0.25">
      <c r="A20">
        <v>130154</v>
      </c>
      <c r="B20" t="s">
        <v>53</v>
      </c>
      <c r="C20">
        <f>'[1]VENTAS CONSOLIDADA CARACAS'!C20</f>
        <v>13149</v>
      </c>
      <c r="D20" s="5">
        <f t="shared" ca="1" si="0"/>
        <v>1095.75</v>
      </c>
      <c r="E20" s="5">
        <f t="shared" ca="1" si="1"/>
        <v>24106.5</v>
      </c>
    </row>
    <row r="21" spans="1:5" x14ac:dyDescent="0.25">
      <c r="A21">
        <v>130155</v>
      </c>
      <c r="B21" t="s">
        <v>16</v>
      </c>
      <c r="C21">
        <f>'[1]VENTAS CONSOLIDADA CARACAS'!C21</f>
        <v>16874</v>
      </c>
      <c r="D21" s="5">
        <f t="shared" ca="1" si="0"/>
        <v>1406.1666666666667</v>
      </c>
      <c r="E21" s="5">
        <f t="shared" ca="1" si="1"/>
        <v>30935.666666666668</v>
      </c>
    </row>
    <row r="22" spans="1:5" x14ac:dyDescent="0.25">
      <c r="A22">
        <v>130157</v>
      </c>
      <c r="B22" t="s">
        <v>43</v>
      </c>
      <c r="C22">
        <f>'[1]VENTAS CONSOLIDADA CARACAS'!C22</f>
        <v>4160</v>
      </c>
      <c r="D22" s="5">
        <f t="shared" ca="1" si="0"/>
        <v>346.66666666666669</v>
      </c>
      <c r="E22" s="5">
        <f t="shared" ca="1" si="1"/>
        <v>7626.666666666667</v>
      </c>
    </row>
    <row r="23" spans="1:5" x14ac:dyDescent="0.25">
      <c r="A23">
        <v>130158</v>
      </c>
      <c r="B23" t="s">
        <v>44</v>
      </c>
      <c r="C23">
        <f>'[1]VENTAS CONSOLIDADA CARACAS'!C23</f>
        <v>4135</v>
      </c>
      <c r="D23" s="5">
        <f t="shared" ca="1" si="0"/>
        <v>344.58333333333331</v>
      </c>
      <c r="E23" s="5">
        <f t="shared" ca="1" si="1"/>
        <v>7580.833333333333</v>
      </c>
    </row>
    <row r="24" spans="1:5" x14ac:dyDescent="0.25">
      <c r="A24">
        <v>130159</v>
      </c>
      <c r="B24" t="s">
        <v>45</v>
      </c>
      <c r="C24">
        <f>'[1]VENTAS CONSOLIDADA CARACAS'!C24</f>
        <v>4551</v>
      </c>
      <c r="D24" s="5">
        <f t="shared" ca="1" si="0"/>
        <v>379.25</v>
      </c>
      <c r="E24" s="5">
        <f t="shared" ca="1" si="1"/>
        <v>8343.5</v>
      </c>
    </row>
    <row r="25" spans="1:5" x14ac:dyDescent="0.25">
      <c r="A25">
        <v>130700</v>
      </c>
      <c r="B25" t="s">
        <v>3</v>
      </c>
      <c r="C25">
        <f>'[1]VENTAS CONSOLIDADA CARACAS'!C25</f>
        <v>1075</v>
      </c>
      <c r="D25" s="5">
        <f t="shared" ca="1" si="0"/>
        <v>89.583333333333329</v>
      </c>
      <c r="E25" s="5">
        <f t="shared" ca="1" si="1"/>
        <v>1970.8333333333333</v>
      </c>
    </row>
    <row r="26" spans="1:5" x14ac:dyDescent="0.25">
      <c r="A26">
        <v>130701</v>
      </c>
      <c r="B26" t="s">
        <v>30</v>
      </c>
      <c r="C26">
        <f>'[1]VENTAS CONSOLIDADA CARACAS'!C26</f>
        <v>514</v>
      </c>
      <c r="D26" s="5">
        <f t="shared" ca="1" si="0"/>
        <v>42.833333333333336</v>
      </c>
      <c r="E26" s="5">
        <f t="shared" ca="1" si="1"/>
        <v>942.33333333333337</v>
      </c>
    </row>
    <row r="27" spans="1:5" x14ac:dyDescent="0.25">
      <c r="A27">
        <v>130702</v>
      </c>
      <c r="B27" t="s">
        <v>12</v>
      </c>
      <c r="C27">
        <f>'[1]VENTAS CONSOLIDADA CARACAS'!C27</f>
        <v>2645</v>
      </c>
      <c r="D27" s="5">
        <f t="shared" ca="1" si="0"/>
        <v>220.41666666666666</v>
      </c>
      <c r="E27" s="5">
        <f t="shared" ca="1" si="1"/>
        <v>4849.1666666666661</v>
      </c>
    </row>
    <row r="28" spans="1:5" x14ac:dyDescent="0.25">
      <c r="A28">
        <v>130703</v>
      </c>
      <c r="B28" t="s">
        <v>17</v>
      </c>
      <c r="C28">
        <f>'[1]VENTAS CONSOLIDADA CARACAS'!C28</f>
        <v>4962</v>
      </c>
      <c r="D28" s="5">
        <f t="shared" ca="1" si="0"/>
        <v>413.5</v>
      </c>
      <c r="E28" s="5">
        <f t="shared" ca="1" si="1"/>
        <v>9097</v>
      </c>
    </row>
    <row r="29" spans="1:5" x14ac:dyDescent="0.25">
      <c r="A29">
        <v>130707</v>
      </c>
      <c r="B29" t="s">
        <v>42</v>
      </c>
      <c r="C29">
        <f>'[1]VENTAS CONSOLIDADA CARACAS'!C29</f>
        <v>890</v>
      </c>
      <c r="D29" s="5">
        <f t="shared" ca="1" si="0"/>
        <v>74.166666666666671</v>
      </c>
      <c r="E29" s="5">
        <f t="shared" ca="1" si="1"/>
        <v>1631.6666666666667</v>
      </c>
    </row>
    <row r="30" spans="1:5" x14ac:dyDescent="0.25">
      <c r="A30">
        <v>131150</v>
      </c>
      <c r="B30" t="s">
        <v>22</v>
      </c>
      <c r="C30">
        <f>'[1]VENTAS CONSOLIDADA CARACAS'!C30</f>
        <v>5189</v>
      </c>
      <c r="D30" s="5">
        <f t="shared" ca="1" si="0"/>
        <v>432.41666666666669</v>
      </c>
      <c r="E30" s="5">
        <f t="shared" ca="1" si="1"/>
        <v>9513.1666666666679</v>
      </c>
    </row>
    <row r="31" spans="1:5" x14ac:dyDescent="0.25">
      <c r="A31">
        <v>131151</v>
      </c>
      <c r="B31" t="s">
        <v>19</v>
      </c>
      <c r="C31">
        <f>'[1]VENTAS CONSOLIDADA CARACAS'!C31</f>
        <v>7835</v>
      </c>
      <c r="D31" s="5">
        <f t="shared" ca="1" si="0"/>
        <v>652.91666666666663</v>
      </c>
      <c r="E31" s="5">
        <f t="shared" ca="1" si="1"/>
        <v>14364.166666666666</v>
      </c>
    </row>
    <row r="32" spans="1:5" x14ac:dyDescent="0.25">
      <c r="A32">
        <v>131152</v>
      </c>
      <c r="B32" t="s">
        <v>32</v>
      </c>
      <c r="C32">
        <f>'[1]VENTAS CONSOLIDADA CARACAS'!C32</f>
        <v>3372</v>
      </c>
      <c r="D32" s="5">
        <f t="shared" ca="1" si="0"/>
        <v>281</v>
      </c>
      <c r="E32" s="5">
        <f t="shared" ca="1" si="1"/>
        <v>6182</v>
      </c>
    </row>
    <row r="33" spans="1:5" x14ac:dyDescent="0.25">
      <c r="A33">
        <v>131153</v>
      </c>
      <c r="B33" t="s">
        <v>11</v>
      </c>
      <c r="C33">
        <f>'[1]VENTAS CONSOLIDADA CARACAS'!C33</f>
        <v>2549</v>
      </c>
      <c r="D33" s="5">
        <f t="shared" ca="1" si="0"/>
        <v>212.41666666666666</v>
      </c>
      <c r="E33" s="5">
        <f t="shared" ca="1" si="1"/>
        <v>4673.1666666666661</v>
      </c>
    </row>
    <row r="34" spans="1:5" x14ac:dyDescent="0.25">
      <c r="A34">
        <v>131154</v>
      </c>
      <c r="B34" t="s">
        <v>48</v>
      </c>
      <c r="C34">
        <f>'[1]VENTAS CONSOLIDADA CARACAS'!C34</f>
        <v>986</v>
      </c>
      <c r="D34" s="5">
        <f t="shared" ca="1" si="0"/>
        <v>82.166666666666671</v>
      </c>
      <c r="E34" s="5">
        <f t="shared" ca="1" si="1"/>
        <v>1807.6666666666667</v>
      </c>
    </row>
    <row r="35" spans="1:5" x14ac:dyDescent="0.25">
      <c r="A35">
        <v>131155</v>
      </c>
      <c r="B35" t="s">
        <v>57</v>
      </c>
      <c r="C35">
        <f>'[1]VENTAS CONSOLIDADA CARACAS'!C35</f>
        <v>1276</v>
      </c>
      <c r="D35" s="5">
        <f t="shared" ca="1" si="0"/>
        <v>106.33333333333333</v>
      </c>
      <c r="E35" s="5">
        <f t="shared" ca="1" si="1"/>
        <v>2339.333333333333</v>
      </c>
    </row>
    <row r="36" spans="1:5" x14ac:dyDescent="0.25">
      <c r="A36">
        <v>131700</v>
      </c>
      <c r="B36" t="s">
        <v>20</v>
      </c>
      <c r="C36">
        <f>'[1]VENTAS CONSOLIDADA CARACAS'!C36</f>
        <v>865</v>
      </c>
      <c r="D36" s="5">
        <f t="shared" ca="1" si="0"/>
        <v>72.083333333333329</v>
      </c>
      <c r="E36" s="5">
        <f t="shared" ca="1" si="1"/>
        <v>1585.8333333333333</v>
      </c>
    </row>
    <row r="37" spans="1:5" x14ac:dyDescent="0.25">
      <c r="A37">
        <v>131701</v>
      </c>
      <c r="B37" t="s">
        <v>24</v>
      </c>
      <c r="C37">
        <f>'[1]VENTAS CONSOLIDADA CARACAS'!C37</f>
        <v>830</v>
      </c>
      <c r="D37" s="5">
        <f t="shared" ca="1" si="0"/>
        <v>69.166666666666671</v>
      </c>
      <c r="E37" s="5">
        <f t="shared" ca="1" si="1"/>
        <v>1521.6666666666667</v>
      </c>
    </row>
    <row r="38" spans="1:5" x14ac:dyDescent="0.25">
      <c r="A38">
        <v>132150</v>
      </c>
      <c r="B38" t="s">
        <v>25</v>
      </c>
      <c r="C38">
        <f>'[1]VENTAS CONSOLIDADA CARACAS'!C38</f>
        <v>3732</v>
      </c>
      <c r="D38" s="5">
        <f t="shared" ca="1" si="0"/>
        <v>311</v>
      </c>
      <c r="E38" s="5">
        <f t="shared" ca="1" si="1"/>
        <v>6842</v>
      </c>
    </row>
    <row r="39" spans="1:5" x14ac:dyDescent="0.25">
      <c r="A39">
        <v>132151</v>
      </c>
      <c r="B39" t="s">
        <v>26</v>
      </c>
      <c r="C39">
        <f>'[1]VENTAS CONSOLIDADA CARACAS'!C39</f>
        <v>3368</v>
      </c>
      <c r="D39" s="5">
        <f t="shared" ca="1" si="0"/>
        <v>280.66666666666669</v>
      </c>
      <c r="E39" s="5">
        <f t="shared" ca="1" si="1"/>
        <v>6174.666666666667</v>
      </c>
    </row>
    <row r="40" spans="1:5" x14ac:dyDescent="0.25">
      <c r="A40">
        <v>132152</v>
      </c>
      <c r="B40" t="s">
        <v>27</v>
      </c>
      <c r="C40">
        <f>'[1]VENTAS CONSOLIDADA CARACAS'!C40</f>
        <v>4408</v>
      </c>
      <c r="D40" s="5">
        <f t="shared" ca="1" si="0"/>
        <v>367.33333333333331</v>
      </c>
      <c r="E40" s="5">
        <f t="shared" ca="1" si="1"/>
        <v>8081.333333333333</v>
      </c>
    </row>
    <row r="41" spans="1:5" x14ac:dyDescent="0.25">
      <c r="A41">
        <v>132153</v>
      </c>
      <c r="B41" t="s">
        <v>40</v>
      </c>
      <c r="C41">
        <f>'[1]VENTAS CONSOLIDADA CARACAS'!C41</f>
        <v>3233</v>
      </c>
      <c r="D41" s="5">
        <f t="shared" ca="1" si="0"/>
        <v>269.41666666666669</v>
      </c>
      <c r="E41" s="5">
        <f t="shared" ca="1" si="1"/>
        <v>5927.166666666667</v>
      </c>
    </row>
    <row r="42" spans="1:5" x14ac:dyDescent="0.25">
      <c r="A42">
        <v>134000</v>
      </c>
      <c r="B42" t="s">
        <v>35</v>
      </c>
      <c r="C42">
        <f>'[1]VENTAS CONSOLIDADA CARACAS'!C42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CARACAS'!C43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CARACAS'!C44</f>
        <v>605</v>
      </c>
      <c r="D44" s="5">
        <f t="shared" ca="1" si="0"/>
        <v>50.416666666666664</v>
      </c>
      <c r="E44" s="5">
        <f t="shared" ca="1" si="1"/>
        <v>1109.1666666666665</v>
      </c>
    </row>
    <row r="45" spans="1:5" x14ac:dyDescent="0.25">
      <c r="A45">
        <v>140231</v>
      </c>
      <c r="B45" t="s">
        <v>10</v>
      </c>
      <c r="C45">
        <f>'[1]VENTAS CONSOLIDADA CARACAS'!C45</f>
        <v>3260</v>
      </c>
      <c r="D45" s="5">
        <f t="shared" ca="1" si="0"/>
        <v>271.66666666666669</v>
      </c>
      <c r="E45" s="5">
        <f t="shared" ca="1" si="1"/>
        <v>5976.666666666667</v>
      </c>
    </row>
    <row r="46" spans="1:5" x14ac:dyDescent="0.25">
      <c r="A46">
        <v>140232</v>
      </c>
      <c r="B46" t="s">
        <v>9</v>
      </c>
      <c r="C46">
        <f>'[1]VENTAS CONSOLIDADA CARACAS'!C46</f>
        <v>2318</v>
      </c>
      <c r="D46" s="5">
        <f t="shared" ca="1" si="0"/>
        <v>193.16666666666666</v>
      </c>
      <c r="E46" s="5">
        <f t="shared" ca="1" si="1"/>
        <v>4249.6666666666661</v>
      </c>
    </row>
    <row r="47" spans="1:5" x14ac:dyDescent="0.25">
      <c r="A47">
        <v>150360</v>
      </c>
      <c r="B47" t="s">
        <v>28</v>
      </c>
      <c r="C47">
        <f>'[1]VENTAS CONSOLIDADA CARACAS'!C47</f>
        <v>1656</v>
      </c>
      <c r="D47" s="5">
        <f t="shared" ca="1" si="0"/>
        <v>138</v>
      </c>
      <c r="E47" s="5">
        <f t="shared" ca="1" si="1"/>
        <v>3036</v>
      </c>
    </row>
    <row r="48" spans="1:5" x14ac:dyDescent="0.25">
      <c r="A48">
        <v>150361</v>
      </c>
      <c r="B48" t="s">
        <v>29</v>
      </c>
      <c r="C48">
        <f>'[1]VENTAS CONSOLIDADA CARACAS'!C48</f>
        <v>3242</v>
      </c>
      <c r="D48" s="5">
        <f t="shared" ca="1" si="0"/>
        <v>270.16666666666669</v>
      </c>
      <c r="E48" s="5">
        <f t="shared" ca="1" si="1"/>
        <v>5943.666666666667</v>
      </c>
    </row>
    <row r="49" spans="1:5" x14ac:dyDescent="0.25">
      <c r="A49">
        <v>150362</v>
      </c>
      <c r="B49" t="s">
        <v>36</v>
      </c>
      <c r="C49">
        <f>'[1]VENTAS CONSOLIDADA CARACAS'!C49</f>
        <v>2296</v>
      </c>
      <c r="D49" s="5">
        <f t="shared" ca="1" si="0"/>
        <v>191.33333333333334</v>
      </c>
      <c r="E49" s="5">
        <f t="shared" ca="1" si="1"/>
        <v>4209.3333333333339</v>
      </c>
    </row>
    <row r="50" spans="1:5" x14ac:dyDescent="0.25">
      <c r="A50">
        <v>150363</v>
      </c>
      <c r="B50" t="s">
        <v>31</v>
      </c>
      <c r="C50">
        <f>'[1]VENTAS CONSOLIDADA CARACAS'!C50</f>
        <v>1290</v>
      </c>
      <c r="D50" s="5">
        <f t="shared" ca="1" si="0"/>
        <v>107.5</v>
      </c>
      <c r="E50" s="5">
        <f t="shared" ca="1" si="1"/>
        <v>2365</v>
      </c>
    </row>
    <row r="51" spans="1:5" x14ac:dyDescent="0.25">
      <c r="A51">
        <v>151500</v>
      </c>
      <c r="B51" t="s">
        <v>41</v>
      </c>
      <c r="C51">
        <f>'[1]VENTAS CONSOLIDADA CARACAS'!C51</f>
        <v>195</v>
      </c>
      <c r="D51" s="5">
        <f t="shared" ca="1" si="0"/>
        <v>16.25</v>
      </c>
      <c r="E51" s="5">
        <f t="shared" ca="1" si="1"/>
        <v>357.5</v>
      </c>
    </row>
    <row r="52" spans="1:5" x14ac:dyDescent="0.25">
      <c r="A52">
        <v>151501</v>
      </c>
      <c r="B52" t="s">
        <v>33</v>
      </c>
      <c r="C52">
        <f>'[1]VENTAS CONSOLIDADA CARACAS'!C52</f>
        <v>610</v>
      </c>
      <c r="D52" s="5">
        <f t="shared" ca="1" si="0"/>
        <v>50.833333333333336</v>
      </c>
      <c r="E52" s="5">
        <f t="shared" ca="1" si="1"/>
        <v>1118.3333333333335</v>
      </c>
    </row>
    <row r="53" spans="1:5" x14ac:dyDescent="0.25">
      <c r="A53">
        <v>151502</v>
      </c>
      <c r="B53" t="s">
        <v>37</v>
      </c>
      <c r="C53">
        <f>'[1]VENTAS CONSOLIDADA CARACAS'!C53</f>
        <v>347</v>
      </c>
      <c r="D53" s="5">
        <f t="shared" ca="1" si="0"/>
        <v>28.916666666666668</v>
      </c>
      <c r="E53" s="5">
        <f t="shared" ca="1" si="1"/>
        <v>636.16666666666674</v>
      </c>
    </row>
    <row r="54" spans="1:5" x14ac:dyDescent="0.25">
      <c r="A54">
        <v>151503</v>
      </c>
      <c r="B54" t="s">
        <v>34</v>
      </c>
      <c r="C54">
        <f>'[1]VENTAS CONSOLIDADA CARACAS'!C54</f>
        <v>487</v>
      </c>
      <c r="D54" s="5">
        <f t="shared" ca="1" si="0"/>
        <v>40.583333333333336</v>
      </c>
      <c r="E54" s="5">
        <f t="shared" ca="1" si="1"/>
        <v>892.83333333333337</v>
      </c>
    </row>
    <row r="55" spans="1:5" x14ac:dyDescent="0.25">
      <c r="D55" s="5">
        <f ca="1">SUM(D8:D54)</f>
        <v>14594.249999999998</v>
      </c>
      <c r="E55" s="5">
        <f ca="1">SUM(E8:E54)</f>
        <v>321073.50000000006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H21" sqref="H21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'[1]VENTAS CONSOLIDADA LARA'!D1</f>
        <v>46266</v>
      </c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'[1]VENTAS CONSOLIDADA LARA'!D2</f>
        <v>46282</v>
      </c>
      <c r="E2" s="4">
        <f ca="1">'[1]VENTAS CONSOLIDADA LARA'!E2</f>
        <v>12</v>
      </c>
    </row>
    <row r="3" spans="1:5" x14ac:dyDescent="0.25">
      <c r="B3" s="9"/>
      <c r="C3" s="2" t="str">
        <f>'[1]VENTAS CONSOLIDADA LARA'!C3</f>
        <v>FINAL VENTAS</v>
      </c>
      <c r="D3" s="3">
        <f>'[1]VENTAS CONSOLIDADA LARA'!D3</f>
        <v>46295</v>
      </c>
      <c r="E3" s="4">
        <f ca="1">'[1]VENTAS CONSOLIDADA LARA'!E3</f>
        <v>10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LARA'!C8</f>
        <v>592</v>
      </c>
      <c r="D8" s="5">
        <f t="shared" ref="D8:D54" ca="1" si="0">C8/$E$2</f>
        <v>49.333333333333336</v>
      </c>
      <c r="E8" s="5">
        <f ca="1">D8*($E$2+$E$3)</f>
        <v>1085.3333333333335</v>
      </c>
    </row>
    <row r="9" spans="1:5" x14ac:dyDescent="0.25">
      <c r="A9">
        <v>110151</v>
      </c>
      <c r="B9" t="s">
        <v>5</v>
      </c>
      <c r="C9">
        <f>'[1]VENTAS CONSOLIDADA LARA'!C9</f>
        <v>18</v>
      </c>
      <c r="D9" s="5">
        <f t="shared" ca="1" si="0"/>
        <v>1.5</v>
      </c>
      <c r="E9" s="5">
        <f t="shared" ref="E9:E54" ca="1" si="1">D9*($E$2+$E$3)</f>
        <v>33</v>
      </c>
    </row>
    <row r="10" spans="1:5" x14ac:dyDescent="0.25">
      <c r="A10">
        <v>110230</v>
      </c>
      <c r="B10" t="s">
        <v>1</v>
      </c>
      <c r="C10">
        <f>'[1]VENTAS CONSOLIDADA LARA'!C10</f>
        <v>115</v>
      </c>
      <c r="D10" s="5">
        <f t="shared" ca="1" si="0"/>
        <v>9.5833333333333339</v>
      </c>
      <c r="E10" s="5">
        <f t="shared" ca="1" si="1"/>
        <v>210.83333333333334</v>
      </c>
    </row>
    <row r="11" spans="1:5" x14ac:dyDescent="0.25">
      <c r="A11">
        <v>110400</v>
      </c>
      <c r="B11" t="s">
        <v>13</v>
      </c>
      <c r="C11">
        <f>'[1]VENTAS CONSOLIDADA LARA'!C11</f>
        <v>14</v>
      </c>
      <c r="D11" s="5">
        <f t="shared" ca="1" si="0"/>
        <v>1.1666666666666667</v>
      </c>
      <c r="E11" s="5">
        <f t="shared" ca="1" si="1"/>
        <v>25.666666666666668</v>
      </c>
    </row>
    <row r="12" spans="1:5" x14ac:dyDescent="0.25">
      <c r="A12">
        <v>111000</v>
      </c>
      <c r="B12" t="s">
        <v>14</v>
      </c>
      <c r="C12">
        <f>'[1]VENTAS CONSOLIDADA LARA'!C12</f>
        <v>0</v>
      </c>
      <c r="D12" s="5">
        <f t="shared" ca="1" si="0"/>
        <v>0</v>
      </c>
      <c r="E12" s="5">
        <f t="shared" ca="1" si="1"/>
        <v>0</v>
      </c>
    </row>
    <row r="13" spans="1:5" x14ac:dyDescent="0.25">
      <c r="A13">
        <v>120130</v>
      </c>
      <c r="B13" t="s">
        <v>15</v>
      </c>
      <c r="C13">
        <f>'[1]VENTAS CONSOLIDADA LARA'!C13</f>
        <v>1817</v>
      </c>
      <c r="D13" s="5">
        <f t="shared" ca="1" si="0"/>
        <v>151.41666666666666</v>
      </c>
      <c r="E13" s="5">
        <f t="shared" ca="1" si="1"/>
        <v>3331.1666666666665</v>
      </c>
    </row>
    <row r="14" spans="1:5" x14ac:dyDescent="0.25">
      <c r="A14">
        <v>120131</v>
      </c>
      <c r="B14" t="s">
        <v>23</v>
      </c>
      <c r="C14">
        <f>'[1]VENTAS CONSOLIDADA LARA'!C14</f>
        <v>151</v>
      </c>
      <c r="D14" s="5">
        <f t="shared" ca="1" si="0"/>
        <v>12.583333333333334</v>
      </c>
      <c r="E14" s="5">
        <f t="shared" ca="1" si="1"/>
        <v>276.83333333333337</v>
      </c>
    </row>
    <row r="15" spans="1:5" x14ac:dyDescent="0.25">
      <c r="A15">
        <v>120132</v>
      </c>
      <c r="B15" t="s">
        <v>21</v>
      </c>
      <c r="C15">
        <f>'[1]VENTAS CONSOLIDADA LARA'!C15</f>
        <v>135</v>
      </c>
      <c r="D15" s="5">
        <f t="shared" ca="1" si="0"/>
        <v>11.25</v>
      </c>
      <c r="E15" s="5">
        <f t="shared" ca="1" si="1"/>
        <v>247.5</v>
      </c>
    </row>
    <row r="16" spans="1:5" x14ac:dyDescent="0.25">
      <c r="A16">
        <v>130150</v>
      </c>
      <c r="B16" t="s">
        <v>0</v>
      </c>
      <c r="C16">
        <f>'[1]VENTAS CONSOLIDADA LARA'!C16</f>
        <v>833</v>
      </c>
      <c r="D16" s="5">
        <f t="shared" ca="1" si="0"/>
        <v>69.416666666666671</v>
      </c>
      <c r="E16" s="5">
        <f t="shared" ca="1" si="1"/>
        <v>1527.1666666666667</v>
      </c>
    </row>
    <row r="17" spans="1:5" x14ac:dyDescent="0.25">
      <c r="A17">
        <v>130151</v>
      </c>
      <c r="B17" t="s">
        <v>4</v>
      </c>
      <c r="C17">
        <f>'[1]VENTAS CONSOLIDADA LARA'!C17</f>
        <v>261</v>
      </c>
      <c r="D17" s="5">
        <f t="shared" ca="1" si="0"/>
        <v>21.75</v>
      </c>
      <c r="E17" s="5">
        <f t="shared" ca="1" si="1"/>
        <v>478.5</v>
      </c>
    </row>
    <row r="18" spans="1:5" x14ac:dyDescent="0.25">
      <c r="A18">
        <v>130152</v>
      </c>
      <c r="B18" t="s">
        <v>51</v>
      </c>
      <c r="C18">
        <f>'[1]VENTAS CONSOLIDADA LARA'!C18</f>
        <v>6718</v>
      </c>
      <c r="D18" s="5">
        <f t="shared" ca="1" si="0"/>
        <v>559.83333333333337</v>
      </c>
      <c r="E18" s="5">
        <f t="shared" ca="1" si="1"/>
        <v>12316.333333333334</v>
      </c>
    </row>
    <row r="19" spans="1:5" x14ac:dyDescent="0.25">
      <c r="A19">
        <v>130153</v>
      </c>
      <c r="B19" t="s">
        <v>52</v>
      </c>
      <c r="C19">
        <f>'[1]VENTAS CONSOLIDADA LARA'!C19</f>
        <v>3666</v>
      </c>
      <c r="D19" s="5">
        <f t="shared" ca="1" si="0"/>
        <v>305.5</v>
      </c>
      <c r="E19" s="5">
        <f t="shared" ca="1" si="1"/>
        <v>6721</v>
      </c>
    </row>
    <row r="20" spans="1:5" x14ac:dyDescent="0.25">
      <c r="A20">
        <v>130154</v>
      </c>
      <c r="B20" t="s">
        <v>53</v>
      </c>
      <c r="C20">
        <f>'[1]VENTAS CONSOLIDADA LARA'!C20</f>
        <v>3621</v>
      </c>
      <c r="D20" s="5">
        <f t="shared" ca="1" si="0"/>
        <v>301.75</v>
      </c>
      <c r="E20" s="5">
        <f t="shared" ca="1" si="1"/>
        <v>6638.5</v>
      </c>
    </row>
    <row r="21" spans="1:5" x14ac:dyDescent="0.25">
      <c r="A21">
        <v>130155</v>
      </c>
      <c r="B21" t="s">
        <v>16</v>
      </c>
      <c r="C21">
        <f>'[1]VENTAS CONSOLIDADA LARA'!C21</f>
        <v>4440</v>
      </c>
      <c r="D21" s="5">
        <f t="shared" ca="1" si="0"/>
        <v>370</v>
      </c>
      <c r="E21" s="5">
        <f t="shared" ca="1" si="1"/>
        <v>8140</v>
      </c>
    </row>
    <row r="22" spans="1:5" x14ac:dyDescent="0.25">
      <c r="A22">
        <v>130157</v>
      </c>
      <c r="B22" t="s">
        <v>43</v>
      </c>
      <c r="C22">
        <f>'[1]VENTAS CONSOLIDADA LARA'!C22</f>
        <v>1522</v>
      </c>
      <c r="D22" s="5">
        <f t="shared" ca="1" si="0"/>
        <v>126.83333333333333</v>
      </c>
      <c r="E22" s="5">
        <f t="shared" ca="1" si="1"/>
        <v>2790.333333333333</v>
      </c>
    </row>
    <row r="23" spans="1:5" x14ac:dyDescent="0.25">
      <c r="A23">
        <v>130158</v>
      </c>
      <c r="B23" t="s">
        <v>44</v>
      </c>
      <c r="C23">
        <f>'[1]VENTAS CONSOLIDADA LARA'!C23</f>
        <v>1787</v>
      </c>
      <c r="D23" s="5">
        <f t="shared" ca="1" si="0"/>
        <v>148.91666666666666</v>
      </c>
      <c r="E23" s="5">
        <f t="shared" ca="1" si="1"/>
        <v>3276.1666666666665</v>
      </c>
    </row>
    <row r="24" spans="1:5" x14ac:dyDescent="0.25">
      <c r="A24">
        <v>130159</v>
      </c>
      <c r="B24" t="s">
        <v>45</v>
      </c>
      <c r="C24">
        <f>'[1]VENTAS CONSOLIDADA LARA'!C24</f>
        <v>1797</v>
      </c>
      <c r="D24" s="5">
        <f t="shared" ca="1" si="0"/>
        <v>149.75</v>
      </c>
      <c r="E24" s="5">
        <f t="shared" ca="1" si="1"/>
        <v>3294.5</v>
      </c>
    </row>
    <row r="25" spans="1:5" x14ac:dyDescent="0.25">
      <c r="A25">
        <v>130700</v>
      </c>
      <c r="B25" t="s">
        <v>3</v>
      </c>
      <c r="C25">
        <f>'[1]VENTAS CONSOLIDADA LARA'!C25</f>
        <v>369</v>
      </c>
      <c r="D25" s="5">
        <f t="shared" ca="1" si="0"/>
        <v>30.75</v>
      </c>
      <c r="E25" s="5">
        <f t="shared" ca="1" si="1"/>
        <v>676.5</v>
      </c>
    </row>
    <row r="26" spans="1:5" x14ac:dyDescent="0.25">
      <c r="A26">
        <v>130701</v>
      </c>
      <c r="B26" t="s">
        <v>30</v>
      </c>
      <c r="C26">
        <f>'[1]VENTAS CONSOLIDADA LARA'!C26</f>
        <v>97</v>
      </c>
      <c r="D26" s="5">
        <f t="shared" ca="1" si="0"/>
        <v>8.0833333333333339</v>
      </c>
      <c r="E26" s="5">
        <f t="shared" ca="1" si="1"/>
        <v>177.83333333333334</v>
      </c>
    </row>
    <row r="27" spans="1:5" x14ac:dyDescent="0.25">
      <c r="A27">
        <v>130702</v>
      </c>
      <c r="B27" t="s">
        <v>12</v>
      </c>
      <c r="C27">
        <f>'[1]VENTAS CONSOLIDADA LARA'!C27</f>
        <v>1088</v>
      </c>
      <c r="D27" s="5">
        <f t="shared" ca="1" si="0"/>
        <v>90.666666666666671</v>
      </c>
      <c r="E27" s="5">
        <f t="shared" ca="1" si="1"/>
        <v>1994.6666666666667</v>
      </c>
    </row>
    <row r="28" spans="1:5" x14ac:dyDescent="0.25">
      <c r="A28">
        <v>130703</v>
      </c>
      <c r="B28" t="s">
        <v>17</v>
      </c>
      <c r="C28">
        <f>'[1]VENTAS CONSOLIDADA LARA'!C28</f>
        <v>1319</v>
      </c>
      <c r="D28" s="5">
        <f t="shared" ca="1" si="0"/>
        <v>109.91666666666667</v>
      </c>
      <c r="E28" s="5">
        <f t="shared" ca="1" si="1"/>
        <v>2418.166666666667</v>
      </c>
    </row>
    <row r="29" spans="1:5" x14ac:dyDescent="0.25">
      <c r="A29">
        <v>130707</v>
      </c>
      <c r="B29" t="s">
        <v>42</v>
      </c>
      <c r="C29">
        <f>'[1]VENTAS CONSOLIDADA LARA'!C29</f>
        <v>40</v>
      </c>
      <c r="D29" s="5">
        <f t="shared" ca="1" si="0"/>
        <v>3.3333333333333335</v>
      </c>
      <c r="E29" s="5">
        <f t="shared" ca="1" si="1"/>
        <v>73.333333333333343</v>
      </c>
    </row>
    <row r="30" spans="1:5" x14ac:dyDescent="0.25">
      <c r="A30">
        <v>131150</v>
      </c>
      <c r="B30" t="s">
        <v>22</v>
      </c>
      <c r="C30">
        <f>'[1]VENTAS CONSOLIDADA LARA'!C30</f>
        <v>519</v>
      </c>
      <c r="D30" s="5">
        <f t="shared" ca="1" si="0"/>
        <v>43.25</v>
      </c>
      <c r="E30" s="5">
        <f t="shared" ca="1" si="1"/>
        <v>951.5</v>
      </c>
    </row>
    <row r="31" spans="1:5" x14ac:dyDescent="0.25">
      <c r="A31">
        <v>131151</v>
      </c>
      <c r="B31" t="s">
        <v>19</v>
      </c>
      <c r="C31">
        <f>'[1]VENTAS CONSOLIDADA LARA'!C31</f>
        <v>1268</v>
      </c>
      <c r="D31" s="5">
        <f t="shared" ca="1" si="0"/>
        <v>105.66666666666667</v>
      </c>
      <c r="E31" s="5">
        <f t="shared" ca="1" si="1"/>
        <v>2324.666666666667</v>
      </c>
    </row>
    <row r="32" spans="1:5" x14ac:dyDescent="0.25">
      <c r="A32">
        <v>131152</v>
      </c>
      <c r="B32" t="s">
        <v>32</v>
      </c>
      <c r="C32">
        <f>'[1]VENTAS CONSOLIDADA LARA'!C32</f>
        <v>692</v>
      </c>
      <c r="D32" s="5">
        <f t="shared" ca="1" si="0"/>
        <v>57.666666666666664</v>
      </c>
      <c r="E32" s="5">
        <f t="shared" ca="1" si="1"/>
        <v>1268.6666666666665</v>
      </c>
    </row>
    <row r="33" spans="1:5" x14ac:dyDescent="0.25">
      <c r="A33">
        <v>131153</v>
      </c>
      <c r="B33" t="s">
        <v>11</v>
      </c>
      <c r="C33">
        <f>'[1]VENTAS CONSOLIDADA LARA'!C33</f>
        <v>437</v>
      </c>
      <c r="D33" s="5">
        <f t="shared" ca="1" si="0"/>
        <v>36.416666666666664</v>
      </c>
      <c r="E33" s="5">
        <f t="shared" ca="1" si="1"/>
        <v>801.16666666666663</v>
      </c>
    </row>
    <row r="34" spans="1:5" x14ac:dyDescent="0.25">
      <c r="A34">
        <v>131154</v>
      </c>
      <c r="B34" t="s">
        <v>48</v>
      </c>
      <c r="C34">
        <f>'[1]VENTAS CONSOLIDADA LARA'!C34</f>
        <v>615</v>
      </c>
      <c r="D34" s="5">
        <f t="shared" ca="1" si="0"/>
        <v>51.25</v>
      </c>
      <c r="E34" s="5">
        <f t="shared" ca="1" si="1"/>
        <v>1127.5</v>
      </c>
    </row>
    <row r="35" spans="1:5" x14ac:dyDescent="0.25">
      <c r="A35">
        <v>131155</v>
      </c>
      <c r="B35" t="s">
        <v>57</v>
      </c>
      <c r="C35">
        <f>'[1]VENTAS CONSOLIDADA LARA'!C35</f>
        <v>686</v>
      </c>
      <c r="D35" s="5">
        <f t="shared" ca="1" si="0"/>
        <v>57.166666666666664</v>
      </c>
      <c r="E35" s="5">
        <f t="shared" ca="1" si="1"/>
        <v>1257.6666666666665</v>
      </c>
    </row>
    <row r="36" spans="1:5" x14ac:dyDescent="0.25">
      <c r="A36">
        <v>131700</v>
      </c>
      <c r="B36" t="s">
        <v>20</v>
      </c>
      <c r="C36">
        <f>'[1]VENTAS CONSOLIDADA LARA'!C36</f>
        <v>132</v>
      </c>
      <c r="D36" s="5">
        <f t="shared" ca="1" si="0"/>
        <v>11</v>
      </c>
      <c r="E36" s="5">
        <f t="shared" ca="1" si="1"/>
        <v>242</v>
      </c>
    </row>
    <row r="37" spans="1:5" x14ac:dyDescent="0.25">
      <c r="A37">
        <v>131701</v>
      </c>
      <c r="B37" t="s">
        <v>24</v>
      </c>
      <c r="C37">
        <f>'[1]VENTAS CONSOLIDADA LARA'!C37</f>
        <v>194</v>
      </c>
      <c r="D37" s="5">
        <f t="shared" ca="1" si="0"/>
        <v>16.166666666666668</v>
      </c>
      <c r="E37" s="5">
        <f t="shared" ca="1" si="1"/>
        <v>355.66666666666669</v>
      </c>
    </row>
    <row r="38" spans="1:5" x14ac:dyDescent="0.25">
      <c r="A38">
        <v>132150</v>
      </c>
      <c r="B38" t="s">
        <v>25</v>
      </c>
      <c r="C38">
        <f>'[1]VENTAS CONSOLIDADA LARA'!C38</f>
        <v>1473</v>
      </c>
      <c r="D38" s="5">
        <f t="shared" ca="1" si="0"/>
        <v>122.75</v>
      </c>
      <c r="E38" s="5">
        <f t="shared" ca="1" si="1"/>
        <v>2700.5</v>
      </c>
    </row>
    <row r="39" spans="1:5" x14ac:dyDescent="0.25">
      <c r="A39">
        <v>132151</v>
      </c>
      <c r="B39" t="s">
        <v>26</v>
      </c>
      <c r="C39">
        <f>'[1]VENTAS CONSOLIDADA LARA'!C39</f>
        <v>727</v>
      </c>
      <c r="D39" s="5">
        <f t="shared" ca="1" si="0"/>
        <v>60.583333333333336</v>
      </c>
      <c r="E39" s="5">
        <f t="shared" ca="1" si="1"/>
        <v>1332.8333333333335</v>
      </c>
    </row>
    <row r="40" spans="1:5" x14ac:dyDescent="0.25">
      <c r="A40">
        <v>132152</v>
      </c>
      <c r="B40" t="s">
        <v>27</v>
      </c>
      <c r="C40">
        <f>'[1]VENTAS CONSOLIDADA LARA'!C40</f>
        <v>1160</v>
      </c>
      <c r="D40" s="5">
        <f t="shared" ca="1" si="0"/>
        <v>96.666666666666671</v>
      </c>
      <c r="E40" s="5">
        <f t="shared" ca="1" si="1"/>
        <v>2126.666666666667</v>
      </c>
    </row>
    <row r="41" spans="1:5" x14ac:dyDescent="0.25">
      <c r="A41">
        <v>132153</v>
      </c>
      <c r="B41" t="s">
        <v>40</v>
      </c>
      <c r="C41">
        <f>'[1]VENTAS CONSOLIDADA LARA'!C41</f>
        <v>511</v>
      </c>
      <c r="D41" s="5">
        <f t="shared" ca="1" si="0"/>
        <v>42.583333333333336</v>
      </c>
      <c r="E41" s="5">
        <f t="shared" ca="1" si="1"/>
        <v>936.83333333333337</v>
      </c>
    </row>
    <row r="42" spans="1:5" x14ac:dyDescent="0.25">
      <c r="A42">
        <v>134000</v>
      </c>
      <c r="B42" t="s">
        <v>35</v>
      </c>
      <c r="C42">
        <f>'[1]VENTAS CONSOLIDADA LARA'!C42</f>
        <v>14</v>
      </c>
      <c r="D42" s="5">
        <f t="shared" ca="1" si="0"/>
        <v>1.1666666666666667</v>
      </c>
      <c r="E42" s="5">
        <f t="shared" ca="1" si="1"/>
        <v>25.666666666666668</v>
      </c>
    </row>
    <row r="43" spans="1:5" x14ac:dyDescent="0.25">
      <c r="A43">
        <v>134001</v>
      </c>
      <c r="B43" t="s">
        <v>47</v>
      </c>
      <c r="C43">
        <f>'[1]VENTAS CONSOLIDADA LARA'!C43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LARA'!C44</f>
        <v>168</v>
      </c>
      <c r="D44" s="5">
        <f t="shared" ca="1" si="0"/>
        <v>14</v>
      </c>
      <c r="E44" s="5">
        <f t="shared" ca="1" si="1"/>
        <v>308</v>
      </c>
    </row>
    <row r="45" spans="1:5" x14ac:dyDescent="0.25">
      <c r="A45">
        <v>140231</v>
      </c>
      <c r="B45" t="s">
        <v>10</v>
      </c>
      <c r="C45">
        <f>'[1]VENTAS CONSOLIDADA LARA'!C45</f>
        <v>207</v>
      </c>
      <c r="D45" s="5">
        <f t="shared" ca="1" si="0"/>
        <v>17.25</v>
      </c>
      <c r="E45" s="5">
        <f t="shared" ca="1" si="1"/>
        <v>379.5</v>
      </c>
    </row>
    <row r="46" spans="1:5" x14ac:dyDescent="0.25">
      <c r="A46">
        <v>140232</v>
      </c>
      <c r="B46" t="s">
        <v>9</v>
      </c>
      <c r="C46">
        <f>'[1]VENTAS CONSOLIDADA LARA'!C46</f>
        <v>393</v>
      </c>
      <c r="D46" s="5">
        <f t="shared" ca="1" si="0"/>
        <v>32.75</v>
      </c>
      <c r="E46" s="5">
        <f t="shared" ca="1" si="1"/>
        <v>720.5</v>
      </c>
    </row>
    <row r="47" spans="1:5" x14ac:dyDescent="0.25">
      <c r="A47">
        <v>150360</v>
      </c>
      <c r="B47" t="s">
        <v>28</v>
      </c>
      <c r="C47">
        <f>'[1]VENTAS CONSOLIDADA LARA'!C47</f>
        <v>201</v>
      </c>
      <c r="D47" s="5">
        <f t="shared" ca="1" si="0"/>
        <v>16.75</v>
      </c>
      <c r="E47" s="5">
        <f t="shared" ca="1" si="1"/>
        <v>368.5</v>
      </c>
    </row>
    <row r="48" spans="1:5" x14ac:dyDescent="0.25">
      <c r="A48">
        <v>150361</v>
      </c>
      <c r="B48" t="s">
        <v>29</v>
      </c>
      <c r="C48">
        <f>'[1]VENTAS CONSOLIDADA LARA'!C48</f>
        <v>543</v>
      </c>
      <c r="D48" s="5">
        <f t="shared" ca="1" si="0"/>
        <v>45.25</v>
      </c>
      <c r="E48" s="5">
        <f t="shared" ca="1" si="1"/>
        <v>995.5</v>
      </c>
    </row>
    <row r="49" spans="1:5" x14ac:dyDescent="0.25">
      <c r="A49">
        <v>150362</v>
      </c>
      <c r="B49" t="s">
        <v>36</v>
      </c>
      <c r="C49">
        <f>'[1]VENTAS CONSOLIDADA LARA'!C49</f>
        <v>295</v>
      </c>
      <c r="D49" s="5">
        <f t="shared" ca="1" si="0"/>
        <v>24.583333333333332</v>
      </c>
      <c r="E49" s="5">
        <f t="shared" ca="1" si="1"/>
        <v>540.83333333333326</v>
      </c>
    </row>
    <row r="50" spans="1:5" x14ac:dyDescent="0.25">
      <c r="A50">
        <v>150363</v>
      </c>
      <c r="B50" t="s">
        <v>31</v>
      </c>
      <c r="C50">
        <f>'[1]VENTAS CONSOLIDADA LARA'!C50</f>
        <v>325</v>
      </c>
      <c r="D50" s="5">
        <f t="shared" ca="1" si="0"/>
        <v>27.083333333333332</v>
      </c>
      <c r="E50" s="5">
        <f t="shared" ca="1" si="1"/>
        <v>595.83333333333326</v>
      </c>
    </row>
    <row r="51" spans="1:5" x14ac:dyDescent="0.25">
      <c r="A51">
        <v>151500</v>
      </c>
      <c r="B51" t="s">
        <v>41</v>
      </c>
      <c r="C51">
        <f>'[1]VENTAS CONSOLIDADA LARA'!C51</f>
        <v>78</v>
      </c>
      <c r="D51" s="5">
        <f t="shared" ca="1" si="0"/>
        <v>6.5</v>
      </c>
      <c r="E51" s="5">
        <f t="shared" ca="1" si="1"/>
        <v>143</v>
      </c>
    </row>
    <row r="52" spans="1:5" x14ac:dyDescent="0.25">
      <c r="A52">
        <v>151501</v>
      </c>
      <c r="B52" t="s">
        <v>33</v>
      </c>
      <c r="C52">
        <f>'[1]VENTAS CONSOLIDADA LARA'!C52</f>
        <v>263</v>
      </c>
      <c r="D52" s="5">
        <f t="shared" ca="1" si="0"/>
        <v>21.916666666666668</v>
      </c>
      <c r="E52" s="5">
        <f t="shared" ca="1" si="1"/>
        <v>482.16666666666669</v>
      </c>
    </row>
    <row r="53" spans="1:5" x14ac:dyDescent="0.25">
      <c r="A53">
        <v>151502</v>
      </c>
      <c r="B53" t="s">
        <v>37</v>
      </c>
      <c r="C53">
        <f>'[1]VENTAS CONSOLIDADA LARA'!C53</f>
        <v>69</v>
      </c>
      <c r="D53" s="5">
        <f t="shared" ca="1" si="0"/>
        <v>5.75</v>
      </c>
      <c r="E53" s="5">
        <f t="shared" ca="1" si="1"/>
        <v>126.5</v>
      </c>
    </row>
    <row r="54" spans="1:5" x14ac:dyDescent="0.25">
      <c r="A54">
        <v>151503</v>
      </c>
      <c r="B54" t="s">
        <v>34</v>
      </c>
      <c r="C54">
        <f>'[1]VENTAS CONSOLIDADA LARA'!C54</f>
        <v>66</v>
      </c>
      <c r="D54" s="5">
        <f t="shared" ca="1" si="0"/>
        <v>5.5</v>
      </c>
      <c r="E54" s="5">
        <f t="shared" ca="1" si="1"/>
        <v>121</v>
      </c>
    </row>
    <row r="55" spans="1:5" x14ac:dyDescent="0.25">
      <c r="D55" s="5">
        <f ca="1">SUM(D8:D54)</f>
        <v>3452.9999999999995</v>
      </c>
      <c r="E55" s="5">
        <f ca="1">SUM(E8:E54)</f>
        <v>75965.999999999985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F13" sqref="F1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'[1]VENTAS CONSOLIDADA ANZOATEGUI'!D1</f>
        <v>46266</v>
      </c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'[1]VENTAS CONSOLIDADA ANZOATEGUI'!D2</f>
        <v>46282</v>
      </c>
      <c r="E2" s="4">
        <f ca="1">'[1]VENTAS CONSOLIDADA ANZOATEGUI'!E2</f>
        <v>12</v>
      </c>
    </row>
    <row r="3" spans="1:5" x14ac:dyDescent="0.25">
      <c r="B3" s="9"/>
      <c r="C3" s="2" t="str">
        <f>'[1]VENTAS CONSOLIDADA ANZOATEGUI'!C3</f>
        <v>FINAL VENTAS</v>
      </c>
      <c r="D3" s="3">
        <f>'[1]VENTAS CONSOLIDADA ANZOATEGUI'!D3</f>
        <v>46295</v>
      </c>
      <c r="E3" s="4">
        <f ca="1">'[1]VENTAS CONSOLIDADA ANZOATEGUI'!E3</f>
        <v>10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ANZOATEGUI'!C8</f>
        <v>517</v>
      </c>
      <c r="D8" s="5">
        <f t="shared" ref="D8:D54" ca="1" si="0">C8/$E$2</f>
        <v>43.083333333333336</v>
      </c>
      <c r="E8" s="5">
        <f t="shared" ref="E8:E54" ca="1" si="1">D8*($E$2+$E$3)</f>
        <v>947.83333333333337</v>
      </c>
    </row>
    <row r="9" spans="1:5" x14ac:dyDescent="0.25">
      <c r="A9">
        <v>110151</v>
      </c>
      <c r="B9" t="s">
        <v>5</v>
      </c>
      <c r="C9">
        <f>'[1]VENTAS CONSOLIDADA ANZOATEGUI'!C9</f>
        <v>50</v>
      </c>
      <c r="D9" s="5">
        <f t="shared" ca="1" si="0"/>
        <v>4.166666666666667</v>
      </c>
      <c r="E9" s="5">
        <f t="shared" ca="1" si="1"/>
        <v>91.666666666666671</v>
      </c>
    </row>
    <row r="10" spans="1:5" x14ac:dyDescent="0.25">
      <c r="A10">
        <v>110230</v>
      </c>
      <c r="B10" t="s">
        <v>1</v>
      </c>
      <c r="C10">
        <f>'[1]VENTAS CONSOLIDADA ANZOATEGUI'!C10</f>
        <v>149</v>
      </c>
      <c r="D10" s="5">
        <f t="shared" ca="1" si="0"/>
        <v>12.416666666666666</v>
      </c>
      <c r="E10" s="5">
        <f t="shared" ca="1" si="1"/>
        <v>273.16666666666663</v>
      </c>
    </row>
    <row r="11" spans="1:5" x14ac:dyDescent="0.25">
      <c r="A11">
        <v>110400</v>
      </c>
      <c r="B11" t="s">
        <v>13</v>
      </c>
      <c r="C11">
        <f>'[1]VENTAS CONSOLIDADA ANZOATEGUI'!C11</f>
        <v>32</v>
      </c>
      <c r="D11" s="5">
        <f t="shared" ca="1" si="0"/>
        <v>2.6666666666666665</v>
      </c>
      <c r="E11" s="5">
        <f t="shared" ca="1" si="1"/>
        <v>58.666666666666664</v>
      </c>
    </row>
    <row r="12" spans="1:5" x14ac:dyDescent="0.25">
      <c r="A12">
        <v>111000</v>
      </c>
      <c r="B12" t="s">
        <v>14</v>
      </c>
      <c r="C12">
        <f>'[1]VENTAS CONSOLIDADA ANZOATEGUI'!C12</f>
        <v>5</v>
      </c>
      <c r="D12" s="5">
        <f t="shared" ca="1" si="0"/>
        <v>0.41666666666666669</v>
      </c>
      <c r="E12" s="5">
        <f t="shared" ca="1" si="1"/>
        <v>9.1666666666666679</v>
      </c>
    </row>
    <row r="13" spans="1:5" x14ac:dyDescent="0.25">
      <c r="A13">
        <v>120130</v>
      </c>
      <c r="B13" t="s">
        <v>15</v>
      </c>
      <c r="C13">
        <f>'[1]VENTAS CONSOLIDADA ANZOATEGUI'!C13</f>
        <v>607</v>
      </c>
      <c r="D13" s="5">
        <f t="shared" ca="1" si="0"/>
        <v>50.583333333333336</v>
      </c>
      <c r="E13" s="5">
        <f t="shared" ca="1" si="1"/>
        <v>1112.8333333333335</v>
      </c>
    </row>
    <row r="14" spans="1:5" x14ac:dyDescent="0.25">
      <c r="A14">
        <v>120131</v>
      </c>
      <c r="B14" t="s">
        <v>23</v>
      </c>
      <c r="C14">
        <f>'[1]VENTAS CONSOLIDADA ANZOATEGUI'!C14</f>
        <v>53</v>
      </c>
      <c r="D14" s="5">
        <f t="shared" ca="1" si="0"/>
        <v>4.416666666666667</v>
      </c>
      <c r="E14" s="5">
        <f t="shared" ca="1" si="1"/>
        <v>97.166666666666671</v>
      </c>
    </row>
    <row r="15" spans="1:5" x14ac:dyDescent="0.25">
      <c r="A15">
        <v>120132</v>
      </c>
      <c r="B15" t="s">
        <v>21</v>
      </c>
      <c r="C15">
        <f>'[1]VENTAS CONSOLIDADA ANZOATEGUI'!C15</f>
        <v>106</v>
      </c>
      <c r="D15" s="5">
        <f t="shared" ca="1" si="0"/>
        <v>8.8333333333333339</v>
      </c>
      <c r="E15" s="5">
        <f t="shared" ca="1" si="1"/>
        <v>194.33333333333334</v>
      </c>
    </row>
    <row r="16" spans="1:5" x14ac:dyDescent="0.25">
      <c r="A16">
        <v>130150</v>
      </c>
      <c r="B16" t="s">
        <v>0</v>
      </c>
      <c r="C16">
        <f>'[1]VENTAS CONSOLIDADA ANZOATEGUI'!C16</f>
        <v>239</v>
      </c>
      <c r="D16" s="5">
        <f t="shared" ca="1" si="0"/>
        <v>19.916666666666668</v>
      </c>
      <c r="E16" s="5">
        <f t="shared" ca="1" si="1"/>
        <v>438.16666666666669</v>
      </c>
    </row>
    <row r="17" spans="1:5" x14ac:dyDescent="0.25">
      <c r="A17">
        <v>130151</v>
      </c>
      <c r="B17" t="s">
        <v>4</v>
      </c>
      <c r="C17">
        <f>'[1]VENTAS CONSOLIDADA ANZOATEGUI'!C17</f>
        <v>64</v>
      </c>
      <c r="D17" s="5">
        <f t="shared" ca="1" si="0"/>
        <v>5.333333333333333</v>
      </c>
      <c r="E17" s="5">
        <f t="shared" ca="1" si="1"/>
        <v>117.33333333333333</v>
      </c>
    </row>
    <row r="18" spans="1:5" x14ac:dyDescent="0.25">
      <c r="A18">
        <v>130152</v>
      </c>
      <c r="B18" t="s">
        <v>51</v>
      </c>
      <c r="C18">
        <f>'[1]VENTAS CONSOLIDADA ANZOATEGUI'!C18</f>
        <v>1587</v>
      </c>
      <c r="D18" s="5">
        <f t="shared" ca="1" si="0"/>
        <v>132.25</v>
      </c>
      <c r="E18" s="5">
        <f t="shared" ca="1" si="1"/>
        <v>2909.5</v>
      </c>
    </row>
    <row r="19" spans="1:5" x14ac:dyDescent="0.25">
      <c r="A19">
        <v>130153</v>
      </c>
      <c r="B19" t="s">
        <v>52</v>
      </c>
      <c r="C19">
        <f>'[1]VENTAS CONSOLIDADA ANZOATEGUI'!C19</f>
        <v>925</v>
      </c>
      <c r="D19" s="5">
        <f t="shared" ca="1" si="0"/>
        <v>77.083333333333329</v>
      </c>
      <c r="E19" s="5">
        <f t="shared" ca="1" si="1"/>
        <v>1695.8333333333333</v>
      </c>
    </row>
    <row r="20" spans="1:5" x14ac:dyDescent="0.25">
      <c r="A20">
        <v>130154</v>
      </c>
      <c r="B20" t="s">
        <v>53</v>
      </c>
      <c r="C20">
        <f>'[1]VENTAS CONSOLIDADA ANZOATEGUI'!C20</f>
        <v>1204</v>
      </c>
      <c r="D20" s="5">
        <f t="shared" ca="1" si="0"/>
        <v>100.33333333333333</v>
      </c>
      <c r="E20" s="5">
        <f t="shared" ca="1" si="1"/>
        <v>2207.333333333333</v>
      </c>
    </row>
    <row r="21" spans="1:5" x14ac:dyDescent="0.25">
      <c r="A21">
        <v>130155</v>
      </c>
      <c r="B21" t="s">
        <v>16</v>
      </c>
      <c r="C21">
        <f>'[1]VENTAS CONSOLIDADA ANZOATEGUI'!C21</f>
        <v>974</v>
      </c>
      <c r="D21" s="5">
        <f t="shared" ca="1" si="0"/>
        <v>81.166666666666671</v>
      </c>
      <c r="E21" s="5">
        <f t="shared" ca="1" si="1"/>
        <v>1785.6666666666667</v>
      </c>
    </row>
    <row r="22" spans="1:5" x14ac:dyDescent="0.25">
      <c r="A22">
        <v>130157</v>
      </c>
      <c r="B22" t="s">
        <v>43</v>
      </c>
      <c r="C22">
        <f>'[1]VENTAS CONSOLIDADA ANZOATEGUI'!C22</f>
        <v>266</v>
      </c>
      <c r="D22" s="5">
        <f t="shared" ca="1" si="0"/>
        <v>22.166666666666668</v>
      </c>
      <c r="E22" s="5">
        <f t="shared" ca="1" si="1"/>
        <v>487.66666666666669</v>
      </c>
    </row>
    <row r="23" spans="1:5" x14ac:dyDescent="0.25">
      <c r="A23">
        <v>130158</v>
      </c>
      <c r="B23" t="s">
        <v>44</v>
      </c>
      <c r="C23">
        <f>'[1]VENTAS CONSOLIDADA ANZOATEGUI'!C23</f>
        <v>388</v>
      </c>
      <c r="D23" s="5">
        <f t="shared" ca="1" si="0"/>
        <v>32.333333333333336</v>
      </c>
      <c r="E23" s="5">
        <f t="shared" ca="1" si="1"/>
        <v>711.33333333333337</v>
      </c>
    </row>
    <row r="24" spans="1:5" x14ac:dyDescent="0.25">
      <c r="A24">
        <v>130159</v>
      </c>
      <c r="B24" t="s">
        <v>45</v>
      </c>
      <c r="C24">
        <f>'[1]VENTAS CONSOLIDADA ANZOATEGUI'!C24</f>
        <v>373</v>
      </c>
      <c r="D24" s="5">
        <f t="shared" ca="1" si="0"/>
        <v>31.083333333333332</v>
      </c>
      <c r="E24" s="5">
        <f t="shared" ca="1" si="1"/>
        <v>683.83333333333326</v>
      </c>
    </row>
    <row r="25" spans="1:5" x14ac:dyDescent="0.25">
      <c r="A25">
        <v>130700</v>
      </c>
      <c r="B25" t="s">
        <v>3</v>
      </c>
      <c r="C25">
        <f>'[1]VENTAS CONSOLIDADA ANZOATEGUI'!C25</f>
        <v>63</v>
      </c>
      <c r="D25" s="5">
        <f t="shared" ca="1" si="0"/>
        <v>5.25</v>
      </c>
      <c r="E25" s="5">
        <f t="shared" ca="1" si="1"/>
        <v>115.5</v>
      </c>
    </row>
    <row r="26" spans="1:5" x14ac:dyDescent="0.25">
      <c r="A26">
        <v>130701</v>
      </c>
      <c r="B26" t="s">
        <v>30</v>
      </c>
      <c r="C26">
        <f>'[1]VENTAS CONSOLIDADA ANZOATEGUI'!C26</f>
        <v>10</v>
      </c>
      <c r="D26" s="5">
        <f t="shared" ca="1" si="0"/>
        <v>0.83333333333333337</v>
      </c>
      <c r="E26" s="5">
        <f t="shared" ca="1" si="1"/>
        <v>18.333333333333336</v>
      </c>
    </row>
    <row r="27" spans="1:5" x14ac:dyDescent="0.25">
      <c r="A27">
        <v>130702</v>
      </c>
      <c r="B27" t="s">
        <v>12</v>
      </c>
      <c r="C27">
        <f>'[1]VENTAS CONSOLIDADA ANZOATEGUI'!C27</f>
        <v>150</v>
      </c>
      <c r="D27" s="5">
        <f t="shared" ca="1" si="0"/>
        <v>12.5</v>
      </c>
      <c r="E27" s="5">
        <f t="shared" ca="1" si="1"/>
        <v>275</v>
      </c>
    </row>
    <row r="28" spans="1:5" x14ac:dyDescent="0.25">
      <c r="A28">
        <v>130703</v>
      </c>
      <c r="B28" t="s">
        <v>17</v>
      </c>
      <c r="C28">
        <f>'[1]VENTAS CONSOLIDADA ANZOATEGUI'!C28</f>
        <v>218</v>
      </c>
      <c r="D28" s="5">
        <f t="shared" ca="1" si="0"/>
        <v>18.166666666666668</v>
      </c>
      <c r="E28" s="5">
        <f t="shared" ca="1" si="1"/>
        <v>399.66666666666669</v>
      </c>
    </row>
    <row r="29" spans="1:5" x14ac:dyDescent="0.25">
      <c r="A29">
        <v>130707</v>
      </c>
      <c r="B29" t="s">
        <v>42</v>
      </c>
      <c r="C29">
        <f>'[1]VENTAS CONSOLIDADA ANZOATEGUI'!C29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ANZOATEGUI'!C30</f>
        <v>343</v>
      </c>
      <c r="D30" s="5">
        <f t="shared" ca="1" si="0"/>
        <v>28.583333333333332</v>
      </c>
      <c r="E30" s="5">
        <f t="shared" ca="1" si="1"/>
        <v>628.83333333333326</v>
      </c>
    </row>
    <row r="31" spans="1:5" x14ac:dyDescent="0.25">
      <c r="A31">
        <v>131151</v>
      </c>
      <c r="B31" t="s">
        <v>19</v>
      </c>
      <c r="C31">
        <f>'[1]VENTAS CONSOLIDADA ANZOATEGUI'!C31</f>
        <v>993</v>
      </c>
      <c r="D31" s="5">
        <f t="shared" ca="1" si="0"/>
        <v>82.75</v>
      </c>
      <c r="E31" s="5">
        <f t="shared" ca="1" si="1"/>
        <v>1820.5</v>
      </c>
    </row>
    <row r="32" spans="1:5" x14ac:dyDescent="0.25">
      <c r="A32">
        <v>131152</v>
      </c>
      <c r="B32" t="s">
        <v>32</v>
      </c>
      <c r="C32">
        <f>'[1]VENTAS CONSOLIDADA ANZOATEGUI'!C32</f>
        <v>732</v>
      </c>
      <c r="D32" s="5">
        <f t="shared" ca="1" si="0"/>
        <v>61</v>
      </c>
      <c r="E32" s="5">
        <f t="shared" ca="1" si="1"/>
        <v>1342</v>
      </c>
    </row>
    <row r="33" spans="1:5" x14ac:dyDescent="0.25">
      <c r="A33">
        <v>131153</v>
      </c>
      <c r="B33" t="s">
        <v>11</v>
      </c>
      <c r="C33">
        <f>'[1]VENTAS CONSOLIDADA ANZOATEGUI'!C33</f>
        <v>368</v>
      </c>
      <c r="D33" s="5">
        <f t="shared" ca="1" si="0"/>
        <v>30.666666666666668</v>
      </c>
      <c r="E33" s="5">
        <f t="shared" ca="1" si="1"/>
        <v>674.66666666666674</v>
      </c>
    </row>
    <row r="34" spans="1:5" x14ac:dyDescent="0.25">
      <c r="A34">
        <v>131154</v>
      </c>
      <c r="B34" t="s">
        <v>48</v>
      </c>
      <c r="C34">
        <f>'[1]VENTAS CONSOLIDADA ANZOATEGUI'!C34</f>
        <v>278</v>
      </c>
      <c r="D34" s="5">
        <f t="shared" ca="1" si="0"/>
        <v>23.166666666666668</v>
      </c>
      <c r="E34" s="5">
        <f t="shared" ca="1" si="1"/>
        <v>509.66666666666669</v>
      </c>
    </row>
    <row r="35" spans="1:5" x14ac:dyDescent="0.25">
      <c r="A35">
        <v>131155</v>
      </c>
      <c r="B35" t="s">
        <v>57</v>
      </c>
      <c r="C35">
        <f>'[1]VENTAS CONSOLIDADA ANZOATEGUI'!C35</f>
        <v>359</v>
      </c>
      <c r="D35" s="5">
        <f t="shared" ca="1" si="0"/>
        <v>29.916666666666668</v>
      </c>
      <c r="E35" s="5">
        <f t="shared" ca="1" si="1"/>
        <v>658.16666666666674</v>
      </c>
    </row>
    <row r="36" spans="1:5" x14ac:dyDescent="0.25">
      <c r="A36">
        <v>131700</v>
      </c>
      <c r="B36" t="s">
        <v>20</v>
      </c>
      <c r="C36">
        <f>'[1]VENTAS CONSOLIDADA ANZOATEGUI'!C36</f>
        <v>65</v>
      </c>
      <c r="D36" s="5">
        <f t="shared" ca="1" si="0"/>
        <v>5.416666666666667</v>
      </c>
      <c r="E36" s="5">
        <f t="shared" ca="1" si="1"/>
        <v>119.16666666666667</v>
      </c>
    </row>
    <row r="37" spans="1:5" x14ac:dyDescent="0.25">
      <c r="A37">
        <v>131701</v>
      </c>
      <c r="B37" t="s">
        <v>24</v>
      </c>
      <c r="C37">
        <f>'[1]VENTAS CONSOLIDADA ANZOATEGUI'!C37</f>
        <v>79</v>
      </c>
      <c r="D37" s="5">
        <f t="shared" ca="1" si="0"/>
        <v>6.583333333333333</v>
      </c>
      <c r="E37" s="5">
        <f t="shared" ca="1" si="1"/>
        <v>144.83333333333331</v>
      </c>
    </row>
    <row r="38" spans="1:5" x14ac:dyDescent="0.25">
      <c r="A38">
        <v>132150</v>
      </c>
      <c r="B38" t="s">
        <v>25</v>
      </c>
      <c r="C38">
        <f>'[1]VENTAS CONSOLIDADA ANZOATEGUI'!C38</f>
        <v>497</v>
      </c>
      <c r="D38" s="5">
        <f t="shared" ca="1" si="0"/>
        <v>41.416666666666664</v>
      </c>
      <c r="E38" s="5">
        <f t="shared" ca="1" si="1"/>
        <v>911.16666666666663</v>
      </c>
    </row>
    <row r="39" spans="1:5" x14ac:dyDescent="0.25">
      <c r="A39">
        <v>132151</v>
      </c>
      <c r="B39" t="s">
        <v>26</v>
      </c>
      <c r="C39">
        <f>'[1]VENTAS CONSOLIDADA ANZOATEGUI'!C39</f>
        <v>313</v>
      </c>
      <c r="D39" s="5">
        <f t="shared" ca="1" si="0"/>
        <v>26.083333333333332</v>
      </c>
      <c r="E39" s="5">
        <f t="shared" ca="1" si="1"/>
        <v>573.83333333333326</v>
      </c>
    </row>
    <row r="40" spans="1:5" x14ac:dyDescent="0.25">
      <c r="A40">
        <v>132152</v>
      </c>
      <c r="B40" t="s">
        <v>27</v>
      </c>
      <c r="C40">
        <f>'[1]VENTAS CONSOLIDADA ANZOATEGUI'!C40</f>
        <v>435</v>
      </c>
      <c r="D40" s="5">
        <f t="shared" ca="1" si="0"/>
        <v>36.25</v>
      </c>
      <c r="E40" s="5">
        <f t="shared" ca="1" si="1"/>
        <v>797.5</v>
      </c>
    </row>
    <row r="41" spans="1:5" x14ac:dyDescent="0.25">
      <c r="A41">
        <v>132153</v>
      </c>
      <c r="B41" t="s">
        <v>40</v>
      </c>
      <c r="C41">
        <f>'[1]VENTAS CONSOLIDADA ANZOATEGUI'!C41</f>
        <v>252</v>
      </c>
      <c r="D41" s="5">
        <f t="shared" ca="1" si="0"/>
        <v>21</v>
      </c>
      <c r="E41" s="5">
        <f t="shared" ca="1" si="1"/>
        <v>462</v>
      </c>
    </row>
    <row r="42" spans="1:5" x14ac:dyDescent="0.25">
      <c r="A42">
        <v>134000</v>
      </c>
      <c r="B42" t="s">
        <v>35</v>
      </c>
      <c r="C42">
        <f>'[1]VENTAS CONSOLIDADA ANZOATEGUI'!C42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ANZOATEGUI'!C43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ANZOATEGUI'!C44</f>
        <v>90</v>
      </c>
      <c r="D44" s="5">
        <f t="shared" ca="1" si="0"/>
        <v>7.5</v>
      </c>
      <c r="E44" s="5">
        <f t="shared" ca="1" si="1"/>
        <v>165</v>
      </c>
    </row>
    <row r="45" spans="1:5" x14ac:dyDescent="0.25">
      <c r="A45">
        <v>140231</v>
      </c>
      <c r="B45" t="s">
        <v>10</v>
      </c>
      <c r="C45">
        <f>'[1]VENTAS CONSOLIDADA ANZOATEGUI'!C45</f>
        <v>518</v>
      </c>
      <c r="D45" s="5">
        <f t="shared" ca="1" si="0"/>
        <v>43.166666666666664</v>
      </c>
      <c r="E45" s="5">
        <f t="shared" ca="1" si="1"/>
        <v>949.66666666666663</v>
      </c>
    </row>
    <row r="46" spans="1:5" x14ac:dyDescent="0.25">
      <c r="A46">
        <v>140232</v>
      </c>
      <c r="B46" t="s">
        <v>9</v>
      </c>
      <c r="C46">
        <f>'[1]VENTAS CONSOLIDADA ANZOATEGUI'!C46</f>
        <v>103</v>
      </c>
      <c r="D46" s="5">
        <f t="shared" ca="1" si="0"/>
        <v>8.5833333333333339</v>
      </c>
      <c r="E46" s="5">
        <f t="shared" ca="1" si="1"/>
        <v>188.83333333333334</v>
      </c>
    </row>
    <row r="47" spans="1:5" x14ac:dyDescent="0.25">
      <c r="A47">
        <v>150360</v>
      </c>
      <c r="B47" t="s">
        <v>28</v>
      </c>
      <c r="C47">
        <f>'[1]VENTAS CONSOLIDADA ANZOATEGUI'!C47</f>
        <v>57</v>
      </c>
      <c r="D47" s="5">
        <f t="shared" ca="1" si="0"/>
        <v>4.75</v>
      </c>
      <c r="E47" s="5">
        <f t="shared" ca="1" si="1"/>
        <v>104.5</v>
      </c>
    </row>
    <row r="48" spans="1:5" x14ac:dyDescent="0.25">
      <c r="A48">
        <v>150361</v>
      </c>
      <c r="B48" t="s">
        <v>29</v>
      </c>
      <c r="C48">
        <f>'[1]VENTAS CONSOLIDADA ANZOATEGUI'!C48</f>
        <v>350</v>
      </c>
      <c r="D48" s="5">
        <f t="shared" ca="1" si="0"/>
        <v>29.166666666666668</v>
      </c>
      <c r="E48" s="5">
        <f t="shared" ca="1" si="1"/>
        <v>641.66666666666674</v>
      </c>
    </row>
    <row r="49" spans="1:5" x14ac:dyDescent="0.25">
      <c r="A49">
        <v>150362</v>
      </c>
      <c r="B49" t="s">
        <v>36</v>
      </c>
      <c r="C49">
        <f>'[1]VENTAS CONSOLIDADA ANZOATEGUI'!C49</f>
        <v>125</v>
      </c>
      <c r="D49" s="5">
        <f t="shared" ca="1" si="0"/>
        <v>10.416666666666666</v>
      </c>
      <c r="E49" s="5">
        <f t="shared" ca="1" si="1"/>
        <v>229.16666666666666</v>
      </c>
    </row>
    <row r="50" spans="1:5" x14ac:dyDescent="0.25">
      <c r="A50">
        <v>150363</v>
      </c>
      <c r="B50" t="s">
        <v>31</v>
      </c>
      <c r="C50">
        <f>'[1]VENTAS CONSOLIDADA ANZOATEGUI'!C50</f>
        <v>138</v>
      </c>
      <c r="D50" s="5">
        <f t="shared" ca="1" si="0"/>
        <v>11.5</v>
      </c>
      <c r="E50" s="5">
        <f t="shared" ca="1" si="1"/>
        <v>253</v>
      </c>
    </row>
    <row r="51" spans="1:5" x14ac:dyDescent="0.25">
      <c r="A51">
        <v>151500</v>
      </c>
      <c r="B51" t="s">
        <v>41</v>
      </c>
      <c r="C51">
        <f>'[1]VENTAS CONSOLIDADA ANZOATEGUI'!C51</f>
        <v>26</v>
      </c>
      <c r="D51" s="5">
        <f t="shared" ca="1" si="0"/>
        <v>2.1666666666666665</v>
      </c>
      <c r="E51" s="5">
        <f t="shared" ca="1" si="1"/>
        <v>47.666666666666664</v>
      </c>
    </row>
    <row r="52" spans="1:5" x14ac:dyDescent="0.25">
      <c r="A52">
        <v>151501</v>
      </c>
      <c r="B52" t="s">
        <v>33</v>
      </c>
      <c r="C52">
        <f>'[1]VENTAS CONSOLIDADA ANZOATEGUI'!C52</f>
        <v>47</v>
      </c>
      <c r="D52" s="5">
        <f t="shared" ca="1" si="0"/>
        <v>3.9166666666666665</v>
      </c>
      <c r="E52" s="5">
        <f t="shared" ca="1" si="1"/>
        <v>86.166666666666657</v>
      </c>
    </row>
    <row r="53" spans="1:5" x14ac:dyDescent="0.25">
      <c r="A53">
        <v>151502</v>
      </c>
      <c r="B53" t="s">
        <v>37</v>
      </c>
      <c r="C53">
        <f>'[1]VENTAS CONSOLIDADA ANZOATEGUI'!C53</f>
        <v>8</v>
      </c>
      <c r="D53" s="5">
        <f t="shared" ca="1" si="0"/>
        <v>0.66666666666666663</v>
      </c>
      <c r="E53" s="5">
        <f t="shared" ca="1" si="1"/>
        <v>14.666666666666666</v>
      </c>
    </row>
    <row r="54" spans="1:5" x14ac:dyDescent="0.25">
      <c r="A54">
        <v>151503</v>
      </c>
      <c r="B54" t="s">
        <v>34</v>
      </c>
      <c r="C54">
        <f>'[1]VENTAS CONSOLIDADA ANZOATEGUI'!C54</f>
        <v>29</v>
      </c>
      <c r="D54" s="5">
        <f t="shared" ca="1" si="0"/>
        <v>2.4166666666666665</v>
      </c>
      <c r="E54" s="5">
        <f t="shared" ca="1" si="1"/>
        <v>53.166666666666664</v>
      </c>
    </row>
    <row r="55" spans="1:5" x14ac:dyDescent="0.25">
      <c r="D55" s="7">
        <f ca="1">SUM(D8:D54)</f>
        <v>1182.0833333333337</v>
      </c>
      <c r="E55" s="7">
        <f ca="1">SUM(E8:E54)</f>
        <v>26005.833333333347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I17" sqref="I17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'[1]VENTAS CONSOLIDADA 1,0'!D1</f>
        <v>46266</v>
      </c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'[1]VENTAS CONSOLIDADA 1,0'!D2</f>
        <v>46282</v>
      </c>
      <c r="E2" s="4">
        <f ca="1">'[1]VENTAS CONSOLIDADA 1,0'!E2</f>
        <v>12</v>
      </c>
    </row>
    <row r="3" spans="1:5" x14ac:dyDescent="0.25">
      <c r="B3" s="9"/>
      <c r="C3" s="2" t="str">
        <f>'[1]VENTAS CONSOLIDADA 1,0'!C3</f>
        <v>FINAL VENTAS</v>
      </c>
      <c r="D3" s="3">
        <f>'[1]VENTAS CONSOLIDADA 1,0'!D3</f>
        <v>46295</v>
      </c>
      <c r="E3" s="4">
        <f ca="1">'[1]VENTAS CONSOLIDADA 1,0'!E3</f>
        <v>10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1,0'!C8</f>
        <v>14842</v>
      </c>
      <c r="D8" s="5">
        <f t="shared" ref="D8:D54" ca="1" si="0">C8/$E$2</f>
        <v>1236.8333333333333</v>
      </c>
      <c r="E8" s="5">
        <f ca="1">D8*($E$2+$E$3)</f>
        <v>27210.333333333332</v>
      </c>
    </row>
    <row r="9" spans="1:5" x14ac:dyDescent="0.25">
      <c r="A9">
        <v>110151</v>
      </c>
      <c r="B9" t="s">
        <v>5</v>
      </c>
      <c r="C9">
        <f>'[1]VENTAS CONSOLIDADA 1,0'!C9</f>
        <v>801</v>
      </c>
      <c r="D9" s="5">
        <f t="shared" ca="1" si="0"/>
        <v>66.75</v>
      </c>
      <c r="E9" s="5">
        <f t="shared" ref="E9:E54" ca="1" si="1">D9*($E$2+$E$3)</f>
        <v>1468.5</v>
      </c>
    </row>
    <row r="10" spans="1:5" x14ac:dyDescent="0.25">
      <c r="A10">
        <v>110230</v>
      </c>
      <c r="B10" t="s">
        <v>1</v>
      </c>
      <c r="C10">
        <f>'[1]VENTAS CONSOLIDADA 1,0'!C10</f>
        <v>5941</v>
      </c>
      <c r="D10" s="5">
        <f t="shared" ca="1" si="0"/>
        <v>495.08333333333331</v>
      </c>
      <c r="E10" s="5">
        <f t="shared" ca="1" si="1"/>
        <v>10891.833333333332</v>
      </c>
    </row>
    <row r="11" spans="1:5" x14ac:dyDescent="0.25">
      <c r="A11">
        <v>110400</v>
      </c>
      <c r="B11" t="s">
        <v>13</v>
      </c>
      <c r="C11">
        <f>'[1]VENTAS CONSOLIDADA 1,0'!C11</f>
        <v>1439</v>
      </c>
      <c r="D11" s="5">
        <f t="shared" ca="1" si="0"/>
        <v>119.91666666666667</v>
      </c>
      <c r="E11" s="5">
        <f t="shared" ca="1" si="1"/>
        <v>2638.166666666667</v>
      </c>
    </row>
    <row r="12" spans="1:5" x14ac:dyDescent="0.25">
      <c r="A12">
        <v>111000</v>
      </c>
      <c r="B12" t="s">
        <v>14</v>
      </c>
      <c r="C12">
        <f>'[1]VENTAS CONSOLIDADA 1,0'!C12</f>
        <v>185</v>
      </c>
      <c r="D12" s="5">
        <f t="shared" ca="1" si="0"/>
        <v>15.416666666666666</v>
      </c>
      <c r="E12" s="5">
        <f t="shared" ca="1" si="1"/>
        <v>339.16666666666663</v>
      </c>
    </row>
    <row r="13" spans="1:5" x14ac:dyDescent="0.25">
      <c r="A13">
        <v>120130</v>
      </c>
      <c r="B13" t="s">
        <v>15</v>
      </c>
      <c r="C13">
        <f>'[1]VENTAS CONSOLIDADA 1,0'!C13</f>
        <v>17164</v>
      </c>
      <c r="D13" s="5">
        <f t="shared" ca="1" si="0"/>
        <v>1430.3333333333333</v>
      </c>
      <c r="E13" s="5">
        <f t="shared" ca="1" si="1"/>
        <v>31467.333333333332</v>
      </c>
    </row>
    <row r="14" spans="1:5" x14ac:dyDescent="0.25">
      <c r="A14">
        <v>120131</v>
      </c>
      <c r="B14" t="s">
        <v>23</v>
      </c>
      <c r="C14">
        <f>'[1]VENTAS CONSOLIDADA 1,0'!C14</f>
        <v>1768</v>
      </c>
      <c r="D14" s="5">
        <f t="shared" ca="1" si="0"/>
        <v>147.33333333333334</v>
      </c>
      <c r="E14" s="5">
        <f t="shared" ca="1" si="1"/>
        <v>3241.3333333333335</v>
      </c>
    </row>
    <row r="15" spans="1:5" x14ac:dyDescent="0.25">
      <c r="A15">
        <v>120132</v>
      </c>
      <c r="B15" t="s">
        <v>21</v>
      </c>
      <c r="C15">
        <f>'[1]VENTAS CONSOLIDADA 1,0'!C15</f>
        <v>3424</v>
      </c>
      <c r="D15" s="5">
        <f t="shared" ca="1" si="0"/>
        <v>285.33333333333331</v>
      </c>
      <c r="E15" s="5">
        <f t="shared" ca="1" si="1"/>
        <v>6277.333333333333</v>
      </c>
    </row>
    <row r="16" spans="1:5" x14ac:dyDescent="0.25">
      <c r="A16">
        <v>130150</v>
      </c>
      <c r="B16" t="s">
        <v>0</v>
      </c>
      <c r="C16">
        <f>'[1]VENTAS CONSOLIDADA 1,0'!C16</f>
        <v>8861</v>
      </c>
      <c r="D16" s="5">
        <f t="shared" ca="1" si="0"/>
        <v>738.41666666666663</v>
      </c>
      <c r="E16" s="5">
        <f t="shared" ca="1" si="1"/>
        <v>16245.166666666666</v>
      </c>
    </row>
    <row r="17" spans="1:5" x14ac:dyDescent="0.25">
      <c r="A17">
        <v>130151</v>
      </c>
      <c r="B17" t="s">
        <v>4</v>
      </c>
      <c r="C17">
        <f>'[1]VENTAS CONSOLIDADA 1,0'!C17</f>
        <v>4199</v>
      </c>
      <c r="D17" s="5">
        <f t="shared" ca="1" si="0"/>
        <v>349.91666666666669</v>
      </c>
      <c r="E17" s="5">
        <f t="shared" ca="1" si="1"/>
        <v>7698.166666666667</v>
      </c>
    </row>
    <row r="18" spans="1:5" x14ac:dyDescent="0.25">
      <c r="A18">
        <v>130152</v>
      </c>
      <c r="B18" t="s">
        <v>51</v>
      </c>
      <c r="C18">
        <f>'[1]VENTAS CONSOLIDADA 1,0'!C18</f>
        <v>41620</v>
      </c>
      <c r="D18" s="5">
        <f t="shared" ca="1" si="0"/>
        <v>3468.3333333333335</v>
      </c>
      <c r="E18" s="5">
        <f t="shared" ca="1" si="1"/>
        <v>76303.333333333343</v>
      </c>
    </row>
    <row r="19" spans="1:5" x14ac:dyDescent="0.25">
      <c r="A19">
        <v>130153</v>
      </c>
      <c r="B19" t="s">
        <v>52</v>
      </c>
      <c r="C19">
        <f>'[1]VENTAS CONSOLIDADA 1,0'!C19</f>
        <v>25716</v>
      </c>
      <c r="D19" s="5">
        <f t="shared" ca="1" si="0"/>
        <v>2143</v>
      </c>
      <c r="E19" s="5">
        <f t="shared" ca="1" si="1"/>
        <v>47146</v>
      </c>
    </row>
    <row r="20" spans="1:5" x14ac:dyDescent="0.25">
      <c r="A20">
        <v>130154</v>
      </c>
      <c r="B20" t="s">
        <v>53</v>
      </c>
      <c r="C20">
        <f>'[1]VENTAS CONSOLIDADA 1,0'!C20</f>
        <v>26192</v>
      </c>
      <c r="D20" s="5">
        <f t="shared" ca="1" si="0"/>
        <v>2182.6666666666665</v>
      </c>
      <c r="E20" s="5">
        <f t="shared" ca="1" si="1"/>
        <v>48018.666666666664</v>
      </c>
    </row>
    <row r="21" spans="1:5" x14ac:dyDescent="0.25">
      <c r="A21">
        <v>130155</v>
      </c>
      <c r="B21" t="s">
        <v>16</v>
      </c>
      <c r="C21">
        <f>'[1]VENTAS CONSOLIDADA 1,0'!C21</f>
        <v>31881</v>
      </c>
      <c r="D21" s="5">
        <f t="shared" ca="1" si="0"/>
        <v>2656.75</v>
      </c>
      <c r="E21" s="5">
        <f t="shared" ca="1" si="1"/>
        <v>58448.5</v>
      </c>
    </row>
    <row r="22" spans="1:5" x14ac:dyDescent="0.25">
      <c r="A22">
        <v>130157</v>
      </c>
      <c r="B22" t="s">
        <v>43</v>
      </c>
      <c r="C22">
        <f>'[1]VENTAS CONSOLIDADA 1,0'!C22</f>
        <v>8448</v>
      </c>
      <c r="D22" s="5">
        <f t="shared" ca="1" si="0"/>
        <v>704</v>
      </c>
      <c r="E22" s="5">
        <f t="shared" ca="1" si="1"/>
        <v>15488</v>
      </c>
    </row>
    <row r="23" spans="1:5" x14ac:dyDescent="0.25">
      <c r="A23">
        <v>130158</v>
      </c>
      <c r="B23" t="s">
        <v>44</v>
      </c>
      <c r="C23">
        <f>'[1]VENTAS CONSOLIDADA 1,0'!C23</f>
        <v>9831</v>
      </c>
      <c r="D23" s="5">
        <f t="shared" ca="1" si="0"/>
        <v>819.25</v>
      </c>
      <c r="E23" s="5">
        <f t="shared" ca="1" si="1"/>
        <v>18023.5</v>
      </c>
    </row>
    <row r="24" spans="1:5" x14ac:dyDescent="0.25">
      <c r="A24">
        <v>130159</v>
      </c>
      <c r="B24" t="s">
        <v>45</v>
      </c>
      <c r="C24">
        <f>'[1]VENTAS CONSOLIDADA 1,0'!C24</f>
        <v>10340</v>
      </c>
      <c r="D24" s="5">
        <f t="shared" ca="1" si="0"/>
        <v>861.66666666666663</v>
      </c>
      <c r="E24" s="5">
        <f t="shared" ca="1" si="1"/>
        <v>18956.666666666664</v>
      </c>
    </row>
    <row r="25" spans="1:5" x14ac:dyDescent="0.25">
      <c r="A25">
        <v>130700</v>
      </c>
      <c r="B25" t="s">
        <v>3</v>
      </c>
      <c r="C25">
        <f>'[1]VENTAS CONSOLIDADA 1,0'!C25</f>
        <v>3072</v>
      </c>
      <c r="D25" s="5">
        <f t="shared" ca="1" si="0"/>
        <v>256</v>
      </c>
      <c r="E25" s="5">
        <f t="shared" ca="1" si="1"/>
        <v>5632</v>
      </c>
    </row>
    <row r="26" spans="1:5" x14ac:dyDescent="0.25">
      <c r="A26">
        <v>130701</v>
      </c>
      <c r="B26" t="s">
        <v>30</v>
      </c>
      <c r="C26">
        <f>'[1]VENTAS CONSOLIDADA 1,0'!C26</f>
        <v>1459</v>
      </c>
      <c r="D26" s="5">
        <f t="shared" ca="1" si="0"/>
        <v>121.58333333333333</v>
      </c>
      <c r="E26" s="5">
        <f t="shared" ca="1" si="1"/>
        <v>2674.833333333333</v>
      </c>
    </row>
    <row r="27" spans="1:5" x14ac:dyDescent="0.25">
      <c r="A27">
        <v>130702</v>
      </c>
      <c r="B27" t="s">
        <v>12</v>
      </c>
      <c r="C27">
        <f>'[1]VENTAS CONSOLIDADA 1,0'!C27</f>
        <v>6175</v>
      </c>
      <c r="D27" s="5">
        <f t="shared" ca="1" si="0"/>
        <v>514.58333333333337</v>
      </c>
      <c r="E27" s="5">
        <f t="shared" ca="1" si="1"/>
        <v>11320.833333333334</v>
      </c>
    </row>
    <row r="28" spans="1:5" x14ac:dyDescent="0.25">
      <c r="A28">
        <v>130703</v>
      </c>
      <c r="B28" t="s">
        <v>17</v>
      </c>
      <c r="C28">
        <f>'[1]VENTAS CONSOLIDADA 1,0'!C28</f>
        <v>10099</v>
      </c>
      <c r="D28" s="5">
        <f t="shared" ca="1" si="0"/>
        <v>841.58333333333337</v>
      </c>
      <c r="E28" s="5">
        <f t="shared" ca="1" si="1"/>
        <v>18514.833333333336</v>
      </c>
    </row>
    <row r="29" spans="1:5" x14ac:dyDescent="0.25">
      <c r="A29">
        <v>130707</v>
      </c>
      <c r="B29" t="s">
        <v>42</v>
      </c>
      <c r="C29">
        <f>'[1]VENTAS CONSOLIDADA 1,0'!C29</f>
        <v>930</v>
      </c>
      <c r="D29" s="5">
        <f t="shared" ca="1" si="0"/>
        <v>77.5</v>
      </c>
      <c r="E29" s="5">
        <f t="shared" ca="1" si="1"/>
        <v>1705</v>
      </c>
    </row>
    <row r="30" spans="1:5" x14ac:dyDescent="0.25">
      <c r="A30">
        <v>131150</v>
      </c>
      <c r="B30" t="s">
        <v>22</v>
      </c>
      <c r="C30">
        <f>'[1]VENTAS CONSOLIDADA 1,0'!C30</f>
        <v>8345</v>
      </c>
      <c r="D30" s="5">
        <f t="shared" ca="1" si="0"/>
        <v>695.41666666666663</v>
      </c>
      <c r="E30" s="5">
        <f t="shared" ca="1" si="1"/>
        <v>15299.166666666666</v>
      </c>
    </row>
    <row r="31" spans="1:5" x14ac:dyDescent="0.25">
      <c r="A31">
        <v>131151</v>
      </c>
      <c r="B31" t="s">
        <v>19</v>
      </c>
      <c r="C31">
        <f>'[1]VENTAS CONSOLIDADA 1,0'!C31</f>
        <v>13347</v>
      </c>
      <c r="D31" s="5">
        <f t="shared" ca="1" si="0"/>
        <v>1112.25</v>
      </c>
      <c r="E31" s="5">
        <f t="shared" ca="1" si="1"/>
        <v>24469.5</v>
      </c>
    </row>
    <row r="32" spans="1:5" x14ac:dyDescent="0.25">
      <c r="A32">
        <v>131152</v>
      </c>
      <c r="B32" t="s">
        <v>32</v>
      </c>
      <c r="C32">
        <f>'[1]VENTAS CONSOLIDADA 1,0'!C32</f>
        <v>6806</v>
      </c>
      <c r="D32" s="5">
        <f t="shared" ca="1" si="0"/>
        <v>567.16666666666663</v>
      </c>
      <c r="E32" s="5">
        <f t="shared" ca="1" si="1"/>
        <v>12477.666666666666</v>
      </c>
    </row>
    <row r="33" spans="1:5" x14ac:dyDescent="0.25">
      <c r="A33">
        <v>131153</v>
      </c>
      <c r="B33" t="s">
        <v>11</v>
      </c>
      <c r="C33">
        <f>'[1]VENTAS CONSOLIDADA 1,0'!C33</f>
        <v>5219</v>
      </c>
      <c r="D33" s="5">
        <f t="shared" ca="1" si="0"/>
        <v>434.91666666666669</v>
      </c>
      <c r="E33" s="5">
        <f t="shared" ca="1" si="1"/>
        <v>9568.1666666666679</v>
      </c>
    </row>
    <row r="34" spans="1:5" x14ac:dyDescent="0.25">
      <c r="A34">
        <v>131154</v>
      </c>
      <c r="B34" t="s">
        <v>48</v>
      </c>
      <c r="C34">
        <f>'[1]VENTAS CONSOLIDADA 1,0'!C34</f>
        <v>2686</v>
      </c>
      <c r="D34" s="5">
        <f t="shared" ca="1" si="0"/>
        <v>223.83333333333334</v>
      </c>
      <c r="E34" s="5">
        <f t="shared" ca="1" si="1"/>
        <v>4924.3333333333339</v>
      </c>
    </row>
    <row r="35" spans="1:5" x14ac:dyDescent="0.25">
      <c r="A35">
        <v>131155</v>
      </c>
      <c r="B35" t="s">
        <v>57</v>
      </c>
      <c r="C35">
        <f>'[1]VENTAS CONSOLIDADA 1,0'!C35</f>
        <v>3213</v>
      </c>
      <c r="D35" s="5">
        <f t="shared" ca="1" si="0"/>
        <v>267.75</v>
      </c>
      <c r="E35" s="5">
        <f t="shared" ca="1" si="1"/>
        <v>5890.5</v>
      </c>
    </row>
    <row r="36" spans="1:5" x14ac:dyDescent="0.25">
      <c r="A36">
        <v>131700</v>
      </c>
      <c r="B36" t="s">
        <v>20</v>
      </c>
      <c r="C36">
        <f>'[1]VENTAS CONSOLIDADA 1,0'!C36</f>
        <v>1617</v>
      </c>
      <c r="D36" s="5">
        <f t="shared" ca="1" si="0"/>
        <v>134.75</v>
      </c>
      <c r="E36" s="5">
        <f t="shared" ca="1" si="1"/>
        <v>2964.5</v>
      </c>
    </row>
    <row r="37" spans="1:5" x14ac:dyDescent="0.25">
      <c r="A37">
        <v>131701</v>
      </c>
      <c r="B37" t="s">
        <v>24</v>
      </c>
      <c r="C37">
        <f>'[1]VENTAS CONSOLIDADA 1,0'!C37</f>
        <v>1638</v>
      </c>
      <c r="D37" s="5">
        <f t="shared" ca="1" si="0"/>
        <v>136.5</v>
      </c>
      <c r="E37" s="5">
        <f t="shared" ca="1" si="1"/>
        <v>3003</v>
      </c>
    </row>
    <row r="38" spans="1:5" x14ac:dyDescent="0.25">
      <c r="A38">
        <v>132150</v>
      </c>
      <c r="B38" t="s">
        <v>25</v>
      </c>
      <c r="C38">
        <f>'[1]VENTAS CONSOLIDADA 1,0'!C38</f>
        <v>9095</v>
      </c>
      <c r="D38" s="5">
        <f t="shared" ca="1" si="0"/>
        <v>757.91666666666663</v>
      </c>
      <c r="E38" s="5">
        <f t="shared" ca="1" si="1"/>
        <v>16674.166666666664</v>
      </c>
    </row>
    <row r="39" spans="1:5" x14ac:dyDescent="0.25">
      <c r="A39">
        <v>132151</v>
      </c>
      <c r="B39" t="s">
        <v>26</v>
      </c>
      <c r="C39">
        <f>'[1]VENTAS CONSOLIDADA 1,0'!C39</f>
        <v>7097</v>
      </c>
      <c r="D39" s="5">
        <f t="shared" ca="1" si="0"/>
        <v>591.41666666666663</v>
      </c>
      <c r="E39" s="5">
        <f t="shared" ca="1" si="1"/>
        <v>13011.166666666666</v>
      </c>
    </row>
    <row r="40" spans="1:5" x14ac:dyDescent="0.25">
      <c r="A40">
        <v>132152</v>
      </c>
      <c r="B40" t="s">
        <v>27</v>
      </c>
      <c r="C40">
        <f>'[1]VENTAS CONSOLIDADA 1,0'!C40</f>
        <v>9536</v>
      </c>
      <c r="D40" s="5">
        <f t="shared" ca="1" si="0"/>
        <v>794.66666666666663</v>
      </c>
      <c r="E40" s="5">
        <f t="shared" ca="1" si="1"/>
        <v>17482.666666666664</v>
      </c>
    </row>
    <row r="41" spans="1:5" x14ac:dyDescent="0.25">
      <c r="A41">
        <v>132153</v>
      </c>
      <c r="B41" t="s">
        <v>40</v>
      </c>
      <c r="C41">
        <f>'[1]VENTAS CONSOLIDADA 1,0'!C41</f>
        <v>6209</v>
      </c>
      <c r="D41" s="5">
        <f t="shared" ca="1" si="0"/>
        <v>517.41666666666663</v>
      </c>
      <c r="E41" s="5">
        <f t="shared" ca="1" si="1"/>
        <v>11383.166666666666</v>
      </c>
    </row>
    <row r="42" spans="1:5" x14ac:dyDescent="0.25">
      <c r="A42">
        <v>134000</v>
      </c>
      <c r="B42" t="s">
        <v>35</v>
      </c>
      <c r="C42">
        <f>'[1]VENTAS CONSOLIDADA 1,0'!C42</f>
        <v>51</v>
      </c>
      <c r="D42" s="5">
        <f t="shared" ca="1" si="0"/>
        <v>4.25</v>
      </c>
      <c r="E42" s="5">
        <f t="shared" ca="1" si="1"/>
        <v>93.5</v>
      </c>
    </row>
    <row r="43" spans="1:5" x14ac:dyDescent="0.25">
      <c r="A43">
        <v>134001</v>
      </c>
      <c r="B43" t="s">
        <v>47</v>
      </c>
      <c r="C43">
        <f>'[1]VENTAS CONSOLIDADA 1,0'!C43</f>
        <v>7</v>
      </c>
      <c r="D43" s="5">
        <f t="shared" ca="1" si="0"/>
        <v>0.58333333333333337</v>
      </c>
      <c r="E43" s="5">
        <f t="shared" ca="1" si="1"/>
        <v>12.833333333333334</v>
      </c>
    </row>
    <row r="44" spans="1:5" x14ac:dyDescent="0.25">
      <c r="A44">
        <v>140230</v>
      </c>
      <c r="B44" t="s">
        <v>18</v>
      </c>
      <c r="C44">
        <f>'[1]VENTAS CONSOLIDADA 1,0'!C44</f>
        <v>1757</v>
      </c>
      <c r="D44" s="5">
        <f t="shared" ca="1" si="0"/>
        <v>146.41666666666666</v>
      </c>
      <c r="E44" s="5">
        <f t="shared" ca="1" si="1"/>
        <v>3221.1666666666665</v>
      </c>
    </row>
    <row r="45" spans="1:5" x14ac:dyDescent="0.25">
      <c r="A45">
        <v>140231</v>
      </c>
      <c r="B45" t="s">
        <v>10</v>
      </c>
      <c r="C45">
        <f>'[1]VENTAS CONSOLIDADA 1,0'!C45</f>
        <v>6515</v>
      </c>
      <c r="D45" s="5">
        <f t="shared" ca="1" si="0"/>
        <v>542.91666666666663</v>
      </c>
      <c r="E45" s="5">
        <f t="shared" ca="1" si="1"/>
        <v>11944.166666666666</v>
      </c>
    </row>
    <row r="46" spans="1:5" x14ac:dyDescent="0.25">
      <c r="A46">
        <v>140232</v>
      </c>
      <c r="B46" t="s">
        <v>9</v>
      </c>
      <c r="C46">
        <f>'[1]VENTAS CONSOLIDADA 1,0'!C46</f>
        <v>5043</v>
      </c>
      <c r="D46" s="5">
        <f t="shared" ca="1" si="0"/>
        <v>420.25</v>
      </c>
      <c r="E46" s="5">
        <f t="shared" ca="1" si="1"/>
        <v>9245.5</v>
      </c>
    </row>
    <row r="47" spans="1:5" x14ac:dyDescent="0.25">
      <c r="A47">
        <v>150360</v>
      </c>
      <c r="B47" t="s">
        <v>28</v>
      </c>
      <c r="C47">
        <f>'[1]VENTAS CONSOLIDADA 1,0'!C47</f>
        <v>2393</v>
      </c>
      <c r="D47" s="5">
        <f t="shared" ca="1" si="0"/>
        <v>199.41666666666666</v>
      </c>
      <c r="E47" s="5">
        <f t="shared" ca="1" si="1"/>
        <v>4387.1666666666661</v>
      </c>
    </row>
    <row r="48" spans="1:5" x14ac:dyDescent="0.25">
      <c r="A48">
        <v>150361</v>
      </c>
      <c r="B48" t="s">
        <v>29</v>
      </c>
      <c r="C48">
        <f>'[1]VENTAS CONSOLIDADA 1,0'!C48</f>
        <v>5693</v>
      </c>
      <c r="D48" s="5">
        <f t="shared" ca="1" si="0"/>
        <v>474.41666666666669</v>
      </c>
      <c r="E48" s="5">
        <f t="shared" ca="1" si="1"/>
        <v>10437.166666666668</v>
      </c>
    </row>
    <row r="49" spans="1:5" x14ac:dyDescent="0.25">
      <c r="A49">
        <v>150362</v>
      </c>
      <c r="B49" t="s">
        <v>36</v>
      </c>
      <c r="C49">
        <f>'[1]VENTAS CONSOLIDADA 1,0'!C49</f>
        <v>3547</v>
      </c>
      <c r="D49" s="5">
        <f t="shared" ca="1" si="0"/>
        <v>295.58333333333331</v>
      </c>
      <c r="E49" s="5">
        <f t="shared" ca="1" si="1"/>
        <v>6502.833333333333</v>
      </c>
    </row>
    <row r="50" spans="1:5" x14ac:dyDescent="0.25">
      <c r="A50">
        <v>150363</v>
      </c>
      <c r="B50" t="s">
        <v>31</v>
      </c>
      <c r="C50">
        <f>'[1]VENTAS CONSOLIDADA 1,0'!C50</f>
        <v>2754</v>
      </c>
      <c r="D50" s="5">
        <f t="shared" ca="1" si="0"/>
        <v>229.5</v>
      </c>
      <c r="E50" s="5">
        <f t="shared" ca="1" si="1"/>
        <v>5049</v>
      </c>
    </row>
    <row r="51" spans="1:5" x14ac:dyDescent="0.25">
      <c r="A51">
        <v>151500</v>
      </c>
      <c r="B51" t="s">
        <v>41</v>
      </c>
      <c r="C51">
        <f>'[1]VENTAS CONSOLIDADA 1,0'!C51</f>
        <v>442</v>
      </c>
      <c r="D51" s="5">
        <f t="shared" ca="1" si="0"/>
        <v>36.833333333333336</v>
      </c>
      <c r="E51" s="5">
        <f t="shared" ca="1" si="1"/>
        <v>810.33333333333337</v>
      </c>
    </row>
    <row r="52" spans="1:5" x14ac:dyDescent="0.25">
      <c r="A52">
        <v>151501</v>
      </c>
      <c r="B52" t="s">
        <v>33</v>
      </c>
      <c r="C52">
        <f>'[1]VENTAS CONSOLIDADA 1,0'!C52</f>
        <v>1327</v>
      </c>
      <c r="D52" s="5">
        <f t="shared" ca="1" si="0"/>
        <v>110.58333333333333</v>
      </c>
      <c r="E52" s="5">
        <f t="shared" ca="1" si="1"/>
        <v>2432.833333333333</v>
      </c>
    </row>
    <row r="53" spans="1:5" x14ac:dyDescent="0.25">
      <c r="A53">
        <v>151502</v>
      </c>
      <c r="B53" t="s">
        <v>37</v>
      </c>
      <c r="C53">
        <f>'[1]VENTAS CONSOLIDADA 1,0'!C53</f>
        <v>549</v>
      </c>
      <c r="D53" s="5">
        <f t="shared" ca="1" si="0"/>
        <v>45.75</v>
      </c>
      <c r="E53" s="5">
        <f t="shared" ca="1" si="1"/>
        <v>1006.5</v>
      </c>
    </row>
    <row r="54" spans="1:5" x14ac:dyDescent="0.25">
      <c r="A54">
        <v>151503</v>
      </c>
      <c r="B54" t="s">
        <v>34</v>
      </c>
      <c r="C54">
        <f>'[1]VENTAS CONSOLIDADA 1,0'!C54</f>
        <v>726</v>
      </c>
      <c r="D54" s="5">
        <f t="shared" ca="1" si="0"/>
        <v>60.5</v>
      </c>
      <c r="E54" s="5">
        <f t="shared" ca="1" si="1"/>
        <v>1331</v>
      </c>
    </row>
    <row r="55" spans="1:5" x14ac:dyDescent="0.25">
      <c r="C55">
        <f>SUM(C8:C54)</f>
        <v>339999</v>
      </c>
      <c r="D55" s="5">
        <f ca="1">SUM(D8:D54)</f>
        <v>28333.250000000007</v>
      </c>
      <c r="E55" s="5">
        <f ca="1">SUM(E8:E54)</f>
        <v>623331.49999999988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65BE5737-5D13-4B92-9A1E-66AAD091BECC}">
  <ds:schemaRefs/>
</ds:datastoreItem>
</file>

<file path=customXml/itemProps2.xml><?xml version="1.0" encoding="utf-8"?>
<ds:datastoreItem xmlns:ds="http://schemas.openxmlformats.org/officeDocument/2006/customXml" ds:itemID="{38DB5A37-2218-4EAC-B67D-146D68E76E36}">
  <ds:schemaRefs/>
</ds:datastoreItem>
</file>

<file path=customXml/itemProps3.xml><?xml version="1.0" encoding="utf-8"?>
<ds:datastoreItem xmlns:ds="http://schemas.openxmlformats.org/officeDocument/2006/customXml" ds:itemID="{7AE93A93-CA27-4BDA-AA62-2C35967BA493}">
  <ds:schemaRefs/>
</ds:datastoreItem>
</file>

<file path=customXml/itemProps4.xml><?xml version="1.0" encoding="utf-8"?>
<ds:datastoreItem xmlns:ds="http://schemas.openxmlformats.org/officeDocument/2006/customXml" ds:itemID="{084C0BCB-4732-44D2-A228-50E994334BF1}">
  <ds:schemaRefs/>
</ds:datastoreItem>
</file>

<file path=customXml/itemProps5.xml><?xml version="1.0" encoding="utf-8"?>
<ds:datastoreItem xmlns:ds="http://schemas.openxmlformats.org/officeDocument/2006/customXml" ds:itemID="{52FA8FE5-D878-4A8D-B664-9568032292DD}">
  <ds:schemaRefs/>
</ds:datastoreItem>
</file>

<file path=customXml/itemProps6.xml><?xml version="1.0" encoding="utf-8"?>
<ds:datastoreItem xmlns:ds="http://schemas.openxmlformats.org/officeDocument/2006/customXml" ds:itemID="{DEFC51E7-3E67-4621-B139-07F56E3C51B6}">
  <ds:schemaRefs/>
</ds:datastoreItem>
</file>

<file path=customXml/itemProps7.xml><?xml version="1.0" encoding="utf-8"?>
<ds:datastoreItem xmlns:ds="http://schemas.openxmlformats.org/officeDocument/2006/customXml" ds:itemID="{B0CC2B14-7DD7-4033-8A48-822C26B12A45}">
  <ds:schemaRefs/>
</ds:datastoreItem>
</file>

<file path=customXml/itemProps8.xml><?xml version="1.0" encoding="utf-8"?>
<ds:datastoreItem xmlns:ds="http://schemas.openxmlformats.org/officeDocument/2006/customXml" ds:itemID="{4DF253BA-E348-4CD2-AA4E-97FB2A32A7F0}">
  <ds:schemaRefs/>
</ds:datastoreItem>
</file>

<file path=customXml/itemProps9.xml><?xml version="1.0" encoding="utf-8"?>
<ds:datastoreItem xmlns:ds="http://schemas.openxmlformats.org/officeDocument/2006/customXml" ds:itemID="{CAB6C292-B853-467D-B711-6EBB7D36CC58}">
  <ds:schemaRefs/>
</ds:datastoreItem>
</file>

<file path=customXml/itemProps10.xml><?xml version="1.0" encoding="utf-8"?>
<ds:datastoreItem xmlns:ds="http://schemas.openxmlformats.org/officeDocument/2006/customXml" ds:itemID="{AF2AF42B-D484-4F26-B929-D7FB2E56F71D}">
  <ds:schemaRefs/>
</ds:datastoreItem>
</file>

<file path=customXml/itemProps11.xml><?xml version="1.0" encoding="utf-8"?>
<ds:datastoreItem xmlns:ds="http://schemas.openxmlformats.org/officeDocument/2006/customXml" ds:itemID="{7845B0CC-F2DA-4435-B3A8-0B67EEA59E3E}">
  <ds:schemaRefs/>
</ds:datastoreItem>
</file>

<file path=customXml/itemProps12.xml><?xml version="1.0" encoding="utf-8"?>
<ds:datastoreItem xmlns:ds="http://schemas.openxmlformats.org/officeDocument/2006/customXml" ds:itemID="{DB2ACCEB-6CC9-4D35-BDF4-AC9EF8C2F118}">
  <ds:schemaRefs/>
</ds:datastoreItem>
</file>

<file path=customXml/itemProps13.xml><?xml version="1.0" encoding="utf-8"?>
<ds:datastoreItem xmlns:ds="http://schemas.openxmlformats.org/officeDocument/2006/customXml" ds:itemID="{0AD6CB95-564A-49A8-92C3-BDDCD21D69FF}">
  <ds:schemaRefs/>
</ds:datastoreItem>
</file>

<file path=customXml/itemProps14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F5D7323A-644E-4D3D-8486-43C2FFAD8146}">
  <ds:schemaRefs/>
</ds:datastoreItem>
</file>

<file path=customXml/itemProps16.xml><?xml version="1.0" encoding="utf-8"?>
<ds:datastoreItem xmlns:ds="http://schemas.openxmlformats.org/officeDocument/2006/customXml" ds:itemID="{2FB7461A-5A6D-4ED3-B35C-48147355CFC0}">
  <ds:schemaRefs/>
</ds:datastoreItem>
</file>

<file path=customXml/itemProps17.xml><?xml version="1.0" encoding="utf-8"?>
<ds:datastoreItem xmlns:ds="http://schemas.openxmlformats.org/officeDocument/2006/customXml" ds:itemID="{1624F75C-FD6B-41DE-81B8-76266AB6E660}">
  <ds:schemaRefs/>
</ds:datastoreItem>
</file>

<file path=customXml/itemProps18.xml><?xml version="1.0" encoding="utf-8"?>
<ds:datastoreItem xmlns:ds="http://schemas.openxmlformats.org/officeDocument/2006/customXml" ds:itemID="{CC2043D8-989E-412C-8862-ACDB973E448B}">
  <ds:schemaRefs/>
</ds:datastoreItem>
</file>

<file path=customXml/itemProps19.xml><?xml version="1.0" encoding="utf-8"?>
<ds:datastoreItem xmlns:ds="http://schemas.openxmlformats.org/officeDocument/2006/customXml" ds:itemID="{8E0207D3-36B0-4047-99FA-B78F3EBADFAC}">
  <ds:schemaRefs/>
</ds:datastoreItem>
</file>

<file path=customXml/itemProps20.xml><?xml version="1.0" encoding="utf-8"?>
<ds:datastoreItem xmlns:ds="http://schemas.openxmlformats.org/officeDocument/2006/customXml" ds:itemID="{CFB06E3D-1317-4F60-85DB-890000D0221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2026-09-17T12:35:31Z</dcterms:modified>
</cp:coreProperties>
</file>