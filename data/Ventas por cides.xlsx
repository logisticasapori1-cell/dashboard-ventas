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CFBADD01-F0D5-48BB-B7F6-035D16A65599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3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0"/>
  <c r="D2" i="54"/>
  <c r="D2" i="52"/>
  <c r="D2" i="51"/>
  <c r="D2" i="53"/>
  <c r="C55" i="55" l="1"/>
  <c r="D2" i="55"/>
  <c r="E3" i="55"/>
  <c r="E3" i="50"/>
  <c r="E2" i="50"/>
  <c r="D46" i="50" s="1"/>
  <c r="E3" i="51"/>
  <c r="E2" i="51"/>
  <c r="E3" i="52"/>
  <c r="E2" i="52"/>
  <c r="E2" i="54"/>
  <c r="E3" i="54"/>
  <c r="E3" i="53"/>
  <c r="E2" i="55" l="1"/>
  <c r="E2" i="53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<sst xmlns="http://schemas.openxmlformats.org/spreadsheetml/2006/main" count="320" uniqueCount="62">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</sst>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46294</v>
          </cell>
          <cell r="E2">
            <v>20</v>
          </cell>
        </row>
        <row r="3">
          <cell r="C3" t="str">
            <v>FINAL VENTAS</v>
          </cell>
          <cell r="D3">
            <v>46295</v>
          </cell>
          <cell r="E3">
            <v>2</v>
          </cell>
        </row>
        <row r="8">
          <cell r="C8">
            <v>885</v>
          </cell>
        </row>
        <row r="9">
          <cell r="C9">
            <v>104</v>
          </cell>
        </row>
        <row r="10">
          <cell r="C10">
            <v>233</v>
          </cell>
        </row>
        <row r="11">
          <cell r="C11">
            <v>52</v>
          </cell>
        </row>
        <row r="12">
          <cell r="C12">
            <v>11</v>
          </cell>
        </row>
        <row r="13">
          <cell r="C13">
            <v>1187</v>
          </cell>
        </row>
        <row r="14">
          <cell r="C14">
            <v>92</v>
          </cell>
        </row>
        <row r="15">
          <cell r="C15">
            <v>189</v>
          </cell>
        </row>
        <row r="16">
          <cell r="C16">
            <v>567</v>
          </cell>
        </row>
        <row r="17">
          <cell r="C17">
            <v>145</v>
          </cell>
        </row>
        <row r="18">
          <cell r="C18">
            <v>3090</v>
          </cell>
        </row>
        <row r="19">
          <cell r="C19">
            <v>1796</v>
          </cell>
        </row>
        <row r="20">
          <cell r="C20">
            <v>2216</v>
          </cell>
        </row>
        <row r="21">
          <cell r="C21">
            <v>1761</v>
          </cell>
        </row>
        <row r="22">
          <cell r="C22">
            <v>577</v>
          </cell>
        </row>
        <row r="23">
          <cell r="C23">
            <v>834</v>
          </cell>
        </row>
        <row r="24">
          <cell r="C24">
            <v>848</v>
          </cell>
        </row>
        <row r="25">
          <cell r="C25">
            <v>120</v>
          </cell>
        </row>
        <row r="26">
          <cell r="C26">
            <v>18</v>
          </cell>
        </row>
        <row r="27">
          <cell r="C27">
            <v>282</v>
          </cell>
        </row>
        <row r="28">
          <cell r="C28">
            <v>389</v>
          </cell>
        </row>
        <row r="29">
          <cell r="C29">
            <v>80</v>
          </cell>
        </row>
        <row r="30">
          <cell r="C30">
            <v>737</v>
          </cell>
        </row>
        <row r="31">
          <cell r="C31">
            <v>1847</v>
          </cell>
        </row>
        <row r="32">
          <cell r="C32">
            <v>1185</v>
          </cell>
        </row>
        <row r="33">
          <cell r="C33">
            <v>774</v>
          </cell>
        </row>
        <row r="34">
          <cell r="C34">
            <v>567</v>
          </cell>
        </row>
        <row r="35">
          <cell r="C35">
            <v>720</v>
          </cell>
        </row>
        <row r="36">
          <cell r="C36">
            <v>94</v>
          </cell>
        </row>
        <row r="37">
          <cell r="C37">
            <v>139</v>
          </cell>
        </row>
        <row r="38">
          <cell r="C38">
            <v>941</v>
          </cell>
        </row>
        <row r="39">
          <cell r="C39">
            <v>546</v>
          </cell>
        </row>
        <row r="40">
          <cell r="C40">
            <v>901</v>
          </cell>
        </row>
        <row r="41">
          <cell r="C41">
            <v>530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149</v>
          </cell>
        </row>
        <row r="45">
          <cell r="C45">
            <v>861</v>
          </cell>
        </row>
        <row r="46">
          <cell r="C46">
            <v>267</v>
          </cell>
        </row>
        <row r="47">
          <cell r="C47">
            <v>232</v>
          </cell>
        </row>
        <row r="48">
          <cell r="C48">
            <v>631</v>
          </cell>
        </row>
        <row r="49">
          <cell r="C49">
            <v>255</v>
          </cell>
        </row>
        <row r="50">
          <cell r="C50">
            <v>352</v>
          </cell>
        </row>
        <row r="51">
          <cell r="C51">
            <v>60</v>
          </cell>
        </row>
        <row r="52">
          <cell r="C52">
            <v>146</v>
          </cell>
        </row>
        <row r="53">
          <cell r="C53">
            <v>32</v>
          </cell>
        </row>
        <row r="54">
          <cell r="C54">
            <v>69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46294</v>
          </cell>
          <cell r="E2">
            <v>20</v>
          </cell>
        </row>
        <row r="3">
          <cell r="C3" t="str">
            <v>FINAL VENTAS</v>
          </cell>
          <cell r="D3">
            <v>46295</v>
          </cell>
          <cell r="E3">
            <v>2</v>
          </cell>
        </row>
        <row r="8">
          <cell r="C8">
            <v>951</v>
          </cell>
        </row>
        <row r="9">
          <cell r="C9">
            <v>27</v>
          </cell>
        </row>
        <row r="10">
          <cell r="C10">
            <v>336</v>
          </cell>
        </row>
        <row r="11">
          <cell r="C11">
            <v>21</v>
          </cell>
        </row>
        <row r="12">
          <cell r="C12">
            <v>0</v>
          </cell>
        </row>
        <row r="13">
          <cell r="C13">
            <v>3242</v>
          </cell>
        </row>
        <row r="14">
          <cell r="C14">
            <v>271</v>
          </cell>
        </row>
        <row r="15">
          <cell r="C15">
            <v>620</v>
          </cell>
        </row>
        <row r="16">
          <cell r="C16">
            <v>1758</v>
          </cell>
        </row>
        <row r="17">
          <cell r="C17">
            <v>529</v>
          </cell>
        </row>
        <row r="18">
          <cell r="C18">
            <v>11235</v>
          </cell>
        </row>
        <row r="19">
          <cell r="C19">
            <v>6009</v>
          </cell>
        </row>
        <row r="20">
          <cell r="C20">
            <v>6093</v>
          </cell>
        </row>
        <row r="21">
          <cell r="C21">
            <v>7648</v>
          </cell>
        </row>
        <row r="22">
          <cell r="C22">
            <v>2349</v>
          </cell>
        </row>
        <row r="23">
          <cell r="C23">
            <v>2911</v>
          </cell>
        </row>
        <row r="24">
          <cell r="C24">
            <v>2900</v>
          </cell>
        </row>
        <row r="25">
          <cell r="C25">
            <v>589</v>
          </cell>
        </row>
        <row r="26">
          <cell r="C26">
            <v>212</v>
          </cell>
        </row>
        <row r="27">
          <cell r="C27">
            <v>1676</v>
          </cell>
        </row>
        <row r="28">
          <cell r="C28">
            <v>2148</v>
          </cell>
        </row>
        <row r="29">
          <cell r="C29">
            <v>110</v>
          </cell>
        </row>
        <row r="30">
          <cell r="C30">
            <v>960</v>
          </cell>
        </row>
        <row r="31">
          <cell r="C31">
            <v>2131</v>
          </cell>
        </row>
        <row r="32">
          <cell r="C32">
            <v>1111</v>
          </cell>
        </row>
        <row r="33">
          <cell r="C33">
            <v>756</v>
          </cell>
        </row>
        <row r="34">
          <cell r="C34">
            <v>1135</v>
          </cell>
        </row>
        <row r="35">
          <cell r="C35">
            <v>1313</v>
          </cell>
        </row>
        <row r="36">
          <cell r="C36">
            <v>254</v>
          </cell>
        </row>
        <row r="37">
          <cell r="C37">
            <v>358</v>
          </cell>
        </row>
        <row r="38">
          <cell r="C38">
            <v>2426</v>
          </cell>
        </row>
        <row r="39">
          <cell r="C39">
            <v>1312</v>
          </cell>
        </row>
        <row r="40">
          <cell r="C40">
            <v>1914</v>
          </cell>
        </row>
        <row r="41">
          <cell r="C41">
            <v>790</v>
          </cell>
        </row>
        <row r="42">
          <cell r="C42">
            <v>20</v>
          </cell>
        </row>
        <row r="43">
          <cell r="C43">
            <v>0</v>
          </cell>
        </row>
        <row r="44">
          <cell r="C44">
            <v>230</v>
          </cell>
        </row>
        <row r="45">
          <cell r="C45">
            <v>770</v>
          </cell>
        </row>
        <row r="46">
          <cell r="C46">
            <v>670</v>
          </cell>
        </row>
        <row r="47">
          <cell r="C47">
            <v>486</v>
          </cell>
        </row>
        <row r="48">
          <cell r="C48">
            <v>1094</v>
          </cell>
        </row>
        <row r="49">
          <cell r="C49">
            <v>457</v>
          </cell>
        </row>
        <row r="50">
          <cell r="C50">
            <v>517</v>
          </cell>
        </row>
        <row r="51">
          <cell r="C51">
            <v>141</v>
          </cell>
        </row>
        <row r="52">
          <cell r="C52">
            <v>404</v>
          </cell>
        </row>
        <row r="53">
          <cell r="C53">
            <v>99</v>
          </cell>
        </row>
        <row r="54">
          <cell r="C54">
            <v>117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46294</v>
          </cell>
          <cell r="E2">
            <v>20</v>
          </cell>
        </row>
        <row r="3">
          <cell r="C3" t="str">
            <v>FINAL VENTAS</v>
          </cell>
          <cell r="D3">
            <v>46295</v>
          </cell>
          <cell r="E3">
            <v>2</v>
          </cell>
        </row>
        <row r="8">
          <cell r="C8">
            <v>15558</v>
          </cell>
        </row>
        <row r="9">
          <cell r="C9">
            <v>466</v>
          </cell>
        </row>
        <row r="10">
          <cell r="C10">
            <v>6756</v>
          </cell>
        </row>
        <row r="11">
          <cell r="C11">
            <v>1442</v>
          </cell>
        </row>
        <row r="12">
          <cell r="C12">
            <v>215</v>
          </cell>
        </row>
        <row r="13">
          <cell r="C13">
            <v>16580</v>
          </cell>
        </row>
        <row r="14">
          <cell r="C14">
            <v>1262</v>
          </cell>
        </row>
        <row r="15">
          <cell r="C15">
            <v>2682</v>
          </cell>
        </row>
        <row r="16">
          <cell r="C16">
            <v>5928</v>
          </cell>
        </row>
        <row r="17">
          <cell r="C17">
            <v>3616</v>
          </cell>
        </row>
        <row r="18">
          <cell r="C18">
            <v>32558</v>
          </cell>
        </row>
        <row r="19">
          <cell r="C19">
            <v>22011</v>
          </cell>
        </row>
        <row r="20">
          <cell r="C20">
            <v>21229</v>
          </cell>
        </row>
        <row r="21">
          <cell r="C21">
            <v>27371</v>
          </cell>
        </row>
        <row r="22">
          <cell r="C22">
            <v>7054</v>
          </cell>
        </row>
        <row r="23">
          <cell r="C23">
            <v>7173</v>
          </cell>
        </row>
        <row r="24">
          <cell r="C24">
            <v>7653</v>
          </cell>
        </row>
        <row r="25">
          <cell r="C25">
            <v>2126</v>
          </cell>
        </row>
        <row r="26">
          <cell r="C26">
            <v>1022</v>
          </cell>
        </row>
        <row r="27">
          <cell r="C27">
            <v>4426</v>
          </cell>
        </row>
        <row r="28">
          <cell r="C28">
            <v>8726</v>
          </cell>
        </row>
        <row r="29">
          <cell r="C29">
            <v>1010</v>
          </cell>
        </row>
        <row r="30">
          <cell r="C30">
            <v>8655</v>
          </cell>
        </row>
        <row r="31">
          <cell r="C31">
            <v>12705</v>
          </cell>
        </row>
        <row r="32">
          <cell r="C32">
            <v>5735</v>
          </cell>
        </row>
        <row r="33">
          <cell r="C33">
            <v>4073</v>
          </cell>
        </row>
        <row r="34">
          <cell r="C34">
            <v>2105</v>
          </cell>
        </row>
        <row r="35">
          <cell r="C35">
            <v>2743</v>
          </cell>
        </row>
        <row r="36">
          <cell r="C36">
            <v>1339</v>
          </cell>
        </row>
        <row r="37">
          <cell r="C37">
            <v>1499</v>
          </cell>
        </row>
        <row r="38">
          <cell r="C38">
            <v>6731</v>
          </cell>
        </row>
        <row r="39">
          <cell r="C39">
            <v>5737</v>
          </cell>
        </row>
        <row r="40">
          <cell r="C40">
            <v>7668</v>
          </cell>
        </row>
        <row r="41">
          <cell r="C41">
            <v>5581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1046</v>
          </cell>
        </row>
        <row r="45">
          <cell r="C45">
            <v>5768</v>
          </cell>
        </row>
        <row r="46">
          <cell r="C46">
            <v>3784</v>
          </cell>
        </row>
        <row r="47">
          <cell r="C47">
            <v>3146</v>
          </cell>
        </row>
        <row r="48">
          <cell r="C48">
            <v>5513</v>
          </cell>
        </row>
        <row r="49">
          <cell r="C49">
            <v>3831</v>
          </cell>
        </row>
        <row r="50">
          <cell r="C50">
            <v>3353</v>
          </cell>
        </row>
        <row r="51">
          <cell r="C51">
            <v>596</v>
          </cell>
        </row>
        <row r="52">
          <cell r="C52">
            <v>1283</v>
          </cell>
        </row>
        <row r="53">
          <cell r="C53">
            <v>472</v>
          </cell>
        </row>
        <row r="54">
          <cell r="C54">
            <v>604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46294</v>
          </cell>
          <cell r="E2">
            <v>20</v>
          </cell>
        </row>
        <row r="3">
          <cell r="C3" t="str">
            <v>FINAL VENTAS</v>
          </cell>
          <cell r="D3">
            <v>46295</v>
          </cell>
          <cell r="E3">
            <v>2</v>
          </cell>
        </row>
        <row r="8">
          <cell r="C8">
            <v>4790</v>
          </cell>
        </row>
        <row r="9">
          <cell r="C9">
            <v>249</v>
          </cell>
        </row>
        <row r="10">
          <cell r="C10">
            <v>2230</v>
          </cell>
        </row>
        <row r="11">
          <cell r="C11">
            <v>504</v>
          </cell>
        </row>
        <row r="12">
          <cell r="C12">
            <v>39</v>
          </cell>
        </row>
        <row r="13">
          <cell r="C13">
            <v>6635</v>
          </cell>
        </row>
        <row r="14">
          <cell r="C14">
            <v>1101</v>
          </cell>
        </row>
        <row r="15">
          <cell r="C15">
            <v>2487</v>
          </cell>
        </row>
        <row r="16">
          <cell r="C16">
            <v>6573</v>
          </cell>
        </row>
        <row r="17">
          <cell r="C17">
            <v>2931</v>
          </cell>
        </row>
        <row r="18">
          <cell r="C18">
            <v>18733</v>
          </cell>
        </row>
        <row r="19">
          <cell r="C19">
            <v>11413</v>
          </cell>
        </row>
        <row r="20">
          <cell r="C20">
            <v>12068</v>
          </cell>
        </row>
        <row r="21">
          <cell r="C21">
            <v>14212</v>
          </cell>
        </row>
        <row r="22">
          <cell r="C22">
            <v>3798</v>
          </cell>
        </row>
        <row r="23">
          <cell r="C23">
            <v>5416</v>
          </cell>
        </row>
        <row r="24">
          <cell r="C24">
            <v>5093</v>
          </cell>
        </row>
        <row r="25">
          <cell r="C25">
            <v>2345</v>
          </cell>
        </row>
        <row r="26">
          <cell r="C26">
            <v>1324</v>
          </cell>
        </row>
        <row r="27">
          <cell r="C27">
            <v>3548</v>
          </cell>
        </row>
        <row r="28">
          <cell r="C28">
            <v>5282</v>
          </cell>
        </row>
        <row r="29">
          <cell r="C29">
            <v>0</v>
          </cell>
        </row>
        <row r="30">
          <cell r="C30">
            <v>3273</v>
          </cell>
        </row>
        <row r="31">
          <cell r="C31">
            <v>4483</v>
          </cell>
        </row>
        <row r="32">
          <cell r="C32">
            <v>2640</v>
          </cell>
        </row>
        <row r="33">
          <cell r="C33">
            <v>2257</v>
          </cell>
        </row>
        <row r="34">
          <cell r="C34">
            <v>1111</v>
          </cell>
        </row>
        <row r="35">
          <cell r="C35">
            <v>1359</v>
          </cell>
        </row>
        <row r="36">
          <cell r="C36">
            <v>747</v>
          </cell>
        </row>
        <row r="37">
          <cell r="C37">
            <v>801</v>
          </cell>
        </row>
        <row r="38">
          <cell r="C38">
            <v>4813</v>
          </cell>
        </row>
        <row r="39">
          <cell r="C39">
            <v>3684</v>
          </cell>
        </row>
        <row r="40">
          <cell r="C40">
            <v>4917</v>
          </cell>
        </row>
        <row r="41">
          <cell r="C41">
            <v>3088</v>
          </cell>
        </row>
        <row r="42">
          <cell r="C42">
            <v>60</v>
          </cell>
        </row>
        <row r="43">
          <cell r="C43">
            <v>11</v>
          </cell>
        </row>
        <row r="44">
          <cell r="C44">
            <v>1126</v>
          </cell>
        </row>
        <row r="45">
          <cell r="C45">
            <v>3662</v>
          </cell>
        </row>
        <row r="46">
          <cell r="C46">
            <v>3251</v>
          </cell>
        </row>
        <row r="47">
          <cell r="C47">
            <v>969</v>
          </cell>
        </row>
        <row r="48">
          <cell r="C48">
            <v>2394</v>
          </cell>
        </row>
        <row r="49">
          <cell r="C49">
            <v>1240</v>
          </cell>
        </row>
        <row r="50">
          <cell r="C50">
            <v>1495</v>
          </cell>
        </row>
        <row r="51">
          <cell r="C51">
            <v>254</v>
          </cell>
        </row>
        <row r="52">
          <cell r="C52">
            <v>533</v>
          </cell>
        </row>
        <row r="53">
          <cell r="C53">
            <v>172</v>
          </cell>
        </row>
        <row r="54">
          <cell r="C54">
            <v>217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46294</v>
          </cell>
          <cell r="E2">
            <v>20</v>
          </cell>
        </row>
        <row r="3">
          <cell r="C3" t="str">
            <v>FINAL VENTAS</v>
          </cell>
          <cell r="D3">
            <v>46295</v>
          </cell>
          <cell r="E3">
            <v>2</v>
          </cell>
        </row>
        <row r="8">
          <cell r="C8">
            <v>572</v>
          </cell>
        </row>
        <row r="9">
          <cell r="C9">
            <v>80</v>
          </cell>
        </row>
        <row r="10">
          <cell r="C10">
            <v>178</v>
          </cell>
        </row>
        <row r="11">
          <cell r="C11">
            <v>57</v>
          </cell>
        </row>
        <row r="12">
          <cell r="C12">
            <v>9</v>
          </cell>
        </row>
        <row r="13">
          <cell r="C13">
            <v>289</v>
          </cell>
        </row>
        <row r="14">
          <cell r="C14">
            <v>194</v>
          </cell>
        </row>
        <row r="15">
          <cell r="C15">
            <v>263</v>
          </cell>
        </row>
        <row r="16">
          <cell r="C16">
            <v>361</v>
          </cell>
        </row>
        <row r="17">
          <cell r="C17">
            <v>154</v>
          </cell>
        </row>
        <row r="18">
          <cell r="C18">
            <v>911</v>
          </cell>
        </row>
        <row r="19">
          <cell r="C19">
            <v>748</v>
          </cell>
        </row>
        <row r="20">
          <cell r="C20">
            <v>541</v>
          </cell>
        </row>
        <row r="21">
          <cell r="C21">
            <v>809</v>
          </cell>
        </row>
        <row r="22">
          <cell r="C22">
            <v>252</v>
          </cell>
        </row>
        <row r="23">
          <cell r="C23">
            <v>347</v>
          </cell>
        </row>
        <row r="24">
          <cell r="C24">
            <v>330</v>
          </cell>
        </row>
        <row r="25">
          <cell r="C25">
            <v>93</v>
          </cell>
        </row>
        <row r="26">
          <cell r="C26">
            <v>24</v>
          </cell>
        </row>
        <row r="27">
          <cell r="C27">
            <v>75</v>
          </cell>
        </row>
        <row r="28">
          <cell r="C28">
            <v>248</v>
          </cell>
        </row>
        <row r="29">
          <cell r="C29">
            <v>0</v>
          </cell>
        </row>
        <row r="30">
          <cell r="C30">
            <v>260</v>
          </cell>
        </row>
        <row r="31">
          <cell r="C31">
            <v>498</v>
          </cell>
        </row>
        <row r="32">
          <cell r="C32">
            <v>246</v>
          </cell>
        </row>
        <row r="33">
          <cell r="C33">
            <v>532</v>
          </cell>
        </row>
        <row r="34">
          <cell r="C34">
            <v>99</v>
          </cell>
        </row>
        <row r="35">
          <cell r="C35">
            <v>93</v>
          </cell>
        </row>
        <row r="36">
          <cell r="C36">
            <v>82</v>
          </cell>
        </row>
        <row r="37">
          <cell r="C37">
            <v>59</v>
          </cell>
        </row>
        <row r="38">
          <cell r="C38">
            <v>563</v>
          </cell>
        </row>
        <row r="39">
          <cell r="C39">
            <v>559</v>
          </cell>
        </row>
        <row r="40">
          <cell r="C40">
            <v>527</v>
          </cell>
        </row>
        <row r="41">
          <cell r="C41">
            <v>426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96</v>
          </cell>
        </row>
        <row r="45">
          <cell r="C45">
            <v>213</v>
          </cell>
        </row>
        <row r="46">
          <cell r="C46">
            <v>85</v>
          </cell>
        </row>
        <row r="47">
          <cell r="C47">
            <v>23</v>
          </cell>
        </row>
        <row r="48">
          <cell r="C48">
            <v>119</v>
          </cell>
        </row>
        <row r="49">
          <cell r="C49">
            <v>158</v>
          </cell>
        </row>
        <row r="50">
          <cell r="C50">
            <v>164</v>
          </cell>
        </row>
        <row r="51">
          <cell r="C51">
            <v>31</v>
          </cell>
        </row>
        <row r="52">
          <cell r="C52">
            <v>32</v>
          </cell>
        </row>
        <row r="53">
          <cell r="C53">
            <v>27</v>
          </cell>
        </row>
        <row r="54">
          <cell r="C54">
            <v>15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46294</v>
          </cell>
          <cell r="E2">
            <v>20</v>
          </cell>
        </row>
        <row r="3">
          <cell r="C3" t="str">
            <v>FINAL VENTAS</v>
          </cell>
          <cell r="D3">
            <v>46295</v>
          </cell>
          <cell r="E3">
            <v>2</v>
          </cell>
        </row>
        <row r="8">
          <cell r="C8">
            <v>23358</v>
          </cell>
        </row>
        <row r="9">
          <cell r="C9">
            <v>929</v>
          </cell>
        </row>
        <row r="10">
          <cell r="C10">
            <v>9821</v>
          </cell>
        </row>
        <row r="11">
          <cell r="C11">
            <v>2089</v>
          </cell>
        </row>
        <row r="12">
          <cell r="C12">
            <v>280</v>
          </cell>
        </row>
        <row r="13">
          <cell r="C13">
            <v>28107</v>
          </cell>
        </row>
        <row r="14">
          <cell r="C14">
            <v>2941</v>
          </cell>
        </row>
        <row r="15">
          <cell r="C15">
            <v>6284</v>
          </cell>
        </row>
        <row r="16">
          <cell r="C16">
            <v>15352</v>
          </cell>
        </row>
        <row r="17">
          <cell r="C17">
            <v>7499</v>
          </cell>
        </row>
        <row r="18">
          <cell r="C18">
            <v>66947</v>
          </cell>
        </row>
        <row r="19">
          <cell r="C19">
            <v>42252</v>
          </cell>
        </row>
        <row r="20">
          <cell r="C20">
            <v>42433</v>
          </cell>
        </row>
        <row r="21">
          <cell r="C21">
            <v>52159</v>
          </cell>
        </row>
        <row r="22">
          <cell r="C22">
            <v>14058</v>
          </cell>
        </row>
        <row r="23">
          <cell r="C23">
            <v>16722</v>
          </cell>
        </row>
        <row r="24">
          <cell r="C24">
            <v>16864</v>
          </cell>
        </row>
        <row r="25">
          <cell r="C25">
            <v>5377</v>
          </cell>
        </row>
        <row r="26">
          <cell r="C26">
            <v>2630</v>
          </cell>
        </row>
        <row r="27">
          <cell r="C27">
            <v>10072</v>
          </cell>
        </row>
        <row r="28">
          <cell r="C28">
            <v>17012</v>
          </cell>
        </row>
        <row r="29">
          <cell r="C29">
            <v>1200</v>
          </cell>
        </row>
        <row r="30">
          <cell r="C30">
            <v>14069</v>
          </cell>
        </row>
        <row r="31">
          <cell r="C31">
            <v>21797</v>
          </cell>
        </row>
        <row r="32">
          <cell r="C32">
            <v>11056</v>
          </cell>
        </row>
        <row r="33">
          <cell r="C33">
            <v>8750</v>
          </cell>
        </row>
        <row r="34">
          <cell r="C34">
            <v>5084</v>
          </cell>
        </row>
        <row r="35">
          <cell r="C35">
            <v>6256</v>
          </cell>
        </row>
        <row r="36">
          <cell r="C36">
            <v>2559</v>
          </cell>
        </row>
        <row r="37">
          <cell r="C37">
            <v>2894</v>
          </cell>
        </row>
        <row r="38">
          <cell r="C38">
            <v>15687</v>
          </cell>
        </row>
        <row r="39">
          <cell r="C39">
            <v>12011</v>
          </cell>
        </row>
        <row r="40">
          <cell r="C40">
            <v>16019</v>
          </cell>
        </row>
        <row r="41">
          <cell r="C41">
            <v>10529</v>
          </cell>
        </row>
        <row r="42">
          <cell r="C42">
            <v>80</v>
          </cell>
        </row>
        <row r="43">
          <cell r="C43">
            <v>11</v>
          </cell>
        </row>
        <row r="44">
          <cell r="C44">
            <v>2684</v>
          </cell>
        </row>
        <row r="45">
          <cell r="C45">
            <v>11345</v>
          </cell>
        </row>
        <row r="46">
          <cell r="C46">
            <v>8105</v>
          </cell>
        </row>
        <row r="47">
          <cell r="C47">
            <v>4933</v>
          </cell>
        </row>
        <row r="48">
          <cell r="C48">
            <v>9829</v>
          </cell>
        </row>
        <row r="49">
          <cell r="C49">
            <v>5971</v>
          </cell>
        </row>
        <row r="50">
          <cell r="C50">
            <v>5867</v>
          </cell>
        </row>
        <row r="51">
          <cell r="C51">
            <v>1060</v>
          </cell>
        </row>
        <row r="52">
          <cell r="C52">
            <v>2442</v>
          </cell>
        </row>
        <row r="53">
          <cell r="C53">
            <v>806</v>
          </cell>
        </row>
        <row r="54">
          <cell r="C54">
            <v>1026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46294</v>
      </c>
      <c r="E2" s="4">
        <f ca="1">'[1]VENTAS CONSOLIDADA ZULIA'!E2</f>
        <v>20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2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572</v>
      </c>
      <c r="D8" s="5">
        <f t="shared" ref="D8:D54" ca="1" si="0">C8/$E$2</f>
        <v>28.6</v>
      </c>
      <c r="E8" s="5">
        <f ca="1">D8*($E$2+$E$3)</f>
        <v>629.20000000000005</v>
      </c>
    </row>
    <row r="9" spans="1:5" x14ac:dyDescent="0.25">
      <c r="A9">
        <v>110151</v>
      </c>
      <c r="B9" t="s">
        <v>5</v>
      </c>
      <c r="C9">
        <f>'[1]VENTAS CONSOLIDADA ZULIA'!C9</f>
        <v>80</v>
      </c>
      <c r="D9" s="5">
        <f t="shared" ca="1" si="0"/>
        <v>4</v>
      </c>
      <c r="E9" s="5">
        <f t="shared" ref="E9:E54" ca="1" si="1">D9*($E$2+$E$3)</f>
        <v>88</v>
      </c>
    </row>
    <row r="10" spans="1:5" x14ac:dyDescent="0.25">
      <c r="A10">
        <v>110230</v>
      </c>
      <c r="B10" t="s">
        <v>1</v>
      </c>
      <c r="C10">
        <f>'[1]VENTAS CONSOLIDADA ZULIA'!C10</f>
        <v>178</v>
      </c>
      <c r="D10" s="5">
        <f t="shared" ca="1" si="0"/>
        <v>8.9</v>
      </c>
      <c r="E10" s="5">
        <f t="shared" ca="1" si="1"/>
        <v>195.8</v>
      </c>
    </row>
    <row r="11" spans="1:5" x14ac:dyDescent="0.25">
      <c r="A11">
        <v>110400</v>
      </c>
      <c r="B11" t="s">
        <v>13</v>
      </c>
      <c r="C11">
        <f>'[1]VENTAS CONSOLIDADA ZULIA'!C11</f>
        <v>57</v>
      </c>
      <c r="D11" s="5">
        <f t="shared" ca="1" si="0"/>
        <v>2.85</v>
      </c>
      <c r="E11" s="5">
        <f t="shared" ca="1" si="1"/>
        <v>62.7</v>
      </c>
    </row>
    <row r="12" spans="1:5" x14ac:dyDescent="0.25">
      <c r="A12">
        <v>111000</v>
      </c>
      <c r="B12" t="s">
        <v>14</v>
      </c>
      <c r="C12">
        <f>'[1]VENTAS CONSOLIDADA ZULIA'!C12</f>
        <v>9</v>
      </c>
      <c r="D12" s="5">
        <f t="shared" ca="1" si="0"/>
        <v>0.45</v>
      </c>
      <c r="E12" s="5">
        <f t="shared" ca="1" si="1"/>
        <v>9.9</v>
      </c>
    </row>
    <row r="13" spans="1:5" x14ac:dyDescent="0.25">
      <c r="A13">
        <v>120130</v>
      </c>
      <c r="B13" t="s">
        <v>15</v>
      </c>
      <c r="C13">
        <f>'[1]VENTAS CONSOLIDADA ZULIA'!C13</f>
        <v>289</v>
      </c>
      <c r="D13" s="5">
        <f t="shared" ca="1" si="0"/>
        <v>14.45</v>
      </c>
      <c r="E13" s="5">
        <f t="shared" ca="1" si="1"/>
        <v>317.89999999999998</v>
      </c>
    </row>
    <row r="14" spans="1:5" x14ac:dyDescent="0.25">
      <c r="A14">
        <v>120131</v>
      </c>
      <c r="B14" t="s">
        <v>23</v>
      </c>
      <c r="C14">
        <f>'[1]VENTAS CONSOLIDADA ZULIA'!C14</f>
        <v>194</v>
      </c>
      <c r="D14" s="5">
        <f t="shared" ca="1" si="0"/>
        <v>9.6999999999999993</v>
      </c>
      <c r="E14" s="5">
        <f t="shared" ca="1" si="1"/>
        <v>213.39999999999998</v>
      </c>
    </row>
    <row r="15" spans="1:5" x14ac:dyDescent="0.25">
      <c r="A15">
        <v>120132</v>
      </c>
      <c r="B15" t="s">
        <v>21</v>
      </c>
      <c r="C15">
        <f>'[1]VENTAS CONSOLIDADA ZULIA'!C15</f>
        <v>263</v>
      </c>
      <c r="D15" s="5">
        <f t="shared" ca="1" si="0"/>
        <v>13.15</v>
      </c>
      <c r="E15" s="5">
        <f t="shared" ca="1" si="1"/>
        <v>289.3</v>
      </c>
    </row>
    <row r="16" spans="1:5" x14ac:dyDescent="0.25">
      <c r="A16">
        <v>130150</v>
      </c>
      <c r="B16" t="s">
        <v>0</v>
      </c>
      <c r="C16">
        <f>'[1]VENTAS CONSOLIDADA ZULIA'!C16</f>
        <v>361</v>
      </c>
      <c r="D16" s="5">
        <f t="shared" ca="1" si="0"/>
        <v>18.05</v>
      </c>
      <c r="E16" s="5">
        <f t="shared" ca="1" si="1"/>
        <v>397.1</v>
      </c>
    </row>
    <row r="17" spans="1:5" x14ac:dyDescent="0.25">
      <c r="A17">
        <v>130151</v>
      </c>
      <c r="B17" t="s">
        <v>4</v>
      </c>
      <c r="C17">
        <f>'[1]VENTAS CONSOLIDADA ZULIA'!C17</f>
        <v>154</v>
      </c>
      <c r="D17" s="5">
        <f t="shared" ca="1" si="0"/>
        <v>7.7</v>
      </c>
      <c r="E17" s="5">
        <f t="shared" ca="1" si="1"/>
        <v>169.4</v>
      </c>
    </row>
    <row r="18" spans="1:5" x14ac:dyDescent="0.25">
      <c r="A18">
        <v>130152</v>
      </c>
      <c r="B18" t="s">
        <v>51</v>
      </c>
      <c r="C18">
        <f>'[1]VENTAS CONSOLIDADA ZULIA'!C18</f>
        <v>911</v>
      </c>
      <c r="D18" s="5">
        <f t="shared" ca="1" si="0"/>
        <v>45.55</v>
      </c>
      <c r="E18" s="5">
        <f t="shared" ca="1" si="1"/>
        <v>1002.0999999999999</v>
      </c>
    </row>
    <row r="19" spans="1:5" x14ac:dyDescent="0.25">
      <c r="A19">
        <v>130153</v>
      </c>
      <c r="B19" t="s">
        <v>52</v>
      </c>
      <c r="C19">
        <f>'[1]VENTAS CONSOLIDADA ZULIA'!C19</f>
        <v>748</v>
      </c>
      <c r="D19" s="5">
        <f t="shared" ca="1" si="0"/>
        <v>37.4</v>
      </c>
      <c r="E19" s="5">
        <f t="shared" ca="1" si="1"/>
        <v>822.8</v>
      </c>
    </row>
    <row r="20" spans="1:5" x14ac:dyDescent="0.25">
      <c r="A20">
        <v>130154</v>
      </c>
      <c r="B20" t="s">
        <v>53</v>
      </c>
      <c r="C20">
        <f>'[1]VENTAS CONSOLIDADA ZULIA'!C20</f>
        <v>541</v>
      </c>
      <c r="D20" s="5">
        <f t="shared" ca="1" si="0"/>
        <v>27.05</v>
      </c>
      <c r="E20" s="5">
        <f t="shared" ca="1" si="1"/>
        <v>595.1</v>
      </c>
    </row>
    <row r="21" spans="1:5" x14ac:dyDescent="0.25">
      <c r="A21">
        <v>130155</v>
      </c>
      <c r="B21" t="s">
        <v>16</v>
      </c>
      <c r="C21">
        <f>'[1]VENTAS CONSOLIDADA ZULIA'!C21</f>
        <v>809</v>
      </c>
      <c r="D21" s="5">
        <f t="shared" ca="1" si="0"/>
        <v>40.450000000000003</v>
      </c>
      <c r="E21" s="5">
        <f t="shared" ca="1" si="1"/>
        <v>889.90000000000009</v>
      </c>
    </row>
    <row r="22" spans="1:5" x14ac:dyDescent="0.25">
      <c r="A22">
        <v>130157</v>
      </c>
      <c r="B22" t="s">
        <v>43</v>
      </c>
      <c r="C22">
        <f>'[1]VENTAS CONSOLIDADA ZULIA'!C22</f>
        <v>252</v>
      </c>
      <c r="D22" s="5">
        <f t="shared" ca="1" si="0"/>
        <v>12.6</v>
      </c>
      <c r="E22" s="5">
        <f t="shared" ca="1" si="1"/>
        <v>277.2</v>
      </c>
    </row>
    <row r="23" spans="1:5" x14ac:dyDescent="0.25">
      <c r="A23">
        <v>130158</v>
      </c>
      <c r="B23" t="s">
        <v>44</v>
      </c>
      <c r="C23">
        <f>'[1]VENTAS CONSOLIDADA ZULIA'!C23</f>
        <v>347</v>
      </c>
      <c r="D23" s="5">
        <f t="shared" ca="1" si="0"/>
        <v>17.350000000000001</v>
      </c>
      <c r="E23" s="5">
        <f t="shared" ca="1" si="1"/>
        <v>381.70000000000005</v>
      </c>
    </row>
    <row r="24" spans="1:5" x14ac:dyDescent="0.25">
      <c r="A24">
        <v>130159</v>
      </c>
      <c r="B24" t="s">
        <v>45</v>
      </c>
      <c r="C24">
        <f>'[1]VENTAS CONSOLIDADA ZULIA'!C24</f>
        <v>330</v>
      </c>
      <c r="D24" s="5">
        <f t="shared" ca="1" si="0"/>
        <v>16.5</v>
      </c>
      <c r="E24" s="5">
        <f t="shared" ca="1" si="1"/>
        <v>363</v>
      </c>
    </row>
    <row r="25" spans="1:5" x14ac:dyDescent="0.25">
      <c r="A25">
        <v>130700</v>
      </c>
      <c r="B25" t="s">
        <v>3</v>
      </c>
      <c r="C25">
        <f>'[1]VENTAS CONSOLIDADA ZULIA'!C25</f>
        <v>93</v>
      </c>
      <c r="D25" s="5">
        <f t="shared" ca="1" si="0"/>
        <v>4.6500000000000004</v>
      </c>
      <c r="E25" s="5">
        <f t="shared" ca="1" si="1"/>
        <v>102.30000000000001</v>
      </c>
    </row>
    <row r="26" spans="1:5" x14ac:dyDescent="0.25">
      <c r="A26">
        <v>130701</v>
      </c>
      <c r="B26" t="s">
        <v>30</v>
      </c>
      <c r="C26">
        <f>'[1]VENTAS CONSOLIDADA ZULIA'!C26</f>
        <v>24</v>
      </c>
      <c r="D26" s="5">
        <f t="shared" ca="1" si="0"/>
        <v>1.2</v>
      </c>
      <c r="E26" s="5">
        <f t="shared" ca="1" si="1"/>
        <v>26.4</v>
      </c>
    </row>
    <row r="27" spans="1:5" x14ac:dyDescent="0.25">
      <c r="A27">
        <v>130702</v>
      </c>
      <c r="B27" t="s">
        <v>12</v>
      </c>
      <c r="C27">
        <f>'[1]VENTAS CONSOLIDADA ZULIA'!C27</f>
        <v>75</v>
      </c>
      <c r="D27" s="5">
        <f t="shared" ca="1" si="0"/>
        <v>3.75</v>
      </c>
      <c r="E27" s="5">
        <f t="shared" ca="1" si="1"/>
        <v>82.5</v>
      </c>
    </row>
    <row r="28" spans="1:5" x14ac:dyDescent="0.25">
      <c r="A28">
        <v>130703</v>
      </c>
      <c r="B28" t="s">
        <v>17</v>
      </c>
      <c r="C28">
        <f>'[1]VENTAS CONSOLIDADA ZULIA'!C28</f>
        <v>248</v>
      </c>
      <c r="D28" s="5">
        <f t="shared" ca="1" si="0"/>
        <v>12.4</v>
      </c>
      <c r="E28" s="5">
        <f t="shared" ca="1" si="1"/>
        <v>272.8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260</v>
      </c>
      <c r="D30" s="5">
        <f t="shared" ca="1" si="0"/>
        <v>13</v>
      </c>
      <c r="E30" s="5">
        <f t="shared" ca="1" si="1"/>
        <v>286</v>
      </c>
    </row>
    <row r="31" spans="1:5" x14ac:dyDescent="0.25">
      <c r="A31">
        <v>131151</v>
      </c>
      <c r="B31" t="s">
        <v>19</v>
      </c>
      <c r="C31">
        <f>'[1]VENTAS CONSOLIDADA ZULIA'!C31</f>
        <v>498</v>
      </c>
      <c r="D31" s="5">
        <f t="shared" ca="1" si="0"/>
        <v>24.9</v>
      </c>
      <c r="E31" s="5">
        <f t="shared" ca="1" si="1"/>
        <v>547.79999999999995</v>
      </c>
    </row>
    <row r="32" spans="1:5" x14ac:dyDescent="0.25">
      <c r="A32">
        <v>131152</v>
      </c>
      <c r="B32" t="s">
        <v>32</v>
      </c>
      <c r="C32">
        <f>'[1]VENTAS CONSOLIDADA ZULIA'!C32</f>
        <v>246</v>
      </c>
      <c r="D32" s="5">
        <f t="shared" ca="1" si="0"/>
        <v>12.3</v>
      </c>
      <c r="E32" s="5">
        <f t="shared" ca="1" si="1"/>
        <v>270.60000000000002</v>
      </c>
    </row>
    <row r="33" spans="1:5" x14ac:dyDescent="0.25">
      <c r="A33">
        <v>131153</v>
      </c>
      <c r="B33" t="s">
        <v>11</v>
      </c>
      <c r="C33">
        <f>'[1]VENTAS CONSOLIDADA ZULIA'!C33</f>
        <v>532</v>
      </c>
      <c r="D33" s="5">
        <f t="shared" ca="1" si="0"/>
        <v>26.6</v>
      </c>
      <c r="E33" s="5">
        <f t="shared" ca="1" si="1"/>
        <v>585.20000000000005</v>
      </c>
    </row>
    <row r="34" spans="1:5" x14ac:dyDescent="0.25">
      <c r="A34">
        <v>131154</v>
      </c>
      <c r="B34" t="s">
        <v>48</v>
      </c>
      <c r="C34">
        <f>'[1]VENTAS CONSOLIDADA ZULIA'!C34</f>
        <v>99</v>
      </c>
      <c r="D34" s="5">
        <f t="shared" ca="1" si="0"/>
        <v>4.95</v>
      </c>
      <c r="E34" s="5">
        <f t="shared" ca="1" si="1"/>
        <v>108.9</v>
      </c>
    </row>
    <row r="35" spans="1:5" x14ac:dyDescent="0.25">
      <c r="A35">
        <v>131155</v>
      </c>
      <c r="B35" t="s">
        <v>57</v>
      </c>
      <c r="C35">
        <f>'[1]VENTAS CONSOLIDADA ZULIA'!C35</f>
        <v>93</v>
      </c>
      <c r="D35" s="5">
        <f t="shared" ca="1" si="0"/>
        <v>4.6500000000000004</v>
      </c>
      <c r="E35" s="5">
        <f t="shared" ca="1" si="1"/>
        <v>102.30000000000001</v>
      </c>
    </row>
    <row r="36" spans="1:5" x14ac:dyDescent="0.25">
      <c r="A36">
        <v>131700</v>
      </c>
      <c r="B36" t="s">
        <v>20</v>
      </c>
      <c r="C36">
        <f>'[1]VENTAS CONSOLIDADA ZULIA'!C36</f>
        <v>82</v>
      </c>
      <c r="D36" s="5">
        <f t="shared" ca="1" si="0"/>
        <v>4.0999999999999996</v>
      </c>
      <c r="E36" s="5">
        <f t="shared" ca="1" si="1"/>
        <v>90.199999999999989</v>
      </c>
    </row>
    <row r="37" spans="1:5" x14ac:dyDescent="0.25">
      <c r="A37">
        <v>131701</v>
      </c>
      <c r="B37" t="s">
        <v>24</v>
      </c>
      <c r="C37">
        <f>'[1]VENTAS CONSOLIDADA ZULIA'!C37</f>
        <v>59</v>
      </c>
      <c r="D37" s="5">
        <f t="shared" ca="1" si="0"/>
        <v>2.95</v>
      </c>
      <c r="E37" s="5">
        <f t="shared" ca="1" si="1"/>
        <v>64.900000000000006</v>
      </c>
    </row>
    <row r="38" spans="1:5" x14ac:dyDescent="0.25">
      <c r="A38">
        <v>132150</v>
      </c>
      <c r="B38" t="s">
        <v>25</v>
      </c>
      <c r="C38">
        <f>'[1]VENTAS CONSOLIDADA ZULIA'!C38</f>
        <v>563</v>
      </c>
      <c r="D38" s="5">
        <f t="shared" ca="1" si="0"/>
        <v>28.15</v>
      </c>
      <c r="E38" s="5">
        <f t="shared" ca="1" si="1"/>
        <v>619.29999999999995</v>
      </c>
    </row>
    <row r="39" spans="1:5" x14ac:dyDescent="0.25">
      <c r="A39">
        <v>132151</v>
      </c>
      <c r="B39" t="s">
        <v>26</v>
      </c>
      <c r="C39">
        <f>'[1]VENTAS CONSOLIDADA ZULIA'!C39</f>
        <v>559</v>
      </c>
      <c r="D39" s="5">
        <f t="shared" ca="1" si="0"/>
        <v>27.95</v>
      </c>
      <c r="E39" s="5">
        <f t="shared" ca="1" si="1"/>
        <v>614.9</v>
      </c>
    </row>
    <row r="40" spans="1:5" x14ac:dyDescent="0.25">
      <c r="A40">
        <v>132152</v>
      </c>
      <c r="B40" t="s">
        <v>27</v>
      </c>
      <c r="C40">
        <f>'[1]VENTAS CONSOLIDADA ZULIA'!C40</f>
        <v>527</v>
      </c>
      <c r="D40" s="5">
        <f t="shared" ca="1" si="0"/>
        <v>26.35</v>
      </c>
      <c r="E40" s="5">
        <f t="shared" ca="1" si="1"/>
        <v>579.70000000000005</v>
      </c>
    </row>
    <row r="41" spans="1:5" x14ac:dyDescent="0.25">
      <c r="A41">
        <v>132153</v>
      </c>
      <c r="B41" t="s">
        <v>40</v>
      </c>
      <c r="C41">
        <f>'[1]VENTAS CONSOLIDADA ZULIA'!C41</f>
        <v>426</v>
      </c>
      <c r="D41" s="5">
        <f t="shared" ca="1" si="0"/>
        <v>21.3</v>
      </c>
      <c r="E41" s="5">
        <f t="shared" ca="1" si="1"/>
        <v>468.6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96</v>
      </c>
      <c r="D44" s="5">
        <f t="shared" ca="1" si="0"/>
        <v>4.8</v>
      </c>
      <c r="E44" s="5">
        <f t="shared" ca="1" si="1"/>
        <v>105.6</v>
      </c>
    </row>
    <row r="45" spans="1:5" x14ac:dyDescent="0.25">
      <c r="A45">
        <v>140231</v>
      </c>
      <c r="B45" t="s">
        <v>10</v>
      </c>
      <c r="C45">
        <f>'[1]VENTAS CONSOLIDADA ZULIA'!C45</f>
        <v>213</v>
      </c>
      <c r="D45" s="5">
        <f t="shared" ca="1" si="0"/>
        <v>10.65</v>
      </c>
      <c r="E45" s="5">
        <f t="shared" ca="1" si="1"/>
        <v>234.3</v>
      </c>
    </row>
    <row r="46" spans="1:5" x14ac:dyDescent="0.25">
      <c r="A46">
        <v>140232</v>
      </c>
      <c r="B46" t="s">
        <v>9</v>
      </c>
      <c r="C46">
        <f>'[1]VENTAS CONSOLIDADA ZULIA'!C46</f>
        <v>85</v>
      </c>
      <c r="D46" s="5">
        <f t="shared" ca="1" si="0"/>
        <v>4.25</v>
      </c>
      <c r="E46" s="5">
        <f t="shared" ca="1" si="1"/>
        <v>93.5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1.1499999999999999</v>
      </c>
      <c r="E47" s="5">
        <f t="shared" ca="1" si="1"/>
        <v>25.299999999999997</v>
      </c>
    </row>
    <row r="48" spans="1:5" x14ac:dyDescent="0.25">
      <c r="A48">
        <v>150361</v>
      </c>
      <c r="B48" t="s">
        <v>29</v>
      </c>
      <c r="C48">
        <f>'[1]VENTAS CONSOLIDADA ZULIA'!C48</f>
        <v>119</v>
      </c>
      <c r="D48" s="5">
        <f t="shared" ca="1" si="0"/>
        <v>5.95</v>
      </c>
      <c r="E48" s="5">
        <f t="shared" ca="1" si="1"/>
        <v>130.9</v>
      </c>
    </row>
    <row r="49" spans="1:5" x14ac:dyDescent="0.25">
      <c r="A49">
        <v>150362</v>
      </c>
      <c r="B49" t="s">
        <v>36</v>
      </c>
      <c r="C49">
        <f>'[1]VENTAS CONSOLIDADA ZULIA'!C49</f>
        <v>158</v>
      </c>
      <c r="D49" s="5">
        <f t="shared" ca="1" si="0"/>
        <v>7.9</v>
      </c>
      <c r="E49" s="5">
        <f t="shared" ca="1" si="1"/>
        <v>173.8</v>
      </c>
    </row>
    <row r="50" spans="1:5" x14ac:dyDescent="0.25">
      <c r="A50">
        <v>150363</v>
      </c>
      <c r="B50" t="s">
        <v>31</v>
      </c>
      <c r="C50">
        <f>'[1]VENTAS CONSOLIDADA ZULIA'!C50</f>
        <v>164</v>
      </c>
      <c r="D50" s="5">
        <f t="shared" ca="1" si="0"/>
        <v>8.1999999999999993</v>
      </c>
      <c r="E50" s="5">
        <f t="shared" ca="1" si="1"/>
        <v>180.39999999999998</v>
      </c>
    </row>
    <row r="51" spans="1:5" x14ac:dyDescent="0.25">
      <c r="A51">
        <v>151500</v>
      </c>
      <c r="B51" t="s">
        <v>41</v>
      </c>
      <c r="C51">
        <f>'[1]VENTAS CONSOLIDADA ZULIA'!C51</f>
        <v>31</v>
      </c>
      <c r="D51" s="5">
        <f t="shared" ca="1" si="0"/>
        <v>1.55</v>
      </c>
      <c r="E51" s="5">
        <f t="shared" ca="1" si="1"/>
        <v>34.1</v>
      </c>
    </row>
    <row r="52" spans="1:5" x14ac:dyDescent="0.25">
      <c r="A52">
        <v>151501</v>
      </c>
      <c r="B52" t="s">
        <v>33</v>
      </c>
      <c r="C52">
        <f>'[1]VENTAS CONSOLIDADA ZULIA'!C52</f>
        <v>32</v>
      </c>
      <c r="D52" s="5">
        <f t="shared" ca="1" si="0"/>
        <v>1.6</v>
      </c>
      <c r="E52" s="5">
        <f t="shared" ca="1" si="1"/>
        <v>35.200000000000003</v>
      </c>
    </row>
    <row r="53" spans="1:5" x14ac:dyDescent="0.25">
      <c r="A53">
        <v>151502</v>
      </c>
      <c r="B53" t="s">
        <v>37</v>
      </c>
      <c r="C53">
        <f>'[1]VENTAS CONSOLIDADA ZULIA'!C53</f>
        <v>27</v>
      </c>
      <c r="D53" s="5">
        <f t="shared" ca="1" si="0"/>
        <v>1.35</v>
      </c>
      <c r="E53" s="5">
        <f t="shared" ca="1" si="1"/>
        <v>29.700000000000003</v>
      </c>
    </row>
    <row r="54" spans="1:5" x14ac:dyDescent="0.25">
      <c r="A54">
        <v>151503</v>
      </c>
      <c r="B54" t="s">
        <v>34</v>
      </c>
      <c r="C54">
        <f>'[1]VENTAS CONSOLIDADA ZULIA'!C54</f>
        <v>15</v>
      </c>
      <c r="D54" s="5">
        <f t="shared" ca="1" si="0"/>
        <v>0.75</v>
      </c>
      <c r="E54" s="5">
        <f t="shared" ca="1" si="1"/>
        <v>16.5</v>
      </c>
    </row>
    <row r="55" spans="1:5" x14ac:dyDescent="0.25">
      <c r="D55" s="5">
        <f ca="1">SUM(D8:D54)</f>
        <v>572.09999999999991</v>
      </c>
      <c r="E55" s="5">
        <f ca="1">SUM(E8:E54)</f>
        <v>12586.199999999999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46294</v>
      </c>
      <c r="E2" s="4">
        <f ca="1">'[1]VENTAS CONSOLIDADA VALENCIA'!E2</f>
        <v>20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2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4790</v>
      </c>
      <c r="D8" s="5">
        <f t="shared" ref="D8:D54" ca="1" si="0">C8/$E$2</f>
        <v>239.5</v>
      </c>
      <c r="E8" s="5">
        <f ca="1">D8*($E$2+$E$3)</f>
        <v>5269</v>
      </c>
    </row>
    <row r="9" spans="1:5" x14ac:dyDescent="0.25">
      <c r="A9">
        <v>110151</v>
      </c>
      <c r="B9" t="s">
        <v>5</v>
      </c>
      <c r="C9">
        <f>'[1]VENTAS CONSOLIDADA VALENCIA'!C9</f>
        <v>249</v>
      </c>
      <c r="D9" s="5">
        <f t="shared" ca="1" si="0"/>
        <v>12.45</v>
      </c>
      <c r="E9" s="5">
        <f t="shared" ref="E9:E54" ca="1" si="1">D9*($E$2+$E$3)</f>
        <v>273.89999999999998</v>
      </c>
    </row>
    <row r="10" spans="1:5" x14ac:dyDescent="0.25">
      <c r="A10">
        <v>110230</v>
      </c>
      <c r="B10" t="s">
        <v>1</v>
      </c>
      <c r="C10">
        <f>'[1]VENTAS CONSOLIDADA VALENCIA'!C10</f>
        <v>2230</v>
      </c>
      <c r="D10" s="5">
        <f t="shared" ca="1" si="0"/>
        <v>111.5</v>
      </c>
      <c r="E10" s="5">
        <f t="shared" ca="1" si="1"/>
        <v>2453</v>
      </c>
    </row>
    <row r="11" spans="1:5" x14ac:dyDescent="0.25">
      <c r="A11">
        <v>110400</v>
      </c>
      <c r="B11" t="s">
        <v>13</v>
      </c>
      <c r="C11">
        <f>'[1]VENTAS CONSOLIDADA VALENCIA'!C11</f>
        <v>504</v>
      </c>
      <c r="D11" s="5">
        <f t="shared" ca="1" si="0"/>
        <v>25.2</v>
      </c>
      <c r="E11" s="5">
        <f t="shared" ca="1" si="1"/>
        <v>554.4</v>
      </c>
    </row>
    <row r="12" spans="1:5" x14ac:dyDescent="0.25">
      <c r="A12">
        <v>111000</v>
      </c>
      <c r="B12" t="s">
        <v>14</v>
      </c>
      <c r="C12">
        <f>'[1]VENTAS CONSOLIDADA VALENCIA'!C12</f>
        <v>39</v>
      </c>
      <c r="D12" s="5">
        <f t="shared" ca="1" si="0"/>
        <v>1.95</v>
      </c>
      <c r="E12" s="5">
        <f t="shared" ca="1" si="1"/>
        <v>42.9</v>
      </c>
    </row>
    <row r="13" spans="1:5" x14ac:dyDescent="0.25">
      <c r="A13">
        <v>120130</v>
      </c>
      <c r="B13" t="s">
        <v>15</v>
      </c>
      <c r="C13">
        <f>'[1]VENTAS CONSOLIDADA VALENCIA'!C13</f>
        <v>6635</v>
      </c>
      <c r="D13" s="5">
        <f t="shared" ca="1" si="0"/>
        <v>331.75</v>
      </c>
      <c r="E13" s="5">
        <f t="shared" ca="1" si="1"/>
        <v>7298.5</v>
      </c>
    </row>
    <row r="14" spans="1:5" x14ac:dyDescent="0.25">
      <c r="A14">
        <v>120131</v>
      </c>
      <c r="B14" t="s">
        <v>23</v>
      </c>
      <c r="C14">
        <f>'[1]VENTAS CONSOLIDADA VALENCIA'!C14</f>
        <v>1101</v>
      </c>
      <c r="D14" s="5">
        <f t="shared" ca="1" si="0"/>
        <v>55.05</v>
      </c>
      <c r="E14" s="5">
        <f t="shared" ca="1" si="1"/>
        <v>1211.0999999999999</v>
      </c>
    </row>
    <row r="15" spans="1:5" x14ac:dyDescent="0.25">
      <c r="A15">
        <v>120132</v>
      </c>
      <c r="B15" t="s">
        <v>21</v>
      </c>
      <c r="C15">
        <f>'[1]VENTAS CONSOLIDADA VALENCIA'!C15</f>
        <v>2487</v>
      </c>
      <c r="D15" s="5">
        <f t="shared" ca="1" si="0"/>
        <v>124.35</v>
      </c>
      <c r="E15" s="5">
        <f t="shared" ca="1" si="1"/>
        <v>2735.7</v>
      </c>
    </row>
    <row r="16" spans="1:5" x14ac:dyDescent="0.25">
      <c r="A16">
        <v>130150</v>
      </c>
      <c r="B16" t="s">
        <v>0</v>
      </c>
      <c r="C16">
        <f>'[1]VENTAS CONSOLIDADA VALENCIA'!C16</f>
        <v>6573</v>
      </c>
      <c r="D16" s="5">
        <f t="shared" ca="1" si="0"/>
        <v>328.65</v>
      </c>
      <c r="E16" s="5">
        <f t="shared" ca="1" si="1"/>
        <v>7230.2999999999993</v>
      </c>
    </row>
    <row r="17" spans="1:5" x14ac:dyDescent="0.25">
      <c r="A17">
        <v>130151</v>
      </c>
      <c r="B17" t="s">
        <v>4</v>
      </c>
      <c r="C17">
        <f>'[1]VENTAS CONSOLIDADA VALENCIA'!C17</f>
        <v>2931</v>
      </c>
      <c r="D17" s="5">
        <f t="shared" ca="1" si="0"/>
        <v>146.55000000000001</v>
      </c>
      <c r="E17" s="5">
        <f t="shared" ca="1" si="1"/>
        <v>3224.1000000000004</v>
      </c>
    </row>
    <row r="18" spans="1:5" x14ac:dyDescent="0.25">
      <c r="A18">
        <v>130152</v>
      </c>
      <c r="B18" t="s">
        <v>51</v>
      </c>
      <c r="C18">
        <f>'[1]VENTAS CONSOLIDADA VALENCIA'!C18</f>
        <v>18733</v>
      </c>
      <c r="D18" s="5">
        <f t="shared" ca="1" si="0"/>
        <v>936.65</v>
      </c>
      <c r="E18" s="5">
        <f t="shared" ca="1" si="1"/>
        <v>20606.3</v>
      </c>
    </row>
    <row r="19" spans="1:5" x14ac:dyDescent="0.25">
      <c r="A19">
        <v>130153</v>
      </c>
      <c r="B19" t="s">
        <v>52</v>
      </c>
      <c r="C19">
        <f>'[1]VENTAS CONSOLIDADA VALENCIA'!C19</f>
        <v>11413</v>
      </c>
      <c r="D19" s="5">
        <f t="shared" ca="1" si="0"/>
        <v>570.65</v>
      </c>
      <c r="E19" s="5">
        <f t="shared" ca="1" si="1"/>
        <v>12554.3</v>
      </c>
    </row>
    <row r="20" spans="1:5" x14ac:dyDescent="0.25">
      <c r="A20">
        <v>130154</v>
      </c>
      <c r="B20" t="s">
        <v>53</v>
      </c>
      <c r="C20">
        <f>'[1]VENTAS CONSOLIDADA VALENCIA'!C20</f>
        <v>12068</v>
      </c>
      <c r="D20" s="5">
        <f t="shared" ca="1" si="0"/>
        <v>603.4</v>
      </c>
      <c r="E20" s="5">
        <f t="shared" ca="1" si="1"/>
        <v>13274.8</v>
      </c>
    </row>
    <row r="21" spans="1:5" x14ac:dyDescent="0.25">
      <c r="A21">
        <v>130155</v>
      </c>
      <c r="B21" t="s">
        <v>16</v>
      </c>
      <c r="C21">
        <f>'[1]VENTAS CONSOLIDADA VALENCIA'!C21</f>
        <v>14212</v>
      </c>
      <c r="D21" s="5">
        <f t="shared" ca="1" si="0"/>
        <v>710.6</v>
      </c>
      <c r="E21" s="5">
        <f t="shared" ca="1" si="1"/>
        <v>15633.2</v>
      </c>
    </row>
    <row r="22" spans="1:5" x14ac:dyDescent="0.25">
      <c r="A22">
        <v>130157</v>
      </c>
      <c r="B22" t="s">
        <v>43</v>
      </c>
      <c r="C22">
        <f>'[1]VENTAS CONSOLIDADA VALENCIA'!C22</f>
        <v>3798</v>
      </c>
      <c r="D22" s="5">
        <f t="shared" ca="1" si="0"/>
        <v>189.9</v>
      </c>
      <c r="E22" s="5">
        <f t="shared" ca="1" si="1"/>
        <v>4177.8</v>
      </c>
    </row>
    <row r="23" spans="1:5" x14ac:dyDescent="0.25">
      <c r="A23">
        <v>130158</v>
      </c>
      <c r="B23" t="s">
        <v>44</v>
      </c>
      <c r="C23">
        <f>'[1]VENTAS CONSOLIDADA VALENCIA'!C23</f>
        <v>5416</v>
      </c>
      <c r="D23" s="5">
        <f t="shared" ca="1" si="0"/>
        <v>270.8</v>
      </c>
      <c r="E23" s="5">
        <f t="shared" ca="1" si="1"/>
        <v>5957.6</v>
      </c>
    </row>
    <row r="24" spans="1:5" x14ac:dyDescent="0.25">
      <c r="A24">
        <v>130159</v>
      </c>
      <c r="B24" t="s">
        <v>45</v>
      </c>
      <c r="C24">
        <f>'[1]VENTAS CONSOLIDADA VALENCIA'!C24</f>
        <v>5093</v>
      </c>
      <c r="D24" s="5">
        <f t="shared" ca="1" si="0"/>
        <v>254.65</v>
      </c>
      <c r="E24" s="5">
        <f t="shared" ca="1" si="1"/>
        <v>5602.3</v>
      </c>
    </row>
    <row r="25" spans="1:5" x14ac:dyDescent="0.25">
      <c r="A25">
        <v>130700</v>
      </c>
      <c r="B25" t="s">
        <v>3</v>
      </c>
      <c r="C25">
        <f>'[1]VENTAS CONSOLIDADA VALENCIA'!C25</f>
        <v>2345</v>
      </c>
      <c r="D25" s="5">
        <f t="shared" ca="1" si="0"/>
        <v>117.25</v>
      </c>
      <c r="E25" s="5">
        <f t="shared" ca="1" si="1"/>
        <v>2579.5</v>
      </c>
    </row>
    <row r="26" spans="1:5" x14ac:dyDescent="0.25">
      <c r="A26">
        <v>130701</v>
      </c>
      <c r="B26" t="s">
        <v>30</v>
      </c>
      <c r="C26">
        <f>'[1]VENTAS CONSOLIDADA VALENCIA'!C26</f>
        <v>1324</v>
      </c>
      <c r="D26" s="5">
        <f t="shared" ca="1" si="0"/>
        <v>66.2</v>
      </c>
      <c r="E26" s="5">
        <f t="shared" ca="1" si="1"/>
        <v>1456.4</v>
      </c>
    </row>
    <row r="27" spans="1:5" x14ac:dyDescent="0.25">
      <c r="A27">
        <v>130702</v>
      </c>
      <c r="B27" t="s">
        <v>12</v>
      </c>
      <c r="C27">
        <f>'[1]VENTAS CONSOLIDADA VALENCIA'!C27</f>
        <v>3548</v>
      </c>
      <c r="D27" s="5">
        <f t="shared" ca="1" si="0"/>
        <v>177.4</v>
      </c>
      <c r="E27" s="5">
        <f t="shared" ca="1" si="1"/>
        <v>3902.8</v>
      </c>
    </row>
    <row r="28" spans="1:5" x14ac:dyDescent="0.25">
      <c r="A28">
        <v>130703</v>
      </c>
      <c r="B28" t="s">
        <v>17</v>
      </c>
      <c r="C28">
        <f>'[1]VENTAS CONSOLIDADA VALENCIA'!C28</f>
        <v>5282</v>
      </c>
      <c r="D28" s="5">
        <f t="shared" ca="1" si="0"/>
        <v>264.10000000000002</v>
      </c>
      <c r="E28" s="5">
        <f t="shared" ca="1" si="1"/>
        <v>5810.2000000000007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3273</v>
      </c>
      <c r="D30" s="5">
        <f t="shared" ca="1" si="0"/>
        <v>163.65</v>
      </c>
      <c r="E30" s="5">
        <f t="shared" ca="1" si="1"/>
        <v>3600.3</v>
      </c>
    </row>
    <row r="31" spans="1:5" x14ac:dyDescent="0.25">
      <c r="A31">
        <v>131151</v>
      </c>
      <c r="B31" t="s">
        <v>19</v>
      </c>
      <c r="C31">
        <f>'[1]VENTAS CONSOLIDADA VALENCIA'!C31</f>
        <v>4483</v>
      </c>
      <c r="D31" s="5">
        <f t="shared" ca="1" si="0"/>
        <v>224.15</v>
      </c>
      <c r="E31" s="5">
        <f t="shared" ca="1" si="1"/>
        <v>4931.3</v>
      </c>
    </row>
    <row r="32" spans="1:5" x14ac:dyDescent="0.25">
      <c r="A32">
        <v>131152</v>
      </c>
      <c r="B32" t="s">
        <v>32</v>
      </c>
      <c r="C32">
        <f>'[1]VENTAS CONSOLIDADA VALENCIA'!C32</f>
        <v>2640</v>
      </c>
      <c r="D32" s="5">
        <f t="shared" ca="1" si="0"/>
        <v>132</v>
      </c>
      <c r="E32" s="5">
        <f t="shared" ca="1" si="1"/>
        <v>2904</v>
      </c>
    </row>
    <row r="33" spans="1:5" x14ac:dyDescent="0.25">
      <c r="A33">
        <v>131153</v>
      </c>
      <c r="B33" t="s">
        <v>11</v>
      </c>
      <c r="C33">
        <f>'[1]VENTAS CONSOLIDADA VALENCIA'!C33</f>
        <v>2257</v>
      </c>
      <c r="D33" s="5">
        <f t="shared" ca="1" si="0"/>
        <v>112.85</v>
      </c>
      <c r="E33" s="5">
        <f t="shared" ca="1" si="1"/>
        <v>2482.6999999999998</v>
      </c>
    </row>
    <row r="34" spans="1:5" x14ac:dyDescent="0.25">
      <c r="A34">
        <v>131154</v>
      </c>
      <c r="B34" t="s">
        <v>48</v>
      </c>
      <c r="C34">
        <f>'[1]VENTAS CONSOLIDADA VALENCIA'!C34</f>
        <v>1111</v>
      </c>
      <c r="D34" s="5">
        <f t="shared" ca="1" si="0"/>
        <v>55.55</v>
      </c>
      <c r="E34" s="5">
        <f t="shared" ca="1" si="1"/>
        <v>1222.0999999999999</v>
      </c>
    </row>
    <row r="35" spans="1:5" x14ac:dyDescent="0.25">
      <c r="A35">
        <v>131155</v>
      </c>
      <c r="B35" t="s">
        <v>57</v>
      </c>
      <c r="C35">
        <f>'[1]VENTAS CONSOLIDADA VALENCIA'!C35</f>
        <v>1359</v>
      </c>
      <c r="D35" s="5">
        <f t="shared" ca="1" si="0"/>
        <v>67.95</v>
      </c>
      <c r="E35" s="5">
        <f t="shared" ca="1" si="1"/>
        <v>1494.9</v>
      </c>
    </row>
    <row r="36" spans="1:5" x14ac:dyDescent="0.25">
      <c r="A36">
        <v>131700</v>
      </c>
      <c r="B36" t="s">
        <v>20</v>
      </c>
      <c r="C36">
        <f>'[1]VENTAS CONSOLIDADA VALENCIA'!C36</f>
        <v>747</v>
      </c>
      <c r="D36" s="5">
        <f t="shared" ca="1" si="0"/>
        <v>37.35</v>
      </c>
      <c r="E36" s="5">
        <f t="shared" ca="1" si="1"/>
        <v>821.7</v>
      </c>
    </row>
    <row r="37" spans="1:5" x14ac:dyDescent="0.25">
      <c r="A37">
        <v>131701</v>
      </c>
      <c r="B37" t="s">
        <v>24</v>
      </c>
      <c r="C37">
        <f>'[1]VENTAS CONSOLIDADA VALENCIA'!C37</f>
        <v>801</v>
      </c>
      <c r="D37" s="5">
        <f t="shared" ca="1" si="0"/>
        <v>40.049999999999997</v>
      </c>
      <c r="E37" s="5">
        <f t="shared" ca="1" si="1"/>
        <v>881.09999999999991</v>
      </c>
    </row>
    <row r="38" spans="1:5" x14ac:dyDescent="0.25">
      <c r="A38">
        <v>132150</v>
      </c>
      <c r="B38" t="s">
        <v>25</v>
      </c>
      <c r="C38">
        <f>'[1]VENTAS CONSOLIDADA VALENCIA'!C38</f>
        <v>4813</v>
      </c>
      <c r="D38" s="5">
        <f t="shared" ca="1" si="0"/>
        <v>240.65</v>
      </c>
      <c r="E38" s="5">
        <f t="shared" ca="1" si="1"/>
        <v>5294.3</v>
      </c>
    </row>
    <row r="39" spans="1:5" x14ac:dyDescent="0.25">
      <c r="A39">
        <v>132151</v>
      </c>
      <c r="B39" t="s">
        <v>26</v>
      </c>
      <c r="C39">
        <f>'[1]VENTAS CONSOLIDADA VALENCIA'!C39</f>
        <v>3684</v>
      </c>
      <c r="D39" s="5">
        <f t="shared" ca="1" si="0"/>
        <v>184.2</v>
      </c>
      <c r="E39" s="5">
        <f t="shared" ca="1" si="1"/>
        <v>4052.3999999999996</v>
      </c>
    </row>
    <row r="40" spans="1:5" x14ac:dyDescent="0.25">
      <c r="A40">
        <v>132152</v>
      </c>
      <c r="B40" t="s">
        <v>27</v>
      </c>
      <c r="C40">
        <f>'[1]VENTAS CONSOLIDADA VALENCIA'!C40</f>
        <v>4917</v>
      </c>
      <c r="D40" s="5">
        <f t="shared" ca="1" si="0"/>
        <v>245.85</v>
      </c>
      <c r="E40" s="5">
        <f t="shared" ca="1" si="1"/>
        <v>5408.7</v>
      </c>
    </row>
    <row r="41" spans="1:5" x14ac:dyDescent="0.25">
      <c r="A41">
        <v>132153</v>
      </c>
      <c r="B41" t="s">
        <v>40</v>
      </c>
      <c r="C41">
        <f>'[1]VENTAS CONSOLIDADA VALENCIA'!C41</f>
        <v>3088</v>
      </c>
      <c r="D41" s="5">
        <f t="shared" ca="1" si="0"/>
        <v>154.4</v>
      </c>
      <c r="E41" s="5">
        <f t="shared" ca="1" si="1"/>
        <v>3396.8</v>
      </c>
    </row>
    <row r="42" spans="1:5" x14ac:dyDescent="0.25">
      <c r="A42">
        <v>134000</v>
      </c>
      <c r="B42" t="s">
        <v>35</v>
      </c>
      <c r="C42">
        <f>'[1]VENTAS CONSOLIDADA VALENCIA'!C42</f>
        <v>60</v>
      </c>
      <c r="D42" s="5">
        <f t="shared" ca="1" si="0"/>
        <v>3</v>
      </c>
      <c r="E42" s="5">
        <f t="shared" ca="1" si="1"/>
        <v>66</v>
      </c>
    </row>
    <row r="43" spans="1:5" x14ac:dyDescent="0.25">
      <c r="A43">
        <v>134001</v>
      </c>
      <c r="B43" t="s">
        <v>47</v>
      </c>
      <c r="C43">
        <f>'[1]VENTAS CONSOLIDADA VALENCIA'!C43</f>
        <v>11</v>
      </c>
      <c r="D43" s="5">
        <f t="shared" ca="1" si="0"/>
        <v>0.55000000000000004</v>
      </c>
      <c r="E43" s="5">
        <f t="shared" ca="1" si="1"/>
        <v>12.100000000000001</v>
      </c>
    </row>
    <row r="44" spans="1:5" x14ac:dyDescent="0.25">
      <c r="A44">
        <v>140230</v>
      </c>
      <c r="B44" t="s">
        <v>18</v>
      </c>
      <c r="C44">
        <f>'[1]VENTAS CONSOLIDADA VALENCIA'!C44</f>
        <v>1126</v>
      </c>
      <c r="D44" s="5">
        <f t="shared" ca="1" si="0"/>
        <v>56.3</v>
      </c>
      <c r="E44" s="5">
        <f t="shared" ca="1" si="1"/>
        <v>1238.5999999999999</v>
      </c>
    </row>
    <row r="45" spans="1:5" x14ac:dyDescent="0.25">
      <c r="A45">
        <v>140231</v>
      </c>
      <c r="B45" t="s">
        <v>10</v>
      </c>
      <c r="C45">
        <f>'[1]VENTAS CONSOLIDADA VALENCIA'!C45</f>
        <v>3662</v>
      </c>
      <c r="D45" s="5">
        <f t="shared" ca="1" si="0"/>
        <v>183.1</v>
      </c>
      <c r="E45" s="5">
        <f t="shared" ca="1" si="1"/>
        <v>4028.2</v>
      </c>
    </row>
    <row r="46" spans="1:5" x14ac:dyDescent="0.25">
      <c r="A46">
        <v>140232</v>
      </c>
      <c r="B46" t="s">
        <v>9</v>
      </c>
      <c r="C46">
        <f>'[1]VENTAS CONSOLIDADA VALENCIA'!C46</f>
        <v>3251</v>
      </c>
      <c r="D46" s="5">
        <f t="shared" ca="1" si="0"/>
        <v>162.55000000000001</v>
      </c>
      <c r="E46" s="5">
        <f t="shared" ca="1" si="1"/>
        <v>3576.1000000000004</v>
      </c>
    </row>
    <row r="47" spans="1:5" x14ac:dyDescent="0.25">
      <c r="A47">
        <v>150360</v>
      </c>
      <c r="B47" t="s">
        <v>28</v>
      </c>
      <c r="C47">
        <f>'[1]VENTAS CONSOLIDADA VALENCIA'!C47</f>
        <v>969</v>
      </c>
      <c r="D47" s="5">
        <f t="shared" ca="1" si="0"/>
        <v>48.45</v>
      </c>
      <c r="E47" s="5">
        <f t="shared" ca="1" si="1"/>
        <v>1065.9000000000001</v>
      </c>
    </row>
    <row r="48" spans="1:5" x14ac:dyDescent="0.25">
      <c r="A48">
        <v>150361</v>
      </c>
      <c r="B48" t="s">
        <v>29</v>
      </c>
      <c r="C48">
        <f>'[1]VENTAS CONSOLIDADA VALENCIA'!C48</f>
        <v>2394</v>
      </c>
      <c r="D48" s="5">
        <f t="shared" ca="1" si="0"/>
        <v>119.7</v>
      </c>
      <c r="E48" s="5">
        <f t="shared" ca="1" si="1"/>
        <v>2633.4</v>
      </c>
    </row>
    <row r="49" spans="1:5" x14ac:dyDescent="0.25">
      <c r="A49">
        <v>150362</v>
      </c>
      <c r="B49" t="s">
        <v>36</v>
      </c>
      <c r="C49">
        <f>'[1]VENTAS CONSOLIDADA VALENCIA'!C49</f>
        <v>1240</v>
      </c>
      <c r="D49" s="5">
        <f t="shared" ca="1" si="0"/>
        <v>62</v>
      </c>
      <c r="E49" s="5">
        <f t="shared" ca="1" si="1"/>
        <v>1364</v>
      </c>
    </row>
    <row r="50" spans="1:5" x14ac:dyDescent="0.25">
      <c r="A50">
        <v>150363</v>
      </c>
      <c r="B50" t="s">
        <v>31</v>
      </c>
      <c r="C50">
        <f>'[1]VENTAS CONSOLIDADA VALENCIA'!C50</f>
        <v>1495</v>
      </c>
      <c r="D50" s="5">
        <f t="shared" ca="1" si="0"/>
        <v>74.75</v>
      </c>
      <c r="E50" s="5">
        <f t="shared" ca="1" si="1"/>
        <v>1644.5</v>
      </c>
    </row>
    <row r="51" spans="1:5" x14ac:dyDescent="0.25">
      <c r="A51">
        <v>151500</v>
      </c>
      <c r="B51" t="s">
        <v>41</v>
      </c>
      <c r="C51">
        <f>'[1]VENTAS CONSOLIDADA VALENCIA'!C51</f>
        <v>254</v>
      </c>
      <c r="D51" s="5">
        <f t="shared" ca="1" si="0"/>
        <v>12.7</v>
      </c>
      <c r="E51" s="5">
        <f t="shared" ca="1" si="1"/>
        <v>279.39999999999998</v>
      </c>
    </row>
    <row r="52" spans="1:5" x14ac:dyDescent="0.25">
      <c r="A52">
        <v>151501</v>
      </c>
      <c r="B52" t="s">
        <v>33</v>
      </c>
      <c r="C52">
        <f>'[1]VENTAS CONSOLIDADA VALENCIA'!C52</f>
        <v>533</v>
      </c>
      <c r="D52" s="5">
        <f t="shared" ca="1" si="0"/>
        <v>26.65</v>
      </c>
      <c r="E52" s="5">
        <f t="shared" ca="1" si="1"/>
        <v>586.29999999999995</v>
      </c>
    </row>
    <row r="53" spans="1:5" x14ac:dyDescent="0.25">
      <c r="A53">
        <v>151502</v>
      </c>
      <c r="B53" t="s">
        <v>37</v>
      </c>
      <c r="C53">
        <f>'[1]VENTAS CONSOLIDADA VALENCIA'!C53</f>
        <v>172</v>
      </c>
      <c r="D53" s="5">
        <f t="shared" ca="1" si="0"/>
        <v>8.6</v>
      </c>
      <c r="E53" s="5">
        <f t="shared" ca="1" si="1"/>
        <v>189.2</v>
      </c>
    </row>
    <row r="54" spans="1:5" x14ac:dyDescent="0.25">
      <c r="A54">
        <v>151503</v>
      </c>
      <c r="B54" t="s">
        <v>34</v>
      </c>
      <c r="C54">
        <f>'[1]VENTAS CONSOLIDADA VALENCIA'!C54</f>
        <v>217</v>
      </c>
      <c r="D54" s="5">
        <f t="shared" ca="1" si="0"/>
        <v>10.85</v>
      </c>
      <c r="E54" s="5">
        <f t="shared" ca="1" si="1"/>
        <v>238.7</v>
      </c>
    </row>
    <row r="55" spans="1:5" x14ac:dyDescent="0.25">
      <c r="D55" s="5">
        <f ca="1">SUM(D8:D54)</f>
        <v>7966.4</v>
      </c>
      <c r="E55" s="5">
        <f ca="1">SUM(E8:E54)</f>
        <v>175260.80000000005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46294</v>
      </c>
      <c r="E2" s="4">
        <f ca="1">'[1]VENTAS CONSOLIDADA CARACAS'!E2</f>
        <v>20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2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15558</v>
      </c>
      <c r="D8" s="5">
        <f t="shared" ref="D8:D54" ca="1" si="0">C8/$E$2</f>
        <v>777.9</v>
      </c>
      <c r="E8" s="5">
        <f ca="1">D8*($E$2+$E$3)</f>
        <v>17113.8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466</v>
      </c>
      <c r="D9" s="5">
        <f t="shared" ca="1" si="0"/>
        <v>23.3</v>
      </c>
      <c r="E9" s="5">
        <f t="shared" ref="E9:E54" ca="1" si="1">D9*($E$2+$E$3)</f>
        <v>512.6</v>
      </c>
    </row>
    <row r="10" spans="1:6" x14ac:dyDescent="0.25">
      <c r="A10">
        <v>110230</v>
      </c>
      <c r="B10" t="s">
        <v>1</v>
      </c>
      <c r="C10">
        <f>'[1]VENTAS CONSOLIDADA CARACAS'!C10</f>
        <v>6756</v>
      </c>
      <c r="D10" s="5">
        <f t="shared" ca="1" si="0"/>
        <v>337.8</v>
      </c>
      <c r="E10" s="5">
        <f t="shared" ca="1" si="1"/>
        <v>7431.6</v>
      </c>
    </row>
    <row r="11" spans="1:6" x14ac:dyDescent="0.25">
      <c r="A11">
        <v>110400</v>
      </c>
      <c r="B11" t="s">
        <v>13</v>
      </c>
      <c r="C11">
        <f>'[1]VENTAS CONSOLIDADA CARACAS'!C11</f>
        <v>1442</v>
      </c>
      <c r="D11" s="5">
        <f t="shared" ca="1" si="0"/>
        <v>72.099999999999994</v>
      </c>
      <c r="E11" s="5">
        <f t="shared" ca="1" si="1"/>
        <v>1586.1999999999998</v>
      </c>
    </row>
    <row r="12" spans="1:6" x14ac:dyDescent="0.25">
      <c r="A12">
        <v>111000</v>
      </c>
      <c r="B12" t="s">
        <v>14</v>
      </c>
      <c r="C12">
        <f>'[1]VENTAS CONSOLIDADA CARACAS'!C12</f>
        <v>215</v>
      </c>
      <c r="D12" s="5">
        <f t="shared" ca="1" si="0"/>
        <v>10.75</v>
      </c>
      <c r="E12" s="5">
        <f t="shared" ca="1" si="1"/>
        <v>236.5</v>
      </c>
    </row>
    <row r="13" spans="1:6" x14ac:dyDescent="0.25">
      <c r="A13">
        <v>120130</v>
      </c>
      <c r="B13" t="s">
        <v>15</v>
      </c>
      <c r="C13">
        <f>'[1]VENTAS CONSOLIDADA CARACAS'!C13</f>
        <v>16580</v>
      </c>
      <c r="D13" s="5">
        <f t="shared" ca="1" si="0"/>
        <v>829</v>
      </c>
      <c r="E13" s="5">
        <f t="shared" ca="1" si="1"/>
        <v>18238</v>
      </c>
    </row>
    <row r="14" spans="1:6" x14ac:dyDescent="0.25">
      <c r="A14">
        <v>120131</v>
      </c>
      <c r="B14" t="s">
        <v>23</v>
      </c>
      <c r="C14">
        <f>'[1]VENTAS CONSOLIDADA CARACAS'!C14</f>
        <v>1262</v>
      </c>
      <c r="D14" s="5">
        <f t="shared" ca="1" si="0"/>
        <v>63.1</v>
      </c>
      <c r="E14" s="5">
        <f t="shared" ca="1" si="1"/>
        <v>1388.2</v>
      </c>
    </row>
    <row r="15" spans="1:6" x14ac:dyDescent="0.25">
      <c r="A15">
        <v>120132</v>
      </c>
      <c r="B15" t="s">
        <v>21</v>
      </c>
      <c r="C15">
        <f>'[1]VENTAS CONSOLIDADA CARACAS'!C15</f>
        <v>2682</v>
      </c>
      <c r="D15" s="5">
        <f t="shared" ca="1" si="0"/>
        <v>134.1</v>
      </c>
      <c r="E15" s="5">
        <f t="shared" ca="1" si="1"/>
        <v>2950.2</v>
      </c>
    </row>
    <row r="16" spans="1:6" x14ac:dyDescent="0.25">
      <c r="A16">
        <v>130150</v>
      </c>
      <c r="B16" t="s">
        <v>0</v>
      </c>
      <c r="C16">
        <f>'[1]VENTAS CONSOLIDADA CARACAS'!C16</f>
        <v>5928</v>
      </c>
      <c r="D16" s="5">
        <f t="shared" ca="1" si="0"/>
        <v>296.39999999999998</v>
      </c>
      <c r="E16" s="5">
        <f t="shared" ca="1" si="1"/>
        <v>6520.7999999999993</v>
      </c>
    </row>
    <row r="17" spans="1:5" x14ac:dyDescent="0.25">
      <c r="A17">
        <v>130151</v>
      </c>
      <c r="B17" t="s">
        <v>4</v>
      </c>
      <c r="C17">
        <f>'[1]VENTAS CONSOLIDADA CARACAS'!C17</f>
        <v>3616</v>
      </c>
      <c r="D17" s="5">
        <f t="shared" ca="1" si="0"/>
        <v>180.8</v>
      </c>
      <c r="E17" s="5">
        <f t="shared" ca="1" si="1"/>
        <v>3977.6000000000004</v>
      </c>
    </row>
    <row r="18" spans="1:5" x14ac:dyDescent="0.25">
      <c r="A18">
        <v>130152</v>
      </c>
      <c r="B18" t="s">
        <v>51</v>
      </c>
      <c r="C18">
        <f>'[1]VENTAS CONSOLIDADA CARACAS'!C18</f>
        <v>32558</v>
      </c>
      <c r="D18" s="5">
        <f t="shared" ca="1" si="0"/>
        <v>1627.9</v>
      </c>
      <c r="E18" s="5">
        <f t="shared" ca="1" si="1"/>
        <v>35813.800000000003</v>
      </c>
    </row>
    <row r="19" spans="1:5" x14ac:dyDescent="0.25">
      <c r="A19">
        <v>130153</v>
      </c>
      <c r="B19" t="s">
        <v>52</v>
      </c>
      <c r="C19">
        <f>'[1]VENTAS CONSOLIDADA CARACAS'!C19</f>
        <v>22011</v>
      </c>
      <c r="D19" s="5">
        <f t="shared" ca="1" si="0"/>
        <v>1100.55</v>
      </c>
      <c r="E19" s="5">
        <f t="shared" ca="1" si="1"/>
        <v>24212.1</v>
      </c>
    </row>
    <row r="20" spans="1:5" x14ac:dyDescent="0.25">
      <c r="A20">
        <v>130154</v>
      </c>
      <c r="B20" t="s">
        <v>53</v>
      </c>
      <c r="C20">
        <f>'[1]VENTAS CONSOLIDADA CARACAS'!C20</f>
        <v>21229</v>
      </c>
      <c r="D20" s="5">
        <f t="shared" ca="1" si="0"/>
        <v>1061.45</v>
      </c>
      <c r="E20" s="5">
        <f t="shared" ca="1" si="1"/>
        <v>23351.9</v>
      </c>
    </row>
    <row r="21" spans="1:5" x14ac:dyDescent="0.25">
      <c r="A21">
        <v>130155</v>
      </c>
      <c r="B21" t="s">
        <v>16</v>
      </c>
      <c r="C21">
        <f>'[1]VENTAS CONSOLIDADA CARACAS'!C21</f>
        <v>27371</v>
      </c>
      <c r="D21" s="5">
        <f t="shared" ca="1" si="0"/>
        <v>1368.55</v>
      </c>
      <c r="E21" s="5">
        <f t="shared" ca="1" si="1"/>
        <v>30108.1</v>
      </c>
    </row>
    <row r="22" spans="1:5" x14ac:dyDescent="0.25">
      <c r="A22">
        <v>130157</v>
      </c>
      <c r="B22" t="s">
        <v>43</v>
      </c>
      <c r="C22">
        <f>'[1]VENTAS CONSOLIDADA CARACAS'!C22</f>
        <v>7054</v>
      </c>
      <c r="D22" s="5">
        <f t="shared" ca="1" si="0"/>
        <v>352.7</v>
      </c>
      <c r="E22" s="5">
        <f t="shared" ca="1" si="1"/>
        <v>7759.4</v>
      </c>
    </row>
    <row r="23" spans="1:5" x14ac:dyDescent="0.25">
      <c r="A23">
        <v>130158</v>
      </c>
      <c r="B23" t="s">
        <v>44</v>
      </c>
      <c r="C23">
        <f>'[1]VENTAS CONSOLIDADA CARACAS'!C23</f>
        <v>7173</v>
      </c>
      <c r="D23" s="5">
        <f t="shared" ca="1" si="0"/>
        <v>358.65</v>
      </c>
      <c r="E23" s="5">
        <f t="shared" ca="1" si="1"/>
        <v>7890.2999999999993</v>
      </c>
    </row>
    <row r="24" spans="1:5" x14ac:dyDescent="0.25">
      <c r="A24">
        <v>130159</v>
      </c>
      <c r="B24" t="s">
        <v>45</v>
      </c>
      <c r="C24">
        <f>'[1]VENTAS CONSOLIDADA CARACAS'!C24</f>
        <v>7653</v>
      </c>
      <c r="D24" s="5">
        <f t="shared" ca="1" si="0"/>
        <v>382.65</v>
      </c>
      <c r="E24" s="5">
        <f t="shared" ca="1" si="1"/>
        <v>8418.2999999999993</v>
      </c>
    </row>
    <row r="25" spans="1:5" x14ac:dyDescent="0.25">
      <c r="A25">
        <v>130700</v>
      </c>
      <c r="B25" t="s">
        <v>3</v>
      </c>
      <c r="C25">
        <f>'[1]VENTAS CONSOLIDADA CARACAS'!C25</f>
        <v>2126</v>
      </c>
      <c r="D25" s="5">
        <f t="shared" ca="1" si="0"/>
        <v>106.3</v>
      </c>
      <c r="E25" s="5">
        <f t="shared" ca="1" si="1"/>
        <v>2338.6</v>
      </c>
    </row>
    <row r="26" spans="1:5" x14ac:dyDescent="0.25">
      <c r="A26">
        <v>130701</v>
      </c>
      <c r="B26" t="s">
        <v>30</v>
      </c>
      <c r="C26">
        <f>'[1]VENTAS CONSOLIDADA CARACAS'!C26</f>
        <v>1022</v>
      </c>
      <c r="D26" s="5">
        <f t="shared" ca="1" si="0"/>
        <v>51.1</v>
      </c>
      <c r="E26" s="5">
        <f t="shared" ca="1" si="1"/>
        <v>1124.2</v>
      </c>
    </row>
    <row r="27" spans="1:5" x14ac:dyDescent="0.25">
      <c r="A27">
        <v>130702</v>
      </c>
      <c r="B27" t="s">
        <v>12</v>
      </c>
      <c r="C27">
        <f>'[1]VENTAS CONSOLIDADA CARACAS'!C27</f>
        <v>4426</v>
      </c>
      <c r="D27" s="5">
        <f t="shared" ca="1" si="0"/>
        <v>221.3</v>
      </c>
      <c r="E27" s="5">
        <f t="shared" ca="1" si="1"/>
        <v>4868.6000000000004</v>
      </c>
    </row>
    <row r="28" spans="1:5" x14ac:dyDescent="0.25">
      <c r="A28">
        <v>130703</v>
      </c>
      <c r="B28" t="s">
        <v>17</v>
      </c>
      <c r="C28">
        <f>'[1]VENTAS CONSOLIDADA CARACAS'!C28</f>
        <v>8726</v>
      </c>
      <c r="D28" s="5">
        <f t="shared" ca="1" si="0"/>
        <v>436.3</v>
      </c>
      <c r="E28" s="5">
        <f t="shared" ca="1" si="1"/>
        <v>9598.6</v>
      </c>
    </row>
    <row r="29" spans="1:5" x14ac:dyDescent="0.25">
      <c r="A29">
        <v>130707</v>
      </c>
      <c r="B29" t="s">
        <v>42</v>
      </c>
      <c r="C29">
        <f>'[1]VENTAS CONSOLIDADA CARACAS'!C29</f>
        <v>1010</v>
      </c>
      <c r="D29" s="5">
        <f t="shared" ca="1" si="0"/>
        <v>50.5</v>
      </c>
      <c r="E29" s="5">
        <f t="shared" ca="1" si="1"/>
        <v>1111</v>
      </c>
    </row>
    <row r="30" spans="1:5" x14ac:dyDescent="0.25">
      <c r="A30">
        <v>131150</v>
      </c>
      <c r="B30" t="s">
        <v>22</v>
      </c>
      <c r="C30">
        <f>'[1]VENTAS CONSOLIDADA CARACAS'!C30</f>
        <v>8655</v>
      </c>
      <c r="D30" s="5">
        <f t="shared" ca="1" si="0"/>
        <v>432.75</v>
      </c>
      <c r="E30" s="5">
        <f t="shared" ca="1" si="1"/>
        <v>9520.5</v>
      </c>
    </row>
    <row r="31" spans="1:5" x14ac:dyDescent="0.25">
      <c r="A31">
        <v>131151</v>
      </c>
      <c r="B31" t="s">
        <v>19</v>
      </c>
      <c r="C31">
        <f>'[1]VENTAS CONSOLIDADA CARACAS'!C31</f>
        <v>12705</v>
      </c>
      <c r="D31" s="5">
        <f t="shared" ca="1" si="0"/>
        <v>635.25</v>
      </c>
      <c r="E31" s="5">
        <f t="shared" ca="1" si="1"/>
        <v>13975.5</v>
      </c>
    </row>
    <row r="32" spans="1:5" x14ac:dyDescent="0.25">
      <c r="A32">
        <v>131152</v>
      </c>
      <c r="B32" t="s">
        <v>32</v>
      </c>
      <c r="C32">
        <f>'[1]VENTAS CONSOLIDADA CARACAS'!C32</f>
        <v>5735</v>
      </c>
      <c r="D32" s="5">
        <f t="shared" ca="1" si="0"/>
        <v>286.75</v>
      </c>
      <c r="E32" s="5">
        <f t="shared" ca="1" si="1"/>
        <v>6308.5</v>
      </c>
    </row>
    <row r="33" spans="1:5" x14ac:dyDescent="0.25">
      <c r="A33">
        <v>131153</v>
      </c>
      <c r="B33" t="s">
        <v>11</v>
      </c>
      <c r="C33">
        <f>'[1]VENTAS CONSOLIDADA CARACAS'!C33</f>
        <v>4073</v>
      </c>
      <c r="D33" s="5">
        <f t="shared" ca="1" si="0"/>
        <v>203.65</v>
      </c>
      <c r="E33" s="5">
        <f t="shared" ca="1" si="1"/>
        <v>4480.3</v>
      </c>
    </row>
    <row r="34" spans="1:5" x14ac:dyDescent="0.25">
      <c r="A34">
        <v>131154</v>
      </c>
      <c r="B34" t="s">
        <v>48</v>
      </c>
      <c r="C34">
        <f>'[1]VENTAS CONSOLIDADA CARACAS'!C34</f>
        <v>2105</v>
      </c>
      <c r="D34" s="5">
        <f t="shared" ca="1" si="0"/>
        <v>105.25</v>
      </c>
      <c r="E34" s="5">
        <f t="shared" ca="1" si="1"/>
        <v>2315.5</v>
      </c>
    </row>
    <row r="35" spans="1:5" x14ac:dyDescent="0.25">
      <c r="A35">
        <v>131155</v>
      </c>
      <c r="B35" t="s">
        <v>57</v>
      </c>
      <c r="C35">
        <f>'[1]VENTAS CONSOLIDADA CARACAS'!C35</f>
        <v>2743</v>
      </c>
      <c r="D35" s="5">
        <f t="shared" ca="1" si="0"/>
        <v>137.15</v>
      </c>
      <c r="E35" s="5">
        <f t="shared" ca="1" si="1"/>
        <v>3017.3</v>
      </c>
    </row>
    <row r="36" spans="1:5" x14ac:dyDescent="0.25">
      <c r="A36">
        <v>131700</v>
      </c>
      <c r="B36" t="s">
        <v>20</v>
      </c>
      <c r="C36">
        <f>'[1]VENTAS CONSOLIDADA CARACAS'!C36</f>
        <v>1339</v>
      </c>
      <c r="D36" s="5">
        <f t="shared" ca="1" si="0"/>
        <v>66.95</v>
      </c>
      <c r="E36" s="5">
        <f t="shared" ca="1" si="1"/>
        <v>1472.9</v>
      </c>
    </row>
    <row r="37" spans="1:5" x14ac:dyDescent="0.25">
      <c r="A37">
        <v>131701</v>
      </c>
      <c r="B37" t="s">
        <v>24</v>
      </c>
      <c r="C37">
        <f>'[1]VENTAS CONSOLIDADA CARACAS'!C37</f>
        <v>1499</v>
      </c>
      <c r="D37" s="5">
        <f t="shared" ca="1" si="0"/>
        <v>74.95</v>
      </c>
      <c r="E37" s="5">
        <f t="shared" ca="1" si="1"/>
        <v>1648.9</v>
      </c>
    </row>
    <row r="38" spans="1:5" x14ac:dyDescent="0.25">
      <c r="A38">
        <v>132150</v>
      </c>
      <c r="B38" t="s">
        <v>25</v>
      </c>
      <c r="C38">
        <f>'[1]VENTAS CONSOLIDADA CARACAS'!C38</f>
        <v>6731</v>
      </c>
      <c r="D38" s="5">
        <f t="shared" ca="1" si="0"/>
        <v>336.55</v>
      </c>
      <c r="E38" s="5">
        <f t="shared" ca="1" si="1"/>
        <v>7404.1</v>
      </c>
    </row>
    <row r="39" spans="1:5" x14ac:dyDescent="0.25">
      <c r="A39">
        <v>132151</v>
      </c>
      <c r="B39" t="s">
        <v>26</v>
      </c>
      <c r="C39">
        <f>'[1]VENTAS CONSOLIDADA CARACAS'!C39</f>
        <v>5737</v>
      </c>
      <c r="D39" s="5">
        <f t="shared" ca="1" si="0"/>
        <v>286.85000000000002</v>
      </c>
      <c r="E39" s="5">
        <f t="shared" ca="1" si="1"/>
        <v>6310.7000000000007</v>
      </c>
    </row>
    <row r="40" spans="1:5" x14ac:dyDescent="0.25">
      <c r="A40">
        <v>132152</v>
      </c>
      <c r="B40" t="s">
        <v>27</v>
      </c>
      <c r="C40">
        <f>'[1]VENTAS CONSOLIDADA CARACAS'!C40</f>
        <v>7668</v>
      </c>
      <c r="D40" s="5">
        <f t="shared" ca="1" si="0"/>
        <v>383.4</v>
      </c>
      <c r="E40" s="5">
        <f t="shared" ca="1" si="1"/>
        <v>8434.7999999999993</v>
      </c>
    </row>
    <row r="41" spans="1:5" x14ac:dyDescent="0.25">
      <c r="A41">
        <v>132153</v>
      </c>
      <c r="B41" t="s">
        <v>40</v>
      </c>
      <c r="C41">
        <f>'[1]VENTAS CONSOLIDADA CARACAS'!C41</f>
        <v>5581</v>
      </c>
      <c r="D41" s="5">
        <f t="shared" ca="1" si="0"/>
        <v>279.05</v>
      </c>
      <c r="E41" s="5">
        <f t="shared" ca="1" si="1"/>
        <v>6139.1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1046</v>
      </c>
      <c r="D44" s="5">
        <f t="shared" ca="1" si="0"/>
        <v>52.3</v>
      </c>
      <c r="E44" s="5">
        <f t="shared" ca="1" si="1"/>
        <v>1150.5999999999999</v>
      </c>
    </row>
    <row r="45" spans="1:5" x14ac:dyDescent="0.25">
      <c r="A45">
        <v>140231</v>
      </c>
      <c r="B45" t="s">
        <v>10</v>
      </c>
      <c r="C45">
        <f>'[1]VENTAS CONSOLIDADA CARACAS'!C45</f>
        <v>5768</v>
      </c>
      <c r="D45" s="5">
        <f t="shared" ca="1" si="0"/>
        <v>288.39999999999998</v>
      </c>
      <c r="E45" s="5">
        <f t="shared" ca="1" si="1"/>
        <v>6344.7999999999993</v>
      </c>
    </row>
    <row r="46" spans="1:5" x14ac:dyDescent="0.25">
      <c r="A46">
        <v>140232</v>
      </c>
      <c r="B46" t="s">
        <v>9</v>
      </c>
      <c r="C46">
        <f>'[1]VENTAS CONSOLIDADA CARACAS'!C46</f>
        <v>3784</v>
      </c>
      <c r="D46" s="5">
        <f t="shared" ca="1" si="0"/>
        <v>189.2</v>
      </c>
      <c r="E46" s="5">
        <f t="shared" ca="1" si="1"/>
        <v>4162.3999999999996</v>
      </c>
    </row>
    <row r="47" spans="1:5" x14ac:dyDescent="0.25">
      <c r="A47">
        <v>150360</v>
      </c>
      <c r="B47" t="s">
        <v>28</v>
      </c>
      <c r="C47">
        <f>'[1]VENTAS CONSOLIDADA CARACAS'!C47</f>
        <v>3146</v>
      </c>
      <c r="D47" s="5">
        <f t="shared" ca="1" si="0"/>
        <v>157.30000000000001</v>
      </c>
      <c r="E47" s="5">
        <f t="shared" ca="1" si="1"/>
        <v>3460.6000000000004</v>
      </c>
    </row>
    <row r="48" spans="1:5" x14ac:dyDescent="0.25">
      <c r="A48">
        <v>150361</v>
      </c>
      <c r="B48" t="s">
        <v>29</v>
      </c>
      <c r="C48">
        <f>'[1]VENTAS CONSOLIDADA CARACAS'!C48</f>
        <v>5513</v>
      </c>
      <c r="D48" s="5">
        <f t="shared" ca="1" si="0"/>
        <v>275.64999999999998</v>
      </c>
      <c r="E48" s="5">
        <f t="shared" ca="1" si="1"/>
        <v>6064.2999999999993</v>
      </c>
    </row>
    <row r="49" spans="1:5" x14ac:dyDescent="0.25">
      <c r="A49">
        <v>150362</v>
      </c>
      <c r="B49" t="s">
        <v>36</v>
      </c>
      <c r="C49">
        <f>'[1]VENTAS CONSOLIDADA CARACAS'!C49</f>
        <v>3831</v>
      </c>
      <c r="D49" s="5">
        <f t="shared" ca="1" si="0"/>
        <v>191.55</v>
      </c>
      <c r="E49" s="5">
        <f t="shared" ca="1" si="1"/>
        <v>4214.1000000000004</v>
      </c>
    </row>
    <row r="50" spans="1:5" x14ac:dyDescent="0.25">
      <c r="A50">
        <v>150363</v>
      </c>
      <c r="B50" t="s">
        <v>31</v>
      </c>
      <c r="C50">
        <f>'[1]VENTAS CONSOLIDADA CARACAS'!C50</f>
        <v>3353</v>
      </c>
      <c r="D50" s="5">
        <f t="shared" ca="1" si="0"/>
        <v>167.65</v>
      </c>
      <c r="E50" s="5">
        <f t="shared" ca="1" si="1"/>
        <v>3688.3</v>
      </c>
    </row>
    <row r="51" spans="1:5" x14ac:dyDescent="0.25">
      <c r="A51">
        <v>151500</v>
      </c>
      <c r="B51" t="s">
        <v>41</v>
      </c>
      <c r="C51">
        <f>'[1]VENTAS CONSOLIDADA CARACAS'!C51</f>
        <v>596</v>
      </c>
      <c r="D51" s="5">
        <f t="shared" ca="1" si="0"/>
        <v>29.8</v>
      </c>
      <c r="E51" s="5">
        <f t="shared" ca="1" si="1"/>
        <v>655.6</v>
      </c>
    </row>
    <row r="52" spans="1:5" x14ac:dyDescent="0.25">
      <c r="A52">
        <v>151501</v>
      </c>
      <c r="B52" t="s">
        <v>33</v>
      </c>
      <c r="C52">
        <f>'[1]VENTAS CONSOLIDADA CARACAS'!C52</f>
        <v>1283</v>
      </c>
      <c r="D52" s="5">
        <f t="shared" ca="1" si="0"/>
        <v>64.150000000000006</v>
      </c>
      <c r="E52" s="5">
        <f t="shared" ca="1" si="1"/>
        <v>1411.3000000000002</v>
      </c>
    </row>
    <row r="53" spans="1:5" x14ac:dyDescent="0.25">
      <c r="A53">
        <v>151502</v>
      </c>
      <c r="B53" t="s">
        <v>37</v>
      </c>
      <c r="C53">
        <f>'[1]VENTAS CONSOLIDADA CARACAS'!C53</f>
        <v>472</v>
      </c>
      <c r="D53" s="5">
        <f t="shared" ca="1" si="0"/>
        <v>23.6</v>
      </c>
      <c r="E53" s="5">
        <f t="shared" ca="1" si="1"/>
        <v>519.20000000000005</v>
      </c>
    </row>
    <row r="54" spans="1:5" x14ac:dyDescent="0.25">
      <c r="A54">
        <v>151503</v>
      </c>
      <c r="B54" t="s">
        <v>34</v>
      </c>
      <c r="C54">
        <f>'[1]VENTAS CONSOLIDADA CARACAS'!C54</f>
        <v>604</v>
      </c>
      <c r="D54" s="5">
        <f t="shared" ca="1" si="0"/>
        <v>30.2</v>
      </c>
      <c r="E54" s="5">
        <f t="shared" ca="1" si="1"/>
        <v>664.4</v>
      </c>
    </row>
    <row r="55" spans="1:5" x14ac:dyDescent="0.25">
      <c r="D55" s="5">
        <f ca="1">SUM(D8:D54)</f>
        <v>14541.549999999994</v>
      </c>
      <c r="E55" s="5">
        <f ca="1">SUM(E8:E54)</f>
        <v>319914.09999999986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46294</v>
      </c>
      <c r="E2" s="4">
        <f ca="1">'[1]VENTAS CONSOLIDADA LARA'!E2</f>
        <v>20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2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951</v>
      </c>
      <c r="D8" s="5">
        <f t="shared" ref="D8:D54" ca="1" si="0">C8/$E$2</f>
        <v>47.55</v>
      </c>
      <c r="E8" s="5">
        <f ca="1">D8*($E$2+$E$3)</f>
        <v>1046.0999999999999</v>
      </c>
    </row>
    <row r="9" spans="1:5" x14ac:dyDescent="0.25">
      <c r="A9">
        <v>110151</v>
      </c>
      <c r="B9" t="s">
        <v>5</v>
      </c>
      <c r="C9">
        <f>'[1]VENTAS CONSOLIDADA LARA'!C9</f>
        <v>27</v>
      </c>
      <c r="D9" s="5">
        <f t="shared" ca="1" si="0"/>
        <v>1.35</v>
      </c>
      <c r="E9" s="5">
        <f t="shared" ref="E9:E54" ca="1" si="1">D9*($E$2+$E$3)</f>
        <v>29.700000000000003</v>
      </c>
    </row>
    <row r="10" spans="1:5" x14ac:dyDescent="0.25">
      <c r="A10">
        <v>110230</v>
      </c>
      <c r="B10" t="s">
        <v>1</v>
      </c>
      <c r="C10">
        <f>'[1]VENTAS CONSOLIDADA LARA'!C10</f>
        <v>336</v>
      </c>
      <c r="D10" s="5">
        <f t="shared" ca="1" si="0"/>
        <v>16.8</v>
      </c>
      <c r="E10" s="5">
        <f t="shared" ca="1" si="1"/>
        <v>369.6</v>
      </c>
    </row>
    <row r="11" spans="1:5" x14ac:dyDescent="0.25">
      <c r="A11">
        <v>110400</v>
      </c>
      <c r="B11" t="s">
        <v>13</v>
      </c>
      <c r="C11">
        <f>'[1]VENTAS CONSOLIDADA LARA'!C11</f>
        <v>21</v>
      </c>
      <c r="D11" s="5">
        <f t="shared" ca="1" si="0"/>
        <v>1.05</v>
      </c>
      <c r="E11" s="5">
        <f t="shared" ca="1" si="1"/>
        <v>23.1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3242</v>
      </c>
      <c r="D13" s="5">
        <f t="shared" ca="1" si="0"/>
        <v>162.1</v>
      </c>
      <c r="E13" s="5">
        <f t="shared" ca="1" si="1"/>
        <v>3566.2</v>
      </c>
    </row>
    <row r="14" spans="1:5" x14ac:dyDescent="0.25">
      <c r="A14">
        <v>120131</v>
      </c>
      <c r="B14" t="s">
        <v>23</v>
      </c>
      <c r="C14">
        <f>'[1]VENTAS CONSOLIDADA LARA'!C14</f>
        <v>271</v>
      </c>
      <c r="D14" s="5">
        <f t="shared" ca="1" si="0"/>
        <v>13.55</v>
      </c>
      <c r="E14" s="5">
        <f t="shared" ca="1" si="1"/>
        <v>298.10000000000002</v>
      </c>
    </row>
    <row r="15" spans="1:5" x14ac:dyDescent="0.25">
      <c r="A15">
        <v>120132</v>
      </c>
      <c r="B15" t="s">
        <v>21</v>
      </c>
      <c r="C15">
        <f>'[1]VENTAS CONSOLIDADA LARA'!C15</f>
        <v>620</v>
      </c>
      <c r="D15" s="5">
        <f t="shared" ca="1" si="0"/>
        <v>31</v>
      </c>
      <c r="E15" s="5">
        <f t="shared" ca="1" si="1"/>
        <v>682</v>
      </c>
    </row>
    <row r="16" spans="1:5" x14ac:dyDescent="0.25">
      <c r="A16">
        <v>130150</v>
      </c>
      <c r="B16" t="s">
        <v>0</v>
      </c>
      <c r="C16">
        <f>'[1]VENTAS CONSOLIDADA LARA'!C16</f>
        <v>1758</v>
      </c>
      <c r="D16" s="5">
        <f t="shared" ca="1" si="0"/>
        <v>87.9</v>
      </c>
      <c r="E16" s="5">
        <f t="shared" ca="1" si="1"/>
        <v>1933.8000000000002</v>
      </c>
    </row>
    <row r="17" spans="1:5" x14ac:dyDescent="0.25">
      <c r="A17">
        <v>130151</v>
      </c>
      <c r="B17" t="s">
        <v>4</v>
      </c>
      <c r="C17">
        <f>'[1]VENTAS CONSOLIDADA LARA'!C17</f>
        <v>529</v>
      </c>
      <c r="D17" s="5">
        <f t="shared" ca="1" si="0"/>
        <v>26.45</v>
      </c>
      <c r="E17" s="5">
        <f t="shared" ca="1" si="1"/>
        <v>581.9</v>
      </c>
    </row>
    <row r="18" spans="1:5" x14ac:dyDescent="0.25">
      <c r="A18">
        <v>130152</v>
      </c>
      <c r="B18" t="s">
        <v>51</v>
      </c>
      <c r="C18">
        <f>'[1]VENTAS CONSOLIDADA LARA'!C18</f>
        <v>11235</v>
      </c>
      <c r="D18" s="5">
        <f t="shared" ca="1" si="0"/>
        <v>561.75</v>
      </c>
      <c r="E18" s="5">
        <f t="shared" ca="1" si="1"/>
        <v>12358.5</v>
      </c>
    </row>
    <row r="19" spans="1:5" x14ac:dyDescent="0.25">
      <c r="A19">
        <v>130153</v>
      </c>
      <c r="B19" t="s">
        <v>52</v>
      </c>
      <c r="C19">
        <f>'[1]VENTAS CONSOLIDADA LARA'!C19</f>
        <v>6009</v>
      </c>
      <c r="D19" s="5">
        <f t="shared" ca="1" si="0"/>
        <v>300.45</v>
      </c>
      <c r="E19" s="5">
        <f t="shared" ca="1" si="1"/>
        <v>6609.9</v>
      </c>
    </row>
    <row r="20" spans="1:5" x14ac:dyDescent="0.25">
      <c r="A20">
        <v>130154</v>
      </c>
      <c r="B20" t="s">
        <v>53</v>
      </c>
      <c r="C20">
        <f>'[1]VENTAS CONSOLIDADA LARA'!C20</f>
        <v>6093</v>
      </c>
      <c r="D20" s="5">
        <f t="shared" ca="1" si="0"/>
        <v>304.64999999999998</v>
      </c>
      <c r="E20" s="5">
        <f t="shared" ca="1" si="1"/>
        <v>6702.2999999999993</v>
      </c>
    </row>
    <row r="21" spans="1:5" x14ac:dyDescent="0.25">
      <c r="A21">
        <v>130155</v>
      </c>
      <c r="B21" t="s">
        <v>16</v>
      </c>
      <c r="C21">
        <f>'[1]VENTAS CONSOLIDADA LARA'!C21</f>
        <v>7648</v>
      </c>
      <c r="D21" s="5">
        <f t="shared" ca="1" si="0"/>
        <v>382.4</v>
      </c>
      <c r="E21" s="5">
        <f t="shared" ca="1" si="1"/>
        <v>8412.7999999999993</v>
      </c>
    </row>
    <row r="22" spans="1:5" x14ac:dyDescent="0.25">
      <c r="A22">
        <v>130157</v>
      </c>
      <c r="B22" t="s">
        <v>43</v>
      </c>
      <c r="C22">
        <f>'[1]VENTAS CONSOLIDADA LARA'!C22</f>
        <v>2349</v>
      </c>
      <c r="D22" s="5">
        <f t="shared" ca="1" si="0"/>
        <v>117.45</v>
      </c>
      <c r="E22" s="5">
        <f t="shared" ca="1" si="1"/>
        <v>2583.9</v>
      </c>
    </row>
    <row r="23" spans="1:5" x14ac:dyDescent="0.25">
      <c r="A23">
        <v>130158</v>
      </c>
      <c r="B23" t="s">
        <v>44</v>
      </c>
      <c r="C23">
        <f>'[1]VENTAS CONSOLIDADA LARA'!C23</f>
        <v>2911</v>
      </c>
      <c r="D23" s="5">
        <f t="shared" ca="1" si="0"/>
        <v>145.55000000000001</v>
      </c>
      <c r="E23" s="5">
        <f t="shared" ca="1" si="1"/>
        <v>3202.1000000000004</v>
      </c>
    </row>
    <row r="24" spans="1:5" x14ac:dyDescent="0.25">
      <c r="A24">
        <v>130159</v>
      </c>
      <c r="B24" t="s">
        <v>45</v>
      </c>
      <c r="C24">
        <f>'[1]VENTAS CONSOLIDADA LARA'!C24</f>
        <v>2900</v>
      </c>
      <c r="D24" s="5">
        <f t="shared" ca="1" si="0"/>
        <v>145</v>
      </c>
      <c r="E24" s="5">
        <f t="shared" ca="1" si="1"/>
        <v>3190</v>
      </c>
    </row>
    <row r="25" spans="1:5" x14ac:dyDescent="0.25">
      <c r="A25">
        <v>130700</v>
      </c>
      <c r="B25" t="s">
        <v>3</v>
      </c>
      <c r="C25">
        <f>'[1]VENTAS CONSOLIDADA LARA'!C25</f>
        <v>589</v>
      </c>
      <c r="D25" s="5">
        <f t="shared" ca="1" si="0"/>
        <v>29.45</v>
      </c>
      <c r="E25" s="5">
        <f t="shared" ca="1" si="1"/>
        <v>647.9</v>
      </c>
    </row>
    <row r="26" spans="1:5" x14ac:dyDescent="0.25">
      <c r="A26">
        <v>130701</v>
      </c>
      <c r="B26" t="s">
        <v>30</v>
      </c>
      <c r="C26">
        <f>'[1]VENTAS CONSOLIDADA LARA'!C26</f>
        <v>212</v>
      </c>
      <c r="D26" s="5">
        <f t="shared" ca="1" si="0"/>
        <v>10.6</v>
      </c>
      <c r="E26" s="5">
        <f t="shared" ca="1" si="1"/>
        <v>233.2</v>
      </c>
    </row>
    <row r="27" spans="1:5" x14ac:dyDescent="0.25">
      <c r="A27">
        <v>130702</v>
      </c>
      <c r="B27" t="s">
        <v>12</v>
      </c>
      <c r="C27">
        <f>'[1]VENTAS CONSOLIDADA LARA'!C27</f>
        <v>1676</v>
      </c>
      <c r="D27" s="5">
        <f t="shared" ca="1" si="0"/>
        <v>83.8</v>
      </c>
      <c r="E27" s="5">
        <f t="shared" ca="1" si="1"/>
        <v>1843.6</v>
      </c>
    </row>
    <row r="28" spans="1:5" x14ac:dyDescent="0.25">
      <c r="A28">
        <v>130703</v>
      </c>
      <c r="B28" t="s">
        <v>17</v>
      </c>
      <c r="C28">
        <f>'[1]VENTAS CONSOLIDADA LARA'!C28</f>
        <v>2148</v>
      </c>
      <c r="D28" s="5">
        <f t="shared" ca="1" si="0"/>
        <v>107.4</v>
      </c>
      <c r="E28" s="5">
        <f t="shared" ca="1" si="1"/>
        <v>2362.8000000000002</v>
      </c>
    </row>
    <row r="29" spans="1:5" x14ac:dyDescent="0.25">
      <c r="A29">
        <v>130707</v>
      </c>
      <c r="B29" t="s">
        <v>42</v>
      </c>
      <c r="C29">
        <f>'[1]VENTAS CONSOLIDADA LARA'!C29</f>
        <v>110</v>
      </c>
      <c r="D29" s="5">
        <f t="shared" ca="1" si="0"/>
        <v>5.5</v>
      </c>
      <c r="E29" s="5">
        <f t="shared" ca="1" si="1"/>
        <v>121</v>
      </c>
    </row>
    <row r="30" spans="1:5" x14ac:dyDescent="0.25">
      <c r="A30">
        <v>131150</v>
      </c>
      <c r="B30" t="s">
        <v>22</v>
      </c>
      <c r="C30">
        <f>'[1]VENTAS CONSOLIDADA LARA'!C30</f>
        <v>960</v>
      </c>
      <c r="D30" s="5">
        <f t="shared" ca="1" si="0"/>
        <v>48</v>
      </c>
      <c r="E30" s="5">
        <f t="shared" ca="1" si="1"/>
        <v>1056</v>
      </c>
    </row>
    <row r="31" spans="1:5" x14ac:dyDescent="0.25">
      <c r="A31">
        <v>131151</v>
      </c>
      <c r="B31" t="s">
        <v>19</v>
      </c>
      <c r="C31">
        <f>'[1]VENTAS CONSOLIDADA LARA'!C31</f>
        <v>2131</v>
      </c>
      <c r="D31" s="5">
        <f t="shared" ca="1" si="0"/>
        <v>106.55</v>
      </c>
      <c r="E31" s="5">
        <f t="shared" ca="1" si="1"/>
        <v>2344.1</v>
      </c>
    </row>
    <row r="32" spans="1:5" x14ac:dyDescent="0.25">
      <c r="A32">
        <v>131152</v>
      </c>
      <c r="B32" t="s">
        <v>32</v>
      </c>
      <c r="C32">
        <f>'[1]VENTAS CONSOLIDADA LARA'!C32</f>
        <v>1111</v>
      </c>
      <c r="D32" s="5">
        <f t="shared" ca="1" si="0"/>
        <v>55.55</v>
      </c>
      <c r="E32" s="5">
        <f t="shared" ca="1" si="1"/>
        <v>1222.0999999999999</v>
      </c>
    </row>
    <row r="33" spans="1:5" x14ac:dyDescent="0.25">
      <c r="A33">
        <v>131153</v>
      </c>
      <c r="B33" t="s">
        <v>11</v>
      </c>
      <c r="C33">
        <f>'[1]VENTAS CONSOLIDADA LARA'!C33</f>
        <v>756</v>
      </c>
      <c r="D33" s="5">
        <f t="shared" ca="1" si="0"/>
        <v>37.799999999999997</v>
      </c>
      <c r="E33" s="5">
        <f t="shared" ca="1" si="1"/>
        <v>831.59999999999991</v>
      </c>
    </row>
    <row r="34" spans="1:5" x14ac:dyDescent="0.25">
      <c r="A34">
        <v>131154</v>
      </c>
      <c r="B34" t="s">
        <v>48</v>
      </c>
      <c r="C34">
        <f>'[1]VENTAS CONSOLIDADA LARA'!C34</f>
        <v>1135</v>
      </c>
      <c r="D34" s="5">
        <f t="shared" ca="1" si="0"/>
        <v>56.75</v>
      </c>
      <c r="E34" s="5">
        <f t="shared" ca="1" si="1"/>
        <v>1248.5</v>
      </c>
    </row>
    <row r="35" spans="1:5" x14ac:dyDescent="0.25">
      <c r="A35">
        <v>131155</v>
      </c>
      <c r="B35" t="s">
        <v>57</v>
      </c>
      <c r="C35">
        <f>'[1]VENTAS CONSOLIDADA LARA'!C35</f>
        <v>1313</v>
      </c>
      <c r="D35" s="5">
        <f t="shared" ca="1" si="0"/>
        <v>65.650000000000006</v>
      </c>
      <c r="E35" s="5">
        <f t="shared" ca="1" si="1"/>
        <v>1444.3000000000002</v>
      </c>
    </row>
    <row r="36" spans="1:5" x14ac:dyDescent="0.25">
      <c r="A36">
        <v>131700</v>
      </c>
      <c r="B36" t="s">
        <v>20</v>
      </c>
      <c r="C36">
        <f>'[1]VENTAS CONSOLIDADA LARA'!C36</f>
        <v>254</v>
      </c>
      <c r="D36" s="5">
        <f t="shared" ca="1" si="0"/>
        <v>12.7</v>
      </c>
      <c r="E36" s="5">
        <f t="shared" ca="1" si="1"/>
        <v>279.39999999999998</v>
      </c>
    </row>
    <row r="37" spans="1:5" x14ac:dyDescent="0.25">
      <c r="A37">
        <v>131701</v>
      </c>
      <c r="B37" t="s">
        <v>24</v>
      </c>
      <c r="C37">
        <f>'[1]VENTAS CONSOLIDADA LARA'!C37</f>
        <v>358</v>
      </c>
      <c r="D37" s="5">
        <f t="shared" ca="1" si="0"/>
        <v>17.899999999999999</v>
      </c>
      <c r="E37" s="5">
        <f t="shared" ca="1" si="1"/>
        <v>393.79999999999995</v>
      </c>
    </row>
    <row r="38" spans="1:5" x14ac:dyDescent="0.25">
      <c r="A38">
        <v>132150</v>
      </c>
      <c r="B38" t="s">
        <v>25</v>
      </c>
      <c r="C38">
        <f>'[1]VENTAS CONSOLIDADA LARA'!C38</f>
        <v>2426</v>
      </c>
      <c r="D38" s="5">
        <f t="shared" ca="1" si="0"/>
        <v>121.3</v>
      </c>
      <c r="E38" s="5">
        <f t="shared" ca="1" si="1"/>
        <v>2668.6</v>
      </c>
    </row>
    <row r="39" spans="1:5" x14ac:dyDescent="0.25">
      <c r="A39">
        <v>132151</v>
      </c>
      <c r="B39" t="s">
        <v>26</v>
      </c>
      <c r="C39">
        <f>'[1]VENTAS CONSOLIDADA LARA'!C39</f>
        <v>1312</v>
      </c>
      <c r="D39" s="5">
        <f t="shared" ca="1" si="0"/>
        <v>65.599999999999994</v>
      </c>
      <c r="E39" s="5">
        <f t="shared" ca="1" si="1"/>
        <v>1443.1999999999998</v>
      </c>
    </row>
    <row r="40" spans="1:5" x14ac:dyDescent="0.25">
      <c r="A40">
        <v>132152</v>
      </c>
      <c r="B40" t="s">
        <v>27</v>
      </c>
      <c r="C40">
        <f>'[1]VENTAS CONSOLIDADA LARA'!C40</f>
        <v>1914</v>
      </c>
      <c r="D40" s="5">
        <f t="shared" ca="1" si="0"/>
        <v>95.7</v>
      </c>
      <c r="E40" s="5">
        <f t="shared" ca="1" si="1"/>
        <v>2105.4</v>
      </c>
    </row>
    <row r="41" spans="1:5" x14ac:dyDescent="0.25">
      <c r="A41">
        <v>132153</v>
      </c>
      <c r="B41" t="s">
        <v>40</v>
      </c>
      <c r="C41">
        <f>'[1]VENTAS CONSOLIDADA LARA'!C41</f>
        <v>790</v>
      </c>
      <c r="D41" s="5">
        <f t="shared" ca="1" si="0"/>
        <v>39.5</v>
      </c>
      <c r="E41" s="5">
        <f t="shared" ca="1" si="1"/>
        <v>869</v>
      </c>
    </row>
    <row r="42" spans="1:5" x14ac:dyDescent="0.25">
      <c r="A42">
        <v>134000</v>
      </c>
      <c r="B42" t="s">
        <v>35</v>
      </c>
      <c r="C42">
        <f>'[1]VENTAS CONSOLIDADA LARA'!C42</f>
        <v>20</v>
      </c>
      <c r="D42" s="5">
        <f t="shared" ca="1" si="0"/>
        <v>1</v>
      </c>
      <c r="E42" s="5">
        <f t="shared" ca="1" si="1"/>
        <v>22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230</v>
      </c>
      <c r="D44" s="5">
        <f t="shared" ca="1" si="0"/>
        <v>11.5</v>
      </c>
      <c r="E44" s="5">
        <f t="shared" ca="1" si="1"/>
        <v>253</v>
      </c>
    </row>
    <row r="45" spans="1:5" x14ac:dyDescent="0.25">
      <c r="A45">
        <v>140231</v>
      </c>
      <c r="B45" t="s">
        <v>10</v>
      </c>
      <c r="C45">
        <f>'[1]VENTAS CONSOLIDADA LARA'!C45</f>
        <v>770</v>
      </c>
      <c r="D45" s="5">
        <f t="shared" ca="1" si="0"/>
        <v>38.5</v>
      </c>
      <c r="E45" s="5">
        <f t="shared" ca="1" si="1"/>
        <v>847</v>
      </c>
    </row>
    <row r="46" spans="1:5" x14ac:dyDescent="0.25">
      <c r="A46">
        <v>140232</v>
      </c>
      <c r="B46" t="s">
        <v>9</v>
      </c>
      <c r="C46">
        <f>'[1]VENTAS CONSOLIDADA LARA'!C46</f>
        <v>670</v>
      </c>
      <c r="D46" s="5">
        <f t="shared" ca="1" si="0"/>
        <v>33.5</v>
      </c>
      <c r="E46" s="5">
        <f t="shared" ca="1" si="1"/>
        <v>737</v>
      </c>
    </row>
    <row r="47" spans="1:5" x14ac:dyDescent="0.25">
      <c r="A47">
        <v>150360</v>
      </c>
      <c r="B47" t="s">
        <v>28</v>
      </c>
      <c r="C47">
        <f>'[1]VENTAS CONSOLIDADA LARA'!C47</f>
        <v>486</v>
      </c>
      <c r="D47" s="5">
        <f t="shared" ca="1" si="0"/>
        <v>24.3</v>
      </c>
      <c r="E47" s="5">
        <f t="shared" ca="1" si="1"/>
        <v>534.6</v>
      </c>
    </row>
    <row r="48" spans="1:5" x14ac:dyDescent="0.25">
      <c r="A48">
        <v>150361</v>
      </c>
      <c r="B48" t="s">
        <v>29</v>
      </c>
      <c r="C48">
        <f>'[1]VENTAS CONSOLIDADA LARA'!C48</f>
        <v>1094</v>
      </c>
      <c r="D48" s="5">
        <f t="shared" ca="1" si="0"/>
        <v>54.7</v>
      </c>
      <c r="E48" s="5">
        <f t="shared" ca="1" si="1"/>
        <v>1203.4000000000001</v>
      </c>
    </row>
    <row r="49" spans="1:5" x14ac:dyDescent="0.25">
      <c r="A49">
        <v>150362</v>
      </c>
      <c r="B49" t="s">
        <v>36</v>
      </c>
      <c r="C49">
        <f>'[1]VENTAS CONSOLIDADA LARA'!C49</f>
        <v>457</v>
      </c>
      <c r="D49" s="5">
        <f t="shared" ca="1" si="0"/>
        <v>22.85</v>
      </c>
      <c r="E49" s="5">
        <f t="shared" ca="1" si="1"/>
        <v>502.70000000000005</v>
      </c>
    </row>
    <row r="50" spans="1:5" x14ac:dyDescent="0.25">
      <c r="A50">
        <v>150363</v>
      </c>
      <c r="B50" t="s">
        <v>31</v>
      </c>
      <c r="C50">
        <f>'[1]VENTAS CONSOLIDADA LARA'!C50</f>
        <v>517</v>
      </c>
      <c r="D50" s="5">
        <f t="shared" ca="1" si="0"/>
        <v>25.85</v>
      </c>
      <c r="E50" s="5">
        <f t="shared" ca="1" si="1"/>
        <v>568.70000000000005</v>
      </c>
    </row>
    <row r="51" spans="1:5" x14ac:dyDescent="0.25">
      <c r="A51">
        <v>151500</v>
      </c>
      <c r="B51" t="s">
        <v>41</v>
      </c>
      <c r="C51">
        <f>'[1]VENTAS CONSOLIDADA LARA'!C51</f>
        <v>141</v>
      </c>
      <c r="D51" s="5">
        <f t="shared" ca="1" si="0"/>
        <v>7.05</v>
      </c>
      <c r="E51" s="5">
        <f t="shared" ca="1" si="1"/>
        <v>155.1</v>
      </c>
    </row>
    <row r="52" spans="1:5" x14ac:dyDescent="0.25">
      <c r="A52">
        <v>151501</v>
      </c>
      <c r="B52" t="s">
        <v>33</v>
      </c>
      <c r="C52">
        <f>'[1]VENTAS CONSOLIDADA LARA'!C52</f>
        <v>404</v>
      </c>
      <c r="D52" s="5">
        <f t="shared" ca="1" si="0"/>
        <v>20.2</v>
      </c>
      <c r="E52" s="5">
        <f t="shared" ca="1" si="1"/>
        <v>444.4</v>
      </c>
    </row>
    <row r="53" spans="1:5" x14ac:dyDescent="0.25">
      <c r="A53">
        <v>151502</v>
      </c>
      <c r="B53" t="s">
        <v>37</v>
      </c>
      <c r="C53">
        <f>'[1]VENTAS CONSOLIDADA LARA'!C53</f>
        <v>99</v>
      </c>
      <c r="D53" s="5">
        <f t="shared" ca="1" si="0"/>
        <v>4.95</v>
      </c>
      <c r="E53" s="5">
        <f t="shared" ca="1" si="1"/>
        <v>108.9</v>
      </c>
    </row>
    <row r="54" spans="1:5" x14ac:dyDescent="0.25">
      <c r="A54">
        <v>151503</v>
      </c>
      <c r="B54" t="s">
        <v>34</v>
      </c>
      <c r="C54">
        <f>'[1]VENTAS CONSOLIDADA LARA'!C54</f>
        <v>117</v>
      </c>
      <c r="D54" s="5">
        <f t="shared" ca="1" si="0"/>
        <v>5.85</v>
      </c>
      <c r="E54" s="5">
        <f t="shared" ca="1" si="1"/>
        <v>128.69999999999999</v>
      </c>
    </row>
    <row r="55" spans="1:5" x14ac:dyDescent="0.25">
      <c r="D55" s="5">
        <f ca="1">SUM(D8:D54)</f>
        <v>3555</v>
      </c>
      <c r="E55" s="5">
        <f ca="1">SUM(E8:E54)</f>
        <v>78209.999999999985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46294</v>
      </c>
      <c r="E2" s="4">
        <f ca="1">'[1]VENTAS CONSOLIDADA ANZOATEGUI'!E2</f>
        <v>20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2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885</v>
      </c>
      <c r="D8" s="5">
        <f t="shared" ref="D8:D54" ca="1" si="0">C8/$E$2</f>
        <v>44.25</v>
      </c>
      <c r="E8" s="5">
        <f t="shared" ref="E8:E54" ca="1" si="1">D8*($E$2+$E$3)</f>
        <v>973.5</v>
      </c>
    </row>
    <row r="9" spans="1:5" x14ac:dyDescent="0.25">
      <c r="A9">
        <v>110151</v>
      </c>
      <c r="B9" t="s">
        <v>5</v>
      </c>
      <c r="C9">
        <f>'[1]VENTAS CONSOLIDADA ANZOATEGUI'!C9</f>
        <v>104</v>
      </c>
      <c r="D9" s="5">
        <f t="shared" ca="1" si="0"/>
        <v>5.2</v>
      </c>
      <c r="E9" s="5">
        <f t="shared" ca="1" si="1"/>
        <v>114.4</v>
      </c>
    </row>
    <row r="10" spans="1:5" x14ac:dyDescent="0.25">
      <c r="A10">
        <v>110230</v>
      </c>
      <c r="B10" t="s">
        <v>1</v>
      </c>
      <c r="C10">
        <f>'[1]VENTAS CONSOLIDADA ANZOATEGUI'!C10</f>
        <v>233</v>
      </c>
      <c r="D10" s="5">
        <f t="shared" ca="1" si="0"/>
        <v>11.65</v>
      </c>
      <c r="E10" s="5">
        <f t="shared" ca="1" si="1"/>
        <v>256.3</v>
      </c>
    </row>
    <row r="11" spans="1:5" x14ac:dyDescent="0.25">
      <c r="A11">
        <v>110400</v>
      </c>
      <c r="B11" t="s">
        <v>13</v>
      </c>
      <c r="C11">
        <f>'[1]VENTAS CONSOLIDADA ANZOATEGUI'!C11</f>
        <v>52</v>
      </c>
      <c r="D11" s="5">
        <f t="shared" ca="1" si="0"/>
        <v>2.6</v>
      </c>
      <c r="E11" s="5">
        <f t="shared" ca="1" si="1"/>
        <v>57.2</v>
      </c>
    </row>
    <row r="12" spans="1:5" x14ac:dyDescent="0.25">
      <c r="A12">
        <v>111000</v>
      </c>
      <c r="B12" t="s">
        <v>14</v>
      </c>
      <c r="C12">
        <f>'[1]VENTAS CONSOLIDADA ANZOATEGUI'!C12</f>
        <v>11</v>
      </c>
      <c r="D12" s="5">
        <f t="shared" ca="1" si="0"/>
        <v>0.55000000000000004</v>
      </c>
      <c r="E12" s="5">
        <f t="shared" ca="1" si="1"/>
        <v>12.100000000000001</v>
      </c>
    </row>
    <row r="13" spans="1:5" x14ac:dyDescent="0.25">
      <c r="A13">
        <v>120130</v>
      </c>
      <c r="B13" t="s">
        <v>15</v>
      </c>
      <c r="C13">
        <f>'[1]VENTAS CONSOLIDADA ANZOATEGUI'!C13</f>
        <v>1187</v>
      </c>
      <c r="D13" s="5">
        <f t="shared" ca="1" si="0"/>
        <v>59.35</v>
      </c>
      <c r="E13" s="5">
        <f t="shared" ca="1" si="1"/>
        <v>1305.7</v>
      </c>
    </row>
    <row r="14" spans="1:5" x14ac:dyDescent="0.25">
      <c r="A14">
        <v>120131</v>
      </c>
      <c r="B14" t="s">
        <v>23</v>
      </c>
      <c r="C14">
        <f>'[1]VENTAS CONSOLIDADA ANZOATEGUI'!C14</f>
        <v>92</v>
      </c>
      <c r="D14" s="5">
        <f t="shared" ca="1" si="0"/>
        <v>4.5999999999999996</v>
      </c>
      <c r="E14" s="5">
        <f t="shared" ca="1" si="1"/>
        <v>101.19999999999999</v>
      </c>
    </row>
    <row r="15" spans="1:5" x14ac:dyDescent="0.25">
      <c r="A15">
        <v>120132</v>
      </c>
      <c r="B15" t="s">
        <v>21</v>
      </c>
      <c r="C15">
        <f>'[1]VENTAS CONSOLIDADA ANZOATEGUI'!C15</f>
        <v>189</v>
      </c>
      <c r="D15" s="5">
        <f t="shared" ca="1" si="0"/>
        <v>9.4499999999999993</v>
      </c>
      <c r="E15" s="5">
        <f t="shared" ca="1" si="1"/>
        <v>207.89999999999998</v>
      </c>
    </row>
    <row r="16" spans="1:5" x14ac:dyDescent="0.25">
      <c r="A16">
        <v>130150</v>
      </c>
      <c r="B16" t="s">
        <v>0</v>
      </c>
      <c r="C16">
        <f>'[1]VENTAS CONSOLIDADA ANZOATEGUI'!C16</f>
        <v>567</v>
      </c>
      <c r="D16" s="5">
        <f t="shared" ca="1" si="0"/>
        <v>28.35</v>
      </c>
      <c r="E16" s="5">
        <f t="shared" ca="1" si="1"/>
        <v>623.70000000000005</v>
      </c>
    </row>
    <row r="17" spans="1:5" x14ac:dyDescent="0.25">
      <c r="A17">
        <v>130151</v>
      </c>
      <c r="B17" t="s">
        <v>4</v>
      </c>
      <c r="C17">
        <f>'[1]VENTAS CONSOLIDADA ANZOATEGUI'!C17</f>
        <v>145</v>
      </c>
      <c r="D17" s="5">
        <f t="shared" ca="1" si="0"/>
        <v>7.25</v>
      </c>
      <c r="E17" s="5">
        <f t="shared" ca="1" si="1"/>
        <v>159.5</v>
      </c>
    </row>
    <row r="18" spans="1:5" x14ac:dyDescent="0.25">
      <c r="A18">
        <v>130152</v>
      </c>
      <c r="B18" t="s">
        <v>51</v>
      </c>
      <c r="C18">
        <f>'[1]VENTAS CONSOLIDADA ANZOATEGUI'!C18</f>
        <v>3090</v>
      </c>
      <c r="D18" s="5">
        <f t="shared" ca="1" si="0"/>
        <v>154.5</v>
      </c>
      <c r="E18" s="5">
        <f t="shared" ca="1" si="1"/>
        <v>3399</v>
      </c>
    </row>
    <row r="19" spans="1:5" x14ac:dyDescent="0.25">
      <c r="A19">
        <v>130153</v>
      </c>
      <c r="B19" t="s">
        <v>52</v>
      </c>
      <c r="C19">
        <f>'[1]VENTAS CONSOLIDADA ANZOATEGUI'!C19</f>
        <v>1796</v>
      </c>
      <c r="D19" s="5">
        <f t="shared" ca="1" si="0"/>
        <v>89.8</v>
      </c>
      <c r="E19" s="5">
        <f t="shared" ca="1" si="1"/>
        <v>1975.6</v>
      </c>
    </row>
    <row r="20" spans="1:5" x14ac:dyDescent="0.25">
      <c r="A20">
        <v>130154</v>
      </c>
      <c r="B20" t="s">
        <v>53</v>
      </c>
      <c r="C20">
        <f>'[1]VENTAS CONSOLIDADA ANZOATEGUI'!C20</f>
        <v>2216</v>
      </c>
      <c r="D20" s="5">
        <f t="shared" ca="1" si="0"/>
        <v>110.8</v>
      </c>
      <c r="E20" s="5">
        <f t="shared" ca="1" si="1"/>
        <v>2437.6</v>
      </c>
    </row>
    <row r="21" spans="1:5" x14ac:dyDescent="0.25">
      <c r="A21">
        <v>130155</v>
      </c>
      <c r="B21" t="s">
        <v>16</v>
      </c>
      <c r="C21">
        <f>'[1]VENTAS CONSOLIDADA ANZOATEGUI'!C21</f>
        <v>1761</v>
      </c>
      <c r="D21" s="5">
        <f t="shared" ca="1" si="0"/>
        <v>88.05</v>
      </c>
      <c r="E21" s="5">
        <f t="shared" ca="1" si="1"/>
        <v>1937.1</v>
      </c>
    </row>
    <row r="22" spans="1:5" x14ac:dyDescent="0.25">
      <c r="A22">
        <v>130157</v>
      </c>
      <c r="B22" t="s">
        <v>43</v>
      </c>
      <c r="C22">
        <f>'[1]VENTAS CONSOLIDADA ANZOATEGUI'!C22</f>
        <v>577</v>
      </c>
      <c r="D22" s="5">
        <f t="shared" ca="1" si="0"/>
        <v>28.85</v>
      </c>
      <c r="E22" s="5">
        <f t="shared" ca="1" si="1"/>
        <v>634.70000000000005</v>
      </c>
    </row>
    <row r="23" spans="1:5" x14ac:dyDescent="0.25">
      <c r="A23">
        <v>130158</v>
      </c>
      <c r="B23" t="s">
        <v>44</v>
      </c>
      <c r="C23">
        <f>'[1]VENTAS CONSOLIDADA ANZOATEGUI'!C23</f>
        <v>834</v>
      </c>
      <c r="D23" s="5">
        <f t="shared" ca="1" si="0"/>
        <v>41.7</v>
      </c>
      <c r="E23" s="5">
        <f t="shared" ca="1" si="1"/>
        <v>917.40000000000009</v>
      </c>
    </row>
    <row r="24" spans="1:5" x14ac:dyDescent="0.25">
      <c r="A24">
        <v>130159</v>
      </c>
      <c r="B24" t="s">
        <v>45</v>
      </c>
      <c r="C24">
        <f>'[1]VENTAS CONSOLIDADA ANZOATEGUI'!C24</f>
        <v>848</v>
      </c>
      <c r="D24" s="5">
        <f t="shared" ca="1" si="0"/>
        <v>42.4</v>
      </c>
      <c r="E24" s="5">
        <f t="shared" ca="1" si="1"/>
        <v>932.8</v>
      </c>
    </row>
    <row r="25" spans="1:5" x14ac:dyDescent="0.25">
      <c r="A25">
        <v>130700</v>
      </c>
      <c r="B25" t="s">
        <v>3</v>
      </c>
      <c r="C25">
        <f>'[1]VENTAS CONSOLIDADA ANZOATEGUI'!C25</f>
        <v>120</v>
      </c>
      <c r="D25" s="5">
        <f t="shared" ca="1" si="0"/>
        <v>6</v>
      </c>
      <c r="E25" s="5">
        <f t="shared" ca="1" si="1"/>
        <v>132</v>
      </c>
    </row>
    <row r="26" spans="1:5" x14ac:dyDescent="0.25">
      <c r="A26">
        <v>130701</v>
      </c>
      <c r="B26" t="s">
        <v>30</v>
      </c>
      <c r="C26">
        <f>'[1]VENTAS CONSOLIDADA ANZOATEGUI'!C26</f>
        <v>18</v>
      </c>
      <c r="D26" s="5">
        <f t="shared" ca="1" si="0"/>
        <v>0.9</v>
      </c>
      <c r="E26" s="5">
        <f t="shared" ca="1" si="1"/>
        <v>19.8</v>
      </c>
    </row>
    <row r="27" spans="1:5" x14ac:dyDescent="0.25">
      <c r="A27">
        <v>130702</v>
      </c>
      <c r="B27" t="s">
        <v>12</v>
      </c>
      <c r="C27">
        <f>'[1]VENTAS CONSOLIDADA ANZOATEGUI'!C27</f>
        <v>282</v>
      </c>
      <c r="D27" s="5">
        <f t="shared" ca="1" si="0"/>
        <v>14.1</v>
      </c>
      <c r="E27" s="5">
        <f t="shared" ca="1" si="1"/>
        <v>310.2</v>
      </c>
    </row>
    <row r="28" spans="1:5" x14ac:dyDescent="0.25">
      <c r="A28">
        <v>130703</v>
      </c>
      <c r="B28" t="s">
        <v>17</v>
      </c>
      <c r="C28">
        <f>'[1]VENTAS CONSOLIDADA ANZOATEGUI'!C28</f>
        <v>389</v>
      </c>
      <c r="D28" s="5">
        <f t="shared" ca="1" si="0"/>
        <v>19.45</v>
      </c>
      <c r="E28" s="5">
        <f t="shared" ca="1" si="1"/>
        <v>427.9</v>
      </c>
    </row>
    <row r="29" spans="1:5" x14ac:dyDescent="0.25">
      <c r="A29">
        <v>130707</v>
      </c>
      <c r="B29" t="s">
        <v>42</v>
      </c>
      <c r="C29">
        <f>'[1]VENTAS CONSOLIDADA ANZOATEGUI'!C29</f>
        <v>80</v>
      </c>
      <c r="D29" s="5">
        <f t="shared" ca="1" si="0"/>
        <v>4</v>
      </c>
      <c r="E29" s="5">
        <f t="shared" ca="1" si="1"/>
        <v>88</v>
      </c>
    </row>
    <row r="30" spans="1:5" x14ac:dyDescent="0.25">
      <c r="A30">
        <v>131150</v>
      </c>
      <c r="B30" t="s">
        <v>22</v>
      </c>
      <c r="C30">
        <f>'[1]VENTAS CONSOLIDADA ANZOATEGUI'!C30</f>
        <v>737</v>
      </c>
      <c r="D30" s="5">
        <f t="shared" ca="1" si="0"/>
        <v>36.85</v>
      </c>
      <c r="E30" s="5">
        <f t="shared" ca="1" si="1"/>
        <v>810.7</v>
      </c>
    </row>
    <row r="31" spans="1:5" x14ac:dyDescent="0.25">
      <c r="A31">
        <v>131151</v>
      </c>
      <c r="B31" t="s">
        <v>19</v>
      </c>
      <c r="C31">
        <f>'[1]VENTAS CONSOLIDADA ANZOATEGUI'!C31</f>
        <v>1847</v>
      </c>
      <c r="D31" s="5">
        <f t="shared" ca="1" si="0"/>
        <v>92.35</v>
      </c>
      <c r="E31" s="5">
        <f t="shared" ca="1" si="1"/>
        <v>2031.6999999999998</v>
      </c>
    </row>
    <row r="32" spans="1:5" x14ac:dyDescent="0.25">
      <c r="A32">
        <v>131152</v>
      </c>
      <c r="B32" t="s">
        <v>32</v>
      </c>
      <c r="C32">
        <f>'[1]VENTAS CONSOLIDADA ANZOATEGUI'!C32</f>
        <v>1185</v>
      </c>
      <c r="D32" s="5">
        <f t="shared" ca="1" si="0"/>
        <v>59.25</v>
      </c>
      <c r="E32" s="5">
        <f t="shared" ca="1" si="1"/>
        <v>1303.5</v>
      </c>
    </row>
    <row r="33" spans="1:5" x14ac:dyDescent="0.25">
      <c r="A33">
        <v>131153</v>
      </c>
      <c r="B33" t="s">
        <v>11</v>
      </c>
      <c r="C33">
        <f>'[1]VENTAS CONSOLIDADA ANZOATEGUI'!C33</f>
        <v>774</v>
      </c>
      <c r="D33" s="5">
        <f t="shared" ca="1" si="0"/>
        <v>38.700000000000003</v>
      </c>
      <c r="E33" s="5">
        <f t="shared" ca="1" si="1"/>
        <v>851.40000000000009</v>
      </c>
    </row>
    <row r="34" spans="1:5" x14ac:dyDescent="0.25">
      <c r="A34">
        <v>131154</v>
      </c>
      <c r="B34" t="s">
        <v>48</v>
      </c>
      <c r="C34">
        <f>'[1]VENTAS CONSOLIDADA ANZOATEGUI'!C34</f>
        <v>567</v>
      </c>
      <c r="D34" s="5">
        <f t="shared" ca="1" si="0"/>
        <v>28.35</v>
      </c>
      <c r="E34" s="5">
        <f t="shared" ca="1" si="1"/>
        <v>623.70000000000005</v>
      </c>
    </row>
    <row r="35" spans="1:5" x14ac:dyDescent="0.25">
      <c r="A35">
        <v>131155</v>
      </c>
      <c r="B35" t="s">
        <v>57</v>
      </c>
      <c r="C35">
        <f>'[1]VENTAS CONSOLIDADA ANZOATEGUI'!C35</f>
        <v>720</v>
      </c>
      <c r="D35" s="5">
        <f t="shared" ca="1" si="0"/>
        <v>36</v>
      </c>
      <c r="E35" s="5">
        <f t="shared" ca="1" si="1"/>
        <v>792</v>
      </c>
    </row>
    <row r="36" spans="1:5" x14ac:dyDescent="0.25">
      <c r="A36">
        <v>131700</v>
      </c>
      <c r="B36" t="s">
        <v>20</v>
      </c>
      <c r="C36">
        <f>'[1]VENTAS CONSOLIDADA ANZOATEGUI'!C36</f>
        <v>94</v>
      </c>
      <c r="D36" s="5">
        <f t="shared" ca="1" si="0"/>
        <v>4.7</v>
      </c>
      <c r="E36" s="5">
        <f t="shared" ca="1" si="1"/>
        <v>103.4</v>
      </c>
    </row>
    <row r="37" spans="1:5" x14ac:dyDescent="0.25">
      <c r="A37">
        <v>131701</v>
      </c>
      <c r="B37" t="s">
        <v>24</v>
      </c>
      <c r="C37">
        <f>'[1]VENTAS CONSOLIDADA ANZOATEGUI'!C37</f>
        <v>139</v>
      </c>
      <c r="D37" s="5">
        <f t="shared" ca="1" si="0"/>
        <v>6.95</v>
      </c>
      <c r="E37" s="5">
        <f t="shared" ca="1" si="1"/>
        <v>152.9</v>
      </c>
    </row>
    <row r="38" spans="1:5" x14ac:dyDescent="0.25">
      <c r="A38">
        <v>132150</v>
      </c>
      <c r="B38" t="s">
        <v>25</v>
      </c>
      <c r="C38">
        <f>'[1]VENTAS CONSOLIDADA ANZOATEGUI'!C38</f>
        <v>941</v>
      </c>
      <c r="D38" s="5">
        <f t="shared" ca="1" si="0"/>
        <v>47.05</v>
      </c>
      <c r="E38" s="5">
        <f t="shared" ca="1" si="1"/>
        <v>1035.0999999999999</v>
      </c>
    </row>
    <row r="39" spans="1:5" x14ac:dyDescent="0.25">
      <c r="A39">
        <v>132151</v>
      </c>
      <c r="B39" t="s">
        <v>26</v>
      </c>
      <c r="C39">
        <f>'[1]VENTAS CONSOLIDADA ANZOATEGUI'!C39</f>
        <v>546</v>
      </c>
      <c r="D39" s="5">
        <f t="shared" ca="1" si="0"/>
        <v>27.3</v>
      </c>
      <c r="E39" s="5">
        <f t="shared" ca="1" si="1"/>
        <v>600.6</v>
      </c>
    </row>
    <row r="40" spans="1:5" x14ac:dyDescent="0.25">
      <c r="A40">
        <v>132152</v>
      </c>
      <c r="B40" t="s">
        <v>27</v>
      </c>
      <c r="C40">
        <f>'[1]VENTAS CONSOLIDADA ANZOATEGUI'!C40</f>
        <v>901</v>
      </c>
      <c r="D40" s="5">
        <f t="shared" ca="1" si="0"/>
        <v>45.05</v>
      </c>
      <c r="E40" s="5">
        <f t="shared" ca="1" si="1"/>
        <v>991.09999999999991</v>
      </c>
    </row>
    <row r="41" spans="1:5" x14ac:dyDescent="0.25">
      <c r="A41">
        <v>132153</v>
      </c>
      <c r="B41" t="s">
        <v>40</v>
      </c>
      <c r="C41">
        <f>'[1]VENTAS CONSOLIDADA ANZOATEGUI'!C41</f>
        <v>530</v>
      </c>
      <c r="D41" s="5">
        <f t="shared" ca="1" si="0"/>
        <v>26.5</v>
      </c>
      <c r="E41" s="5">
        <f t="shared" ca="1" si="1"/>
        <v>583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149</v>
      </c>
      <c r="D44" s="5">
        <f t="shared" ca="1" si="0"/>
        <v>7.45</v>
      </c>
      <c r="E44" s="5">
        <f t="shared" ca="1" si="1"/>
        <v>163.9</v>
      </c>
    </row>
    <row r="45" spans="1:5" x14ac:dyDescent="0.25">
      <c r="A45">
        <v>140231</v>
      </c>
      <c r="B45" t="s">
        <v>10</v>
      </c>
      <c r="C45">
        <f>'[1]VENTAS CONSOLIDADA ANZOATEGUI'!C45</f>
        <v>861</v>
      </c>
      <c r="D45" s="5">
        <f t="shared" ca="1" si="0"/>
        <v>43.05</v>
      </c>
      <c r="E45" s="5">
        <f t="shared" ca="1" si="1"/>
        <v>947.09999999999991</v>
      </c>
    </row>
    <row r="46" spans="1:5" x14ac:dyDescent="0.25">
      <c r="A46">
        <v>140232</v>
      </c>
      <c r="B46" t="s">
        <v>9</v>
      </c>
      <c r="C46">
        <f>'[1]VENTAS CONSOLIDADA ANZOATEGUI'!C46</f>
        <v>267</v>
      </c>
      <c r="D46" s="5">
        <f t="shared" ca="1" si="0"/>
        <v>13.35</v>
      </c>
      <c r="E46" s="5">
        <f t="shared" ca="1" si="1"/>
        <v>293.7</v>
      </c>
    </row>
    <row r="47" spans="1:5" x14ac:dyDescent="0.25">
      <c r="A47">
        <v>150360</v>
      </c>
      <c r="B47" t="s">
        <v>28</v>
      </c>
      <c r="C47">
        <f>'[1]VENTAS CONSOLIDADA ANZOATEGUI'!C47</f>
        <v>232</v>
      </c>
      <c r="D47" s="5">
        <f t="shared" ca="1" si="0"/>
        <v>11.6</v>
      </c>
      <c r="E47" s="5">
        <f t="shared" ca="1" si="1"/>
        <v>255.2</v>
      </c>
    </row>
    <row r="48" spans="1:5" x14ac:dyDescent="0.25">
      <c r="A48">
        <v>150361</v>
      </c>
      <c r="B48" t="s">
        <v>29</v>
      </c>
      <c r="C48">
        <f>'[1]VENTAS CONSOLIDADA ANZOATEGUI'!C48</f>
        <v>631</v>
      </c>
      <c r="D48" s="5">
        <f t="shared" ca="1" si="0"/>
        <v>31.55</v>
      </c>
      <c r="E48" s="5">
        <f t="shared" ca="1" si="1"/>
        <v>694.1</v>
      </c>
    </row>
    <row r="49" spans="1:5" x14ac:dyDescent="0.25">
      <c r="A49">
        <v>150362</v>
      </c>
      <c r="B49" t="s">
        <v>36</v>
      </c>
      <c r="C49">
        <f>'[1]VENTAS CONSOLIDADA ANZOATEGUI'!C49</f>
        <v>255</v>
      </c>
      <c r="D49" s="5">
        <f t="shared" ca="1" si="0"/>
        <v>12.75</v>
      </c>
      <c r="E49" s="5">
        <f t="shared" ca="1" si="1"/>
        <v>280.5</v>
      </c>
    </row>
    <row r="50" spans="1:5" x14ac:dyDescent="0.25">
      <c r="A50">
        <v>150363</v>
      </c>
      <c r="B50" t="s">
        <v>31</v>
      </c>
      <c r="C50">
        <f>'[1]VENTAS CONSOLIDADA ANZOATEGUI'!C50</f>
        <v>352</v>
      </c>
      <c r="D50" s="5">
        <f t="shared" ca="1" si="0"/>
        <v>17.600000000000001</v>
      </c>
      <c r="E50" s="5">
        <f t="shared" ca="1" si="1"/>
        <v>387.20000000000005</v>
      </c>
    </row>
    <row r="51" spans="1:5" x14ac:dyDescent="0.25">
      <c r="A51">
        <v>151500</v>
      </c>
      <c r="B51" t="s">
        <v>41</v>
      </c>
      <c r="C51">
        <f>'[1]VENTAS CONSOLIDADA ANZOATEGUI'!C51</f>
        <v>60</v>
      </c>
      <c r="D51" s="5">
        <f t="shared" ca="1" si="0"/>
        <v>3</v>
      </c>
      <c r="E51" s="5">
        <f t="shared" ca="1" si="1"/>
        <v>66</v>
      </c>
    </row>
    <row r="52" spans="1:5" x14ac:dyDescent="0.25">
      <c r="A52">
        <v>151501</v>
      </c>
      <c r="B52" t="s">
        <v>33</v>
      </c>
      <c r="C52">
        <f>'[1]VENTAS CONSOLIDADA ANZOATEGUI'!C52</f>
        <v>146</v>
      </c>
      <c r="D52" s="5">
        <f t="shared" ca="1" si="0"/>
        <v>7.3</v>
      </c>
      <c r="E52" s="5">
        <f t="shared" ca="1" si="1"/>
        <v>160.6</v>
      </c>
    </row>
    <row r="53" spans="1:5" x14ac:dyDescent="0.25">
      <c r="A53">
        <v>151502</v>
      </c>
      <c r="B53" t="s">
        <v>37</v>
      </c>
      <c r="C53">
        <f>'[1]VENTAS CONSOLIDADA ANZOATEGUI'!C53</f>
        <v>32</v>
      </c>
      <c r="D53" s="5">
        <f t="shared" ca="1" si="0"/>
        <v>1.6</v>
      </c>
      <c r="E53" s="5">
        <f t="shared" ca="1" si="1"/>
        <v>35.200000000000003</v>
      </c>
    </row>
    <row r="54" spans="1:5" x14ac:dyDescent="0.25">
      <c r="A54">
        <v>151503</v>
      </c>
      <c r="B54" t="s">
        <v>34</v>
      </c>
      <c r="C54">
        <f>'[1]VENTAS CONSOLIDADA ANZOATEGUI'!C54</f>
        <v>69</v>
      </c>
      <c r="D54" s="5">
        <f t="shared" ca="1" si="0"/>
        <v>3.45</v>
      </c>
      <c r="E54" s="5">
        <f t="shared" ca="1" si="1"/>
        <v>75.900000000000006</v>
      </c>
    </row>
    <row r="55" spans="1:5" x14ac:dyDescent="0.25">
      <c r="D55" s="7">
        <f ca="1">SUM(D8:D54)</f>
        <v>1375.5499999999997</v>
      </c>
      <c r="E55" s="7">
        <f ca="1">SUM(E8:E54)</f>
        <v>30262.100000000006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G9" sqref="G9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46294</v>
      </c>
      <c r="E2" s="4">
        <f ca="1">'[1]VENTAS CONSOLIDADA 1,0'!E2</f>
        <v>20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2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23358</v>
      </c>
      <c r="D8" s="5">
        <f t="shared" ref="D8:D54" ca="1" si="0">C8/$E$2</f>
        <v>1167.9000000000001</v>
      </c>
      <c r="E8" s="5">
        <f ca="1">D8*($E$2+$E$3)</f>
        <v>25693.800000000003</v>
      </c>
    </row>
    <row r="9" spans="1:5" x14ac:dyDescent="0.25">
      <c r="A9">
        <v>110151</v>
      </c>
      <c r="B9" t="s">
        <v>5</v>
      </c>
      <c r="C9">
        <f>'[1]VENTAS CONSOLIDADA 1,0'!C9</f>
        <v>929</v>
      </c>
      <c r="D9" s="5">
        <f t="shared" ca="1" si="0"/>
        <v>46.45</v>
      </c>
      <c r="E9" s="5">
        <f t="shared" ref="E9:E54" ca="1" si="1">D9*($E$2+$E$3)</f>
        <v>1021.9000000000001</v>
      </c>
    </row>
    <row r="10" spans="1:5" x14ac:dyDescent="0.25">
      <c r="A10">
        <v>110230</v>
      </c>
      <c r="B10" t="s">
        <v>1</v>
      </c>
      <c r="C10">
        <f>'[1]VENTAS CONSOLIDADA 1,0'!C10</f>
        <v>9821</v>
      </c>
      <c r="D10" s="5">
        <f t="shared" ca="1" si="0"/>
        <v>491.05</v>
      </c>
      <c r="E10" s="5">
        <f t="shared" ca="1" si="1"/>
        <v>10803.1</v>
      </c>
    </row>
    <row r="11" spans="1:5" x14ac:dyDescent="0.25">
      <c r="A11">
        <v>110400</v>
      </c>
      <c r="B11" t="s">
        <v>13</v>
      </c>
      <c r="C11">
        <f>'[1]VENTAS CONSOLIDADA 1,0'!C11</f>
        <v>2089</v>
      </c>
      <c r="D11" s="5">
        <f t="shared" ca="1" si="0"/>
        <v>104.45</v>
      </c>
      <c r="E11" s="5">
        <f t="shared" ca="1" si="1"/>
        <v>2297.9</v>
      </c>
    </row>
    <row r="12" spans="1:5" x14ac:dyDescent="0.25">
      <c r="A12">
        <v>111000</v>
      </c>
      <c r="B12" t="s">
        <v>14</v>
      </c>
      <c r="C12">
        <f>'[1]VENTAS CONSOLIDADA 1,0'!C12</f>
        <v>280</v>
      </c>
      <c r="D12" s="5">
        <f t="shared" ca="1" si="0"/>
        <v>14</v>
      </c>
      <c r="E12" s="5">
        <f t="shared" ca="1" si="1"/>
        <v>308</v>
      </c>
    </row>
    <row r="13" spans="1:5" x14ac:dyDescent="0.25">
      <c r="A13">
        <v>120130</v>
      </c>
      <c r="B13" t="s">
        <v>15</v>
      </c>
      <c r="C13">
        <f>'[1]VENTAS CONSOLIDADA 1,0'!C13</f>
        <v>28107</v>
      </c>
      <c r="D13" s="5">
        <f t="shared" ca="1" si="0"/>
        <v>1405.35</v>
      </c>
      <c r="E13" s="5">
        <f t="shared" ca="1" si="1"/>
        <v>30917.699999999997</v>
      </c>
    </row>
    <row r="14" spans="1:5" x14ac:dyDescent="0.25">
      <c r="A14">
        <v>120131</v>
      </c>
      <c r="B14" t="s">
        <v>23</v>
      </c>
      <c r="C14">
        <f>'[1]VENTAS CONSOLIDADA 1,0'!C14</f>
        <v>2941</v>
      </c>
      <c r="D14" s="5">
        <f t="shared" ca="1" si="0"/>
        <v>147.05000000000001</v>
      </c>
      <c r="E14" s="5">
        <f t="shared" ca="1" si="1"/>
        <v>3235.1000000000004</v>
      </c>
    </row>
    <row r="15" spans="1:5" x14ac:dyDescent="0.25">
      <c r="A15">
        <v>120132</v>
      </c>
      <c r="B15" t="s">
        <v>21</v>
      </c>
      <c r="C15">
        <f>'[1]VENTAS CONSOLIDADA 1,0'!C15</f>
        <v>6284</v>
      </c>
      <c r="D15" s="5">
        <f t="shared" ca="1" si="0"/>
        <v>314.2</v>
      </c>
      <c r="E15" s="5">
        <f t="shared" ca="1" si="1"/>
        <v>6912.4</v>
      </c>
    </row>
    <row r="16" spans="1:5" x14ac:dyDescent="0.25">
      <c r="A16">
        <v>130150</v>
      </c>
      <c r="B16" t="s">
        <v>0</v>
      </c>
      <c r="C16">
        <f>'[1]VENTAS CONSOLIDADA 1,0'!C16</f>
        <v>15352</v>
      </c>
      <c r="D16" s="5">
        <f t="shared" ca="1" si="0"/>
        <v>767.6</v>
      </c>
      <c r="E16" s="5">
        <f t="shared" ca="1" si="1"/>
        <v>16887.2</v>
      </c>
    </row>
    <row r="17" spans="1:5" x14ac:dyDescent="0.25">
      <c r="A17">
        <v>130151</v>
      </c>
      <c r="B17" t="s">
        <v>4</v>
      </c>
      <c r="C17">
        <f>'[1]VENTAS CONSOLIDADA 1,0'!C17</f>
        <v>7499</v>
      </c>
      <c r="D17" s="5">
        <f t="shared" ca="1" si="0"/>
        <v>374.95</v>
      </c>
      <c r="E17" s="5">
        <f t="shared" ca="1" si="1"/>
        <v>8248.9</v>
      </c>
    </row>
    <row r="18" spans="1:5" x14ac:dyDescent="0.25">
      <c r="A18">
        <v>130152</v>
      </c>
      <c r="B18" t="s">
        <v>51</v>
      </c>
      <c r="C18">
        <f>'[1]VENTAS CONSOLIDADA 1,0'!C18</f>
        <v>66947</v>
      </c>
      <c r="D18" s="5">
        <f t="shared" ca="1" si="0"/>
        <v>3347.35</v>
      </c>
      <c r="E18" s="5">
        <f t="shared" ca="1" si="1"/>
        <v>73641.7</v>
      </c>
    </row>
    <row r="19" spans="1:5" x14ac:dyDescent="0.25">
      <c r="A19">
        <v>130153</v>
      </c>
      <c r="B19" t="s">
        <v>52</v>
      </c>
      <c r="C19">
        <f>'[1]VENTAS CONSOLIDADA 1,0'!C19</f>
        <v>42252</v>
      </c>
      <c r="D19" s="5">
        <f t="shared" ca="1" si="0"/>
        <v>2112.6</v>
      </c>
      <c r="E19" s="5">
        <f t="shared" ca="1" si="1"/>
        <v>46477.2</v>
      </c>
    </row>
    <row r="20" spans="1:5" x14ac:dyDescent="0.25">
      <c r="A20">
        <v>130154</v>
      </c>
      <c r="B20" t="s">
        <v>53</v>
      </c>
      <c r="C20">
        <f>'[1]VENTAS CONSOLIDADA 1,0'!C20</f>
        <v>42433</v>
      </c>
      <c r="D20" s="5">
        <f t="shared" ca="1" si="0"/>
        <v>2121.65</v>
      </c>
      <c r="E20" s="5">
        <f t="shared" ca="1" si="1"/>
        <v>46676.3</v>
      </c>
    </row>
    <row r="21" spans="1:5" x14ac:dyDescent="0.25">
      <c r="A21">
        <v>130155</v>
      </c>
      <c r="B21" t="s">
        <v>16</v>
      </c>
      <c r="C21">
        <f>'[1]VENTAS CONSOLIDADA 1,0'!C21</f>
        <v>52159</v>
      </c>
      <c r="D21" s="5">
        <f t="shared" ca="1" si="0"/>
        <v>2607.9499999999998</v>
      </c>
      <c r="E21" s="5">
        <f t="shared" ca="1" si="1"/>
        <v>57374.899999999994</v>
      </c>
    </row>
    <row r="22" spans="1:5" x14ac:dyDescent="0.25">
      <c r="A22">
        <v>130157</v>
      </c>
      <c r="B22" t="s">
        <v>43</v>
      </c>
      <c r="C22">
        <f>'[1]VENTAS CONSOLIDADA 1,0'!C22</f>
        <v>14058</v>
      </c>
      <c r="D22" s="5">
        <f t="shared" ca="1" si="0"/>
        <v>702.9</v>
      </c>
      <c r="E22" s="5">
        <f t="shared" ca="1" si="1"/>
        <v>15463.8</v>
      </c>
    </row>
    <row r="23" spans="1:5" x14ac:dyDescent="0.25">
      <c r="A23">
        <v>130158</v>
      </c>
      <c r="B23" t="s">
        <v>44</v>
      </c>
      <c r="C23">
        <f>'[1]VENTAS CONSOLIDADA 1,0'!C23</f>
        <v>16722</v>
      </c>
      <c r="D23" s="5">
        <f t="shared" ca="1" si="0"/>
        <v>836.1</v>
      </c>
      <c r="E23" s="5">
        <f t="shared" ca="1" si="1"/>
        <v>18394.2</v>
      </c>
    </row>
    <row r="24" spans="1:5" x14ac:dyDescent="0.25">
      <c r="A24">
        <v>130159</v>
      </c>
      <c r="B24" t="s">
        <v>45</v>
      </c>
      <c r="C24">
        <f>'[1]VENTAS CONSOLIDADA 1,0'!C24</f>
        <v>16864</v>
      </c>
      <c r="D24" s="5">
        <f t="shared" ca="1" si="0"/>
        <v>843.2</v>
      </c>
      <c r="E24" s="5">
        <f t="shared" ca="1" si="1"/>
        <v>18550.400000000001</v>
      </c>
    </row>
    <row r="25" spans="1:5" x14ac:dyDescent="0.25">
      <c r="A25">
        <v>130700</v>
      </c>
      <c r="B25" t="s">
        <v>3</v>
      </c>
      <c r="C25">
        <f>'[1]VENTAS CONSOLIDADA 1,0'!C25</f>
        <v>5377</v>
      </c>
      <c r="D25" s="5">
        <f t="shared" ca="1" si="0"/>
        <v>268.85000000000002</v>
      </c>
      <c r="E25" s="5">
        <f t="shared" ca="1" si="1"/>
        <v>5914.7000000000007</v>
      </c>
    </row>
    <row r="26" spans="1:5" x14ac:dyDescent="0.25">
      <c r="A26">
        <v>130701</v>
      </c>
      <c r="B26" t="s">
        <v>30</v>
      </c>
      <c r="C26">
        <f>'[1]VENTAS CONSOLIDADA 1,0'!C26</f>
        <v>2630</v>
      </c>
      <c r="D26" s="5">
        <f t="shared" ca="1" si="0"/>
        <v>131.5</v>
      </c>
      <c r="E26" s="5">
        <f t="shared" ca="1" si="1"/>
        <v>2893</v>
      </c>
    </row>
    <row r="27" spans="1:5" x14ac:dyDescent="0.25">
      <c r="A27">
        <v>130702</v>
      </c>
      <c r="B27" t="s">
        <v>12</v>
      </c>
      <c r="C27">
        <f>'[1]VENTAS CONSOLIDADA 1,0'!C27</f>
        <v>10072</v>
      </c>
      <c r="D27" s="5">
        <f t="shared" ca="1" si="0"/>
        <v>503.6</v>
      </c>
      <c r="E27" s="5">
        <f t="shared" ca="1" si="1"/>
        <v>11079.2</v>
      </c>
    </row>
    <row r="28" spans="1:5" x14ac:dyDescent="0.25">
      <c r="A28">
        <v>130703</v>
      </c>
      <c r="B28" t="s">
        <v>17</v>
      </c>
      <c r="C28">
        <f>'[1]VENTAS CONSOLIDADA 1,0'!C28</f>
        <v>17012</v>
      </c>
      <c r="D28" s="5">
        <f t="shared" ca="1" si="0"/>
        <v>850.6</v>
      </c>
      <c r="E28" s="5">
        <f t="shared" ca="1" si="1"/>
        <v>18713.2</v>
      </c>
    </row>
    <row r="29" spans="1:5" x14ac:dyDescent="0.25">
      <c r="A29">
        <v>130707</v>
      </c>
      <c r="B29" t="s">
        <v>42</v>
      </c>
      <c r="C29">
        <f>'[1]VENTAS CONSOLIDADA 1,0'!C29</f>
        <v>1200</v>
      </c>
      <c r="D29" s="5">
        <f t="shared" ca="1" si="0"/>
        <v>60</v>
      </c>
      <c r="E29" s="5">
        <f t="shared" ca="1" si="1"/>
        <v>1320</v>
      </c>
    </row>
    <row r="30" spans="1:5" x14ac:dyDescent="0.25">
      <c r="A30">
        <v>131150</v>
      </c>
      <c r="B30" t="s">
        <v>22</v>
      </c>
      <c r="C30">
        <f>'[1]VENTAS CONSOLIDADA 1,0'!C30</f>
        <v>14069</v>
      </c>
      <c r="D30" s="5">
        <f t="shared" ca="1" si="0"/>
        <v>703.45</v>
      </c>
      <c r="E30" s="5">
        <f t="shared" ca="1" si="1"/>
        <v>15475.900000000001</v>
      </c>
    </row>
    <row r="31" spans="1:5" x14ac:dyDescent="0.25">
      <c r="A31">
        <v>131151</v>
      </c>
      <c r="B31" t="s">
        <v>19</v>
      </c>
      <c r="C31">
        <f>'[1]VENTAS CONSOLIDADA 1,0'!C31</f>
        <v>21797</v>
      </c>
      <c r="D31" s="5">
        <f t="shared" ca="1" si="0"/>
        <v>1089.8499999999999</v>
      </c>
      <c r="E31" s="5">
        <f t="shared" ca="1" si="1"/>
        <v>23976.699999999997</v>
      </c>
    </row>
    <row r="32" spans="1:5" x14ac:dyDescent="0.25">
      <c r="A32">
        <v>131152</v>
      </c>
      <c r="B32" t="s">
        <v>32</v>
      </c>
      <c r="C32">
        <f>'[1]VENTAS CONSOLIDADA 1,0'!C32</f>
        <v>11056</v>
      </c>
      <c r="D32" s="5">
        <f t="shared" ca="1" si="0"/>
        <v>552.79999999999995</v>
      </c>
      <c r="E32" s="5">
        <f t="shared" ca="1" si="1"/>
        <v>12161.599999999999</v>
      </c>
    </row>
    <row r="33" spans="1:5" x14ac:dyDescent="0.25">
      <c r="A33">
        <v>131153</v>
      </c>
      <c r="B33" t="s">
        <v>11</v>
      </c>
      <c r="C33">
        <f>'[1]VENTAS CONSOLIDADA 1,0'!C33</f>
        <v>8750</v>
      </c>
      <c r="D33" s="5">
        <f t="shared" ca="1" si="0"/>
        <v>437.5</v>
      </c>
      <c r="E33" s="5">
        <f t="shared" ca="1" si="1"/>
        <v>9625</v>
      </c>
    </row>
    <row r="34" spans="1:5" x14ac:dyDescent="0.25">
      <c r="A34">
        <v>131154</v>
      </c>
      <c r="B34" t="s">
        <v>48</v>
      </c>
      <c r="C34">
        <f>'[1]VENTAS CONSOLIDADA 1,0'!C34</f>
        <v>5084</v>
      </c>
      <c r="D34" s="5">
        <f t="shared" ca="1" si="0"/>
        <v>254.2</v>
      </c>
      <c r="E34" s="5">
        <f t="shared" ca="1" si="1"/>
        <v>5592.4</v>
      </c>
    </row>
    <row r="35" spans="1:5" x14ac:dyDescent="0.25">
      <c r="A35">
        <v>131155</v>
      </c>
      <c r="B35" t="s">
        <v>57</v>
      </c>
      <c r="C35">
        <f>'[1]VENTAS CONSOLIDADA 1,0'!C35</f>
        <v>6256</v>
      </c>
      <c r="D35" s="5">
        <f t="shared" ca="1" si="0"/>
        <v>312.8</v>
      </c>
      <c r="E35" s="5">
        <f t="shared" ca="1" si="1"/>
        <v>6881.6</v>
      </c>
    </row>
    <row r="36" spans="1:5" x14ac:dyDescent="0.25">
      <c r="A36">
        <v>131700</v>
      </c>
      <c r="B36" t="s">
        <v>20</v>
      </c>
      <c r="C36">
        <f>'[1]VENTAS CONSOLIDADA 1,0'!C36</f>
        <v>2559</v>
      </c>
      <c r="D36" s="5">
        <f t="shared" ca="1" si="0"/>
        <v>127.95</v>
      </c>
      <c r="E36" s="5">
        <f t="shared" ca="1" si="1"/>
        <v>2814.9</v>
      </c>
    </row>
    <row r="37" spans="1:5" x14ac:dyDescent="0.25">
      <c r="A37">
        <v>131701</v>
      </c>
      <c r="B37" t="s">
        <v>24</v>
      </c>
      <c r="C37">
        <f>'[1]VENTAS CONSOLIDADA 1,0'!C37</f>
        <v>2894</v>
      </c>
      <c r="D37" s="5">
        <f t="shared" ca="1" si="0"/>
        <v>144.69999999999999</v>
      </c>
      <c r="E37" s="5">
        <f t="shared" ca="1" si="1"/>
        <v>3183.3999999999996</v>
      </c>
    </row>
    <row r="38" spans="1:5" x14ac:dyDescent="0.25">
      <c r="A38">
        <v>132150</v>
      </c>
      <c r="B38" t="s">
        <v>25</v>
      </c>
      <c r="C38">
        <f>'[1]VENTAS CONSOLIDADA 1,0'!C38</f>
        <v>15687</v>
      </c>
      <c r="D38" s="5">
        <f t="shared" ca="1" si="0"/>
        <v>784.35</v>
      </c>
      <c r="E38" s="5">
        <f t="shared" ca="1" si="1"/>
        <v>17255.7</v>
      </c>
    </row>
    <row r="39" spans="1:5" x14ac:dyDescent="0.25">
      <c r="A39">
        <v>132151</v>
      </c>
      <c r="B39" t="s">
        <v>26</v>
      </c>
      <c r="C39">
        <f>'[1]VENTAS CONSOLIDADA 1,0'!C39</f>
        <v>12011</v>
      </c>
      <c r="D39" s="5">
        <f t="shared" ca="1" si="0"/>
        <v>600.54999999999995</v>
      </c>
      <c r="E39" s="5">
        <f t="shared" ca="1" si="1"/>
        <v>13212.099999999999</v>
      </c>
    </row>
    <row r="40" spans="1:5" x14ac:dyDescent="0.25">
      <c r="A40">
        <v>132152</v>
      </c>
      <c r="B40" t="s">
        <v>27</v>
      </c>
      <c r="C40">
        <f>'[1]VENTAS CONSOLIDADA 1,0'!C40</f>
        <v>16019</v>
      </c>
      <c r="D40" s="5">
        <f t="shared" ca="1" si="0"/>
        <v>800.95</v>
      </c>
      <c r="E40" s="5">
        <f t="shared" ca="1" si="1"/>
        <v>17620.900000000001</v>
      </c>
    </row>
    <row r="41" spans="1:5" x14ac:dyDescent="0.25">
      <c r="A41">
        <v>132153</v>
      </c>
      <c r="B41" t="s">
        <v>40</v>
      </c>
      <c r="C41">
        <f>'[1]VENTAS CONSOLIDADA 1,0'!C41</f>
        <v>10529</v>
      </c>
      <c r="D41" s="5">
        <f t="shared" ca="1" si="0"/>
        <v>526.45000000000005</v>
      </c>
      <c r="E41" s="5">
        <f t="shared" ca="1" si="1"/>
        <v>11581.900000000001</v>
      </c>
    </row>
    <row r="42" spans="1:5" x14ac:dyDescent="0.25">
      <c r="A42">
        <v>134000</v>
      </c>
      <c r="B42" t="s">
        <v>35</v>
      </c>
      <c r="C42">
        <f>'[1]VENTAS CONSOLIDADA 1,0'!C42</f>
        <v>80</v>
      </c>
      <c r="D42" s="5">
        <f t="shared" ca="1" si="0"/>
        <v>4</v>
      </c>
      <c r="E42" s="5">
        <f t="shared" ca="1" si="1"/>
        <v>88</v>
      </c>
    </row>
    <row r="43" spans="1:5" x14ac:dyDescent="0.25">
      <c r="A43">
        <v>134001</v>
      </c>
      <c r="B43" t="s">
        <v>47</v>
      </c>
      <c r="C43">
        <f>'[1]VENTAS CONSOLIDADA 1,0'!C43</f>
        <v>11</v>
      </c>
      <c r="D43" s="5">
        <f t="shared" ca="1" si="0"/>
        <v>0.55000000000000004</v>
      </c>
      <c r="E43" s="5">
        <f t="shared" ca="1" si="1"/>
        <v>12.100000000000001</v>
      </c>
    </row>
    <row r="44" spans="1:5" x14ac:dyDescent="0.25">
      <c r="A44">
        <v>140230</v>
      </c>
      <c r="B44" t="s">
        <v>18</v>
      </c>
      <c r="C44">
        <f>'[1]VENTAS CONSOLIDADA 1,0'!C44</f>
        <v>2684</v>
      </c>
      <c r="D44" s="5">
        <f t="shared" ca="1" si="0"/>
        <v>134.19999999999999</v>
      </c>
      <c r="E44" s="5">
        <f t="shared" ca="1" si="1"/>
        <v>2952.3999999999996</v>
      </c>
    </row>
    <row r="45" spans="1:5" x14ac:dyDescent="0.25">
      <c r="A45">
        <v>140231</v>
      </c>
      <c r="B45" t="s">
        <v>10</v>
      </c>
      <c r="C45">
        <f>'[1]VENTAS CONSOLIDADA 1,0'!C45</f>
        <v>11345</v>
      </c>
      <c r="D45" s="5">
        <f t="shared" ca="1" si="0"/>
        <v>567.25</v>
      </c>
      <c r="E45" s="5">
        <f t="shared" ca="1" si="1"/>
        <v>12479.5</v>
      </c>
    </row>
    <row r="46" spans="1:5" x14ac:dyDescent="0.25">
      <c r="A46">
        <v>140232</v>
      </c>
      <c r="B46" t="s">
        <v>9</v>
      </c>
      <c r="C46">
        <f>'[1]VENTAS CONSOLIDADA 1,0'!C46</f>
        <v>8105</v>
      </c>
      <c r="D46" s="5">
        <f t="shared" ca="1" si="0"/>
        <v>405.25</v>
      </c>
      <c r="E46" s="5">
        <f t="shared" ca="1" si="1"/>
        <v>8915.5</v>
      </c>
    </row>
    <row r="47" spans="1:5" x14ac:dyDescent="0.25">
      <c r="A47">
        <v>150360</v>
      </c>
      <c r="B47" t="s">
        <v>28</v>
      </c>
      <c r="C47">
        <f>'[1]VENTAS CONSOLIDADA 1,0'!C47</f>
        <v>4933</v>
      </c>
      <c r="D47" s="5">
        <f t="shared" ca="1" si="0"/>
        <v>246.65</v>
      </c>
      <c r="E47" s="5">
        <f t="shared" ca="1" si="1"/>
        <v>5426.3</v>
      </c>
    </row>
    <row r="48" spans="1:5" x14ac:dyDescent="0.25">
      <c r="A48">
        <v>150361</v>
      </c>
      <c r="B48" t="s">
        <v>29</v>
      </c>
      <c r="C48">
        <f>'[1]VENTAS CONSOLIDADA 1,0'!C48</f>
        <v>9829</v>
      </c>
      <c r="D48" s="5">
        <f t="shared" ca="1" si="0"/>
        <v>491.45</v>
      </c>
      <c r="E48" s="5">
        <f t="shared" ca="1" si="1"/>
        <v>10811.9</v>
      </c>
    </row>
    <row r="49" spans="1:5" x14ac:dyDescent="0.25">
      <c r="A49">
        <v>150362</v>
      </c>
      <c r="B49" t="s">
        <v>36</v>
      </c>
      <c r="C49">
        <f>'[1]VENTAS CONSOLIDADA 1,0'!C49</f>
        <v>5971</v>
      </c>
      <c r="D49" s="5">
        <f t="shared" ca="1" si="0"/>
        <v>298.55</v>
      </c>
      <c r="E49" s="5">
        <f t="shared" ca="1" si="1"/>
        <v>6568.1</v>
      </c>
    </row>
    <row r="50" spans="1:5" x14ac:dyDescent="0.25">
      <c r="A50">
        <v>150363</v>
      </c>
      <c r="B50" t="s">
        <v>31</v>
      </c>
      <c r="C50">
        <f>'[1]VENTAS CONSOLIDADA 1,0'!C50</f>
        <v>5867</v>
      </c>
      <c r="D50" s="5">
        <f t="shared" ca="1" si="0"/>
        <v>293.35000000000002</v>
      </c>
      <c r="E50" s="5">
        <f t="shared" ca="1" si="1"/>
        <v>6453.7000000000007</v>
      </c>
    </row>
    <row r="51" spans="1:5" x14ac:dyDescent="0.25">
      <c r="A51">
        <v>151500</v>
      </c>
      <c r="B51" t="s">
        <v>41</v>
      </c>
      <c r="C51">
        <f>'[1]VENTAS CONSOLIDADA 1,0'!C51</f>
        <v>1060</v>
      </c>
      <c r="D51" s="5">
        <f t="shared" ca="1" si="0"/>
        <v>53</v>
      </c>
      <c r="E51" s="5">
        <f t="shared" ca="1" si="1"/>
        <v>1166</v>
      </c>
    </row>
    <row r="52" spans="1:5" x14ac:dyDescent="0.25">
      <c r="A52">
        <v>151501</v>
      </c>
      <c r="B52" t="s">
        <v>33</v>
      </c>
      <c r="C52">
        <f>'[1]VENTAS CONSOLIDADA 1,0'!C52</f>
        <v>2442</v>
      </c>
      <c r="D52" s="5">
        <f t="shared" ca="1" si="0"/>
        <v>122.1</v>
      </c>
      <c r="E52" s="5">
        <f t="shared" ca="1" si="1"/>
        <v>2686.2</v>
      </c>
    </row>
    <row r="53" spans="1:5" x14ac:dyDescent="0.25">
      <c r="A53">
        <v>151502</v>
      </c>
      <c r="B53" t="s">
        <v>37</v>
      </c>
      <c r="C53">
        <f>'[1]VENTAS CONSOLIDADA 1,0'!C53</f>
        <v>806</v>
      </c>
      <c r="D53" s="5">
        <f t="shared" ca="1" si="0"/>
        <v>40.299999999999997</v>
      </c>
      <c r="E53" s="5">
        <f t="shared" ca="1" si="1"/>
        <v>886.59999999999991</v>
      </c>
    </row>
    <row r="54" spans="1:5" x14ac:dyDescent="0.25">
      <c r="A54">
        <v>151503</v>
      </c>
      <c r="B54" t="s">
        <v>34</v>
      </c>
      <c r="C54">
        <f>'[1]VENTAS CONSOLIDADA 1,0'!C54</f>
        <v>1026</v>
      </c>
      <c r="D54" s="5">
        <f t="shared" ca="1" si="0"/>
        <v>51.3</v>
      </c>
      <c r="E54" s="5">
        <f t="shared" ca="1" si="1"/>
        <v>1128.5999999999999</v>
      </c>
    </row>
    <row r="55" spans="1:5" x14ac:dyDescent="0.25">
      <c r="C55">
        <f>SUM(C8:C54)</f>
        <v>565256</v>
      </c>
      <c r="D55" s="5">
        <f ca="1">SUM(D8:D54)</f>
        <v>28262.799999999992</v>
      </c>
      <c r="E55" s="5">
        <f ca="1">SUM(E8:E54)</f>
        <v>621781.60000000009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65BE5737-5D13-4B92-9A1E-66AAD091BECC}">
  <ds:schemaRefs/>
</ds:datastoreItem>
</file>

<file path=customXml/itemProps2.xml><?xml version="1.0" encoding="utf-8"?>
<ds:datastoreItem xmlns:ds="http://schemas.openxmlformats.org/officeDocument/2006/customXml" ds:itemID="{1624F75C-FD6B-41DE-81B8-76266AB6E660}">
  <ds:schemaRefs/>
</ds:datastoreItem>
</file>

<file path=customXml/itemProps3.xml><?xml version="1.0" encoding="utf-8"?>
<ds:datastoreItem xmlns:ds="http://schemas.openxmlformats.org/officeDocument/2006/customXml" ds:itemID="{4DF253BA-E348-4CD2-AA4E-97FB2A32A7F0}">
  <ds:schemaRefs/>
</ds:datastoreItem>
</file>

<file path=customXml/itemProps4.xml><?xml version="1.0" encoding="utf-8"?>
<ds:datastoreItem xmlns:ds="http://schemas.openxmlformats.org/officeDocument/2006/customXml" ds:itemID="{38DB5A37-2218-4EAC-B67D-146D68E76E36}">
  <ds:schemaRefs/>
</ds:datastoreItem>
</file>

<file path=customXml/itemProps5.xml><?xml version="1.0" encoding="utf-8"?>
<ds:datastoreItem xmlns:ds="http://schemas.openxmlformats.org/officeDocument/2006/customXml" ds:itemID="{CAB6C292-B853-467D-B711-6EBB7D36CC58}">
  <ds:schemaRefs/>
</ds:datastoreItem>
</file>

<file path=customXml/itemProps6.xml><?xml version="1.0" encoding="utf-8"?>
<ds:datastoreItem xmlns:ds="http://schemas.openxmlformats.org/officeDocument/2006/customXml" ds:itemID="{CC2043D8-989E-412C-8862-ACDB973E448B}">
  <ds:schemaRefs/>
</ds:datastoreItem>
</file>

<file path=customXml/itemProps7.xml><?xml version="1.0" encoding="utf-8"?>
<ds:datastoreItem xmlns:ds="http://schemas.openxmlformats.org/officeDocument/2006/customXml" ds:itemID="{52FA8FE5-D878-4A8D-B664-9568032292DD}">
  <ds:schemaRefs/>
</ds:datastoreItem>
</file>

<file path=customXml/itemProps8.xml><?xml version="1.0" encoding="utf-8"?>
<ds:datastoreItem xmlns:ds="http://schemas.openxmlformats.org/officeDocument/2006/customXml" ds:itemID="{084C0BCB-4732-44D2-A228-50E994334BF1}">
  <ds:schemaRefs/>
</ds:datastoreItem>
</file>

<file path=customXml/itemProps9.xml><?xml version="1.0" encoding="utf-8"?>
<ds:datastoreItem xmlns:ds="http://schemas.openxmlformats.org/officeDocument/2006/customXml" ds:itemID="{DEFC51E7-3E67-4621-B139-07F56E3C51B6}">
  <ds:schemaRefs/>
</ds:datastoreItem>
</file>

<file path=customXml/itemProps10.xml><?xml version="1.0" encoding="utf-8"?>
<ds:datastoreItem xmlns:ds="http://schemas.openxmlformats.org/officeDocument/2006/customXml" ds:itemID="{7AE93A93-CA27-4BDA-AA62-2C35967BA493}">
  <ds:schemaRefs/>
</ds:datastoreItem>
</file>

<file path=customXml/itemProps11.xml><?xml version="1.0" encoding="utf-8"?>
<ds:datastoreItem xmlns:ds="http://schemas.openxmlformats.org/officeDocument/2006/customXml" ds:itemID="{DB2ACCEB-6CC9-4D35-BDF4-AC9EF8C2F118}">
  <ds:schemaRefs/>
</ds:datastoreItem>
</file>

<file path=customXml/itemProps12.xml><?xml version="1.0" encoding="utf-8"?>
<ds:datastoreItem xmlns:ds="http://schemas.openxmlformats.org/officeDocument/2006/customXml" ds:itemID="{0AD6CB95-564A-49A8-92C3-BDDCD21D69FF}">
  <ds:schemaRefs/>
</ds:datastoreItem>
</file>

<file path=customXml/itemProps13.xml><?xml version="1.0" encoding="utf-8"?>
<ds:datastoreItem xmlns:ds="http://schemas.openxmlformats.org/officeDocument/2006/customXml" ds:itemID="{8E0207D3-36B0-4047-99FA-B78F3EBADFAC}">
  <ds:schemaRefs/>
</ds:datastoreItem>
</file>

<file path=customXml/itemProps14.xml><?xml version="1.0" encoding="utf-8"?>
<ds:datastoreItem xmlns:ds="http://schemas.openxmlformats.org/officeDocument/2006/customXml" ds:itemID="{CFB06E3D-1317-4F60-85DB-890000D02217}">
  <ds:schemaRefs/>
</ds:datastoreItem>
</file>

<file path=customXml/itemProps15.xml><?xml version="1.0" encoding="utf-8"?>
<ds:datastoreItem xmlns:ds="http://schemas.openxmlformats.org/officeDocument/2006/customXml" ds:itemID="{7845B0CC-F2DA-4435-B3A8-0B67EEA59E3E}">
  <ds:schemaRefs/>
</ds:datastoreItem>
</file>

<file path=customXml/itemProps16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F5D7323A-644E-4D3D-8486-43C2FFAD8146}">
  <ds:schemaRefs/>
</ds:datastoreItem>
</file>

<file path=customXml/itemProps18.xml><?xml version="1.0" encoding="utf-8"?>
<ds:datastoreItem xmlns:ds="http://schemas.openxmlformats.org/officeDocument/2006/customXml" ds:itemID="{2FB7461A-5A6D-4ED3-B35C-48147355CFC0}">
  <ds:schemaRefs/>
</ds:datastoreItem>
</file>

<file path=customXml/itemProps19.xml><?xml version="1.0" encoding="utf-8"?>
<ds:datastoreItem xmlns:ds="http://schemas.openxmlformats.org/officeDocument/2006/customXml" ds:itemID="{B0CC2B14-7DD7-4033-8A48-822C26B12A45}">
  <ds:schemaRefs/>
</ds:datastoreItem>
</file>

<file path=customXml/itemProps20.xml><?xml version="1.0" encoding="utf-8"?>
<ds:datastoreItem xmlns:ds="http://schemas.openxmlformats.org/officeDocument/2006/customXml" ds:itemID="{AF2AF42B-D484-4F26-B929-D7FB2E56F7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2026-09-29T12:29:27Z</dcterms:modified>
</cp:coreProperties>
</file>