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737FBFE-F380-4C4B-BD72-8CEBB0BBCEDE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<sst xmlns="http://schemas.openxmlformats.org/spreadsheetml/2006/main" count="320" uniqueCount="62">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</sst>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229</v>
          </cell>
        </row>
        <row r="9">
          <cell r="C9">
            <v>36</v>
          </cell>
        </row>
        <row r="10">
          <cell r="C10">
            <v>69</v>
          </cell>
        </row>
        <row r="11">
          <cell r="C11">
            <v>4</v>
          </cell>
        </row>
        <row r="12">
          <cell r="C12">
            <v>5</v>
          </cell>
        </row>
        <row r="13">
          <cell r="C13">
            <v>361</v>
          </cell>
        </row>
        <row r="14">
          <cell r="C14">
            <v>20</v>
          </cell>
        </row>
        <row r="15">
          <cell r="C15">
            <v>47</v>
          </cell>
        </row>
        <row r="16">
          <cell r="C16">
            <v>121</v>
          </cell>
        </row>
        <row r="17">
          <cell r="C17">
            <v>35</v>
          </cell>
        </row>
        <row r="18">
          <cell r="C18">
            <v>898</v>
          </cell>
        </row>
        <row r="19">
          <cell r="C19">
            <v>509</v>
          </cell>
        </row>
        <row r="20">
          <cell r="C20">
            <v>698</v>
          </cell>
        </row>
        <row r="21">
          <cell r="C21">
            <v>485</v>
          </cell>
        </row>
        <row r="22">
          <cell r="C22">
            <v>155</v>
          </cell>
        </row>
        <row r="23">
          <cell r="C23">
            <v>174</v>
          </cell>
        </row>
        <row r="24">
          <cell r="C24">
            <v>175</v>
          </cell>
        </row>
        <row r="25">
          <cell r="C25">
            <v>22</v>
          </cell>
        </row>
        <row r="26">
          <cell r="C26">
            <v>4</v>
          </cell>
        </row>
        <row r="27">
          <cell r="C27">
            <v>62</v>
          </cell>
        </row>
        <row r="28">
          <cell r="C28">
            <v>103</v>
          </cell>
        </row>
        <row r="29">
          <cell r="C29">
            <v>0</v>
          </cell>
        </row>
        <row r="30">
          <cell r="C30">
            <v>186</v>
          </cell>
        </row>
        <row r="31">
          <cell r="C31">
            <v>545</v>
          </cell>
        </row>
        <row r="32">
          <cell r="C32">
            <v>405</v>
          </cell>
        </row>
        <row r="33">
          <cell r="C33">
            <v>66</v>
          </cell>
        </row>
        <row r="34">
          <cell r="C34">
            <v>149</v>
          </cell>
        </row>
        <row r="35">
          <cell r="C35">
            <v>189</v>
          </cell>
        </row>
        <row r="36">
          <cell r="C36">
            <v>7</v>
          </cell>
        </row>
        <row r="37">
          <cell r="C37">
            <v>41</v>
          </cell>
        </row>
        <row r="38">
          <cell r="C38">
            <v>181</v>
          </cell>
        </row>
        <row r="39">
          <cell r="C39">
            <v>144</v>
          </cell>
        </row>
        <row r="40">
          <cell r="C40">
            <v>137</v>
          </cell>
        </row>
        <row r="41">
          <cell r="C41">
            <v>48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52</v>
          </cell>
        </row>
        <row r="45">
          <cell r="C45">
            <v>305</v>
          </cell>
        </row>
        <row r="46">
          <cell r="C46">
            <v>0</v>
          </cell>
        </row>
        <row r="47">
          <cell r="C47">
            <v>57</v>
          </cell>
        </row>
        <row r="48">
          <cell r="C48">
            <v>83</v>
          </cell>
        </row>
        <row r="49">
          <cell r="C49">
            <v>43</v>
          </cell>
        </row>
        <row r="50">
          <cell r="C50">
            <v>65</v>
          </cell>
        </row>
        <row r="51">
          <cell r="C51">
            <v>4</v>
          </cell>
        </row>
        <row r="52">
          <cell r="C52">
            <v>21</v>
          </cell>
        </row>
        <row r="53">
          <cell r="C53">
            <v>0</v>
          </cell>
        </row>
        <row r="54">
          <cell r="C54">
            <v>11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197</v>
          </cell>
        </row>
        <row r="9">
          <cell r="C9">
            <v>3</v>
          </cell>
        </row>
        <row r="10">
          <cell r="C10">
            <v>76</v>
          </cell>
        </row>
        <row r="11">
          <cell r="C11">
            <v>11</v>
          </cell>
        </row>
        <row r="12">
          <cell r="C12">
            <v>0</v>
          </cell>
        </row>
        <row r="13">
          <cell r="C13">
            <v>764</v>
          </cell>
        </row>
        <row r="14">
          <cell r="C14">
            <v>76</v>
          </cell>
        </row>
        <row r="15">
          <cell r="C15">
            <v>83</v>
          </cell>
        </row>
        <row r="16">
          <cell r="C16">
            <v>316</v>
          </cell>
        </row>
        <row r="17">
          <cell r="C17">
            <v>129</v>
          </cell>
        </row>
        <row r="18">
          <cell r="C18">
            <v>2869</v>
          </cell>
        </row>
        <row r="19">
          <cell r="C19">
            <v>1531</v>
          </cell>
        </row>
        <row r="20">
          <cell r="C20">
            <v>1536</v>
          </cell>
        </row>
        <row r="21">
          <cell r="C21">
            <v>1792</v>
          </cell>
        </row>
        <row r="22">
          <cell r="C22">
            <v>612</v>
          </cell>
        </row>
        <row r="23">
          <cell r="C23">
            <v>778</v>
          </cell>
        </row>
        <row r="24">
          <cell r="C24">
            <v>752</v>
          </cell>
        </row>
        <row r="25">
          <cell r="C25">
            <v>107</v>
          </cell>
        </row>
        <row r="26">
          <cell r="C26">
            <v>18</v>
          </cell>
        </row>
        <row r="27">
          <cell r="C27">
            <v>492</v>
          </cell>
        </row>
        <row r="28">
          <cell r="C28">
            <v>615</v>
          </cell>
        </row>
        <row r="29">
          <cell r="C29">
            <v>30</v>
          </cell>
        </row>
        <row r="30">
          <cell r="C30">
            <v>225</v>
          </cell>
        </row>
        <row r="31">
          <cell r="C31">
            <v>537</v>
          </cell>
        </row>
        <row r="32">
          <cell r="C32">
            <v>263</v>
          </cell>
        </row>
        <row r="33">
          <cell r="C33">
            <v>187</v>
          </cell>
        </row>
        <row r="34">
          <cell r="C34">
            <v>282</v>
          </cell>
        </row>
        <row r="35">
          <cell r="C35">
            <v>315</v>
          </cell>
        </row>
        <row r="36">
          <cell r="C36">
            <v>52</v>
          </cell>
        </row>
        <row r="37">
          <cell r="C37">
            <v>77</v>
          </cell>
        </row>
        <row r="38">
          <cell r="C38">
            <v>581</v>
          </cell>
        </row>
        <row r="39">
          <cell r="C39">
            <v>341</v>
          </cell>
        </row>
        <row r="40">
          <cell r="C40">
            <v>545</v>
          </cell>
        </row>
        <row r="41">
          <cell r="C41">
            <v>222</v>
          </cell>
        </row>
        <row r="42">
          <cell r="C42">
            <v>3</v>
          </cell>
        </row>
        <row r="43">
          <cell r="C43">
            <v>0</v>
          </cell>
        </row>
        <row r="44">
          <cell r="C44">
            <v>65</v>
          </cell>
        </row>
        <row r="45">
          <cell r="C45">
            <v>92</v>
          </cell>
        </row>
        <row r="46">
          <cell r="C46">
            <v>170</v>
          </cell>
        </row>
        <row r="47">
          <cell r="C47">
            <v>78</v>
          </cell>
        </row>
        <row r="48">
          <cell r="C48">
            <v>42</v>
          </cell>
        </row>
        <row r="49">
          <cell r="C49">
            <v>66</v>
          </cell>
        </row>
        <row r="50">
          <cell r="C50">
            <v>153</v>
          </cell>
        </row>
        <row r="51">
          <cell r="C51">
            <v>33</v>
          </cell>
        </row>
        <row r="52">
          <cell r="C52">
            <v>107</v>
          </cell>
        </row>
        <row r="53">
          <cell r="C53">
            <v>6</v>
          </cell>
        </row>
        <row r="54">
          <cell r="C54">
            <v>18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3983</v>
          </cell>
        </row>
        <row r="9">
          <cell r="C9">
            <v>256</v>
          </cell>
        </row>
        <row r="10">
          <cell r="C10">
            <v>1878</v>
          </cell>
        </row>
        <row r="11">
          <cell r="C11">
            <v>235</v>
          </cell>
        </row>
        <row r="12">
          <cell r="C12">
            <v>36</v>
          </cell>
        </row>
        <row r="13">
          <cell r="C13">
            <v>4563</v>
          </cell>
        </row>
        <row r="14">
          <cell r="C14">
            <v>283</v>
          </cell>
        </row>
        <row r="15">
          <cell r="C15">
            <v>565</v>
          </cell>
        </row>
        <row r="16">
          <cell r="C16">
            <v>1581</v>
          </cell>
        </row>
        <row r="17">
          <cell r="C17">
            <v>833</v>
          </cell>
        </row>
        <row r="18">
          <cell r="C18">
            <v>9238</v>
          </cell>
        </row>
        <row r="19">
          <cell r="C19">
            <v>5713</v>
          </cell>
        </row>
        <row r="20">
          <cell r="C20">
            <v>6118</v>
          </cell>
        </row>
        <row r="21">
          <cell r="C21">
            <v>7497</v>
          </cell>
        </row>
        <row r="22">
          <cell r="C22">
            <v>1877</v>
          </cell>
        </row>
        <row r="23">
          <cell r="C23">
            <v>1943</v>
          </cell>
        </row>
        <row r="24">
          <cell r="C24">
            <v>1993</v>
          </cell>
        </row>
        <row r="25">
          <cell r="C25">
            <v>448</v>
          </cell>
        </row>
        <row r="26">
          <cell r="C26">
            <v>177</v>
          </cell>
        </row>
        <row r="27">
          <cell r="C27">
            <v>1153</v>
          </cell>
        </row>
        <row r="28">
          <cell r="C28">
            <v>2183</v>
          </cell>
        </row>
        <row r="29">
          <cell r="C29">
            <v>300</v>
          </cell>
        </row>
        <row r="30">
          <cell r="C30">
            <v>2199</v>
          </cell>
        </row>
        <row r="31">
          <cell r="C31">
            <v>2800</v>
          </cell>
        </row>
        <row r="32">
          <cell r="C32">
            <v>1242</v>
          </cell>
        </row>
        <row r="33">
          <cell r="C33">
            <v>971</v>
          </cell>
        </row>
        <row r="34">
          <cell r="C34">
            <v>518</v>
          </cell>
        </row>
        <row r="35">
          <cell r="C35">
            <v>639</v>
          </cell>
        </row>
        <row r="36">
          <cell r="C36">
            <v>385</v>
          </cell>
        </row>
        <row r="37">
          <cell r="C37">
            <v>326</v>
          </cell>
        </row>
        <row r="38">
          <cell r="C38">
            <v>1464</v>
          </cell>
        </row>
        <row r="39">
          <cell r="C39">
            <v>1436</v>
          </cell>
        </row>
        <row r="40">
          <cell r="C40">
            <v>1735</v>
          </cell>
        </row>
        <row r="41">
          <cell r="C41">
            <v>1179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90</v>
          </cell>
        </row>
        <row r="45">
          <cell r="C45">
            <v>1439</v>
          </cell>
        </row>
        <row r="46">
          <cell r="C46">
            <v>1169</v>
          </cell>
        </row>
        <row r="47">
          <cell r="C47">
            <v>667</v>
          </cell>
        </row>
        <row r="48">
          <cell r="C48">
            <v>1041</v>
          </cell>
        </row>
        <row r="49">
          <cell r="C49">
            <v>760</v>
          </cell>
        </row>
        <row r="50">
          <cell r="C50">
            <v>730</v>
          </cell>
        </row>
        <row r="51">
          <cell r="C51">
            <v>89</v>
          </cell>
        </row>
        <row r="52">
          <cell r="C52">
            <v>163</v>
          </cell>
        </row>
        <row r="53">
          <cell r="C53">
            <v>116</v>
          </cell>
        </row>
        <row r="54">
          <cell r="C54">
            <v>120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1500</v>
          </cell>
        </row>
        <row r="9">
          <cell r="C9">
            <v>227</v>
          </cell>
        </row>
        <row r="10">
          <cell r="C10">
            <v>533</v>
          </cell>
        </row>
        <row r="11">
          <cell r="C11">
            <v>172</v>
          </cell>
        </row>
        <row r="12">
          <cell r="C12">
            <v>9</v>
          </cell>
        </row>
        <row r="13">
          <cell r="C13">
            <v>2146</v>
          </cell>
        </row>
        <row r="14">
          <cell r="C14">
            <v>273</v>
          </cell>
        </row>
        <row r="15">
          <cell r="C15">
            <v>692</v>
          </cell>
        </row>
        <row r="16">
          <cell r="C16">
            <v>1984</v>
          </cell>
        </row>
        <row r="17">
          <cell r="C17">
            <v>810</v>
          </cell>
        </row>
        <row r="18">
          <cell r="C18">
            <v>5434</v>
          </cell>
        </row>
        <row r="19">
          <cell r="C19">
            <v>3596</v>
          </cell>
        </row>
        <row r="20">
          <cell r="C20">
            <v>4079</v>
          </cell>
        </row>
        <row r="21">
          <cell r="C21">
            <v>4054</v>
          </cell>
        </row>
        <row r="22">
          <cell r="C22">
            <v>1086</v>
          </cell>
        </row>
        <row r="23">
          <cell r="C23">
            <v>1738</v>
          </cell>
        </row>
        <row r="24">
          <cell r="C24">
            <v>1634</v>
          </cell>
        </row>
        <row r="25">
          <cell r="C25">
            <v>680</v>
          </cell>
        </row>
        <row r="26">
          <cell r="C26">
            <v>357</v>
          </cell>
        </row>
        <row r="27">
          <cell r="C27">
            <v>1028</v>
          </cell>
        </row>
        <row r="28">
          <cell r="C28">
            <v>1580</v>
          </cell>
        </row>
        <row r="29">
          <cell r="C29">
            <v>0</v>
          </cell>
        </row>
        <row r="30">
          <cell r="C30">
            <v>947</v>
          </cell>
        </row>
        <row r="31">
          <cell r="C31">
            <v>1222</v>
          </cell>
        </row>
        <row r="32">
          <cell r="C32">
            <v>561</v>
          </cell>
        </row>
        <row r="33">
          <cell r="C33">
            <v>434</v>
          </cell>
        </row>
        <row r="34">
          <cell r="C34">
            <v>373</v>
          </cell>
        </row>
        <row r="35">
          <cell r="C35">
            <v>426</v>
          </cell>
        </row>
        <row r="36">
          <cell r="C36">
            <v>206</v>
          </cell>
        </row>
        <row r="37">
          <cell r="C37">
            <v>157</v>
          </cell>
        </row>
        <row r="38">
          <cell r="C38">
            <v>1386</v>
          </cell>
        </row>
        <row r="39">
          <cell r="C39">
            <v>1021</v>
          </cell>
        </row>
        <row r="40">
          <cell r="C40">
            <v>1483</v>
          </cell>
        </row>
        <row r="41">
          <cell r="C41">
            <v>788</v>
          </cell>
        </row>
        <row r="42">
          <cell r="C42">
            <v>18</v>
          </cell>
        </row>
        <row r="43">
          <cell r="C43">
            <v>6</v>
          </cell>
        </row>
        <row r="44">
          <cell r="C44">
            <v>387</v>
          </cell>
        </row>
        <row r="45">
          <cell r="C45">
            <v>695</v>
          </cell>
        </row>
        <row r="46">
          <cell r="C46">
            <v>1031</v>
          </cell>
        </row>
        <row r="47">
          <cell r="C47">
            <v>53</v>
          </cell>
        </row>
        <row r="48">
          <cell r="C48">
            <v>452</v>
          </cell>
        </row>
        <row r="49">
          <cell r="C49">
            <v>228</v>
          </cell>
        </row>
        <row r="50">
          <cell r="C50">
            <v>348</v>
          </cell>
        </row>
        <row r="51">
          <cell r="C51">
            <v>54</v>
          </cell>
        </row>
        <row r="52">
          <cell r="C52">
            <v>158</v>
          </cell>
        </row>
        <row r="53">
          <cell r="C53">
            <v>25</v>
          </cell>
        </row>
        <row r="54">
          <cell r="C54">
            <v>47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141</v>
          </cell>
        </row>
        <row r="9">
          <cell r="C9">
            <v>11</v>
          </cell>
        </row>
        <row r="10">
          <cell r="C10">
            <v>23</v>
          </cell>
        </row>
        <row r="11">
          <cell r="C11">
            <v>11</v>
          </cell>
        </row>
        <row r="12">
          <cell r="C12">
            <v>3</v>
          </cell>
        </row>
        <row r="13">
          <cell r="C13">
            <v>42</v>
          </cell>
        </row>
        <row r="14">
          <cell r="C14">
            <v>67</v>
          </cell>
        </row>
        <row r="15">
          <cell r="C15">
            <v>53</v>
          </cell>
        </row>
        <row r="16">
          <cell r="C16">
            <v>130</v>
          </cell>
        </row>
        <row r="17">
          <cell r="C17">
            <v>5</v>
          </cell>
        </row>
        <row r="18">
          <cell r="C18">
            <v>341</v>
          </cell>
        </row>
        <row r="19">
          <cell r="C19">
            <v>238</v>
          </cell>
        </row>
        <row r="20">
          <cell r="C20">
            <v>173</v>
          </cell>
        </row>
        <row r="21">
          <cell r="C21">
            <v>267</v>
          </cell>
        </row>
        <row r="22">
          <cell r="C22">
            <v>74</v>
          </cell>
        </row>
        <row r="23">
          <cell r="C23">
            <v>106</v>
          </cell>
        </row>
        <row r="24">
          <cell r="C24">
            <v>135</v>
          </cell>
        </row>
        <row r="25">
          <cell r="C25">
            <v>23</v>
          </cell>
        </row>
        <row r="26">
          <cell r="C26">
            <v>12</v>
          </cell>
        </row>
        <row r="27">
          <cell r="C27">
            <v>41</v>
          </cell>
        </row>
        <row r="28">
          <cell r="C28">
            <v>69</v>
          </cell>
        </row>
        <row r="29">
          <cell r="C29">
            <v>0</v>
          </cell>
        </row>
        <row r="30">
          <cell r="C30">
            <v>69</v>
          </cell>
        </row>
        <row r="31">
          <cell r="C31">
            <v>169</v>
          </cell>
        </row>
        <row r="32">
          <cell r="C32">
            <v>42</v>
          </cell>
        </row>
        <row r="33">
          <cell r="C33">
            <v>155</v>
          </cell>
        </row>
        <row r="34">
          <cell r="C34">
            <v>22</v>
          </cell>
        </row>
        <row r="35">
          <cell r="C35">
            <v>31</v>
          </cell>
        </row>
        <row r="36">
          <cell r="C36">
            <v>11</v>
          </cell>
        </row>
        <row r="37">
          <cell r="C37">
            <v>33</v>
          </cell>
        </row>
        <row r="38">
          <cell r="C38">
            <v>190</v>
          </cell>
        </row>
        <row r="39">
          <cell r="C39">
            <v>159</v>
          </cell>
        </row>
        <row r="40">
          <cell r="C40">
            <v>166</v>
          </cell>
        </row>
        <row r="41">
          <cell r="C41">
            <v>107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27</v>
          </cell>
        </row>
        <row r="45">
          <cell r="C45">
            <v>79</v>
          </cell>
        </row>
        <row r="46">
          <cell r="C46">
            <v>7</v>
          </cell>
        </row>
        <row r="47">
          <cell r="C47">
            <v>23</v>
          </cell>
        </row>
        <row r="48">
          <cell r="C48">
            <v>29</v>
          </cell>
        </row>
        <row r="49">
          <cell r="C49">
            <v>61</v>
          </cell>
        </row>
        <row r="50">
          <cell r="C50">
            <v>55</v>
          </cell>
        </row>
        <row r="51">
          <cell r="C51">
            <v>12</v>
          </cell>
        </row>
        <row r="52">
          <cell r="C52">
            <v>12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46274</v>
          </cell>
          <cell r="E2">
            <v>6</v>
          </cell>
        </row>
        <row r="3">
          <cell r="C3" t="str">
            <v>FINAL VENTAS</v>
          </cell>
          <cell r="D3">
            <v>46295</v>
          </cell>
          <cell r="E3">
            <v>16</v>
          </cell>
        </row>
        <row r="8">
          <cell r="C8">
            <v>6050</v>
          </cell>
        </row>
        <row r="9">
          <cell r="C9">
            <v>533</v>
          </cell>
        </row>
        <row r="10">
          <cell r="C10">
            <v>2579</v>
          </cell>
        </row>
        <row r="11">
          <cell r="C11">
            <v>433</v>
          </cell>
        </row>
        <row r="12">
          <cell r="C12">
            <v>53</v>
          </cell>
        </row>
        <row r="13">
          <cell r="C13">
            <v>7876</v>
          </cell>
        </row>
        <row r="14">
          <cell r="C14">
            <v>719</v>
          </cell>
        </row>
        <row r="15">
          <cell r="C15">
            <v>1440</v>
          </cell>
        </row>
        <row r="16">
          <cell r="C16">
            <v>4132</v>
          </cell>
        </row>
        <row r="17">
          <cell r="C17">
            <v>1812</v>
          </cell>
        </row>
        <row r="18">
          <cell r="C18">
            <v>18780</v>
          </cell>
        </row>
        <row r="19">
          <cell r="C19">
            <v>11587</v>
          </cell>
        </row>
        <row r="20">
          <cell r="C20">
            <v>12604</v>
          </cell>
        </row>
        <row r="21">
          <cell r="C21">
            <v>14095</v>
          </cell>
        </row>
        <row r="22">
          <cell r="C22">
            <v>3804</v>
          </cell>
        </row>
        <row r="23">
          <cell r="C23">
            <v>4739</v>
          </cell>
        </row>
        <row r="24">
          <cell r="C24">
            <v>4689</v>
          </cell>
        </row>
        <row r="25">
          <cell r="C25">
            <v>1280</v>
          </cell>
        </row>
        <row r="26">
          <cell r="C26">
            <v>568</v>
          </cell>
        </row>
        <row r="27">
          <cell r="C27">
            <v>2776</v>
          </cell>
        </row>
        <row r="28">
          <cell r="C28">
            <v>4550</v>
          </cell>
        </row>
        <row r="29">
          <cell r="C29">
            <v>330</v>
          </cell>
        </row>
        <row r="30">
          <cell r="C30">
            <v>3626</v>
          </cell>
        </row>
        <row r="31">
          <cell r="C31">
            <v>5273</v>
          </cell>
        </row>
        <row r="32">
          <cell r="C32">
            <v>2513</v>
          </cell>
        </row>
        <row r="33">
          <cell r="C33">
            <v>1813</v>
          </cell>
        </row>
        <row r="34">
          <cell r="C34">
            <v>1344</v>
          </cell>
        </row>
        <row r="35">
          <cell r="C35">
            <v>1600</v>
          </cell>
        </row>
        <row r="36">
          <cell r="C36">
            <v>661</v>
          </cell>
        </row>
        <row r="37">
          <cell r="C37">
            <v>634</v>
          </cell>
        </row>
        <row r="38">
          <cell r="C38">
            <v>3802</v>
          </cell>
        </row>
        <row r="39">
          <cell r="C39">
            <v>3101</v>
          </cell>
        </row>
        <row r="40">
          <cell r="C40">
            <v>4066</v>
          </cell>
        </row>
        <row r="41">
          <cell r="C41">
            <v>2344</v>
          </cell>
        </row>
        <row r="42">
          <cell r="C42">
            <v>21</v>
          </cell>
        </row>
        <row r="43">
          <cell r="C43">
            <v>6</v>
          </cell>
        </row>
        <row r="44">
          <cell r="C44">
            <v>621</v>
          </cell>
        </row>
        <row r="45">
          <cell r="C45">
            <v>2610</v>
          </cell>
        </row>
        <row r="46">
          <cell r="C46">
            <v>2377</v>
          </cell>
        </row>
        <row r="47">
          <cell r="C47">
            <v>878</v>
          </cell>
        </row>
        <row r="48">
          <cell r="C48">
            <v>1647</v>
          </cell>
        </row>
        <row r="49">
          <cell r="C49">
            <v>1158</v>
          </cell>
        </row>
        <row r="50">
          <cell r="C50">
            <v>1351</v>
          </cell>
        </row>
        <row r="51">
          <cell r="C51">
            <v>192</v>
          </cell>
        </row>
        <row r="52">
          <cell r="C52">
            <v>461</v>
          </cell>
        </row>
        <row r="53">
          <cell r="C53">
            <v>168</v>
          </cell>
        </row>
        <row r="54">
          <cell r="C54">
            <v>208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46274</v>
      </c>
      <c r="E2" s="4">
        <f ca="1">'[1]VENTAS CONSOLIDADA ZULIA'!E2</f>
        <v>6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141</v>
      </c>
      <c r="D8" s="5">
        <f t="shared" ref="D8:D54" ca="1" si="0">C8/$E$2</f>
        <v>23.5</v>
      </c>
      <c r="E8" s="5">
        <f ca="1">D8*($E$2+$E$3)</f>
        <v>517</v>
      </c>
    </row>
    <row r="9" spans="1:5" x14ac:dyDescent="0.25">
      <c r="A9">
        <v>110151</v>
      </c>
      <c r="B9" t="s">
        <v>5</v>
      </c>
      <c r="C9">
        <f>'[1]VENTAS CONSOLIDADA ZULIA'!C9</f>
        <v>11</v>
      </c>
      <c r="D9" s="5">
        <f t="shared" ca="1" si="0"/>
        <v>1.8333333333333333</v>
      </c>
      <c r="E9" s="5">
        <f t="shared" ref="E9:E54" ca="1" si="1">D9*($E$2+$E$3)</f>
        <v>40.333333333333329</v>
      </c>
    </row>
    <row r="10" spans="1:5" x14ac:dyDescent="0.25">
      <c r="A10">
        <v>110230</v>
      </c>
      <c r="B10" t="s">
        <v>1</v>
      </c>
      <c r="C10">
        <f>'[1]VENTAS CONSOLIDADA ZULIA'!C10</f>
        <v>23</v>
      </c>
      <c r="D10" s="5">
        <f t="shared" ca="1" si="0"/>
        <v>3.8333333333333335</v>
      </c>
      <c r="E10" s="5">
        <f t="shared" ca="1" si="1"/>
        <v>84.333333333333343</v>
      </c>
    </row>
    <row r="11" spans="1:5" x14ac:dyDescent="0.25">
      <c r="A11">
        <v>110400</v>
      </c>
      <c r="B11" t="s">
        <v>13</v>
      </c>
      <c r="C11">
        <f>'[1]VENTAS CONSOLIDADA ZULIA'!C11</f>
        <v>11</v>
      </c>
      <c r="D11" s="5">
        <f t="shared" ca="1" si="0"/>
        <v>1.8333333333333333</v>
      </c>
      <c r="E11" s="5">
        <f t="shared" ca="1" si="1"/>
        <v>40.333333333333329</v>
      </c>
    </row>
    <row r="12" spans="1:5" x14ac:dyDescent="0.25">
      <c r="A12">
        <v>111000</v>
      </c>
      <c r="B12" t="s">
        <v>14</v>
      </c>
      <c r="C12">
        <f>'[1]VENTAS CONSOLIDADA ZULIA'!C12</f>
        <v>3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ZULIA'!C13</f>
        <v>42</v>
      </c>
      <c r="D13" s="5">
        <f t="shared" ca="1" si="0"/>
        <v>7</v>
      </c>
      <c r="E13" s="5">
        <f t="shared" ca="1" si="1"/>
        <v>154</v>
      </c>
    </row>
    <row r="14" spans="1:5" x14ac:dyDescent="0.25">
      <c r="A14">
        <v>120131</v>
      </c>
      <c r="B14" t="s">
        <v>23</v>
      </c>
      <c r="C14">
        <f>'[1]VENTAS CONSOLIDADA ZULIA'!C14</f>
        <v>67</v>
      </c>
      <c r="D14" s="5">
        <f t="shared" ca="1" si="0"/>
        <v>11.166666666666666</v>
      </c>
      <c r="E14" s="5">
        <f t="shared" ca="1" si="1"/>
        <v>245.66666666666666</v>
      </c>
    </row>
    <row r="15" spans="1:5" x14ac:dyDescent="0.25">
      <c r="A15">
        <v>120132</v>
      </c>
      <c r="B15" t="s">
        <v>21</v>
      </c>
      <c r="C15">
        <f>'[1]VENTAS CONSOLIDADA ZULIA'!C15</f>
        <v>53</v>
      </c>
      <c r="D15" s="5">
        <f t="shared" ca="1" si="0"/>
        <v>8.8333333333333339</v>
      </c>
      <c r="E15" s="5">
        <f t="shared" ca="1" si="1"/>
        <v>194.33333333333334</v>
      </c>
    </row>
    <row r="16" spans="1:5" x14ac:dyDescent="0.25">
      <c r="A16">
        <v>130150</v>
      </c>
      <c r="B16" t="s">
        <v>0</v>
      </c>
      <c r="C16">
        <f>'[1]VENTAS CONSOLIDADA ZULIA'!C16</f>
        <v>130</v>
      </c>
      <c r="D16" s="5">
        <f t="shared" ca="1" si="0"/>
        <v>21.666666666666668</v>
      </c>
      <c r="E16" s="5">
        <f t="shared" ca="1" si="1"/>
        <v>476.66666666666669</v>
      </c>
    </row>
    <row r="17" spans="1:5" x14ac:dyDescent="0.25">
      <c r="A17">
        <v>130151</v>
      </c>
      <c r="B17" t="s">
        <v>4</v>
      </c>
      <c r="C17">
        <f>'[1]VENTAS CONSOLIDADA ZULIA'!C17</f>
        <v>5</v>
      </c>
      <c r="D17" s="5">
        <f t="shared" ca="1" si="0"/>
        <v>0.83333333333333337</v>
      </c>
      <c r="E17" s="5">
        <f t="shared" ca="1" si="1"/>
        <v>18.333333333333336</v>
      </c>
    </row>
    <row r="18" spans="1:5" x14ac:dyDescent="0.25">
      <c r="A18">
        <v>130152</v>
      </c>
      <c r="B18" t="s">
        <v>51</v>
      </c>
      <c r="C18">
        <f>'[1]VENTAS CONSOLIDADA ZULIA'!C18</f>
        <v>341</v>
      </c>
      <c r="D18" s="5">
        <f t="shared" ca="1" si="0"/>
        <v>56.833333333333336</v>
      </c>
      <c r="E18" s="5">
        <f t="shared" ca="1" si="1"/>
        <v>1250.3333333333335</v>
      </c>
    </row>
    <row r="19" spans="1:5" x14ac:dyDescent="0.25">
      <c r="A19">
        <v>130153</v>
      </c>
      <c r="B19" t="s">
        <v>52</v>
      </c>
      <c r="C19">
        <f>'[1]VENTAS CONSOLIDADA ZULIA'!C19</f>
        <v>238</v>
      </c>
      <c r="D19" s="5">
        <f t="shared" ca="1" si="0"/>
        <v>39.666666666666664</v>
      </c>
      <c r="E19" s="5">
        <f t="shared" ca="1" si="1"/>
        <v>872.66666666666663</v>
      </c>
    </row>
    <row r="20" spans="1:5" x14ac:dyDescent="0.25">
      <c r="A20">
        <v>130154</v>
      </c>
      <c r="B20" t="s">
        <v>53</v>
      </c>
      <c r="C20">
        <f>'[1]VENTAS CONSOLIDADA ZULIA'!C20</f>
        <v>173</v>
      </c>
      <c r="D20" s="5">
        <f t="shared" ca="1" si="0"/>
        <v>28.833333333333332</v>
      </c>
      <c r="E20" s="5">
        <f t="shared" ca="1" si="1"/>
        <v>634.33333333333326</v>
      </c>
    </row>
    <row r="21" spans="1:5" x14ac:dyDescent="0.25">
      <c r="A21">
        <v>130155</v>
      </c>
      <c r="B21" t="s">
        <v>16</v>
      </c>
      <c r="C21">
        <f>'[1]VENTAS CONSOLIDADA ZULIA'!C21</f>
        <v>267</v>
      </c>
      <c r="D21" s="5">
        <f t="shared" ca="1" si="0"/>
        <v>44.5</v>
      </c>
      <c r="E21" s="5">
        <f t="shared" ca="1" si="1"/>
        <v>979</v>
      </c>
    </row>
    <row r="22" spans="1:5" x14ac:dyDescent="0.25">
      <c r="A22">
        <v>130157</v>
      </c>
      <c r="B22" t="s">
        <v>43</v>
      </c>
      <c r="C22">
        <f>'[1]VENTAS CONSOLIDADA ZULIA'!C22</f>
        <v>74</v>
      </c>
      <c r="D22" s="5">
        <f t="shared" ca="1" si="0"/>
        <v>12.333333333333334</v>
      </c>
      <c r="E22" s="5">
        <f t="shared" ca="1" si="1"/>
        <v>271.33333333333337</v>
      </c>
    </row>
    <row r="23" spans="1:5" x14ac:dyDescent="0.25">
      <c r="A23">
        <v>130158</v>
      </c>
      <c r="B23" t="s">
        <v>44</v>
      </c>
      <c r="C23">
        <f>'[1]VENTAS CONSOLIDADA ZULIA'!C23</f>
        <v>106</v>
      </c>
      <c r="D23" s="5">
        <f t="shared" ca="1" si="0"/>
        <v>17.666666666666668</v>
      </c>
      <c r="E23" s="5">
        <f t="shared" ca="1" si="1"/>
        <v>388.66666666666669</v>
      </c>
    </row>
    <row r="24" spans="1:5" x14ac:dyDescent="0.25">
      <c r="A24">
        <v>130159</v>
      </c>
      <c r="B24" t="s">
        <v>45</v>
      </c>
      <c r="C24">
        <f>'[1]VENTAS CONSOLIDADA ZULIA'!C24</f>
        <v>135</v>
      </c>
      <c r="D24" s="5">
        <f t="shared" ca="1" si="0"/>
        <v>22.5</v>
      </c>
      <c r="E24" s="5">
        <f t="shared" ca="1" si="1"/>
        <v>495</v>
      </c>
    </row>
    <row r="25" spans="1:5" x14ac:dyDescent="0.25">
      <c r="A25">
        <v>130700</v>
      </c>
      <c r="B25" t="s">
        <v>3</v>
      </c>
      <c r="C25">
        <f>'[1]VENTAS CONSOLIDADA ZULIA'!C25</f>
        <v>23</v>
      </c>
      <c r="D25" s="5">
        <f t="shared" ca="1" si="0"/>
        <v>3.8333333333333335</v>
      </c>
      <c r="E25" s="5">
        <f t="shared" ca="1" si="1"/>
        <v>84.333333333333343</v>
      </c>
    </row>
    <row r="26" spans="1:5" x14ac:dyDescent="0.25">
      <c r="A26">
        <v>130701</v>
      </c>
      <c r="B26" t="s">
        <v>30</v>
      </c>
      <c r="C26">
        <f>'[1]VENTAS CONSOLIDADA ZULIA'!C26</f>
        <v>12</v>
      </c>
      <c r="D26" s="5">
        <f t="shared" ca="1" si="0"/>
        <v>2</v>
      </c>
      <c r="E26" s="5">
        <f t="shared" ca="1" si="1"/>
        <v>44</v>
      </c>
    </row>
    <row r="27" spans="1:5" x14ac:dyDescent="0.25">
      <c r="A27">
        <v>130702</v>
      </c>
      <c r="B27" t="s">
        <v>12</v>
      </c>
      <c r="C27">
        <f>'[1]VENTAS CONSOLIDADA ZULIA'!C27</f>
        <v>41</v>
      </c>
      <c r="D27" s="5">
        <f t="shared" ca="1" si="0"/>
        <v>6.833333333333333</v>
      </c>
      <c r="E27" s="5">
        <f t="shared" ca="1" si="1"/>
        <v>150.33333333333331</v>
      </c>
    </row>
    <row r="28" spans="1:5" x14ac:dyDescent="0.25">
      <c r="A28">
        <v>130703</v>
      </c>
      <c r="B28" t="s">
        <v>17</v>
      </c>
      <c r="C28">
        <f>'[1]VENTAS CONSOLIDADA ZULIA'!C28</f>
        <v>69</v>
      </c>
      <c r="D28" s="5">
        <f t="shared" ca="1" si="0"/>
        <v>11.5</v>
      </c>
      <c r="E28" s="5">
        <f t="shared" ca="1" si="1"/>
        <v>253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69</v>
      </c>
      <c r="D30" s="5">
        <f t="shared" ca="1" si="0"/>
        <v>11.5</v>
      </c>
      <c r="E30" s="5">
        <f t="shared" ca="1" si="1"/>
        <v>253</v>
      </c>
    </row>
    <row r="31" spans="1:5" x14ac:dyDescent="0.25">
      <c r="A31">
        <v>131151</v>
      </c>
      <c r="B31" t="s">
        <v>19</v>
      </c>
      <c r="C31">
        <f>'[1]VENTAS CONSOLIDADA ZULIA'!C31</f>
        <v>169</v>
      </c>
      <c r="D31" s="5">
        <f t="shared" ca="1" si="0"/>
        <v>28.166666666666668</v>
      </c>
      <c r="E31" s="5">
        <f t="shared" ca="1" si="1"/>
        <v>619.66666666666674</v>
      </c>
    </row>
    <row r="32" spans="1:5" x14ac:dyDescent="0.25">
      <c r="A32">
        <v>131152</v>
      </c>
      <c r="B32" t="s">
        <v>32</v>
      </c>
      <c r="C32">
        <f>'[1]VENTAS CONSOLIDADA ZULIA'!C32</f>
        <v>42</v>
      </c>
      <c r="D32" s="5">
        <f t="shared" ca="1" si="0"/>
        <v>7</v>
      </c>
      <c r="E32" s="5">
        <f t="shared" ca="1" si="1"/>
        <v>154</v>
      </c>
    </row>
    <row r="33" spans="1:5" x14ac:dyDescent="0.25">
      <c r="A33">
        <v>131153</v>
      </c>
      <c r="B33" t="s">
        <v>11</v>
      </c>
      <c r="C33">
        <f>'[1]VENTAS CONSOLIDADA ZULIA'!C33</f>
        <v>155</v>
      </c>
      <c r="D33" s="5">
        <f t="shared" ca="1" si="0"/>
        <v>25.833333333333332</v>
      </c>
      <c r="E33" s="5">
        <f t="shared" ca="1" si="1"/>
        <v>568.33333333333326</v>
      </c>
    </row>
    <row r="34" spans="1:5" x14ac:dyDescent="0.25">
      <c r="A34">
        <v>131154</v>
      </c>
      <c r="B34" t="s">
        <v>48</v>
      </c>
      <c r="C34">
        <f>'[1]VENTAS CONSOLIDADA ZULIA'!C34</f>
        <v>22</v>
      </c>
      <c r="D34" s="5">
        <f t="shared" ca="1" si="0"/>
        <v>3.6666666666666665</v>
      </c>
      <c r="E34" s="5">
        <f t="shared" ca="1" si="1"/>
        <v>80.666666666666657</v>
      </c>
    </row>
    <row r="35" spans="1:5" x14ac:dyDescent="0.25">
      <c r="A35">
        <v>131155</v>
      </c>
      <c r="B35" t="s">
        <v>57</v>
      </c>
      <c r="C35">
        <f>'[1]VENTAS CONSOLIDADA ZULIA'!C35</f>
        <v>31</v>
      </c>
      <c r="D35" s="5">
        <f t="shared" ca="1" si="0"/>
        <v>5.166666666666667</v>
      </c>
      <c r="E35" s="5">
        <f t="shared" ca="1" si="1"/>
        <v>113.66666666666667</v>
      </c>
    </row>
    <row r="36" spans="1:5" x14ac:dyDescent="0.25">
      <c r="A36">
        <v>131700</v>
      </c>
      <c r="B36" t="s">
        <v>20</v>
      </c>
      <c r="C36">
        <f>'[1]VENTAS CONSOLIDADA ZULIA'!C36</f>
        <v>11</v>
      </c>
      <c r="D36" s="5">
        <f t="shared" ca="1" si="0"/>
        <v>1.8333333333333333</v>
      </c>
      <c r="E36" s="5">
        <f t="shared" ca="1" si="1"/>
        <v>40.333333333333329</v>
      </c>
    </row>
    <row r="37" spans="1:5" x14ac:dyDescent="0.25">
      <c r="A37">
        <v>131701</v>
      </c>
      <c r="B37" t="s">
        <v>24</v>
      </c>
      <c r="C37">
        <f>'[1]VENTAS CONSOLIDADA ZULIA'!C37</f>
        <v>33</v>
      </c>
      <c r="D37" s="5">
        <f t="shared" ca="1" si="0"/>
        <v>5.5</v>
      </c>
      <c r="E37" s="5">
        <f t="shared" ca="1" si="1"/>
        <v>121</v>
      </c>
    </row>
    <row r="38" spans="1:5" x14ac:dyDescent="0.25">
      <c r="A38">
        <v>132150</v>
      </c>
      <c r="B38" t="s">
        <v>25</v>
      </c>
      <c r="C38">
        <f>'[1]VENTAS CONSOLIDADA ZULIA'!C38</f>
        <v>190</v>
      </c>
      <c r="D38" s="5">
        <f t="shared" ca="1" si="0"/>
        <v>31.666666666666668</v>
      </c>
      <c r="E38" s="5">
        <f t="shared" ca="1" si="1"/>
        <v>696.66666666666674</v>
      </c>
    </row>
    <row r="39" spans="1:5" x14ac:dyDescent="0.25">
      <c r="A39">
        <v>132151</v>
      </c>
      <c r="B39" t="s">
        <v>26</v>
      </c>
      <c r="C39">
        <f>'[1]VENTAS CONSOLIDADA ZULIA'!C39</f>
        <v>159</v>
      </c>
      <c r="D39" s="5">
        <f t="shared" ca="1" si="0"/>
        <v>26.5</v>
      </c>
      <c r="E39" s="5">
        <f t="shared" ca="1" si="1"/>
        <v>583</v>
      </c>
    </row>
    <row r="40" spans="1:5" x14ac:dyDescent="0.25">
      <c r="A40">
        <v>132152</v>
      </c>
      <c r="B40" t="s">
        <v>27</v>
      </c>
      <c r="C40">
        <f>'[1]VENTAS CONSOLIDADA ZULIA'!C40</f>
        <v>166</v>
      </c>
      <c r="D40" s="5">
        <f t="shared" ca="1" si="0"/>
        <v>27.666666666666668</v>
      </c>
      <c r="E40" s="5">
        <f t="shared" ca="1" si="1"/>
        <v>608.66666666666674</v>
      </c>
    </row>
    <row r="41" spans="1:5" x14ac:dyDescent="0.25">
      <c r="A41">
        <v>132153</v>
      </c>
      <c r="B41" t="s">
        <v>40</v>
      </c>
      <c r="C41">
        <f>'[1]VENTAS CONSOLIDADA ZULIA'!C41</f>
        <v>107</v>
      </c>
      <c r="D41" s="5">
        <f t="shared" ca="1" si="0"/>
        <v>17.833333333333332</v>
      </c>
      <c r="E41" s="5">
        <f t="shared" ca="1" si="1"/>
        <v>392.33333333333331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27</v>
      </c>
      <c r="D44" s="5">
        <f t="shared" ca="1" si="0"/>
        <v>4.5</v>
      </c>
      <c r="E44" s="5">
        <f t="shared" ca="1" si="1"/>
        <v>99</v>
      </c>
    </row>
    <row r="45" spans="1:5" x14ac:dyDescent="0.25">
      <c r="A45">
        <v>140231</v>
      </c>
      <c r="B45" t="s">
        <v>10</v>
      </c>
      <c r="C45">
        <f>'[1]VENTAS CONSOLIDADA ZULIA'!C45</f>
        <v>79</v>
      </c>
      <c r="D45" s="5">
        <f t="shared" ca="1" si="0"/>
        <v>13.166666666666666</v>
      </c>
      <c r="E45" s="5">
        <f t="shared" ca="1" si="1"/>
        <v>289.66666666666663</v>
      </c>
    </row>
    <row r="46" spans="1:5" x14ac:dyDescent="0.25">
      <c r="A46">
        <v>140232</v>
      </c>
      <c r="B46" t="s">
        <v>9</v>
      </c>
      <c r="C46">
        <f>'[1]VENTAS CONSOLIDADA ZULIA'!C46</f>
        <v>7</v>
      </c>
      <c r="D46" s="5">
        <f t="shared" ca="1" si="0"/>
        <v>1.1666666666666667</v>
      </c>
      <c r="E46" s="5">
        <f t="shared" ca="1" si="1"/>
        <v>25.666666666666668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3.8333333333333335</v>
      </c>
      <c r="E47" s="5">
        <f t="shared" ca="1" si="1"/>
        <v>84.333333333333343</v>
      </c>
    </row>
    <row r="48" spans="1:5" x14ac:dyDescent="0.25">
      <c r="A48">
        <v>150361</v>
      </c>
      <c r="B48" t="s">
        <v>29</v>
      </c>
      <c r="C48">
        <f>'[1]VENTAS CONSOLIDADA ZULIA'!C48</f>
        <v>29</v>
      </c>
      <c r="D48" s="5">
        <f t="shared" ca="1" si="0"/>
        <v>4.833333333333333</v>
      </c>
      <c r="E48" s="5">
        <f t="shared" ca="1" si="1"/>
        <v>106.33333333333333</v>
      </c>
    </row>
    <row r="49" spans="1:5" x14ac:dyDescent="0.25">
      <c r="A49">
        <v>150362</v>
      </c>
      <c r="B49" t="s">
        <v>36</v>
      </c>
      <c r="C49">
        <f>'[1]VENTAS CONSOLIDADA ZULIA'!C49</f>
        <v>61</v>
      </c>
      <c r="D49" s="5">
        <f t="shared" ca="1" si="0"/>
        <v>10.166666666666666</v>
      </c>
      <c r="E49" s="5">
        <f t="shared" ca="1" si="1"/>
        <v>223.66666666666666</v>
      </c>
    </row>
    <row r="50" spans="1:5" x14ac:dyDescent="0.25">
      <c r="A50">
        <v>150363</v>
      </c>
      <c r="B50" t="s">
        <v>31</v>
      </c>
      <c r="C50">
        <f>'[1]VENTAS CONSOLIDADA ZULIA'!C50</f>
        <v>55</v>
      </c>
      <c r="D50" s="5">
        <f t="shared" ca="1" si="0"/>
        <v>9.1666666666666661</v>
      </c>
      <c r="E50" s="5">
        <f t="shared" ca="1" si="1"/>
        <v>201.66666666666666</v>
      </c>
    </row>
    <row r="51" spans="1:5" x14ac:dyDescent="0.25">
      <c r="A51">
        <v>151500</v>
      </c>
      <c r="B51" t="s">
        <v>41</v>
      </c>
      <c r="C51">
        <f>'[1]VENTAS CONSOLIDADA ZULIA'!C51</f>
        <v>12</v>
      </c>
      <c r="D51" s="5">
        <f t="shared" ca="1" si="0"/>
        <v>2</v>
      </c>
      <c r="E51" s="5">
        <f t="shared" ca="1" si="1"/>
        <v>44</v>
      </c>
    </row>
    <row r="52" spans="1:5" x14ac:dyDescent="0.25">
      <c r="A52">
        <v>151501</v>
      </c>
      <c r="B52" t="s">
        <v>33</v>
      </c>
      <c r="C52">
        <f>'[1]VENTAS CONSOLIDADA ZULIA'!C52</f>
        <v>12</v>
      </c>
      <c r="D52" s="5">
        <f t="shared" ca="1" si="0"/>
        <v>2</v>
      </c>
      <c r="E52" s="5">
        <f t="shared" ca="1" si="1"/>
        <v>44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3.5</v>
      </c>
      <c r="E53" s="5">
        <f t="shared" ca="1" si="1"/>
        <v>77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2</v>
      </c>
      <c r="E54" s="5">
        <f t="shared" ca="1" si="1"/>
        <v>44</v>
      </c>
    </row>
    <row r="55" spans="1:5" x14ac:dyDescent="0.25">
      <c r="D55" s="5">
        <f ca="1">SUM(D8:D54)</f>
        <v>576.16666666666663</v>
      </c>
      <c r="E55" s="5">
        <f ca="1">SUM(E8:E54)</f>
        <v>12675.666666666664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46274</v>
      </c>
      <c r="E2" s="4">
        <f ca="1">'[1]VENTAS CONSOLIDADA VALENCIA'!E2</f>
        <v>6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1500</v>
      </c>
      <c r="D8" s="5">
        <f t="shared" ref="D8:D54" ca="1" si="0">C8/$E$2</f>
        <v>250</v>
      </c>
      <c r="E8" s="5">
        <f ca="1">D8*($E$2+$E$3)</f>
        <v>5500</v>
      </c>
    </row>
    <row r="9" spans="1:5" x14ac:dyDescent="0.25">
      <c r="A9">
        <v>110151</v>
      </c>
      <c r="B9" t="s">
        <v>5</v>
      </c>
      <c r="C9">
        <f>'[1]VENTAS CONSOLIDADA VALENCIA'!C9</f>
        <v>227</v>
      </c>
      <c r="D9" s="5">
        <f t="shared" ca="1" si="0"/>
        <v>37.833333333333336</v>
      </c>
      <c r="E9" s="5">
        <f t="shared" ref="E9:E54" ca="1" si="1">D9*($E$2+$E$3)</f>
        <v>832.33333333333337</v>
      </c>
    </row>
    <row r="10" spans="1:5" x14ac:dyDescent="0.25">
      <c r="A10">
        <v>110230</v>
      </c>
      <c r="B10" t="s">
        <v>1</v>
      </c>
      <c r="C10">
        <f>'[1]VENTAS CONSOLIDADA VALENCIA'!C10</f>
        <v>533</v>
      </c>
      <c r="D10" s="5">
        <f t="shared" ca="1" si="0"/>
        <v>88.833333333333329</v>
      </c>
      <c r="E10" s="5">
        <f t="shared" ca="1" si="1"/>
        <v>1954.3333333333333</v>
      </c>
    </row>
    <row r="11" spans="1:5" x14ac:dyDescent="0.25">
      <c r="A11">
        <v>110400</v>
      </c>
      <c r="B11" t="s">
        <v>13</v>
      </c>
      <c r="C11">
        <f>'[1]VENTAS CONSOLIDADA VALENCIA'!C11</f>
        <v>172</v>
      </c>
      <c r="D11" s="5">
        <f t="shared" ca="1" si="0"/>
        <v>28.666666666666668</v>
      </c>
      <c r="E11" s="5">
        <f t="shared" ca="1" si="1"/>
        <v>630.66666666666674</v>
      </c>
    </row>
    <row r="12" spans="1:5" x14ac:dyDescent="0.25">
      <c r="A12">
        <v>111000</v>
      </c>
      <c r="B12" t="s">
        <v>14</v>
      </c>
      <c r="C12">
        <f>'[1]VENTAS CONSOLIDADA VALENCIA'!C12</f>
        <v>9</v>
      </c>
      <c r="D12" s="5">
        <f t="shared" ca="1" si="0"/>
        <v>1.5</v>
      </c>
      <c r="E12" s="5">
        <f t="shared" ca="1" si="1"/>
        <v>33</v>
      </c>
    </row>
    <row r="13" spans="1:5" x14ac:dyDescent="0.25">
      <c r="A13">
        <v>120130</v>
      </c>
      <c r="B13" t="s">
        <v>15</v>
      </c>
      <c r="C13">
        <f>'[1]VENTAS CONSOLIDADA VALENCIA'!C13</f>
        <v>2146</v>
      </c>
      <c r="D13" s="5">
        <f t="shared" ca="1" si="0"/>
        <v>357.66666666666669</v>
      </c>
      <c r="E13" s="5">
        <f t="shared" ca="1" si="1"/>
        <v>7868.666666666667</v>
      </c>
    </row>
    <row r="14" spans="1:5" x14ac:dyDescent="0.25">
      <c r="A14">
        <v>120131</v>
      </c>
      <c r="B14" t="s">
        <v>23</v>
      </c>
      <c r="C14">
        <f>'[1]VENTAS CONSOLIDADA VALENCIA'!C14</f>
        <v>273</v>
      </c>
      <c r="D14" s="5">
        <f t="shared" ca="1" si="0"/>
        <v>45.5</v>
      </c>
      <c r="E14" s="5">
        <f t="shared" ca="1" si="1"/>
        <v>1001</v>
      </c>
    </row>
    <row r="15" spans="1:5" x14ac:dyDescent="0.25">
      <c r="A15">
        <v>120132</v>
      </c>
      <c r="B15" t="s">
        <v>21</v>
      </c>
      <c r="C15">
        <f>'[1]VENTAS CONSOLIDADA VALENCIA'!C15</f>
        <v>692</v>
      </c>
      <c r="D15" s="5">
        <f t="shared" ca="1" si="0"/>
        <v>115.33333333333333</v>
      </c>
      <c r="E15" s="5">
        <f t="shared" ca="1" si="1"/>
        <v>2537.333333333333</v>
      </c>
    </row>
    <row r="16" spans="1:5" x14ac:dyDescent="0.25">
      <c r="A16">
        <v>130150</v>
      </c>
      <c r="B16" t="s">
        <v>0</v>
      </c>
      <c r="C16">
        <f>'[1]VENTAS CONSOLIDADA VALENCIA'!C16</f>
        <v>1984</v>
      </c>
      <c r="D16" s="5">
        <f t="shared" ca="1" si="0"/>
        <v>330.66666666666669</v>
      </c>
      <c r="E16" s="5">
        <f t="shared" ca="1" si="1"/>
        <v>7274.666666666667</v>
      </c>
    </row>
    <row r="17" spans="1:5" x14ac:dyDescent="0.25">
      <c r="A17">
        <v>130151</v>
      </c>
      <c r="B17" t="s">
        <v>4</v>
      </c>
      <c r="C17">
        <f>'[1]VENTAS CONSOLIDADA VALENCIA'!C17</f>
        <v>810</v>
      </c>
      <c r="D17" s="5">
        <f t="shared" ca="1" si="0"/>
        <v>135</v>
      </c>
      <c r="E17" s="5">
        <f t="shared" ca="1" si="1"/>
        <v>2970</v>
      </c>
    </row>
    <row r="18" spans="1:5" x14ac:dyDescent="0.25">
      <c r="A18">
        <v>130152</v>
      </c>
      <c r="B18" t="s">
        <v>51</v>
      </c>
      <c r="C18">
        <f>'[1]VENTAS CONSOLIDADA VALENCIA'!C18</f>
        <v>5434</v>
      </c>
      <c r="D18" s="5">
        <f t="shared" ca="1" si="0"/>
        <v>905.66666666666663</v>
      </c>
      <c r="E18" s="5">
        <f t="shared" ca="1" si="1"/>
        <v>19924.666666666664</v>
      </c>
    </row>
    <row r="19" spans="1:5" x14ac:dyDescent="0.25">
      <c r="A19">
        <v>130153</v>
      </c>
      <c r="B19" t="s">
        <v>52</v>
      </c>
      <c r="C19">
        <f>'[1]VENTAS CONSOLIDADA VALENCIA'!C19</f>
        <v>3596</v>
      </c>
      <c r="D19" s="5">
        <f t="shared" ca="1" si="0"/>
        <v>599.33333333333337</v>
      </c>
      <c r="E19" s="5">
        <f t="shared" ca="1" si="1"/>
        <v>13185.333333333334</v>
      </c>
    </row>
    <row r="20" spans="1:5" x14ac:dyDescent="0.25">
      <c r="A20">
        <v>130154</v>
      </c>
      <c r="B20" t="s">
        <v>53</v>
      </c>
      <c r="C20">
        <f>'[1]VENTAS CONSOLIDADA VALENCIA'!C20</f>
        <v>4079</v>
      </c>
      <c r="D20" s="5">
        <f t="shared" ca="1" si="0"/>
        <v>679.83333333333337</v>
      </c>
      <c r="E20" s="5">
        <f t="shared" ca="1" si="1"/>
        <v>14956.333333333334</v>
      </c>
    </row>
    <row r="21" spans="1:5" x14ac:dyDescent="0.25">
      <c r="A21">
        <v>130155</v>
      </c>
      <c r="B21" t="s">
        <v>16</v>
      </c>
      <c r="C21">
        <f>'[1]VENTAS CONSOLIDADA VALENCIA'!C21</f>
        <v>4054</v>
      </c>
      <c r="D21" s="5">
        <f t="shared" ca="1" si="0"/>
        <v>675.66666666666663</v>
      </c>
      <c r="E21" s="5">
        <f t="shared" ca="1" si="1"/>
        <v>14864.666666666666</v>
      </c>
    </row>
    <row r="22" spans="1:5" x14ac:dyDescent="0.25">
      <c r="A22">
        <v>130157</v>
      </c>
      <c r="B22" t="s">
        <v>43</v>
      </c>
      <c r="C22">
        <f>'[1]VENTAS CONSOLIDADA VALENCIA'!C22</f>
        <v>1086</v>
      </c>
      <c r="D22" s="5">
        <f t="shared" ca="1" si="0"/>
        <v>181</v>
      </c>
      <c r="E22" s="5">
        <f t="shared" ca="1" si="1"/>
        <v>3982</v>
      </c>
    </row>
    <row r="23" spans="1:5" x14ac:dyDescent="0.25">
      <c r="A23">
        <v>130158</v>
      </c>
      <c r="B23" t="s">
        <v>44</v>
      </c>
      <c r="C23">
        <f>'[1]VENTAS CONSOLIDADA VALENCIA'!C23</f>
        <v>1738</v>
      </c>
      <c r="D23" s="5">
        <f t="shared" ca="1" si="0"/>
        <v>289.66666666666669</v>
      </c>
      <c r="E23" s="5">
        <f t="shared" ca="1" si="1"/>
        <v>6372.666666666667</v>
      </c>
    </row>
    <row r="24" spans="1:5" x14ac:dyDescent="0.25">
      <c r="A24">
        <v>130159</v>
      </c>
      <c r="B24" t="s">
        <v>45</v>
      </c>
      <c r="C24">
        <f>'[1]VENTAS CONSOLIDADA VALENCIA'!C24</f>
        <v>1634</v>
      </c>
      <c r="D24" s="5">
        <f t="shared" ca="1" si="0"/>
        <v>272.33333333333331</v>
      </c>
      <c r="E24" s="5">
        <f t="shared" ca="1" si="1"/>
        <v>5991.333333333333</v>
      </c>
    </row>
    <row r="25" spans="1:5" x14ac:dyDescent="0.25">
      <c r="A25">
        <v>130700</v>
      </c>
      <c r="B25" t="s">
        <v>3</v>
      </c>
      <c r="C25">
        <f>'[1]VENTAS CONSOLIDADA VALENCIA'!C25</f>
        <v>680</v>
      </c>
      <c r="D25" s="5">
        <f t="shared" ca="1" si="0"/>
        <v>113.33333333333333</v>
      </c>
      <c r="E25" s="5">
        <f t="shared" ca="1" si="1"/>
        <v>2493.333333333333</v>
      </c>
    </row>
    <row r="26" spans="1:5" x14ac:dyDescent="0.25">
      <c r="A26">
        <v>130701</v>
      </c>
      <c r="B26" t="s">
        <v>30</v>
      </c>
      <c r="C26">
        <f>'[1]VENTAS CONSOLIDADA VALENCIA'!C26</f>
        <v>357</v>
      </c>
      <c r="D26" s="5">
        <f t="shared" ca="1" si="0"/>
        <v>59.5</v>
      </c>
      <c r="E26" s="5">
        <f t="shared" ca="1" si="1"/>
        <v>1309</v>
      </c>
    </row>
    <row r="27" spans="1:5" x14ac:dyDescent="0.25">
      <c r="A27">
        <v>130702</v>
      </c>
      <c r="B27" t="s">
        <v>12</v>
      </c>
      <c r="C27">
        <f>'[1]VENTAS CONSOLIDADA VALENCIA'!C27</f>
        <v>1028</v>
      </c>
      <c r="D27" s="5">
        <f t="shared" ca="1" si="0"/>
        <v>171.33333333333334</v>
      </c>
      <c r="E27" s="5">
        <f t="shared" ca="1" si="1"/>
        <v>3769.3333333333335</v>
      </c>
    </row>
    <row r="28" spans="1:5" x14ac:dyDescent="0.25">
      <c r="A28">
        <v>130703</v>
      </c>
      <c r="B28" t="s">
        <v>17</v>
      </c>
      <c r="C28">
        <f>'[1]VENTAS CONSOLIDADA VALENCIA'!C28</f>
        <v>1580</v>
      </c>
      <c r="D28" s="5">
        <f t="shared" ca="1" si="0"/>
        <v>263.33333333333331</v>
      </c>
      <c r="E28" s="5">
        <f t="shared" ca="1" si="1"/>
        <v>5793.333333333333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947</v>
      </c>
      <c r="D30" s="5">
        <f t="shared" ca="1" si="0"/>
        <v>157.83333333333334</v>
      </c>
      <c r="E30" s="5">
        <f t="shared" ca="1" si="1"/>
        <v>3472.3333333333335</v>
      </c>
    </row>
    <row r="31" spans="1:5" x14ac:dyDescent="0.25">
      <c r="A31">
        <v>131151</v>
      </c>
      <c r="B31" t="s">
        <v>19</v>
      </c>
      <c r="C31">
        <f>'[1]VENTAS CONSOLIDADA VALENCIA'!C31</f>
        <v>1222</v>
      </c>
      <c r="D31" s="5">
        <f t="shared" ca="1" si="0"/>
        <v>203.66666666666666</v>
      </c>
      <c r="E31" s="5">
        <f t="shared" ca="1" si="1"/>
        <v>4480.6666666666661</v>
      </c>
    </row>
    <row r="32" spans="1:5" x14ac:dyDescent="0.25">
      <c r="A32">
        <v>131152</v>
      </c>
      <c r="B32" t="s">
        <v>32</v>
      </c>
      <c r="C32">
        <f>'[1]VENTAS CONSOLIDADA VALENCIA'!C32</f>
        <v>561</v>
      </c>
      <c r="D32" s="5">
        <f t="shared" ca="1" si="0"/>
        <v>93.5</v>
      </c>
      <c r="E32" s="5">
        <f t="shared" ca="1" si="1"/>
        <v>2057</v>
      </c>
    </row>
    <row r="33" spans="1:5" x14ac:dyDescent="0.25">
      <c r="A33">
        <v>131153</v>
      </c>
      <c r="B33" t="s">
        <v>11</v>
      </c>
      <c r="C33">
        <f>'[1]VENTAS CONSOLIDADA VALENCIA'!C33</f>
        <v>434</v>
      </c>
      <c r="D33" s="5">
        <f t="shared" ca="1" si="0"/>
        <v>72.333333333333329</v>
      </c>
      <c r="E33" s="5">
        <f t="shared" ca="1" si="1"/>
        <v>1591.3333333333333</v>
      </c>
    </row>
    <row r="34" spans="1:5" x14ac:dyDescent="0.25">
      <c r="A34">
        <v>131154</v>
      </c>
      <c r="B34" t="s">
        <v>48</v>
      </c>
      <c r="C34">
        <f>'[1]VENTAS CONSOLIDADA VALENCIA'!C34</f>
        <v>373</v>
      </c>
      <c r="D34" s="5">
        <f t="shared" ca="1" si="0"/>
        <v>62.166666666666664</v>
      </c>
      <c r="E34" s="5">
        <f t="shared" ca="1" si="1"/>
        <v>1367.6666666666665</v>
      </c>
    </row>
    <row r="35" spans="1:5" x14ac:dyDescent="0.25">
      <c r="A35">
        <v>131155</v>
      </c>
      <c r="B35" t="s">
        <v>57</v>
      </c>
      <c r="C35">
        <f>'[1]VENTAS CONSOLIDADA VALENCIA'!C35</f>
        <v>426</v>
      </c>
      <c r="D35" s="5">
        <f t="shared" ca="1" si="0"/>
        <v>71</v>
      </c>
      <c r="E35" s="5">
        <f t="shared" ca="1" si="1"/>
        <v>1562</v>
      </c>
    </row>
    <row r="36" spans="1:5" x14ac:dyDescent="0.25">
      <c r="A36">
        <v>131700</v>
      </c>
      <c r="B36" t="s">
        <v>20</v>
      </c>
      <c r="C36">
        <f>'[1]VENTAS CONSOLIDADA VALENCIA'!C36</f>
        <v>206</v>
      </c>
      <c r="D36" s="5">
        <f t="shared" ca="1" si="0"/>
        <v>34.333333333333336</v>
      </c>
      <c r="E36" s="5">
        <f t="shared" ca="1" si="1"/>
        <v>755.33333333333337</v>
      </c>
    </row>
    <row r="37" spans="1:5" x14ac:dyDescent="0.25">
      <c r="A37">
        <v>131701</v>
      </c>
      <c r="B37" t="s">
        <v>24</v>
      </c>
      <c r="C37">
        <f>'[1]VENTAS CONSOLIDADA VALENCIA'!C37</f>
        <v>157</v>
      </c>
      <c r="D37" s="5">
        <f t="shared" ca="1" si="0"/>
        <v>26.166666666666668</v>
      </c>
      <c r="E37" s="5">
        <f t="shared" ca="1" si="1"/>
        <v>575.66666666666674</v>
      </c>
    </row>
    <row r="38" spans="1:5" x14ac:dyDescent="0.25">
      <c r="A38">
        <v>132150</v>
      </c>
      <c r="B38" t="s">
        <v>25</v>
      </c>
      <c r="C38">
        <f>'[1]VENTAS CONSOLIDADA VALENCIA'!C38</f>
        <v>1386</v>
      </c>
      <c r="D38" s="5">
        <f t="shared" ca="1" si="0"/>
        <v>231</v>
      </c>
      <c r="E38" s="5">
        <f t="shared" ca="1" si="1"/>
        <v>5082</v>
      </c>
    </row>
    <row r="39" spans="1:5" x14ac:dyDescent="0.25">
      <c r="A39">
        <v>132151</v>
      </c>
      <c r="B39" t="s">
        <v>26</v>
      </c>
      <c r="C39">
        <f>'[1]VENTAS CONSOLIDADA VALENCIA'!C39</f>
        <v>1021</v>
      </c>
      <c r="D39" s="5">
        <f t="shared" ca="1" si="0"/>
        <v>170.16666666666666</v>
      </c>
      <c r="E39" s="5">
        <f t="shared" ca="1" si="1"/>
        <v>3743.6666666666665</v>
      </c>
    </row>
    <row r="40" spans="1:5" x14ac:dyDescent="0.25">
      <c r="A40">
        <v>132152</v>
      </c>
      <c r="B40" t="s">
        <v>27</v>
      </c>
      <c r="C40">
        <f>'[1]VENTAS CONSOLIDADA VALENCIA'!C40</f>
        <v>1483</v>
      </c>
      <c r="D40" s="5">
        <f t="shared" ca="1" si="0"/>
        <v>247.16666666666666</v>
      </c>
      <c r="E40" s="5">
        <f t="shared" ca="1" si="1"/>
        <v>5437.6666666666661</v>
      </c>
    </row>
    <row r="41" spans="1:5" x14ac:dyDescent="0.25">
      <c r="A41">
        <v>132153</v>
      </c>
      <c r="B41" t="s">
        <v>40</v>
      </c>
      <c r="C41">
        <f>'[1]VENTAS CONSOLIDADA VALENCIA'!C41</f>
        <v>788</v>
      </c>
      <c r="D41" s="5">
        <f t="shared" ca="1" si="0"/>
        <v>131.33333333333334</v>
      </c>
      <c r="E41" s="5">
        <f t="shared" ca="1" si="1"/>
        <v>2889.3333333333335</v>
      </c>
    </row>
    <row r="42" spans="1:5" x14ac:dyDescent="0.25">
      <c r="A42">
        <v>134000</v>
      </c>
      <c r="B42" t="s">
        <v>35</v>
      </c>
      <c r="C42">
        <f>'[1]VENTAS CONSOLIDADA VALENCIA'!C42</f>
        <v>18</v>
      </c>
      <c r="D42" s="5">
        <f t="shared" ca="1" si="0"/>
        <v>3</v>
      </c>
      <c r="E42" s="5">
        <f t="shared" ca="1" si="1"/>
        <v>66</v>
      </c>
    </row>
    <row r="43" spans="1:5" x14ac:dyDescent="0.25">
      <c r="A43">
        <v>134001</v>
      </c>
      <c r="B43" t="s">
        <v>47</v>
      </c>
      <c r="C43">
        <f>'[1]VENTAS CONSOLIDADA VALENCIA'!C43</f>
        <v>6</v>
      </c>
      <c r="D43" s="5">
        <f t="shared" ca="1" si="0"/>
        <v>1</v>
      </c>
      <c r="E43" s="5">
        <f t="shared" ca="1" si="1"/>
        <v>22</v>
      </c>
    </row>
    <row r="44" spans="1:5" x14ac:dyDescent="0.25">
      <c r="A44">
        <v>140230</v>
      </c>
      <c r="B44" t="s">
        <v>18</v>
      </c>
      <c r="C44">
        <f>'[1]VENTAS CONSOLIDADA VALENCIA'!C44</f>
        <v>387</v>
      </c>
      <c r="D44" s="5">
        <f t="shared" ca="1" si="0"/>
        <v>64.5</v>
      </c>
      <c r="E44" s="5">
        <f t="shared" ca="1" si="1"/>
        <v>1419</v>
      </c>
    </row>
    <row r="45" spans="1:5" x14ac:dyDescent="0.25">
      <c r="A45">
        <v>140231</v>
      </c>
      <c r="B45" t="s">
        <v>10</v>
      </c>
      <c r="C45">
        <f>'[1]VENTAS CONSOLIDADA VALENCIA'!C45</f>
        <v>695</v>
      </c>
      <c r="D45" s="5">
        <f t="shared" ca="1" si="0"/>
        <v>115.83333333333333</v>
      </c>
      <c r="E45" s="5">
        <f t="shared" ca="1" si="1"/>
        <v>2548.333333333333</v>
      </c>
    </row>
    <row r="46" spans="1:5" x14ac:dyDescent="0.25">
      <c r="A46">
        <v>140232</v>
      </c>
      <c r="B46" t="s">
        <v>9</v>
      </c>
      <c r="C46">
        <f>'[1]VENTAS CONSOLIDADA VALENCIA'!C46</f>
        <v>1031</v>
      </c>
      <c r="D46" s="5">
        <f t="shared" ca="1" si="0"/>
        <v>171.83333333333334</v>
      </c>
      <c r="E46" s="5">
        <f t="shared" ca="1" si="1"/>
        <v>3780.3333333333335</v>
      </c>
    </row>
    <row r="47" spans="1:5" x14ac:dyDescent="0.25">
      <c r="A47">
        <v>150360</v>
      </c>
      <c r="B47" t="s">
        <v>28</v>
      </c>
      <c r="C47">
        <f>'[1]VENTAS CONSOLIDADA VALENCIA'!C47</f>
        <v>53</v>
      </c>
      <c r="D47" s="5">
        <f t="shared" ca="1" si="0"/>
        <v>8.8333333333333339</v>
      </c>
      <c r="E47" s="5">
        <f t="shared" ca="1" si="1"/>
        <v>194.33333333333334</v>
      </c>
    </row>
    <row r="48" spans="1:5" x14ac:dyDescent="0.25">
      <c r="A48">
        <v>150361</v>
      </c>
      <c r="B48" t="s">
        <v>29</v>
      </c>
      <c r="C48">
        <f>'[1]VENTAS CONSOLIDADA VALENCIA'!C48</f>
        <v>452</v>
      </c>
      <c r="D48" s="5">
        <f t="shared" ca="1" si="0"/>
        <v>75.333333333333329</v>
      </c>
      <c r="E48" s="5">
        <f t="shared" ca="1" si="1"/>
        <v>1657.3333333333333</v>
      </c>
    </row>
    <row r="49" spans="1:5" x14ac:dyDescent="0.25">
      <c r="A49">
        <v>150362</v>
      </c>
      <c r="B49" t="s">
        <v>36</v>
      </c>
      <c r="C49">
        <f>'[1]VENTAS CONSOLIDADA VALENCIA'!C49</f>
        <v>228</v>
      </c>
      <c r="D49" s="5">
        <f t="shared" ca="1" si="0"/>
        <v>38</v>
      </c>
      <c r="E49" s="5">
        <f t="shared" ca="1" si="1"/>
        <v>836</v>
      </c>
    </row>
    <row r="50" spans="1:5" x14ac:dyDescent="0.25">
      <c r="A50">
        <v>150363</v>
      </c>
      <c r="B50" t="s">
        <v>31</v>
      </c>
      <c r="C50">
        <f>'[1]VENTAS CONSOLIDADA VALENCIA'!C50</f>
        <v>348</v>
      </c>
      <c r="D50" s="5">
        <f t="shared" ca="1" si="0"/>
        <v>58</v>
      </c>
      <c r="E50" s="5">
        <f t="shared" ca="1" si="1"/>
        <v>1276</v>
      </c>
    </row>
    <row r="51" spans="1:5" x14ac:dyDescent="0.25">
      <c r="A51">
        <v>151500</v>
      </c>
      <c r="B51" t="s">
        <v>41</v>
      </c>
      <c r="C51">
        <f>'[1]VENTAS CONSOLIDADA VALENCIA'!C51</f>
        <v>54</v>
      </c>
      <c r="D51" s="5">
        <f t="shared" ca="1" si="0"/>
        <v>9</v>
      </c>
      <c r="E51" s="5">
        <f t="shared" ca="1" si="1"/>
        <v>198</v>
      </c>
    </row>
    <row r="52" spans="1:5" x14ac:dyDescent="0.25">
      <c r="A52">
        <v>151501</v>
      </c>
      <c r="B52" t="s">
        <v>33</v>
      </c>
      <c r="C52">
        <f>'[1]VENTAS CONSOLIDADA VALENCIA'!C52</f>
        <v>158</v>
      </c>
      <c r="D52" s="5">
        <f t="shared" ca="1" si="0"/>
        <v>26.333333333333332</v>
      </c>
      <c r="E52" s="5">
        <f t="shared" ca="1" si="1"/>
        <v>579.33333333333326</v>
      </c>
    </row>
    <row r="53" spans="1:5" x14ac:dyDescent="0.25">
      <c r="A53">
        <v>151502</v>
      </c>
      <c r="B53" t="s">
        <v>37</v>
      </c>
      <c r="C53">
        <f>'[1]VENTAS CONSOLIDADA VALENCIA'!C53</f>
        <v>25</v>
      </c>
      <c r="D53" s="5">
        <f t="shared" ca="1" si="0"/>
        <v>4.166666666666667</v>
      </c>
      <c r="E53" s="5">
        <f t="shared" ca="1" si="1"/>
        <v>91.666666666666671</v>
      </c>
    </row>
    <row r="54" spans="1:5" x14ac:dyDescent="0.25">
      <c r="A54">
        <v>151503</v>
      </c>
      <c r="B54" t="s">
        <v>34</v>
      </c>
      <c r="C54">
        <f>'[1]VENTAS CONSOLIDADA VALENCIA'!C54</f>
        <v>47</v>
      </c>
      <c r="D54" s="5">
        <f t="shared" ca="1" si="0"/>
        <v>7.833333333333333</v>
      </c>
      <c r="E54" s="5">
        <f t="shared" ca="1" si="1"/>
        <v>172.33333333333331</v>
      </c>
    </row>
    <row r="55" spans="1:5" x14ac:dyDescent="0.25">
      <c r="D55" s="5">
        <f ca="1">SUM(D8:D54)</f>
        <v>7686.3333333333312</v>
      </c>
      <c r="E55" s="5">
        <f ca="1">SUM(E8:E54)</f>
        <v>169099.33333333334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46274</v>
      </c>
      <c r="E2" s="4">
        <f ca="1">'[1]VENTAS CONSOLIDADA CARACAS'!E2</f>
        <v>6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16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3983</v>
      </c>
      <c r="D8" s="5">
        <f t="shared" ref="D8:D54" ca="1" si="0">C8/$E$2</f>
        <v>663.83333333333337</v>
      </c>
      <c r="E8" s="5">
        <f ca="1">D8*($E$2+$E$3)</f>
        <v>14604.333333333334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256</v>
      </c>
      <c r="D9" s="5">
        <f t="shared" ca="1" si="0"/>
        <v>42.666666666666664</v>
      </c>
      <c r="E9" s="5">
        <f t="shared" ref="E9:E54" ca="1" si="1">D9*($E$2+$E$3)</f>
        <v>938.66666666666663</v>
      </c>
    </row>
    <row r="10" spans="1:6" x14ac:dyDescent="0.25">
      <c r="A10">
        <v>110230</v>
      </c>
      <c r="B10" t="s">
        <v>1</v>
      </c>
      <c r="C10">
        <f>'[1]VENTAS CONSOLIDADA CARACAS'!C10</f>
        <v>1878</v>
      </c>
      <c r="D10" s="5">
        <f t="shared" ca="1" si="0"/>
        <v>313</v>
      </c>
      <c r="E10" s="5">
        <f t="shared" ca="1" si="1"/>
        <v>6886</v>
      </c>
    </row>
    <row r="11" spans="1:6" x14ac:dyDescent="0.25">
      <c r="A11">
        <v>110400</v>
      </c>
      <c r="B11" t="s">
        <v>13</v>
      </c>
      <c r="C11">
        <f>'[1]VENTAS CONSOLIDADA CARACAS'!C11</f>
        <v>235</v>
      </c>
      <c r="D11" s="5">
        <f t="shared" ca="1" si="0"/>
        <v>39.166666666666664</v>
      </c>
      <c r="E11" s="5">
        <f t="shared" ca="1" si="1"/>
        <v>861.66666666666663</v>
      </c>
    </row>
    <row r="12" spans="1:6" x14ac:dyDescent="0.25">
      <c r="A12">
        <v>111000</v>
      </c>
      <c r="B12" t="s">
        <v>14</v>
      </c>
      <c r="C12">
        <f>'[1]VENTAS CONSOLIDADA CARACAS'!C12</f>
        <v>36</v>
      </c>
      <c r="D12" s="5">
        <f t="shared" ca="1" si="0"/>
        <v>6</v>
      </c>
      <c r="E12" s="5">
        <f t="shared" ca="1" si="1"/>
        <v>132</v>
      </c>
    </row>
    <row r="13" spans="1:6" x14ac:dyDescent="0.25">
      <c r="A13">
        <v>120130</v>
      </c>
      <c r="B13" t="s">
        <v>15</v>
      </c>
      <c r="C13">
        <f>'[1]VENTAS CONSOLIDADA CARACAS'!C13</f>
        <v>4563</v>
      </c>
      <c r="D13" s="5">
        <f t="shared" ca="1" si="0"/>
        <v>760.5</v>
      </c>
      <c r="E13" s="5">
        <f t="shared" ca="1" si="1"/>
        <v>16731</v>
      </c>
    </row>
    <row r="14" spans="1:6" x14ac:dyDescent="0.25">
      <c r="A14">
        <v>120131</v>
      </c>
      <c r="B14" t="s">
        <v>23</v>
      </c>
      <c r="C14">
        <f>'[1]VENTAS CONSOLIDADA CARACAS'!C14</f>
        <v>283</v>
      </c>
      <c r="D14" s="5">
        <f t="shared" ca="1" si="0"/>
        <v>47.166666666666664</v>
      </c>
      <c r="E14" s="5">
        <f t="shared" ca="1" si="1"/>
        <v>1037.6666666666665</v>
      </c>
    </row>
    <row r="15" spans="1:6" x14ac:dyDescent="0.25">
      <c r="A15">
        <v>120132</v>
      </c>
      <c r="B15" t="s">
        <v>21</v>
      </c>
      <c r="C15">
        <f>'[1]VENTAS CONSOLIDADA CARACAS'!C15</f>
        <v>565</v>
      </c>
      <c r="D15" s="5">
        <f t="shared" ca="1" si="0"/>
        <v>94.166666666666671</v>
      </c>
      <c r="E15" s="5">
        <f t="shared" ca="1" si="1"/>
        <v>2071.666666666667</v>
      </c>
    </row>
    <row r="16" spans="1:6" x14ac:dyDescent="0.25">
      <c r="A16">
        <v>130150</v>
      </c>
      <c r="B16" t="s">
        <v>0</v>
      </c>
      <c r="C16">
        <f>'[1]VENTAS CONSOLIDADA CARACAS'!C16</f>
        <v>1581</v>
      </c>
      <c r="D16" s="5">
        <f t="shared" ca="1" si="0"/>
        <v>263.5</v>
      </c>
      <c r="E16" s="5">
        <f t="shared" ca="1" si="1"/>
        <v>5797</v>
      </c>
    </row>
    <row r="17" spans="1:5" x14ac:dyDescent="0.25">
      <c r="A17">
        <v>130151</v>
      </c>
      <c r="B17" t="s">
        <v>4</v>
      </c>
      <c r="C17">
        <f>'[1]VENTAS CONSOLIDADA CARACAS'!C17</f>
        <v>833</v>
      </c>
      <c r="D17" s="5">
        <f t="shared" ca="1" si="0"/>
        <v>138.83333333333334</v>
      </c>
      <c r="E17" s="5">
        <f t="shared" ca="1" si="1"/>
        <v>3054.3333333333335</v>
      </c>
    </row>
    <row r="18" spans="1:5" x14ac:dyDescent="0.25">
      <c r="A18">
        <v>130152</v>
      </c>
      <c r="B18" t="s">
        <v>51</v>
      </c>
      <c r="C18">
        <f>'[1]VENTAS CONSOLIDADA CARACAS'!C18</f>
        <v>9238</v>
      </c>
      <c r="D18" s="5">
        <f t="shared" ca="1" si="0"/>
        <v>1539.6666666666667</v>
      </c>
      <c r="E18" s="5">
        <f t="shared" ca="1" si="1"/>
        <v>33872.666666666672</v>
      </c>
    </row>
    <row r="19" spans="1:5" x14ac:dyDescent="0.25">
      <c r="A19">
        <v>130153</v>
      </c>
      <c r="B19" t="s">
        <v>52</v>
      </c>
      <c r="C19">
        <f>'[1]VENTAS CONSOLIDADA CARACAS'!C19</f>
        <v>5713</v>
      </c>
      <c r="D19" s="5">
        <f t="shared" ca="1" si="0"/>
        <v>952.16666666666663</v>
      </c>
      <c r="E19" s="5">
        <f t="shared" ca="1" si="1"/>
        <v>20947.666666666664</v>
      </c>
    </row>
    <row r="20" spans="1:5" x14ac:dyDescent="0.25">
      <c r="A20">
        <v>130154</v>
      </c>
      <c r="B20" t="s">
        <v>53</v>
      </c>
      <c r="C20">
        <f>'[1]VENTAS CONSOLIDADA CARACAS'!C20</f>
        <v>6118</v>
      </c>
      <c r="D20" s="5">
        <f t="shared" ca="1" si="0"/>
        <v>1019.6666666666666</v>
      </c>
      <c r="E20" s="5">
        <f t="shared" ca="1" si="1"/>
        <v>22432.666666666664</v>
      </c>
    </row>
    <row r="21" spans="1:5" x14ac:dyDescent="0.25">
      <c r="A21">
        <v>130155</v>
      </c>
      <c r="B21" t="s">
        <v>16</v>
      </c>
      <c r="C21">
        <f>'[1]VENTAS CONSOLIDADA CARACAS'!C21</f>
        <v>7497</v>
      </c>
      <c r="D21" s="5">
        <f t="shared" ca="1" si="0"/>
        <v>1249.5</v>
      </c>
      <c r="E21" s="5">
        <f t="shared" ca="1" si="1"/>
        <v>27489</v>
      </c>
    </row>
    <row r="22" spans="1:5" x14ac:dyDescent="0.25">
      <c r="A22">
        <v>130157</v>
      </c>
      <c r="B22" t="s">
        <v>43</v>
      </c>
      <c r="C22">
        <f>'[1]VENTAS CONSOLIDADA CARACAS'!C22</f>
        <v>1877</v>
      </c>
      <c r="D22" s="5">
        <f t="shared" ca="1" si="0"/>
        <v>312.83333333333331</v>
      </c>
      <c r="E22" s="5">
        <f t="shared" ca="1" si="1"/>
        <v>6882.333333333333</v>
      </c>
    </row>
    <row r="23" spans="1:5" x14ac:dyDescent="0.25">
      <c r="A23">
        <v>130158</v>
      </c>
      <c r="B23" t="s">
        <v>44</v>
      </c>
      <c r="C23">
        <f>'[1]VENTAS CONSOLIDADA CARACAS'!C23</f>
        <v>1943</v>
      </c>
      <c r="D23" s="5">
        <f t="shared" ca="1" si="0"/>
        <v>323.83333333333331</v>
      </c>
      <c r="E23" s="5">
        <f t="shared" ca="1" si="1"/>
        <v>7124.333333333333</v>
      </c>
    </row>
    <row r="24" spans="1:5" x14ac:dyDescent="0.25">
      <c r="A24">
        <v>130159</v>
      </c>
      <c r="B24" t="s">
        <v>45</v>
      </c>
      <c r="C24">
        <f>'[1]VENTAS CONSOLIDADA CARACAS'!C24</f>
        <v>1993</v>
      </c>
      <c r="D24" s="5">
        <f t="shared" ca="1" si="0"/>
        <v>332.16666666666669</v>
      </c>
      <c r="E24" s="5">
        <f t="shared" ca="1" si="1"/>
        <v>7307.666666666667</v>
      </c>
    </row>
    <row r="25" spans="1:5" x14ac:dyDescent="0.25">
      <c r="A25">
        <v>130700</v>
      </c>
      <c r="B25" t="s">
        <v>3</v>
      </c>
      <c r="C25">
        <f>'[1]VENTAS CONSOLIDADA CARACAS'!C25</f>
        <v>448</v>
      </c>
      <c r="D25" s="5">
        <f t="shared" ca="1" si="0"/>
        <v>74.666666666666671</v>
      </c>
      <c r="E25" s="5">
        <f t="shared" ca="1" si="1"/>
        <v>1642.6666666666667</v>
      </c>
    </row>
    <row r="26" spans="1:5" x14ac:dyDescent="0.25">
      <c r="A26">
        <v>130701</v>
      </c>
      <c r="B26" t="s">
        <v>30</v>
      </c>
      <c r="C26">
        <f>'[1]VENTAS CONSOLIDADA CARACAS'!C26</f>
        <v>177</v>
      </c>
      <c r="D26" s="5">
        <f t="shared" ca="1" si="0"/>
        <v>29.5</v>
      </c>
      <c r="E26" s="5">
        <f t="shared" ca="1" si="1"/>
        <v>649</v>
      </c>
    </row>
    <row r="27" spans="1:5" x14ac:dyDescent="0.25">
      <c r="A27">
        <v>130702</v>
      </c>
      <c r="B27" t="s">
        <v>12</v>
      </c>
      <c r="C27">
        <f>'[1]VENTAS CONSOLIDADA CARACAS'!C27</f>
        <v>1153</v>
      </c>
      <c r="D27" s="5">
        <f t="shared" ca="1" si="0"/>
        <v>192.16666666666666</v>
      </c>
      <c r="E27" s="5">
        <f t="shared" ca="1" si="1"/>
        <v>4227.6666666666661</v>
      </c>
    </row>
    <row r="28" spans="1:5" x14ac:dyDescent="0.25">
      <c r="A28">
        <v>130703</v>
      </c>
      <c r="B28" t="s">
        <v>17</v>
      </c>
      <c r="C28">
        <f>'[1]VENTAS CONSOLIDADA CARACAS'!C28</f>
        <v>2183</v>
      </c>
      <c r="D28" s="5">
        <f t="shared" ca="1" si="0"/>
        <v>363.83333333333331</v>
      </c>
      <c r="E28" s="5">
        <f t="shared" ca="1" si="1"/>
        <v>8004.333333333333</v>
      </c>
    </row>
    <row r="29" spans="1:5" x14ac:dyDescent="0.25">
      <c r="A29">
        <v>130707</v>
      </c>
      <c r="B29" t="s">
        <v>42</v>
      </c>
      <c r="C29">
        <f>'[1]VENTAS CONSOLIDADA CARACAS'!C29</f>
        <v>300</v>
      </c>
      <c r="D29" s="5">
        <f t="shared" ca="1" si="0"/>
        <v>50</v>
      </c>
      <c r="E29" s="5">
        <f t="shared" ca="1" si="1"/>
        <v>1100</v>
      </c>
    </row>
    <row r="30" spans="1:5" x14ac:dyDescent="0.25">
      <c r="A30">
        <v>131150</v>
      </c>
      <c r="B30" t="s">
        <v>22</v>
      </c>
      <c r="C30">
        <f>'[1]VENTAS CONSOLIDADA CARACAS'!C30</f>
        <v>2199</v>
      </c>
      <c r="D30" s="5">
        <f t="shared" ca="1" si="0"/>
        <v>366.5</v>
      </c>
      <c r="E30" s="5">
        <f t="shared" ca="1" si="1"/>
        <v>8063</v>
      </c>
    </row>
    <row r="31" spans="1:5" x14ac:dyDescent="0.25">
      <c r="A31">
        <v>131151</v>
      </c>
      <c r="B31" t="s">
        <v>19</v>
      </c>
      <c r="C31">
        <f>'[1]VENTAS CONSOLIDADA CARACAS'!C31</f>
        <v>2800</v>
      </c>
      <c r="D31" s="5">
        <f t="shared" ca="1" si="0"/>
        <v>466.66666666666669</v>
      </c>
      <c r="E31" s="5">
        <f t="shared" ca="1" si="1"/>
        <v>10266.666666666668</v>
      </c>
    </row>
    <row r="32" spans="1:5" x14ac:dyDescent="0.25">
      <c r="A32">
        <v>131152</v>
      </c>
      <c r="B32" t="s">
        <v>32</v>
      </c>
      <c r="C32">
        <f>'[1]VENTAS CONSOLIDADA CARACAS'!C32</f>
        <v>1242</v>
      </c>
      <c r="D32" s="5">
        <f t="shared" ca="1" si="0"/>
        <v>207</v>
      </c>
      <c r="E32" s="5">
        <f t="shared" ca="1" si="1"/>
        <v>4554</v>
      </c>
    </row>
    <row r="33" spans="1:5" x14ac:dyDescent="0.25">
      <c r="A33">
        <v>131153</v>
      </c>
      <c r="B33" t="s">
        <v>11</v>
      </c>
      <c r="C33">
        <f>'[1]VENTAS CONSOLIDADA CARACAS'!C33</f>
        <v>971</v>
      </c>
      <c r="D33" s="5">
        <f t="shared" ca="1" si="0"/>
        <v>161.83333333333334</v>
      </c>
      <c r="E33" s="5">
        <f t="shared" ca="1" si="1"/>
        <v>3560.3333333333335</v>
      </c>
    </row>
    <row r="34" spans="1:5" x14ac:dyDescent="0.25">
      <c r="A34">
        <v>131154</v>
      </c>
      <c r="B34" t="s">
        <v>48</v>
      </c>
      <c r="C34">
        <f>'[1]VENTAS CONSOLIDADA CARACAS'!C34</f>
        <v>518</v>
      </c>
      <c r="D34" s="5">
        <f t="shared" ca="1" si="0"/>
        <v>86.333333333333329</v>
      </c>
      <c r="E34" s="5">
        <f t="shared" ca="1" si="1"/>
        <v>1899.3333333333333</v>
      </c>
    </row>
    <row r="35" spans="1:5" x14ac:dyDescent="0.25">
      <c r="A35">
        <v>131155</v>
      </c>
      <c r="B35" t="s">
        <v>57</v>
      </c>
      <c r="C35">
        <f>'[1]VENTAS CONSOLIDADA CARACAS'!C35</f>
        <v>639</v>
      </c>
      <c r="D35" s="5">
        <f t="shared" ca="1" si="0"/>
        <v>106.5</v>
      </c>
      <c r="E35" s="5">
        <f t="shared" ca="1" si="1"/>
        <v>2343</v>
      </c>
    </row>
    <row r="36" spans="1:5" x14ac:dyDescent="0.25">
      <c r="A36">
        <v>131700</v>
      </c>
      <c r="B36" t="s">
        <v>20</v>
      </c>
      <c r="C36">
        <f>'[1]VENTAS CONSOLIDADA CARACAS'!C36</f>
        <v>385</v>
      </c>
      <c r="D36" s="5">
        <f t="shared" ca="1" si="0"/>
        <v>64.166666666666671</v>
      </c>
      <c r="E36" s="5">
        <f t="shared" ca="1" si="1"/>
        <v>1411.6666666666667</v>
      </c>
    </row>
    <row r="37" spans="1:5" x14ac:dyDescent="0.25">
      <c r="A37">
        <v>131701</v>
      </c>
      <c r="B37" t="s">
        <v>24</v>
      </c>
      <c r="C37">
        <f>'[1]VENTAS CONSOLIDADA CARACAS'!C37</f>
        <v>326</v>
      </c>
      <c r="D37" s="5">
        <f t="shared" ca="1" si="0"/>
        <v>54.333333333333336</v>
      </c>
      <c r="E37" s="5">
        <f t="shared" ca="1" si="1"/>
        <v>1195.3333333333335</v>
      </c>
    </row>
    <row r="38" spans="1:5" x14ac:dyDescent="0.25">
      <c r="A38">
        <v>132150</v>
      </c>
      <c r="B38" t="s">
        <v>25</v>
      </c>
      <c r="C38">
        <f>'[1]VENTAS CONSOLIDADA CARACAS'!C38</f>
        <v>1464</v>
      </c>
      <c r="D38" s="5">
        <f t="shared" ca="1" si="0"/>
        <v>244</v>
      </c>
      <c r="E38" s="5">
        <f t="shared" ca="1" si="1"/>
        <v>5368</v>
      </c>
    </row>
    <row r="39" spans="1:5" x14ac:dyDescent="0.25">
      <c r="A39">
        <v>132151</v>
      </c>
      <c r="B39" t="s">
        <v>26</v>
      </c>
      <c r="C39">
        <f>'[1]VENTAS CONSOLIDADA CARACAS'!C39</f>
        <v>1436</v>
      </c>
      <c r="D39" s="5">
        <f t="shared" ca="1" si="0"/>
        <v>239.33333333333334</v>
      </c>
      <c r="E39" s="5">
        <f t="shared" ca="1" si="1"/>
        <v>5265.3333333333339</v>
      </c>
    </row>
    <row r="40" spans="1:5" x14ac:dyDescent="0.25">
      <c r="A40">
        <v>132152</v>
      </c>
      <c r="B40" t="s">
        <v>27</v>
      </c>
      <c r="C40">
        <f>'[1]VENTAS CONSOLIDADA CARACAS'!C40</f>
        <v>1735</v>
      </c>
      <c r="D40" s="5">
        <f t="shared" ca="1" si="0"/>
        <v>289.16666666666669</v>
      </c>
      <c r="E40" s="5">
        <f t="shared" ca="1" si="1"/>
        <v>6361.666666666667</v>
      </c>
    </row>
    <row r="41" spans="1:5" x14ac:dyDescent="0.25">
      <c r="A41">
        <v>132153</v>
      </c>
      <c r="B41" t="s">
        <v>40</v>
      </c>
      <c r="C41">
        <f>'[1]VENTAS CONSOLIDADA CARACAS'!C41</f>
        <v>1179</v>
      </c>
      <c r="D41" s="5">
        <f t="shared" ca="1" si="0"/>
        <v>196.5</v>
      </c>
      <c r="E41" s="5">
        <f t="shared" ca="1" si="1"/>
        <v>4323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90</v>
      </c>
      <c r="D44" s="5">
        <f t="shared" ca="1" si="0"/>
        <v>15</v>
      </c>
      <c r="E44" s="5">
        <f t="shared" ca="1" si="1"/>
        <v>330</v>
      </c>
    </row>
    <row r="45" spans="1:5" x14ac:dyDescent="0.25">
      <c r="A45">
        <v>140231</v>
      </c>
      <c r="B45" t="s">
        <v>10</v>
      </c>
      <c r="C45">
        <f>'[1]VENTAS CONSOLIDADA CARACAS'!C45</f>
        <v>1439</v>
      </c>
      <c r="D45" s="5">
        <f t="shared" ca="1" si="0"/>
        <v>239.83333333333334</v>
      </c>
      <c r="E45" s="5">
        <f t="shared" ca="1" si="1"/>
        <v>5276.3333333333339</v>
      </c>
    </row>
    <row r="46" spans="1:5" x14ac:dyDescent="0.25">
      <c r="A46">
        <v>140232</v>
      </c>
      <c r="B46" t="s">
        <v>9</v>
      </c>
      <c r="C46">
        <f>'[1]VENTAS CONSOLIDADA CARACAS'!C46</f>
        <v>1169</v>
      </c>
      <c r="D46" s="5">
        <f t="shared" ca="1" si="0"/>
        <v>194.83333333333334</v>
      </c>
      <c r="E46" s="5">
        <f t="shared" ca="1" si="1"/>
        <v>4286.3333333333339</v>
      </c>
    </row>
    <row r="47" spans="1:5" x14ac:dyDescent="0.25">
      <c r="A47">
        <v>150360</v>
      </c>
      <c r="B47" t="s">
        <v>28</v>
      </c>
      <c r="C47">
        <f>'[1]VENTAS CONSOLIDADA CARACAS'!C47</f>
        <v>667</v>
      </c>
      <c r="D47" s="5">
        <f t="shared" ca="1" si="0"/>
        <v>111.16666666666667</v>
      </c>
      <c r="E47" s="5">
        <f t="shared" ca="1" si="1"/>
        <v>2445.666666666667</v>
      </c>
    </row>
    <row r="48" spans="1:5" x14ac:dyDescent="0.25">
      <c r="A48">
        <v>150361</v>
      </c>
      <c r="B48" t="s">
        <v>29</v>
      </c>
      <c r="C48">
        <f>'[1]VENTAS CONSOLIDADA CARACAS'!C48</f>
        <v>1041</v>
      </c>
      <c r="D48" s="5">
        <f t="shared" ca="1" si="0"/>
        <v>173.5</v>
      </c>
      <c r="E48" s="5">
        <f t="shared" ca="1" si="1"/>
        <v>3817</v>
      </c>
    </row>
    <row r="49" spans="1:5" x14ac:dyDescent="0.25">
      <c r="A49">
        <v>150362</v>
      </c>
      <c r="B49" t="s">
        <v>36</v>
      </c>
      <c r="C49">
        <f>'[1]VENTAS CONSOLIDADA CARACAS'!C49</f>
        <v>760</v>
      </c>
      <c r="D49" s="5">
        <f t="shared" ca="1" si="0"/>
        <v>126.66666666666667</v>
      </c>
      <c r="E49" s="5">
        <f t="shared" ca="1" si="1"/>
        <v>2786.666666666667</v>
      </c>
    </row>
    <row r="50" spans="1:5" x14ac:dyDescent="0.25">
      <c r="A50">
        <v>150363</v>
      </c>
      <c r="B50" t="s">
        <v>31</v>
      </c>
      <c r="C50">
        <f>'[1]VENTAS CONSOLIDADA CARACAS'!C50</f>
        <v>730</v>
      </c>
      <c r="D50" s="5">
        <f t="shared" ca="1" si="0"/>
        <v>121.66666666666667</v>
      </c>
      <c r="E50" s="5">
        <f t="shared" ca="1" si="1"/>
        <v>2676.666666666667</v>
      </c>
    </row>
    <row r="51" spans="1:5" x14ac:dyDescent="0.25">
      <c r="A51">
        <v>151500</v>
      </c>
      <c r="B51" t="s">
        <v>41</v>
      </c>
      <c r="C51">
        <f>'[1]VENTAS CONSOLIDADA CARACAS'!C51</f>
        <v>89</v>
      </c>
      <c r="D51" s="5">
        <f t="shared" ca="1" si="0"/>
        <v>14.833333333333334</v>
      </c>
      <c r="E51" s="5">
        <f t="shared" ca="1" si="1"/>
        <v>326.33333333333337</v>
      </c>
    </row>
    <row r="52" spans="1:5" x14ac:dyDescent="0.25">
      <c r="A52">
        <v>151501</v>
      </c>
      <c r="B52" t="s">
        <v>33</v>
      </c>
      <c r="C52">
        <f>'[1]VENTAS CONSOLIDADA CARACAS'!C52</f>
        <v>163</v>
      </c>
      <c r="D52" s="5">
        <f t="shared" ca="1" si="0"/>
        <v>27.166666666666668</v>
      </c>
      <c r="E52" s="5">
        <f t="shared" ca="1" si="1"/>
        <v>597.66666666666674</v>
      </c>
    </row>
    <row r="53" spans="1:5" x14ac:dyDescent="0.25">
      <c r="A53">
        <v>151502</v>
      </c>
      <c r="B53" t="s">
        <v>37</v>
      </c>
      <c r="C53">
        <f>'[1]VENTAS CONSOLIDADA CARACAS'!C53</f>
        <v>116</v>
      </c>
      <c r="D53" s="5">
        <f t="shared" ca="1" si="0"/>
        <v>19.333333333333332</v>
      </c>
      <c r="E53" s="5">
        <f t="shared" ca="1" si="1"/>
        <v>425.33333333333331</v>
      </c>
    </row>
    <row r="54" spans="1:5" x14ac:dyDescent="0.25">
      <c r="A54">
        <v>151503</v>
      </c>
      <c r="B54" t="s">
        <v>34</v>
      </c>
      <c r="C54">
        <f>'[1]VENTAS CONSOLIDADA CARACAS'!C54</f>
        <v>120</v>
      </c>
      <c r="D54" s="5">
        <f t="shared" ca="1" si="0"/>
        <v>20</v>
      </c>
      <c r="E54" s="5">
        <f t="shared" ca="1" si="1"/>
        <v>440</v>
      </c>
    </row>
    <row r="55" spans="1:5" x14ac:dyDescent="0.25">
      <c r="D55" s="5">
        <f ca="1">SUM(D8:D54)</f>
        <v>12355.166666666668</v>
      </c>
      <c r="E55" s="5">
        <f ca="1">SUM(E8:E54)</f>
        <v>271813.66666666669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46274</v>
      </c>
      <c r="E2" s="4">
        <f ca="1">'[1]VENTAS CONSOLIDADA LARA'!E2</f>
        <v>6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197</v>
      </c>
      <c r="D8" s="5">
        <f t="shared" ref="D8:D54" ca="1" si="0">C8/$E$2</f>
        <v>32.833333333333336</v>
      </c>
      <c r="E8" s="5">
        <f ca="1">D8*($E$2+$E$3)</f>
        <v>722.33333333333337</v>
      </c>
    </row>
    <row r="9" spans="1:5" x14ac:dyDescent="0.25">
      <c r="A9">
        <v>110151</v>
      </c>
      <c r="B9" t="s">
        <v>5</v>
      </c>
      <c r="C9">
        <f>'[1]VENTAS CONSOLIDADA LARA'!C9</f>
        <v>3</v>
      </c>
      <c r="D9" s="5">
        <f t="shared" ca="1" si="0"/>
        <v>0.5</v>
      </c>
      <c r="E9" s="5">
        <f t="shared" ref="E9:E54" ca="1" si="1">D9*($E$2+$E$3)</f>
        <v>11</v>
      </c>
    </row>
    <row r="10" spans="1:5" x14ac:dyDescent="0.25">
      <c r="A10">
        <v>110230</v>
      </c>
      <c r="B10" t="s">
        <v>1</v>
      </c>
      <c r="C10">
        <f>'[1]VENTAS CONSOLIDADA LARA'!C10</f>
        <v>76</v>
      </c>
      <c r="D10" s="5">
        <f t="shared" ca="1" si="0"/>
        <v>12.666666666666666</v>
      </c>
      <c r="E10" s="5">
        <f t="shared" ca="1" si="1"/>
        <v>278.66666666666663</v>
      </c>
    </row>
    <row r="11" spans="1:5" x14ac:dyDescent="0.25">
      <c r="A11">
        <v>110400</v>
      </c>
      <c r="B11" t="s">
        <v>13</v>
      </c>
      <c r="C11">
        <f>'[1]VENTAS CONSOLIDADA LARA'!C11</f>
        <v>11</v>
      </c>
      <c r="D11" s="5">
        <f t="shared" ca="1" si="0"/>
        <v>1.8333333333333333</v>
      </c>
      <c r="E11" s="5">
        <f t="shared" ca="1" si="1"/>
        <v>40.333333333333329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764</v>
      </c>
      <c r="D13" s="5">
        <f t="shared" ca="1" si="0"/>
        <v>127.33333333333333</v>
      </c>
      <c r="E13" s="5">
        <f t="shared" ca="1" si="1"/>
        <v>2801.333333333333</v>
      </c>
    </row>
    <row r="14" spans="1:5" x14ac:dyDescent="0.25">
      <c r="A14">
        <v>120131</v>
      </c>
      <c r="B14" t="s">
        <v>23</v>
      </c>
      <c r="C14">
        <f>'[1]VENTAS CONSOLIDADA LARA'!C14</f>
        <v>76</v>
      </c>
      <c r="D14" s="5">
        <f t="shared" ca="1" si="0"/>
        <v>12.666666666666666</v>
      </c>
      <c r="E14" s="5">
        <f t="shared" ca="1" si="1"/>
        <v>278.66666666666663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13.833333333333334</v>
      </c>
      <c r="E15" s="5">
        <f t="shared" ca="1" si="1"/>
        <v>304.33333333333337</v>
      </c>
    </row>
    <row r="16" spans="1:5" x14ac:dyDescent="0.25">
      <c r="A16">
        <v>130150</v>
      </c>
      <c r="B16" t="s">
        <v>0</v>
      </c>
      <c r="C16">
        <f>'[1]VENTAS CONSOLIDADA LARA'!C16</f>
        <v>316</v>
      </c>
      <c r="D16" s="5">
        <f t="shared" ca="1" si="0"/>
        <v>52.666666666666664</v>
      </c>
      <c r="E16" s="5">
        <f t="shared" ca="1" si="1"/>
        <v>1158.6666666666665</v>
      </c>
    </row>
    <row r="17" spans="1:5" x14ac:dyDescent="0.25">
      <c r="A17">
        <v>130151</v>
      </c>
      <c r="B17" t="s">
        <v>4</v>
      </c>
      <c r="C17">
        <f>'[1]VENTAS CONSOLIDADA LARA'!C17</f>
        <v>129</v>
      </c>
      <c r="D17" s="5">
        <f t="shared" ca="1" si="0"/>
        <v>21.5</v>
      </c>
      <c r="E17" s="5">
        <f t="shared" ca="1" si="1"/>
        <v>473</v>
      </c>
    </row>
    <row r="18" spans="1:5" x14ac:dyDescent="0.25">
      <c r="A18">
        <v>130152</v>
      </c>
      <c r="B18" t="s">
        <v>51</v>
      </c>
      <c r="C18">
        <f>'[1]VENTAS CONSOLIDADA LARA'!C18</f>
        <v>2869</v>
      </c>
      <c r="D18" s="5">
        <f t="shared" ca="1" si="0"/>
        <v>478.16666666666669</v>
      </c>
      <c r="E18" s="5">
        <f t="shared" ca="1" si="1"/>
        <v>10519.666666666668</v>
      </c>
    </row>
    <row r="19" spans="1:5" x14ac:dyDescent="0.25">
      <c r="A19">
        <v>130153</v>
      </c>
      <c r="B19" t="s">
        <v>52</v>
      </c>
      <c r="C19">
        <f>'[1]VENTAS CONSOLIDADA LARA'!C19</f>
        <v>1531</v>
      </c>
      <c r="D19" s="5">
        <f t="shared" ca="1" si="0"/>
        <v>255.16666666666666</v>
      </c>
      <c r="E19" s="5">
        <f t="shared" ca="1" si="1"/>
        <v>5613.6666666666661</v>
      </c>
    </row>
    <row r="20" spans="1:5" x14ac:dyDescent="0.25">
      <c r="A20">
        <v>130154</v>
      </c>
      <c r="B20" t="s">
        <v>53</v>
      </c>
      <c r="C20">
        <f>'[1]VENTAS CONSOLIDADA LARA'!C20</f>
        <v>1536</v>
      </c>
      <c r="D20" s="5">
        <f t="shared" ca="1" si="0"/>
        <v>256</v>
      </c>
      <c r="E20" s="5">
        <f t="shared" ca="1" si="1"/>
        <v>5632</v>
      </c>
    </row>
    <row r="21" spans="1:5" x14ac:dyDescent="0.25">
      <c r="A21">
        <v>130155</v>
      </c>
      <c r="B21" t="s">
        <v>16</v>
      </c>
      <c r="C21">
        <f>'[1]VENTAS CONSOLIDADA LARA'!C21</f>
        <v>1792</v>
      </c>
      <c r="D21" s="5">
        <f t="shared" ca="1" si="0"/>
        <v>298.66666666666669</v>
      </c>
      <c r="E21" s="5">
        <f t="shared" ca="1" si="1"/>
        <v>6570.666666666667</v>
      </c>
    </row>
    <row r="22" spans="1:5" x14ac:dyDescent="0.25">
      <c r="A22">
        <v>130157</v>
      </c>
      <c r="B22" t="s">
        <v>43</v>
      </c>
      <c r="C22">
        <f>'[1]VENTAS CONSOLIDADA LARA'!C22</f>
        <v>612</v>
      </c>
      <c r="D22" s="5">
        <f t="shared" ca="1" si="0"/>
        <v>102</v>
      </c>
      <c r="E22" s="5">
        <f t="shared" ca="1" si="1"/>
        <v>2244</v>
      </c>
    </row>
    <row r="23" spans="1:5" x14ac:dyDescent="0.25">
      <c r="A23">
        <v>130158</v>
      </c>
      <c r="B23" t="s">
        <v>44</v>
      </c>
      <c r="C23">
        <f>'[1]VENTAS CONSOLIDADA LARA'!C23</f>
        <v>778</v>
      </c>
      <c r="D23" s="5">
        <f t="shared" ca="1" si="0"/>
        <v>129.66666666666666</v>
      </c>
      <c r="E23" s="5">
        <f t="shared" ca="1" si="1"/>
        <v>2852.6666666666665</v>
      </c>
    </row>
    <row r="24" spans="1:5" x14ac:dyDescent="0.25">
      <c r="A24">
        <v>130159</v>
      </c>
      <c r="B24" t="s">
        <v>45</v>
      </c>
      <c r="C24">
        <f>'[1]VENTAS CONSOLIDADA LARA'!C24</f>
        <v>752</v>
      </c>
      <c r="D24" s="5">
        <f t="shared" ca="1" si="0"/>
        <v>125.33333333333333</v>
      </c>
      <c r="E24" s="5">
        <f t="shared" ca="1" si="1"/>
        <v>2757.333333333333</v>
      </c>
    </row>
    <row r="25" spans="1:5" x14ac:dyDescent="0.25">
      <c r="A25">
        <v>130700</v>
      </c>
      <c r="B25" t="s">
        <v>3</v>
      </c>
      <c r="C25">
        <f>'[1]VENTAS CONSOLIDADA LARA'!C25</f>
        <v>107</v>
      </c>
      <c r="D25" s="5">
        <f t="shared" ca="1" si="0"/>
        <v>17.833333333333332</v>
      </c>
      <c r="E25" s="5">
        <f t="shared" ca="1" si="1"/>
        <v>392.33333333333331</v>
      </c>
    </row>
    <row r="26" spans="1:5" x14ac:dyDescent="0.25">
      <c r="A26">
        <v>130701</v>
      </c>
      <c r="B26" t="s">
        <v>30</v>
      </c>
      <c r="C26">
        <f>'[1]VENTAS CONSOLIDADA LARA'!C26</f>
        <v>18</v>
      </c>
      <c r="D26" s="5">
        <f t="shared" ca="1" si="0"/>
        <v>3</v>
      </c>
      <c r="E26" s="5">
        <f t="shared" ca="1" si="1"/>
        <v>66</v>
      </c>
    </row>
    <row r="27" spans="1:5" x14ac:dyDescent="0.25">
      <c r="A27">
        <v>130702</v>
      </c>
      <c r="B27" t="s">
        <v>12</v>
      </c>
      <c r="C27">
        <f>'[1]VENTAS CONSOLIDADA LARA'!C27</f>
        <v>492</v>
      </c>
      <c r="D27" s="5">
        <f t="shared" ca="1" si="0"/>
        <v>82</v>
      </c>
      <c r="E27" s="5">
        <f t="shared" ca="1" si="1"/>
        <v>1804</v>
      </c>
    </row>
    <row r="28" spans="1:5" x14ac:dyDescent="0.25">
      <c r="A28">
        <v>130703</v>
      </c>
      <c r="B28" t="s">
        <v>17</v>
      </c>
      <c r="C28">
        <f>'[1]VENTAS CONSOLIDADA LARA'!C28</f>
        <v>615</v>
      </c>
      <c r="D28" s="5">
        <f t="shared" ca="1" si="0"/>
        <v>102.5</v>
      </c>
      <c r="E28" s="5">
        <f t="shared" ca="1" si="1"/>
        <v>2255</v>
      </c>
    </row>
    <row r="29" spans="1:5" x14ac:dyDescent="0.25">
      <c r="A29">
        <v>130707</v>
      </c>
      <c r="B29" t="s">
        <v>42</v>
      </c>
      <c r="C29">
        <f>'[1]VENTAS CONSOLIDADA LARA'!C29</f>
        <v>30</v>
      </c>
      <c r="D29" s="5">
        <f t="shared" ca="1" si="0"/>
        <v>5</v>
      </c>
      <c r="E29" s="5">
        <f t="shared" ca="1" si="1"/>
        <v>110</v>
      </c>
    </row>
    <row r="30" spans="1:5" x14ac:dyDescent="0.25">
      <c r="A30">
        <v>131150</v>
      </c>
      <c r="B30" t="s">
        <v>22</v>
      </c>
      <c r="C30">
        <f>'[1]VENTAS CONSOLIDADA LARA'!C30</f>
        <v>225</v>
      </c>
      <c r="D30" s="5">
        <f t="shared" ca="1" si="0"/>
        <v>37.5</v>
      </c>
      <c r="E30" s="5">
        <f t="shared" ca="1" si="1"/>
        <v>825</v>
      </c>
    </row>
    <row r="31" spans="1:5" x14ac:dyDescent="0.25">
      <c r="A31">
        <v>131151</v>
      </c>
      <c r="B31" t="s">
        <v>19</v>
      </c>
      <c r="C31">
        <f>'[1]VENTAS CONSOLIDADA LARA'!C31</f>
        <v>537</v>
      </c>
      <c r="D31" s="5">
        <f t="shared" ca="1" si="0"/>
        <v>89.5</v>
      </c>
      <c r="E31" s="5">
        <f t="shared" ca="1" si="1"/>
        <v>1969</v>
      </c>
    </row>
    <row r="32" spans="1:5" x14ac:dyDescent="0.25">
      <c r="A32">
        <v>131152</v>
      </c>
      <c r="B32" t="s">
        <v>32</v>
      </c>
      <c r="C32">
        <f>'[1]VENTAS CONSOLIDADA LARA'!C32</f>
        <v>263</v>
      </c>
      <c r="D32" s="5">
        <f t="shared" ca="1" si="0"/>
        <v>43.833333333333336</v>
      </c>
      <c r="E32" s="5">
        <f t="shared" ca="1" si="1"/>
        <v>964.33333333333337</v>
      </c>
    </row>
    <row r="33" spans="1:5" x14ac:dyDescent="0.25">
      <c r="A33">
        <v>131153</v>
      </c>
      <c r="B33" t="s">
        <v>11</v>
      </c>
      <c r="C33">
        <f>'[1]VENTAS CONSOLIDADA LARA'!C33</f>
        <v>187</v>
      </c>
      <c r="D33" s="5">
        <f t="shared" ca="1" si="0"/>
        <v>31.166666666666668</v>
      </c>
      <c r="E33" s="5">
        <f t="shared" ca="1" si="1"/>
        <v>685.66666666666674</v>
      </c>
    </row>
    <row r="34" spans="1:5" x14ac:dyDescent="0.25">
      <c r="A34">
        <v>131154</v>
      </c>
      <c r="B34" t="s">
        <v>48</v>
      </c>
      <c r="C34">
        <f>'[1]VENTAS CONSOLIDADA LARA'!C34</f>
        <v>282</v>
      </c>
      <c r="D34" s="5">
        <f t="shared" ca="1" si="0"/>
        <v>47</v>
      </c>
      <c r="E34" s="5">
        <f t="shared" ca="1" si="1"/>
        <v>1034</v>
      </c>
    </row>
    <row r="35" spans="1:5" x14ac:dyDescent="0.25">
      <c r="A35">
        <v>131155</v>
      </c>
      <c r="B35" t="s">
        <v>57</v>
      </c>
      <c r="C35">
        <f>'[1]VENTAS CONSOLIDADA LARA'!C35</f>
        <v>315</v>
      </c>
      <c r="D35" s="5">
        <f t="shared" ca="1" si="0"/>
        <v>52.5</v>
      </c>
      <c r="E35" s="5">
        <f t="shared" ca="1" si="1"/>
        <v>1155</v>
      </c>
    </row>
    <row r="36" spans="1:5" x14ac:dyDescent="0.25">
      <c r="A36">
        <v>131700</v>
      </c>
      <c r="B36" t="s">
        <v>20</v>
      </c>
      <c r="C36">
        <f>'[1]VENTAS CONSOLIDADA LARA'!C36</f>
        <v>52</v>
      </c>
      <c r="D36" s="5">
        <f t="shared" ca="1" si="0"/>
        <v>8.6666666666666661</v>
      </c>
      <c r="E36" s="5">
        <f t="shared" ca="1" si="1"/>
        <v>190.66666666666666</v>
      </c>
    </row>
    <row r="37" spans="1:5" x14ac:dyDescent="0.25">
      <c r="A37">
        <v>131701</v>
      </c>
      <c r="B37" t="s">
        <v>24</v>
      </c>
      <c r="C37">
        <f>'[1]VENTAS CONSOLIDADA LARA'!C37</f>
        <v>77</v>
      </c>
      <c r="D37" s="5">
        <f t="shared" ca="1" si="0"/>
        <v>12.833333333333334</v>
      </c>
      <c r="E37" s="5">
        <f t="shared" ca="1" si="1"/>
        <v>282.33333333333337</v>
      </c>
    </row>
    <row r="38" spans="1:5" x14ac:dyDescent="0.25">
      <c r="A38">
        <v>132150</v>
      </c>
      <c r="B38" t="s">
        <v>25</v>
      </c>
      <c r="C38">
        <f>'[1]VENTAS CONSOLIDADA LARA'!C38</f>
        <v>581</v>
      </c>
      <c r="D38" s="5">
        <f t="shared" ca="1" si="0"/>
        <v>96.833333333333329</v>
      </c>
      <c r="E38" s="5">
        <f t="shared" ca="1" si="1"/>
        <v>2130.333333333333</v>
      </c>
    </row>
    <row r="39" spans="1:5" x14ac:dyDescent="0.25">
      <c r="A39">
        <v>132151</v>
      </c>
      <c r="B39" t="s">
        <v>26</v>
      </c>
      <c r="C39">
        <f>'[1]VENTAS CONSOLIDADA LARA'!C39</f>
        <v>341</v>
      </c>
      <c r="D39" s="5">
        <f t="shared" ca="1" si="0"/>
        <v>56.833333333333336</v>
      </c>
      <c r="E39" s="5">
        <f t="shared" ca="1" si="1"/>
        <v>1250.3333333333335</v>
      </c>
    </row>
    <row r="40" spans="1:5" x14ac:dyDescent="0.25">
      <c r="A40">
        <v>132152</v>
      </c>
      <c r="B40" t="s">
        <v>27</v>
      </c>
      <c r="C40">
        <f>'[1]VENTAS CONSOLIDADA LARA'!C40</f>
        <v>545</v>
      </c>
      <c r="D40" s="5">
        <f t="shared" ca="1" si="0"/>
        <v>90.833333333333329</v>
      </c>
      <c r="E40" s="5">
        <f t="shared" ca="1" si="1"/>
        <v>1998.3333333333333</v>
      </c>
    </row>
    <row r="41" spans="1:5" x14ac:dyDescent="0.25">
      <c r="A41">
        <v>132153</v>
      </c>
      <c r="B41" t="s">
        <v>40</v>
      </c>
      <c r="C41">
        <f>'[1]VENTAS CONSOLIDADA LARA'!C41</f>
        <v>222</v>
      </c>
      <c r="D41" s="5">
        <f t="shared" ca="1" si="0"/>
        <v>37</v>
      </c>
      <c r="E41" s="5">
        <f t="shared" ca="1" si="1"/>
        <v>814</v>
      </c>
    </row>
    <row r="42" spans="1:5" x14ac:dyDescent="0.25">
      <c r="A42">
        <v>134000</v>
      </c>
      <c r="B42" t="s">
        <v>35</v>
      </c>
      <c r="C42">
        <f>'[1]VENTAS CONSOLIDADA LARA'!C42</f>
        <v>3</v>
      </c>
      <c r="D42" s="5">
        <f t="shared" ca="1" si="0"/>
        <v>0.5</v>
      </c>
      <c r="E42" s="5">
        <f t="shared" ca="1" si="1"/>
        <v>11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65</v>
      </c>
      <c r="D44" s="5">
        <f t="shared" ca="1" si="0"/>
        <v>10.833333333333334</v>
      </c>
      <c r="E44" s="5">
        <f t="shared" ca="1" si="1"/>
        <v>238.33333333333334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15.333333333333334</v>
      </c>
      <c r="E45" s="5">
        <f t="shared" ca="1" si="1"/>
        <v>337.33333333333337</v>
      </c>
    </row>
    <row r="46" spans="1:5" x14ac:dyDescent="0.25">
      <c r="A46">
        <v>140232</v>
      </c>
      <c r="B46" t="s">
        <v>9</v>
      </c>
      <c r="C46">
        <f>'[1]VENTAS CONSOLIDADA LARA'!C46</f>
        <v>170</v>
      </c>
      <c r="D46" s="5">
        <f t="shared" ca="1" si="0"/>
        <v>28.333333333333332</v>
      </c>
      <c r="E46" s="5">
        <f t="shared" ca="1" si="1"/>
        <v>623.33333333333326</v>
      </c>
    </row>
    <row r="47" spans="1:5" x14ac:dyDescent="0.25">
      <c r="A47">
        <v>150360</v>
      </c>
      <c r="B47" t="s">
        <v>28</v>
      </c>
      <c r="C47">
        <f>'[1]VENTAS CONSOLIDADA LARA'!C47</f>
        <v>78</v>
      </c>
      <c r="D47" s="5">
        <f t="shared" ca="1" si="0"/>
        <v>13</v>
      </c>
      <c r="E47" s="5">
        <f t="shared" ca="1" si="1"/>
        <v>286</v>
      </c>
    </row>
    <row r="48" spans="1:5" x14ac:dyDescent="0.25">
      <c r="A48">
        <v>150361</v>
      </c>
      <c r="B48" t="s">
        <v>29</v>
      </c>
      <c r="C48">
        <f>'[1]VENTAS CONSOLIDADA LARA'!C48</f>
        <v>42</v>
      </c>
      <c r="D48" s="5">
        <f t="shared" ca="1" si="0"/>
        <v>7</v>
      </c>
      <c r="E48" s="5">
        <f t="shared" ca="1" si="1"/>
        <v>154</v>
      </c>
    </row>
    <row r="49" spans="1:5" x14ac:dyDescent="0.25">
      <c r="A49">
        <v>150362</v>
      </c>
      <c r="B49" t="s">
        <v>36</v>
      </c>
      <c r="C49">
        <f>'[1]VENTAS CONSOLIDADA LARA'!C49</f>
        <v>66</v>
      </c>
      <c r="D49" s="5">
        <f t="shared" ca="1" si="0"/>
        <v>11</v>
      </c>
      <c r="E49" s="5">
        <f t="shared" ca="1" si="1"/>
        <v>242</v>
      </c>
    </row>
    <row r="50" spans="1:5" x14ac:dyDescent="0.25">
      <c r="A50">
        <v>150363</v>
      </c>
      <c r="B50" t="s">
        <v>31</v>
      </c>
      <c r="C50">
        <f>'[1]VENTAS CONSOLIDADA LARA'!C50</f>
        <v>153</v>
      </c>
      <c r="D50" s="5">
        <f t="shared" ca="1" si="0"/>
        <v>25.5</v>
      </c>
      <c r="E50" s="5">
        <f t="shared" ca="1" si="1"/>
        <v>561</v>
      </c>
    </row>
    <row r="51" spans="1:5" x14ac:dyDescent="0.25">
      <c r="A51">
        <v>151500</v>
      </c>
      <c r="B51" t="s">
        <v>41</v>
      </c>
      <c r="C51">
        <f>'[1]VENTAS CONSOLIDADA LARA'!C51</f>
        <v>33</v>
      </c>
      <c r="D51" s="5">
        <f t="shared" ca="1" si="0"/>
        <v>5.5</v>
      </c>
      <c r="E51" s="5">
        <f t="shared" ca="1" si="1"/>
        <v>121</v>
      </c>
    </row>
    <row r="52" spans="1:5" x14ac:dyDescent="0.25">
      <c r="A52">
        <v>151501</v>
      </c>
      <c r="B52" t="s">
        <v>33</v>
      </c>
      <c r="C52">
        <f>'[1]VENTAS CONSOLIDADA LARA'!C52</f>
        <v>107</v>
      </c>
      <c r="D52" s="5">
        <f t="shared" ca="1" si="0"/>
        <v>17.833333333333332</v>
      </c>
      <c r="E52" s="5">
        <f t="shared" ca="1" si="1"/>
        <v>392.33333333333331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t="shared" ca="1" si="0"/>
        <v>1</v>
      </c>
      <c r="E53" s="5">
        <f t="shared" ca="1" si="1"/>
        <v>22</v>
      </c>
    </row>
    <row r="54" spans="1:5" x14ac:dyDescent="0.25">
      <c r="A54">
        <v>151503</v>
      </c>
      <c r="B54" t="s">
        <v>34</v>
      </c>
      <c r="C54">
        <f>'[1]VENTAS CONSOLIDADA LARA'!C54</f>
        <v>18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5">
        <f ca="1">SUM(D8:D54)</f>
        <v>2874.5000000000009</v>
      </c>
      <c r="E55" s="5">
        <f ca="1">SUM(E8:E54)</f>
        <v>63239.000000000015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46274</v>
      </c>
      <c r="E2" s="4">
        <f ca="1">'[1]VENTAS CONSOLIDADA ANZOATEGUI'!E2</f>
        <v>6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229</v>
      </c>
      <c r="D8" s="5">
        <f t="shared" ref="D8:D54" ca="1" si="0">C8/$E$2</f>
        <v>38.166666666666664</v>
      </c>
      <c r="E8" s="5">
        <f t="shared" ref="E8:E54" ca="1" si="1">D8*($E$2+$E$3)</f>
        <v>839.66666666666663</v>
      </c>
    </row>
    <row r="9" spans="1:5" x14ac:dyDescent="0.25">
      <c r="A9">
        <v>110151</v>
      </c>
      <c r="B9" t="s">
        <v>5</v>
      </c>
      <c r="C9">
        <f>'[1]VENTAS CONSOLIDADA ANZOATEGUI'!C9</f>
        <v>36</v>
      </c>
      <c r="D9" s="5">
        <f t="shared" ca="1" si="0"/>
        <v>6</v>
      </c>
      <c r="E9" s="5">
        <f t="shared" ca="1" si="1"/>
        <v>132</v>
      </c>
    </row>
    <row r="10" spans="1:5" x14ac:dyDescent="0.25">
      <c r="A10">
        <v>110230</v>
      </c>
      <c r="B10" t="s">
        <v>1</v>
      </c>
      <c r="C10">
        <f>'[1]VENTAS CONSOLIDADA ANZOATEGUI'!C10</f>
        <v>69</v>
      </c>
      <c r="D10" s="5">
        <f t="shared" ca="1" si="0"/>
        <v>11.5</v>
      </c>
      <c r="E10" s="5">
        <f t="shared" ca="1" si="1"/>
        <v>253</v>
      </c>
    </row>
    <row r="11" spans="1:5" x14ac:dyDescent="0.25">
      <c r="A11">
        <v>110400</v>
      </c>
      <c r="B11" t="s">
        <v>13</v>
      </c>
      <c r="C11">
        <f>'[1]VENTAS CONSOLIDADA ANZOATEGUI'!C11</f>
        <v>4</v>
      </c>
      <c r="D11" s="5">
        <f t="shared" ca="1" si="0"/>
        <v>0.66666666666666663</v>
      </c>
      <c r="E11" s="5">
        <f t="shared" ca="1" si="1"/>
        <v>14.666666666666666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0.83333333333333337</v>
      </c>
      <c r="E12" s="5">
        <f t="shared" ca="1" si="1"/>
        <v>18.333333333333336</v>
      </c>
    </row>
    <row r="13" spans="1:5" x14ac:dyDescent="0.25">
      <c r="A13">
        <v>120130</v>
      </c>
      <c r="B13" t="s">
        <v>15</v>
      </c>
      <c r="C13">
        <f>'[1]VENTAS CONSOLIDADA ANZOATEGUI'!C13</f>
        <v>361</v>
      </c>
      <c r="D13" s="5">
        <f t="shared" ca="1" si="0"/>
        <v>60.166666666666664</v>
      </c>
      <c r="E13" s="5">
        <f t="shared" ca="1" si="1"/>
        <v>1323.6666666666665</v>
      </c>
    </row>
    <row r="14" spans="1:5" x14ac:dyDescent="0.25">
      <c r="A14">
        <v>120131</v>
      </c>
      <c r="B14" t="s">
        <v>23</v>
      </c>
      <c r="C14">
        <f>'[1]VENTAS CONSOLIDADA ANZOATEGUI'!C14</f>
        <v>20</v>
      </c>
      <c r="D14" s="5">
        <f t="shared" ca="1" si="0"/>
        <v>3.3333333333333335</v>
      </c>
      <c r="E14" s="5">
        <f t="shared" ca="1" si="1"/>
        <v>73.333333333333343</v>
      </c>
    </row>
    <row r="15" spans="1:5" x14ac:dyDescent="0.25">
      <c r="A15">
        <v>120132</v>
      </c>
      <c r="B15" t="s">
        <v>21</v>
      </c>
      <c r="C15">
        <f>'[1]VENTAS CONSOLIDADA ANZOATEGUI'!C15</f>
        <v>47</v>
      </c>
      <c r="D15" s="5">
        <f t="shared" ca="1" si="0"/>
        <v>7.833333333333333</v>
      </c>
      <c r="E15" s="5">
        <f t="shared" ca="1" si="1"/>
        <v>172.33333333333331</v>
      </c>
    </row>
    <row r="16" spans="1:5" x14ac:dyDescent="0.25">
      <c r="A16">
        <v>130150</v>
      </c>
      <c r="B16" t="s">
        <v>0</v>
      </c>
      <c r="C16">
        <f>'[1]VENTAS CONSOLIDADA ANZOATEGUI'!C16</f>
        <v>121</v>
      </c>
      <c r="D16" s="5">
        <f t="shared" ca="1" si="0"/>
        <v>20.166666666666668</v>
      </c>
      <c r="E16" s="5">
        <f t="shared" ca="1" si="1"/>
        <v>443.66666666666669</v>
      </c>
    </row>
    <row r="17" spans="1:5" x14ac:dyDescent="0.25">
      <c r="A17">
        <v>130151</v>
      </c>
      <c r="B17" t="s">
        <v>4</v>
      </c>
      <c r="C17">
        <f>'[1]VENTAS CONSOLIDADA ANZOATEGUI'!C17</f>
        <v>35</v>
      </c>
      <c r="D17" s="5">
        <f t="shared" ca="1" si="0"/>
        <v>5.833333333333333</v>
      </c>
      <c r="E17" s="5">
        <f t="shared" ca="1" si="1"/>
        <v>128.33333333333331</v>
      </c>
    </row>
    <row r="18" spans="1:5" x14ac:dyDescent="0.25">
      <c r="A18">
        <v>130152</v>
      </c>
      <c r="B18" t="s">
        <v>51</v>
      </c>
      <c r="C18">
        <f>'[1]VENTAS CONSOLIDADA ANZOATEGUI'!C18</f>
        <v>898</v>
      </c>
      <c r="D18" s="5">
        <f t="shared" ca="1" si="0"/>
        <v>149.66666666666666</v>
      </c>
      <c r="E18" s="5">
        <f t="shared" ca="1" si="1"/>
        <v>3292.6666666666665</v>
      </c>
    </row>
    <row r="19" spans="1:5" x14ac:dyDescent="0.25">
      <c r="A19">
        <v>130153</v>
      </c>
      <c r="B19" t="s">
        <v>52</v>
      </c>
      <c r="C19">
        <f>'[1]VENTAS CONSOLIDADA ANZOATEGUI'!C19</f>
        <v>509</v>
      </c>
      <c r="D19" s="5">
        <f t="shared" ca="1" si="0"/>
        <v>84.833333333333329</v>
      </c>
      <c r="E19" s="5">
        <f t="shared" ca="1" si="1"/>
        <v>1866.3333333333333</v>
      </c>
    </row>
    <row r="20" spans="1:5" x14ac:dyDescent="0.25">
      <c r="A20">
        <v>130154</v>
      </c>
      <c r="B20" t="s">
        <v>53</v>
      </c>
      <c r="C20">
        <f>'[1]VENTAS CONSOLIDADA ANZOATEGUI'!C20</f>
        <v>698</v>
      </c>
      <c r="D20" s="5">
        <f t="shared" ca="1" si="0"/>
        <v>116.33333333333333</v>
      </c>
      <c r="E20" s="5">
        <f t="shared" ca="1" si="1"/>
        <v>2559.333333333333</v>
      </c>
    </row>
    <row r="21" spans="1:5" x14ac:dyDescent="0.25">
      <c r="A21">
        <v>130155</v>
      </c>
      <c r="B21" t="s">
        <v>16</v>
      </c>
      <c r="C21">
        <f>'[1]VENTAS CONSOLIDADA ANZOATEGUI'!C21</f>
        <v>485</v>
      </c>
      <c r="D21" s="5">
        <f t="shared" ca="1" si="0"/>
        <v>80.833333333333329</v>
      </c>
      <c r="E21" s="5">
        <f t="shared" ca="1" si="1"/>
        <v>1778.3333333333333</v>
      </c>
    </row>
    <row r="22" spans="1:5" x14ac:dyDescent="0.25">
      <c r="A22">
        <v>130157</v>
      </c>
      <c r="B22" t="s">
        <v>43</v>
      </c>
      <c r="C22">
        <f>'[1]VENTAS CONSOLIDADA ANZOATEGUI'!C22</f>
        <v>155</v>
      </c>
      <c r="D22" s="5">
        <f t="shared" ca="1" si="0"/>
        <v>25.833333333333332</v>
      </c>
      <c r="E22" s="5">
        <f t="shared" ca="1" si="1"/>
        <v>568.33333333333326</v>
      </c>
    </row>
    <row r="23" spans="1:5" x14ac:dyDescent="0.25">
      <c r="A23">
        <v>130158</v>
      </c>
      <c r="B23" t="s">
        <v>44</v>
      </c>
      <c r="C23">
        <f>'[1]VENTAS CONSOLIDADA ANZOATEGUI'!C23</f>
        <v>174</v>
      </c>
      <c r="D23" s="5">
        <f t="shared" ca="1" si="0"/>
        <v>29</v>
      </c>
      <c r="E23" s="5">
        <f t="shared" ca="1" si="1"/>
        <v>638</v>
      </c>
    </row>
    <row r="24" spans="1:5" x14ac:dyDescent="0.25">
      <c r="A24">
        <v>130159</v>
      </c>
      <c r="B24" t="s">
        <v>45</v>
      </c>
      <c r="C24">
        <f>'[1]VENTAS CONSOLIDADA ANZOATEGUI'!C24</f>
        <v>175</v>
      </c>
      <c r="D24" s="5">
        <f t="shared" ca="1" si="0"/>
        <v>29.166666666666668</v>
      </c>
      <c r="E24" s="5">
        <f t="shared" ca="1" si="1"/>
        <v>641.66666666666674</v>
      </c>
    </row>
    <row r="25" spans="1:5" x14ac:dyDescent="0.25">
      <c r="A25">
        <v>130700</v>
      </c>
      <c r="B25" t="s">
        <v>3</v>
      </c>
      <c r="C25">
        <f>'[1]VENTAS CONSOLIDADA ANZOATEGUI'!C25</f>
        <v>22</v>
      </c>
      <c r="D25" s="5">
        <f t="shared" ca="1" si="0"/>
        <v>3.6666666666666665</v>
      </c>
      <c r="E25" s="5">
        <f t="shared" ca="1" si="1"/>
        <v>80.666666666666657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0.66666666666666663</v>
      </c>
      <c r="E26" s="5">
        <f t="shared" ca="1" si="1"/>
        <v>14.666666666666666</v>
      </c>
    </row>
    <row r="27" spans="1:5" x14ac:dyDescent="0.25">
      <c r="A27">
        <v>130702</v>
      </c>
      <c r="B27" t="s">
        <v>12</v>
      </c>
      <c r="C27">
        <f>'[1]VENTAS CONSOLIDADA ANZOATEGUI'!C27</f>
        <v>62</v>
      </c>
      <c r="D27" s="5">
        <f t="shared" ca="1" si="0"/>
        <v>10.333333333333334</v>
      </c>
      <c r="E27" s="5">
        <f t="shared" ca="1" si="1"/>
        <v>227.33333333333334</v>
      </c>
    </row>
    <row r="28" spans="1:5" x14ac:dyDescent="0.25">
      <c r="A28">
        <v>130703</v>
      </c>
      <c r="B28" t="s">
        <v>17</v>
      </c>
      <c r="C28">
        <f>'[1]VENTAS CONSOLIDADA ANZOATEGUI'!C28</f>
        <v>103</v>
      </c>
      <c r="D28" s="5">
        <f t="shared" ca="1" si="0"/>
        <v>17.166666666666668</v>
      </c>
      <c r="E28" s="5">
        <f t="shared" ca="1" si="1"/>
        <v>377.66666666666669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186</v>
      </c>
      <c r="D30" s="5">
        <f t="shared" ca="1" si="0"/>
        <v>31</v>
      </c>
      <c r="E30" s="5">
        <f t="shared" ca="1" si="1"/>
        <v>682</v>
      </c>
    </row>
    <row r="31" spans="1:5" x14ac:dyDescent="0.25">
      <c r="A31">
        <v>131151</v>
      </c>
      <c r="B31" t="s">
        <v>19</v>
      </c>
      <c r="C31">
        <f>'[1]VENTAS CONSOLIDADA ANZOATEGUI'!C31</f>
        <v>545</v>
      </c>
      <c r="D31" s="5">
        <f t="shared" ca="1" si="0"/>
        <v>90.833333333333329</v>
      </c>
      <c r="E31" s="5">
        <f t="shared" ca="1" si="1"/>
        <v>1998.3333333333333</v>
      </c>
    </row>
    <row r="32" spans="1:5" x14ac:dyDescent="0.25">
      <c r="A32">
        <v>131152</v>
      </c>
      <c r="B32" t="s">
        <v>32</v>
      </c>
      <c r="C32">
        <f>'[1]VENTAS CONSOLIDADA ANZOATEGUI'!C32</f>
        <v>405</v>
      </c>
      <c r="D32" s="5">
        <f t="shared" ca="1" si="0"/>
        <v>67.5</v>
      </c>
      <c r="E32" s="5">
        <f t="shared" ca="1" si="1"/>
        <v>1485</v>
      </c>
    </row>
    <row r="33" spans="1:5" x14ac:dyDescent="0.25">
      <c r="A33">
        <v>131153</v>
      </c>
      <c r="B33" t="s">
        <v>11</v>
      </c>
      <c r="C33">
        <f>'[1]VENTAS CONSOLIDADA ANZOATEGUI'!C33</f>
        <v>66</v>
      </c>
      <c r="D33" s="5">
        <f t="shared" ca="1" si="0"/>
        <v>11</v>
      </c>
      <c r="E33" s="5">
        <f t="shared" ca="1" si="1"/>
        <v>242</v>
      </c>
    </row>
    <row r="34" spans="1:5" x14ac:dyDescent="0.25">
      <c r="A34">
        <v>131154</v>
      </c>
      <c r="B34" t="s">
        <v>48</v>
      </c>
      <c r="C34">
        <f>'[1]VENTAS CONSOLIDADA ANZOATEGUI'!C34</f>
        <v>149</v>
      </c>
      <c r="D34" s="5">
        <f t="shared" ca="1" si="0"/>
        <v>24.833333333333332</v>
      </c>
      <c r="E34" s="5">
        <f t="shared" ca="1" si="1"/>
        <v>546.33333333333326</v>
      </c>
    </row>
    <row r="35" spans="1:5" x14ac:dyDescent="0.25">
      <c r="A35">
        <v>131155</v>
      </c>
      <c r="B35" t="s">
        <v>57</v>
      </c>
      <c r="C35">
        <f>'[1]VENTAS CONSOLIDADA ANZOATEGUI'!C35</f>
        <v>189</v>
      </c>
      <c r="D35" s="5">
        <f t="shared" ca="1" si="0"/>
        <v>31.5</v>
      </c>
      <c r="E35" s="5">
        <f t="shared" ca="1" si="1"/>
        <v>693</v>
      </c>
    </row>
    <row r="36" spans="1:5" x14ac:dyDescent="0.25">
      <c r="A36">
        <v>131700</v>
      </c>
      <c r="B36" t="s">
        <v>20</v>
      </c>
      <c r="C36">
        <f>'[1]VENTAS CONSOLIDADA ANZOATEGUI'!C36</f>
        <v>7</v>
      </c>
      <c r="D36" s="5">
        <f t="shared" ca="1" si="0"/>
        <v>1.1666666666666667</v>
      </c>
      <c r="E36" s="5">
        <f t="shared" ca="1" si="1"/>
        <v>25.666666666666668</v>
      </c>
    </row>
    <row r="37" spans="1:5" x14ac:dyDescent="0.25">
      <c r="A37">
        <v>131701</v>
      </c>
      <c r="B37" t="s">
        <v>24</v>
      </c>
      <c r="C37">
        <f>'[1]VENTAS CONSOLIDADA ANZOATEGUI'!C37</f>
        <v>41</v>
      </c>
      <c r="D37" s="5">
        <f t="shared" ca="1" si="0"/>
        <v>6.833333333333333</v>
      </c>
      <c r="E37" s="5">
        <f t="shared" ca="1" si="1"/>
        <v>150.33333333333331</v>
      </c>
    </row>
    <row r="38" spans="1:5" x14ac:dyDescent="0.25">
      <c r="A38">
        <v>132150</v>
      </c>
      <c r="B38" t="s">
        <v>25</v>
      </c>
      <c r="C38">
        <f>'[1]VENTAS CONSOLIDADA ANZOATEGUI'!C38</f>
        <v>181</v>
      </c>
      <c r="D38" s="5">
        <f t="shared" ca="1" si="0"/>
        <v>30.166666666666668</v>
      </c>
      <c r="E38" s="5">
        <f t="shared" ca="1" si="1"/>
        <v>663.66666666666674</v>
      </c>
    </row>
    <row r="39" spans="1:5" x14ac:dyDescent="0.25">
      <c r="A39">
        <v>132151</v>
      </c>
      <c r="B39" t="s">
        <v>26</v>
      </c>
      <c r="C39">
        <f>'[1]VENTAS CONSOLIDADA ANZOATEGUI'!C39</f>
        <v>144</v>
      </c>
      <c r="D39" s="5">
        <f t="shared" ca="1" si="0"/>
        <v>24</v>
      </c>
      <c r="E39" s="5">
        <f t="shared" ca="1" si="1"/>
        <v>528</v>
      </c>
    </row>
    <row r="40" spans="1:5" x14ac:dyDescent="0.25">
      <c r="A40">
        <v>132152</v>
      </c>
      <c r="B40" t="s">
        <v>27</v>
      </c>
      <c r="C40">
        <f>'[1]VENTAS CONSOLIDADA ANZOATEGUI'!C40</f>
        <v>137</v>
      </c>
      <c r="D40" s="5">
        <f t="shared" ca="1" si="0"/>
        <v>22.833333333333332</v>
      </c>
      <c r="E40" s="5">
        <f t="shared" ca="1" si="1"/>
        <v>502.33333333333331</v>
      </c>
    </row>
    <row r="41" spans="1:5" x14ac:dyDescent="0.25">
      <c r="A41">
        <v>132153</v>
      </c>
      <c r="B41" t="s">
        <v>40</v>
      </c>
      <c r="C41">
        <f>'[1]VENTAS CONSOLIDADA ANZOATEGUI'!C41</f>
        <v>48</v>
      </c>
      <c r="D41" s="5">
        <f t="shared" ca="1" si="0"/>
        <v>8</v>
      </c>
      <c r="E41" s="5">
        <f t="shared" ca="1" si="1"/>
        <v>176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52</v>
      </c>
      <c r="D44" s="5">
        <f t="shared" ca="1" si="0"/>
        <v>8.6666666666666661</v>
      </c>
      <c r="E44" s="5">
        <f t="shared" ca="1" si="1"/>
        <v>190.66666666666666</v>
      </c>
    </row>
    <row r="45" spans="1:5" x14ac:dyDescent="0.25">
      <c r="A45">
        <v>140231</v>
      </c>
      <c r="B45" t="s">
        <v>10</v>
      </c>
      <c r="C45">
        <f>'[1]VENTAS CONSOLIDADA ANZOATEGUI'!C45</f>
        <v>305</v>
      </c>
      <c r="D45" s="5">
        <f t="shared" ca="1" si="0"/>
        <v>50.833333333333336</v>
      </c>
      <c r="E45" s="5">
        <f t="shared" ca="1" si="1"/>
        <v>1118.3333333333335</v>
      </c>
    </row>
    <row r="46" spans="1:5" x14ac:dyDescent="0.25">
      <c r="A46">
        <v>140232</v>
      </c>
      <c r="B46" t="s">
        <v>9</v>
      </c>
      <c r="C46">
        <f>'[1]VENTAS CONSOLIDADA ANZOATEGUI'!C46</f>
        <v>0</v>
      </c>
      <c r="D46" s="5">
        <f t="shared" ca="1" si="0"/>
        <v>0</v>
      </c>
      <c r="E46" s="5">
        <f t="shared" ca="1" si="1"/>
        <v>0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9.5</v>
      </c>
      <c r="E47" s="5">
        <f t="shared" ca="1" si="1"/>
        <v>209</v>
      </c>
    </row>
    <row r="48" spans="1:5" x14ac:dyDescent="0.25">
      <c r="A48">
        <v>150361</v>
      </c>
      <c r="B48" t="s">
        <v>29</v>
      </c>
      <c r="C48">
        <f>'[1]VENTAS CONSOLIDADA ANZOATEGUI'!C48</f>
        <v>83</v>
      </c>
      <c r="D48" s="5">
        <f t="shared" ca="1" si="0"/>
        <v>13.833333333333334</v>
      </c>
      <c r="E48" s="5">
        <f t="shared" ca="1" si="1"/>
        <v>304.33333333333337</v>
      </c>
    </row>
    <row r="49" spans="1:5" x14ac:dyDescent="0.25">
      <c r="A49">
        <v>150362</v>
      </c>
      <c r="B49" t="s">
        <v>36</v>
      </c>
      <c r="C49">
        <f>'[1]VENTAS CONSOLIDADA ANZOATEGUI'!C49</f>
        <v>43</v>
      </c>
      <c r="D49" s="5">
        <f t="shared" ca="1" si="0"/>
        <v>7.166666666666667</v>
      </c>
      <c r="E49" s="5">
        <f t="shared" ca="1" si="1"/>
        <v>157.66666666666669</v>
      </c>
    </row>
    <row r="50" spans="1:5" x14ac:dyDescent="0.25">
      <c r="A50">
        <v>150363</v>
      </c>
      <c r="B50" t="s">
        <v>31</v>
      </c>
      <c r="C50">
        <f>'[1]VENTAS CONSOLIDADA ANZOATEGUI'!C50</f>
        <v>65</v>
      </c>
      <c r="D50" s="5">
        <f t="shared" ca="1" si="0"/>
        <v>10.833333333333334</v>
      </c>
      <c r="E50" s="5">
        <f t="shared" ca="1" si="1"/>
        <v>238.33333333333334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0.66666666666666663</v>
      </c>
      <c r="E51" s="5">
        <f t="shared" ca="1" si="1"/>
        <v>14.666666666666666</v>
      </c>
    </row>
    <row r="52" spans="1:5" x14ac:dyDescent="0.25">
      <c r="A52">
        <v>151501</v>
      </c>
      <c r="B52" t="s">
        <v>33</v>
      </c>
      <c r="C52">
        <f>'[1]VENTAS CONSOLIDADA ANZOATEGUI'!C52</f>
        <v>21</v>
      </c>
      <c r="D52" s="5">
        <f t="shared" ca="1" si="0"/>
        <v>3.5</v>
      </c>
      <c r="E52" s="5">
        <f t="shared" ca="1" si="1"/>
        <v>77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11</v>
      </c>
      <c r="D54" s="5">
        <f t="shared" ca="1" si="0"/>
        <v>1.8333333333333333</v>
      </c>
      <c r="E54" s="5">
        <f t="shared" ca="1" si="1"/>
        <v>40.333333333333329</v>
      </c>
    </row>
    <row r="55" spans="1:5" x14ac:dyDescent="0.25">
      <c r="D55" s="7">
        <f ca="1">SUM(D8:D54)</f>
        <v>1158.4999999999998</v>
      </c>
      <c r="E55" s="7">
        <f ca="1">SUM(E8:E54)</f>
        <v>25486.999999999996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H12" sqref="H12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46274</v>
      </c>
      <c r="E2" s="4">
        <f ca="1">'[1]VENTAS CONSOLIDADA 1,0'!E2</f>
        <v>6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6050</v>
      </c>
      <c r="D8" s="5">
        <f t="shared" ref="D8:D54" ca="1" si="0">C8/$E$2</f>
        <v>1008.3333333333334</v>
      </c>
      <c r="E8" s="5">
        <f ca="1">D8*($E$2+$E$3)</f>
        <v>22183.333333333336</v>
      </c>
    </row>
    <row r="9" spans="1:5" x14ac:dyDescent="0.25">
      <c r="A9">
        <v>110151</v>
      </c>
      <c r="B9" t="s">
        <v>5</v>
      </c>
      <c r="C9">
        <f>'[1]VENTAS CONSOLIDADA 1,0'!C9</f>
        <v>533</v>
      </c>
      <c r="D9" s="5">
        <f t="shared" ca="1" si="0"/>
        <v>88.833333333333329</v>
      </c>
      <c r="E9" s="5">
        <f t="shared" ref="E9:E54" ca="1" si="1">D9*($E$2+$E$3)</f>
        <v>1954.3333333333333</v>
      </c>
    </row>
    <row r="10" spans="1:5" x14ac:dyDescent="0.25">
      <c r="A10">
        <v>110230</v>
      </c>
      <c r="B10" t="s">
        <v>1</v>
      </c>
      <c r="C10">
        <f>'[1]VENTAS CONSOLIDADA 1,0'!C10</f>
        <v>2579</v>
      </c>
      <c r="D10" s="5">
        <f t="shared" ca="1" si="0"/>
        <v>429.83333333333331</v>
      </c>
      <c r="E10" s="5">
        <f t="shared" ca="1" si="1"/>
        <v>9456.3333333333321</v>
      </c>
    </row>
    <row r="11" spans="1:5" x14ac:dyDescent="0.25">
      <c r="A11">
        <v>110400</v>
      </c>
      <c r="B11" t="s">
        <v>13</v>
      </c>
      <c r="C11">
        <f>'[1]VENTAS CONSOLIDADA 1,0'!C11</f>
        <v>433</v>
      </c>
      <c r="D11" s="5">
        <f t="shared" ca="1" si="0"/>
        <v>72.166666666666671</v>
      </c>
      <c r="E11" s="5">
        <f t="shared" ca="1" si="1"/>
        <v>1587.6666666666667</v>
      </c>
    </row>
    <row r="12" spans="1:5" x14ac:dyDescent="0.25">
      <c r="A12">
        <v>111000</v>
      </c>
      <c r="B12" t="s">
        <v>14</v>
      </c>
      <c r="C12">
        <f>'[1]VENTAS CONSOLIDADA 1,0'!C12</f>
        <v>53</v>
      </c>
      <c r="D12" s="5">
        <f t="shared" ca="1" si="0"/>
        <v>8.8333333333333339</v>
      </c>
      <c r="E12" s="5">
        <f t="shared" ca="1" si="1"/>
        <v>194.33333333333334</v>
      </c>
    </row>
    <row r="13" spans="1:5" x14ac:dyDescent="0.25">
      <c r="A13">
        <v>120130</v>
      </c>
      <c r="B13" t="s">
        <v>15</v>
      </c>
      <c r="C13">
        <f>'[1]VENTAS CONSOLIDADA 1,0'!C13</f>
        <v>7876</v>
      </c>
      <c r="D13" s="5">
        <f t="shared" ca="1" si="0"/>
        <v>1312.6666666666667</v>
      </c>
      <c r="E13" s="5">
        <f t="shared" ca="1" si="1"/>
        <v>28878.666666666668</v>
      </c>
    </row>
    <row r="14" spans="1:5" x14ac:dyDescent="0.25">
      <c r="A14">
        <v>120131</v>
      </c>
      <c r="B14" t="s">
        <v>23</v>
      </c>
      <c r="C14">
        <f>'[1]VENTAS CONSOLIDADA 1,0'!C14</f>
        <v>719</v>
      </c>
      <c r="D14" s="5">
        <f t="shared" ca="1" si="0"/>
        <v>119.83333333333333</v>
      </c>
      <c r="E14" s="5">
        <f t="shared" ca="1" si="1"/>
        <v>2636.333333333333</v>
      </c>
    </row>
    <row r="15" spans="1:5" x14ac:dyDescent="0.25">
      <c r="A15">
        <v>120132</v>
      </c>
      <c r="B15" t="s">
        <v>21</v>
      </c>
      <c r="C15">
        <f>'[1]VENTAS CONSOLIDADA 1,0'!C15</f>
        <v>1440</v>
      </c>
      <c r="D15" s="5">
        <f t="shared" ca="1" si="0"/>
        <v>240</v>
      </c>
      <c r="E15" s="5">
        <f t="shared" ca="1" si="1"/>
        <v>5280</v>
      </c>
    </row>
    <row r="16" spans="1:5" x14ac:dyDescent="0.25">
      <c r="A16">
        <v>130150</v>
      </c>
      <c r="B16" t="s">
        <v>0</v>
      </c>
      <c r="C16">
        <f>'[1]VENTAS CONSOLIDADA 1,0'!C16</f>
        <v>4132</v>
      </c>
      <c r="D16" s="5">
        <f t="shared" ca="1" si="0"/>
        <v>688.66666666666663</v>
      </c>
      <c r="E16" s="5">
        <f t="shared" ca="1" si="1"/>
        <v>15150.666666666666</v>
      </c>
    </row>
    <row r="17" spans="1:5" x14ac:dyDescent="0.25">
      <c r="A17">
        <v>130151</v>
      </c>
      <c r="B17" t="s">
        <v>4</v>
      </c>
      <c r="C17">
        <f>'[1]VENTAS CONSOLIDADA 1,0'!C17</f>
        <v>1812</v>
      </c>
      <c r="D17" s="5">
        <f t="shared" ca="1" si="0"/>
        <v>302</v>
      </c>
      <c r="E17" s="5">
        <f t="shared" ca="1" si="1"/>
        <v>6644</v>
      </c>
    </row>
    <row r="18" spans="1:5" x14ac:dyDescent="0.25">
      <c r="A18">
        <v>130152</v>
      </c>
      <c r="B18" t="s">
        <v>51</v>
      </c>
      <c r="C18">
        <f>'[1]VENTAS CONSOLIDADA 1,0'!C18</f>
        <v>18780</v>
      </c>
      <c r="D18" s="5">
        <f t="shared" ca="1" si="0"/>
        <v>3130</v>
      </c>
      <c r="E18" s="5">
        <f t="shared" ca="1" si="1"/>
        <v>68860</v>
      </c>
    </row>
    <row r="19" spans="1:5" x14ac:dyDescent="0.25">
      <c r="A19">
        <v>130153</v>
      </c>
      <c r="B19" t="s">
        <v>52</v>
      </c>
      <c r="C19">
        <f>'[1]VENTAS CONSOLIDADA 1,0'!C19</f>
        <v>11587</v>
      </c>
      <c r="D19" s="5">
        <f t="shared" ca="1" si="0"/>
        <v>1931.1666666666667</v>
      </c>
      <c r="E19" s="5">
        <f t="shared" ca="1" si="1"/>
        <v>42485.666666666672</v>
      </c>
    </row>
    <row r="20" spans="1:5" x14ac:dyDescent="0.25">
      <c r="A20">
        <v>130154</v>
      </c>
      <c r="B20" t="s">
        <v>53</v>
      </c>
      <c r="C20">
        <f>'[1]VENTAS CONSOLIDADA 1,0'!C20</f>
        <v>12604</v>
      </c>
      <c r="D20" s="5">
        <f t="shared" ca="1" si="0"/>
        <v>2100.6666666666665</v>
      </c>
      <c r="E20" s="5">
        <f t="shared" ca="1" si="1"/>
        <v>46214.666666666664</v>
      </c>
    </row>
    <row r="21" spans="1:5" x14ac:dyDescent="0.25">
      <c r="A21">
        <v>130155</v>
      </c>
      <c r="B21" t="s">
        <v>16</v>
      </c>
      <c r="C21">
        <f>'[1]VENTAS CONSOLIDADA 1,0'!C21</f>
        <v>14095</v>
      </c>
      <c r="D21" s="5">
        <f t="shared" ca="1" si="0"/>
        <v>2349.1666666666665</v>
      </c>
      <c r="E21" s="5">
        <f t="shared" ca="1" si="1"/>
        <v>51681.666666666664</v>
      </c>
    </row>
    <row r="22" spans="1:5" x14ac:dyDescent="0.25">
      <c r="A22">
        <v>130157</v>
      </c>
      <c r="B22" t="s">
        <v>43</v>
      </c>
      <c r="C22">
        <f>'[1]VENTAS CONSOLIDADA 1,0'!C22</f>
        <v>3804</v>
      </c>
      <c r="D22" s="5">
        <f t="shared" ca="1" si="0"/>
        <v>634</v>
      </c>
      <c r="E22" s="5">
        <f t="shared" ca="1" si="1"/>
        <v>13948</v>
      </c>
    </row>
    <row r="23" spans="1:5" x14ac:dyDescent="0.25">
      <c r="A23">
        <v>130158</v>
      </c>
      <c r="B23" t="s">
        <v>44</v>
      </c>
      <c r="C23">
        <f>'[1]VENTAS CONSOLIDADA 1,0'!C23</f>
        <v>4739</v>
      </c>
      <c r="D23" s="5">
        <f t="shared" ca="1" si="0"/>
        <v>789.83333333333337</v>
      </c>
      <c r="E23" s="5">
        <f t="shared" ca="1" si="1"/>
        <v>17376.333333333336</v>
      </c>
    </row>
    <row r="24" spans="1:5" x14ac:dyDescent="0.25">
      <c r="A24">
        <v>130159</v>
      </c>
      <c r="B24" t="s">
        <v>45</v>
      </c>
      <c r="C24">
        <f>'[1]VENTAS CONSOLIDADA 1,0'!C24</f>
        <v>4689</v>
      </c>
      <c r="D24" s="5">
        <f t="shared" ca="1" si="0"/>
        <v>781.5</v>
      </c>
      <c r="E24" s="5">
        <f t="shared" ca="1" si="1"/>
        <v>17193</v>
      </c>
    </row>
    <row r="25" spans="1:5" x14ac:dyDescent="0.25">
      <c r="A25">
        <v>130700</v>
      </c>
      <c r="B25" t="s">
        <v>3</v>
      </c>
      <c r="C25">
        <f>'[1]VENTAS CONSOLIDADA 1,0'!C25</f>
        <v>1280</v>
      </c>
      <c r="D25" s="5">
        <f t="shared" ca="1" si="0"/>
        <v>213.33333333333334</v>
      </c>
      <c r="E25" s="5">
        <f t="shared" ca="1" si="1"/>
        <v>4693.3333333333339</v>
      </c>
    </row>
    <row r="26" spans="1:5" x14ac:dyDescent="0.25">
      <c r="A26">
        <v>130701</v>
      </c>
      <c r="B26" t="s">
        <v>30</v>
      </c>
      <c r="C26">
        <f>'[1]VENTAS CONSOLIDADA 1,0'!C26</f>
        <v>568</v>
      </c>
      <c r="D26" s="5">
        <f t="shared" ca="1" si="0"/>
        <v>94.666666666666671</v>
      </c>
      <c r="E26" s="5">
        <f t="shared" ca="1" si="1"/>
        <v>2082.666666666667</v>
      </c>
    </row>
    <row r="27" spans="1:5" x14ac:dyDescent="0.25">
      <c r="A27">
        <v>130702</v>
      </c>
      <c r="B27" t="s">
        <v>12</v>
      </c>
      <c r="C27">
        <f>'[1]VENTAS CONSOLIDADA 1,0'!C27</f>
        <v>2776</v>
      </c>
      <c r="D27" s="5">
        <f t="shared" ca="1" si="0"/>
        <v>462.66666666666669</v>
      </c>
      <c r="E27" s="5">
        <f t="shared" ca="1" si="1"/>
        <v>10178.666666666668</v>
      </c>
    </row>
    <row r="28" spans="1:5" x14ac:dyDescent="0.25">
      <c r="A28">
        <v>130703</v>
      </c>
      <c r="B28" t="s">
        <v>17</v>
      </c>
      <c r="C28">
        <f>'[1]VENTAS CONSOLIDADA 1,0'!C28</f>
        <v>4550</v>
      </c>
      <c r="D28" s="5">
        <f t="shared" ca="1" si="0"/>
        <v>758.33333333333337</v>
      </c>
      <c r="E28" s="5">
        <f t="shared" ca="1" si="1"/>
        <v>16683.333333333336</v>
      </c>
    </row>
    <row r="29" spans="1:5" x14ac:dyDescent="0.25">
      <c r="A29">
        <v>130707</v>
      </c>
      <c r="B29" t="s">
        <v>42</v>
      </c>
      <c r="C29">
        <f>'[1]VENTAS CONSOLIDADA 1,0'!C29</f>
        <v>330</v>
      </c>
      <c r="D29" s="5">
        <f t="shared" ca="1" si="0"/>
        <v>55</v>
      </c>
      <c r="E29" s="5">
        <f t="shared" ca="1" si="1"/>
        <v>1210</v>
      </c>
    </row>
    <row r="30" spans="1:5" x14ac:dyDescent="0.25">
      <c r="A30">
        <v>131150</v>
      </c>
      <c r="B30" t="s">
        <v>22</v>
      </c>
      <c r="C30">
        <f>'[1]VENTAS CONSOLIDADA 1,0'!C30</f>
        <v>3626</v>
      </c>
      <c r="D30" s="5">
        <f t="shared" ca="1" si="0"/>
        <v>604.33333333333337</v>
      </c>
      <c r="E30" s="5">
        <f t="shared" ca="1" si="1"/>
        <v>13295.333333333334</v>
      </c>
    </row>
    <row r="31" spans="1:5" x14ac:dyDescent="0.25">
      <c r="A31">
        <v>131151</v>
      </c>
      <c r="B31" t="s">
        <v>19</v>
      </c>
      <c r="C31">
        <f>'[1]VENTAS CONSOLIDADA 1,0'!C31</f>
        <v>5273</v>
      </c>
      <c r="D31" s="5">
        <f t="shared" ca="1" si="0"/>
        <v>878.83333333333337</v>
      </c>
      <c r="E31" s="5">
        <f t="shared" ca="1" si="1"/>
        <v>19334.333333333336</v>
      </c>
    </row>
    <row r="32" spans="1:5" x14ac:dyDescent="0.25">
      <c r="A32">
        <v>131152</v>
      </c>
      <c r="B32" t="s">
        <v>32</v>
      </c>
      <c r="C32">
        <f>'[1]VENTAS CONSOLIDADA 1,0'!C32</f>
        <v>2513</v>
      </c>
      <c r="D32" s="5">
        <f t="shared" ca="1" si="0"/>
        <v>418.83333333333331</v>
      </c>
      <c r="E32" s="5">
        <f t="shared" ca="1" si="1"/>
        <v>9214.3333333333321</v>
      </c>
    </row>
    <row r="33" spans="1:5" x14ac:dyDescent="0.25">
      <c r="A33">
        <v>131153</v>
      </c>
      <c r="B33" t="s">
        <v>11</v>
      </c>
      <c r="C33">
        <f>'[1]VENTAS CONSOLIDADA 1,0'!C33</f>
        <v>1813</v>
      </c>
      <c r="D33" s="5">
        <f t="shared" ca="1" si="0"/>
        <v>302.16666666666669</v>
      </c>
      <c r="E33" s="5">
        <f t="shared" ca="1" si="1"/>
        <v>6647.666666666667</v>
      </c>
    </row>
    <row r="34" spans="1:5" x14ac:dyDescent="0.25">
      <c r="A34">
        <v>131154</v>
      </c>
      <c r="B34" t="s">
        <v>48</v>
      </c>
      <c r="C34">
        <f>'[1]VENTAS CONSOLIDADA 1,0'!C34</f>
        <v>1344</v>
      </c>
      <c r="D34" s="5">
        <f t="shared" ca="1" si="0"/>
        <v>224</v>
      </c>
      <c r="E34" s="5">
        <f t="shared" ca="1" si="1"/>
        <v>4928</v>
      </c>
    </row>
    <row r="35" spans="1:5" x14ac:dyDescent="0.25">
      <c r="A35">
        <v>131155</v>
      </c>
      <c r="B35" t="s">
        <v>57</v>
      </c>
      <c r="C35">
        <f>'[1]VENTAS CONSOLIDADA 1,0'!C35</f>
        <v>1600</v>
      </c>
      <c r="D35" s="5">
        <f t="shared" ca="1" si="0"/>
        <v>266.66666666666669</v>
      </c>
      <c r="E35" s="5">
        <f t="shared" ca="1" si="1"/>
        <v>5866.666666666667</v>
      </c>
    </row>
    <row r="36" spans="1:5" x14ac:dyDescent="0.25">
      <c r="A36">
        <v>131700</v>
      </c>
      <c r="B36" t="s">
        <v>20</v>
      </c>
      <c r="C36">
        <f>'[1]VENTAS CONSOLIDADA 1,0'!C36</f>
        <v>661</v>
      </c>
      <c r="D36" s="5">
        <f t="shared" ca="1" si="0"/>
        <v>110.16666666666667</v>
      </c>
      <c r="E36" s="5">
        <f t="shared" ca="1" si="1"/>
        <v>2423.666666666667</v>
      </c>
    </row>
    <row r="37" spans="1:5" x14ac:dyDescent="0.25">
      <c r="A37">
        <v>131701</v>
      </c>
      <c r="B37" t="s">
        <v>24</v>
      </c>
      <c r="C37">
        <f>'[1]VENTAS CONSOLIDADA 1,0'!C37</f>
        <v>634</v>
      </c>
      <c r="D37" s="5">
        <f t="shared" ca="1" si="0"/>
        <v>105.66666666666667</v>
      </c>
      <c r="E37" s="5">
        <f t="shared" ca="1" si="1"/>
        <v>2324.666666666667</v>
      </c>
    </row>
    <row r="38" spans="1:5" x14ac:dyDescent="0.25">
      <c r="A38">
        <v>132150</v>
      </c>
      <c r="B38" t="s">
        <v>25</v>
      </c>
      <c r="C38">
        <f>'[1]VENTAS CONSOLIDADA 1,0'!C38</f>
        <v>3802</v>
      </c>
      <c r="D38" s="5">
        <f t="shared" ca="1" si="0"/>
        <v>633.66666666666663</v>
      </c>
      <c r="E38" s="5">
        <f t="shared" ca="1" si="1"/>
        <v>13940.666666666666</v>
      </c>
    </row>
    <row r="39" spans="1:5" x14ac:dyDescent="0.25">
      <c r="A39">
        <v>132151</v>
      </c>
      <c r="B39" t="s">
        <v>26</v>
      </c>
      <c r="C39">
        <f>'[1]VENTAS CONSOLIDADA 1,0'!C39</f>
        <v>3101</v>
      </c>
      <c r="D39" s="5">
        <f t="shared" ca="1" si="0"/>
        <v>516.83333333333337</v>
      </c>
      <c r="E39" s="5">
        <f t="shared" ca="1" si="1"/>
        <v>11370.333333333334</v>
      </c>
    </row>
    <row r="40" spans="1:5" x14ac:dyDescent="0.25">
      <c r="A40">
        <v>132152</v>
      </c>
      <c r="B40" t="s">
        <v>27</v>
      </c>
      <c r="C40">
        <f>'[1]VENTAS CONSOLIDADA 1,0'!C40</f>
        <v>4066</v>
      </c>
      <c r="D40" s="5">
        <f t="shared" ca="1" si="0"/>
        <v>677.66666666666663</v>
      </c>
      <c r="E40" s="5">
        <f t="shared" ca="1" si="1"/>
        <v>14908.666666666666</v>
      </c>
    </row>
    <row r="41" spans="1:5" x14ac:dyDescent="0.25">
      <c r="A41">
        <v>132153</v>
      </c>
      <c r="B41" t="s">
        <v>40</v>
      </c>
      <c r="C41">
        <f>'[1]VENTAS CONSOLIDADA 1,0'!C41</f>
        <v>2344</v>
      </c>
      <c r="D41" s="5">
        <f t="shared" ca="1" si="0"/>
        <v>390.66666666666669</v>
      </c>
      <c r="E41" s="5">
        <f t="shared" ca="1" si="1"/>
        <v>8594.6666666666679</v>
      </c>
    </row>
    <row r="42" spans="1:5" x14ac:dyDescent="0.25">
      <c r="A42">
        <v>134000</v>
      </c>
      <c r="B42" t="s">
        <v>35</v>
      </c>
      <c r="C42">
        <f>'[1]VENTAS CONSOLIDADA 1,0'!C42</f>
        <v>21</v>
      </c>
      <c r="D42" s="5">
        <f t="shared" ca="1" si="0"/>
        <v>3.5</v>
      </c>
      <c r="E42" s="5">
        <f t="shared" ca="1" si="1"/>
        <v>77</v>
      </c>
    </row>
    <row r="43" spans="1:5" x14ac:dyDescent="0.25">
      <c r="A43">
        <v>134001</v>
      </c>
      <c r="B43" t="s">
        <v>47</v>
      </c>
      <c r="C43">
        <f>'[1]VENTAS CONSOLIDADA 1,0'!C43</f>
        <v>6</v>
      </c>
      <c r="D43" s="5">
        <f t="shared" ca="1" si="0"/>
        <v>1</v>
      </c>
      <c r="E43" s="5">
        <f t="shared" ca="1" si="1"/>
        <v>22</v>
      </c>
    </row>
    <row r="44" spans="1:5" x14ac:dyDescent="0.25">
      <c r="A44">
        <v>140230</v>
      </c>
      <c r="B44" t="s">
        <v>18</v>
      </c>
      <c r="C44">
        <f>'[1]VENTAS CONSOLIDADA 1,0'!C44</f>
        <v>621</v>
      </c>
      <c r="D44" s="5">
        <f t="shared" ca="1" si="0"/>
        <v>103.5</v>
      </c>
      <c r="E44" s="5">
        <f t="shared" ca="1" si="1"/>
        <v>2277</v>
      </c>
    </row>
    <row r="45" spans="1:5" x14ac:dyDescent="0.25">
      <c r="A45">
        <v>140231</v>
      </c>
      <c r="B45" t="s">
        <v>10</v>
      </c>
      <c r="C45">
        <f>'[1]VENTAS CONSOLIDADA 1,0'!C45</f>
        <v>2610</v>
      </c>
      <c r="D45" s="5">
        <f t="shared" ca="1" si="0"/>
        <v>435</v>
      </c>
      <c r="E45" s="5">
        <f t="shared" ca="1" si="1"/>
        <v>9570</v>
      </c>
    </row>
    <row r="46" spans="1:5" x14ac:dyDescent="0.25">
      <c r="A46">
        <v>140232</v>
      </c>
      <c r="B46" t="s">
        <v>9</v>
      </c>
      <c r="C46">
        <f>'[1]VENTAS CONSOLIDADA 1,0'!C46</f>
        <v>2377</v>
      </c>
      <c r="D46" s="5">
        <f t="shared" ca="1" si="0"/>
        <v>396.16666666666669</v>
      </c>
      <c r="E46" s="5">
        <f t="shared" ca="1" si="1"/>
        <v>8715.6666666666679</v>
      </c>
    </row>
    <row r="47" spans="1:5" x14ac:dyDescent="0.25">
      <c r="A47">
        <v>150360</v>
      </c>
      <c r="B47" t="s">
        <v>28</v>
      </c>
      <c r="C47">
        <f>'[1]VENTAS CONSOLIDADA 1,0'!C47</f>
        <v>878</v>
      </c>
      <c r="D47" s="5">
        <f t="shared" ca="1" si="0"/>
        <v>146.33333333333334</v>
      </c>
      <c r="E47" s="5">
        <f t="shared" ca="1" si="1"/>
        <v>3219.3333333333335</v>
      </c>
    </row>
    <row r="48" spans="1:5" x14ac:dyDescent="0.25">
      <c r="A48">
        <v>150361</v>
      </c>
      <c r="B48" t="s">
        <v>29</v>
      </c>
      <c r="C48">
        <f>'[1]VENTAS CONSOLIDADA 1,0'!C48</f>
        <v>1647</v>
      </c>
      <c r="D48" s="5">
        <f t="shared" ca="1" si="0"/>
        <v>274.5</v>
      </c>
      <c r="E48" s="5">
        <f t="shared" ca="1" si="1"/>
        <v>6039</v>
      </c>
    </row>
    <row r="49" spans="1:5" x14ac:dyDescent="0.25">
      <c r="A49">
        <v>150362</v>
      </c>
      <c r="B49" t="s">
        <v>36</v>
      </c>
      <c r="C49">
        <f>'[1]VENTAS CONSOLIDADA 1,0'!C49</f>
        <v>1158</v>
      </c>
      <c r="D49" s="5">
        <f t="shared" ca="1" si="0"/>
        <v>193</v>
      </c>
      <c r="E49" s="5">
        <f t="shared" ca="1" si="1"/>
        <v>4246</v>
      </c>
    </row>
    <row r="50" spans="1:5" x14ac:dyDescent="0.25">
      <c r="A50">
        <v>150363</v>
      </c>
      <c r="B50" t="s">
        <v>31</v>
      </c>
      <c r="C50">
        <f>'[1]VENTAS CONSOLIDADA 1,0'!C50</f>
        <v>1351</v>
      </c>
      <c r="D50" s="5">
        <f t="shared" ca="1" si="0"/>
        <v>225.16666666666666</v>
      </c>
      <c r="E50" s="5">
        <f t="shared" ca="1" si="1"/>
        <v>4953.6666666666661</v>
      </c>
    </row>
    <row r="51" spans="1:5" x14ac:dyDescent="0.25">
      <c r="A51">
        <v>151500</v>
      </c>
      <c r="B51" t="s">
        <v>41</v>
      </c>
      <c r="C51">
        <f>'[1]VENTAS CONSOLIDADA 1,0'!C51</f>
        <v>192</v>
      </c>
      <c r="D51" s="5">
        <f t="shared" ca="1" si="0"/>
        <v>32</v>
      </c>
      <c r="E51" s="5">
        <f t="shared" ca="1" si="1"/>
        <v>704</v>
      </c>
    </row>
    <row r="52" spans="1:5" x14ac:dyDescent="0.25">
      <c r="A52">
        <v>151501</v>
      </c>
      <c r="B52" t="s">
        <v>33</v>
      </c>
      <c r="C52">
        <f>'[1]VENTAS CONSOLIDADA 1,0'!C52</f>
        <v>461</v>
      </c>
      <c r="D52" s="5">
        <f t="shared" ca="1" si="0"/>
        <v>76.833333333333329</v>
      </c>
      <c r="E52" s="5">
        <f t="shared" ca="1" si="1"/>
        <v>1690.3333333333333</v>
      </c>
    </row>
    <row r="53" spans="1:5" x14ac:dyDescent="0.25">
      <c r="A53">
        <v>151502</v>
      </c>
      <c r="B53" t="s">
        <v>37</v>
      </c>
      <c r="C53">
        <f>'[1]VENTAS CONSOLIDADA 1,0'!C53</f>
        <v>168</v>
      </c>
      <c r="D53" s="5">
        <f t="shared" ca="1" si="0"/>
        <v>28</v>
      </c>
      <c r="E53" s="5">
        <f t="shared" ca="1" si="1"/>
        <v>616</v>
      </c>
    </row>
    <row r="54" spans="1:5" x14ac:dyDescent="0.25">
      <c r="A54">
        <v>151503</v>
      </c>
      <c r="B54" t="s">
        <v>34</v>
      </c>
      <c r="C54">
        <f>'[1]VENTAS CONSOLIDADA 1,0'!C54</f>
        <v>208</v>
      </c>
      <c r="D54" s="5">
        <f t="shared" ca="1" si="0"/>
        <v>34.666666666666664</v>
      </c>
      <c r="E54" s="5">
        <f t="shared" ca="1" si="1"/>
        <v>762.66666666666663</v>
      </c>
    </row>
    <row r="55" spans="1:5" x14ac:dyDescent="0.25">
      <c r="C55">
        <f>SUM(C8:C54)</f>
        <v>147904</v>
      </c>
      <c r="D55" s="5">
        <f ca="1">SUM(D8:D54)</f>
        <v>24650.666666666672</v>
      </c>
      <c r="E55" s="5">
        <f ca="1">SUM(E8:E54)</f>
        <v>542314.66666666663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2FB7461A-5A6D-4ED3-B35C-48147355CFC0}">
  <ds:schemaRefs/>
</ds:datastoreItem>
</file>

<file path=customXml/itemProps2.xml><?xml version="1.0" encoding="utf-8"?>
<ds:datastoreItem xmlns:ds="http://schemas.openxmlformats.org/officeDocument/2006/customXml" ds:itemID="{52FA8FE5-D878-4A8D-B664-9568032292DD}">
  <ds:schemaRefs/>
</ds:datastoreItem>
</file>

<file path=customXml/itemProps3.xml><?xml version="1.0" encoding="utf-8"?>
<ds:datastoreItem xmlns:ds="http://schemas.openxmlformats.org/officeDocument/2006/customXml" ds:itemID="{7845B0CC-F2DA-4435-B3A8-0B67EEA59E3E}">
  <ds:schemaRefs/>
</ds:datastoreItem>
</file>

<file path=customXml/itemProps4.xml><?xml version="1.0" encoding="utf-8"?>
<ds:datastoreItem xmlns:ds="http://schemas.openxmlformats.org/officeDocument/2006/customXml" ds:itemID="{B0CC2B14-7DD7-4033-8A48-822C26B12A45}">
  <ds:schemaRefs/>
</ds:datastoreItem>
</file>

<file path=customXml/itemProps5.xml><?xml version="1.0" encoding="utf-8"?>
<ds:datastoreItem xmlns:ds="http://schemas.openxmlformats.org/officeDocument/2006/customXml" ds:itemID="{F5D7323A-644E-4D3D-8486-43C2FFAD8146}">
  <ds:schemaRefs/>
</ds:datastoreItem>
</file>

<file path=customXml/itemProps6.xml><?xml version="1.0" encoding="utf-8"?>
<ds:datastoreItem xmlns:ds="http://schemas.openxmlformats.org/officeDocument/2006/customXml" ds:itemID="{CAB6C292-B853-467D-B711-6EBB7D36CC58}">
  <ds:schemaRefs/>
</ds:datastoreItem>
</file>

<file path=customXml/itemProps7.xml><?xml version="1.0" encoding="utf-8"?>
<ds:datastoreItem xmlns:ds="http://schemas.openxmlformats.org/officeDocument/2006/customXml" ds:itemID="{4DF253BA-E348-4CD2-AA4E-97FB2A32A7F0}">
  <ds:schemaRefs/>
</ds:datastoreItem>
</file>

<file path=customXml/itemProps8.xml><?xml version="1.0" encoding="utf-8"?>
<ds:datastoreItem xmlns:ds="http://schemas.openxmlformats.org/officeDocument/2006/customXml" ds:itemID="{DEFC51E7-3E67-4621-B139-07F56E3C51B6}">
  <ds:schemaRefs/>
</ds:datastoreItem>
</file>

<file path=customXml/itemProps9.xml><?xml version="1.0" encoding="utf-8"?>
<ds:datastoreItem xmlns:ds="http://schemas.openxmlformats.org/officeDocument/2006/customXml" ds:itemID="{084C0BCB-4732-44D2-A228-50E994334BF1}">
  <ds:schemaRefs/>
</ds:datastoreItem>
</file>

<file path=customXml/itemProps10.xml><?xml version="1.0" encoding="utf-8"?>
<ds:datastoreItem xmlns:ds="http://schemas.openxmlformats.org/officeDocument/2006/customXml" ds:itemID="{DB2ACCEB-6CC9-4D35-BDF4-AC9EF8C2F118}">
  <ds:schemaRefs/>
</ds:datastoreItem>
</file>

<file path=customXml/itemProps11.xml><?xml version="1.0" encoding="utf-8"?>
<ds:datastoreItem xmlns:ds="http://schemas.openxmlformats.org/officeDocument/2006/customXml" ds:itemID="{7AE93A93-CA27-4BDA-AA62-2C35967BA493}">
  <ds:schemaRefs/>
</ds:datastoreItem>
</file>

<file path=customXml/itemProps12.xml><?xml version="1.0" encoding="utf-8"?>
<ds:datastoreItem xmlns:ds="http://schemas.openxmlformats.org/officeDocument/2006/customXml" ds:itemID="{CFB06E3D-1317-4F60-85DB-890000D02217}">
  <ds:schemaRefs/>
</ds:datastoreItem>
</file>

<file path=customXml/itemProps13.xml><?xml version="1.0" encoding="utf-8"?>
<ds:datastoreItem xmlns:ds="http://schemas.openxmlformats.org/officeDocument/2006/customXml" ds:itemID="{1624F75C-FD6B-41DE-81B8-76266AB6E660}">
  <ds:schemaRefs/>
</ds:datastoreItem>
</file>

<file path=customXml/itemProps14.xml><?xml version="1.0" encoding="utf-8"?>
<ds:datastoreItem xmlns:ds="http://schemas.openxmlformats.org/officeDocument/2006/customXml" ds:itemID="{8E0207D3-36B0-4047-99FA-B78F3EBADFAC}">
  <ds:schemaRefs/>
</ds:datastoreItem>
</file>

<file path=customXml/itemProps15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CC2043D8-989E-412C-8862-ACDB973E448B}">
  <ds:schemaRefs/>
</ds:datastoreItem>
</file>

<file path=customXml/itemProps17.xml><?xml version="1.0" encoding="utf-8"?>
<ds:datastoreItem xmlns:ds="http://schemas.openxmlformats.org/officeDocument/2006/customXml" ds:itemID="{65BE5737-5D13-4B92-9A1E-66AAD091BECC}">
  <ds:schemaRefs/>
</ds:datastoreItem>
</file>

<file path=customXml/itemProps18.xml><?xml version="1.0" encoding="utf-8"?>
<ds:datastoreItem xmlns:ds="http://schemas.openxmlformats.org/officeDocument/2006/customXml" ds:itemID="{0AD6CB95-564A-49A8-92C3-BDDCD21D69FF}">
  <ds:schemaRefs/>
</ds:datastoreItem>
</file>

<file path=customXml/itemProps19.xml><?xml version="1.0" encoding="utf-8"?>
<ds:datastoreItem xmlns:ds="http://schemas.openxmlformats.org/officeDocument/2006/customXml" ds:itemID="{AF2AF42B-D484-4F26-B929-D7FB2E56F71D}">
  <ds:schemaRefs/>
</ds:datastoreItem>
</file>

<file path=customXml/itemProps20.xml><?xml version="1.0" encoding="utf-8"?>
<ds:datastoreItem xmlns:ds="http://schemas.openxmlformats.org/officeDocument/2006/customXml" ds:itemID="{38DB5A37-2218-4EAC-B67D-146D68E76E3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2026-09-09T12:36:05Z</dcterms:modified>
</cp:coreProperties>
</file>