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898272E-1EE1-4A90-8C4C-AA2187C75635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<sst xmlns="http://schemas.openxmlformats.org/spreadsheetml/2006/main" count="320" uniqueCount="62">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</sst>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46283</v>
          </cell>
          <cell r="E2">
            <v>13</v>
          </cell>
        </row>
        <row r="3">
          <cell r="C3" t="str">
            <v>FINAL VENTAS</v>
          </cell>
          <cell r="D3">
            <v>46295</v>
          </cell>
          <cell r="E3">
            <v>9</v>
          </cell>
        </row>
        <row r="8">
          <cell r="C8">
            <v>597</v>
          </cell>
        </row>
        <row r="9">
          <cell r="C9">
            <v>74</v>
          </cell>
        </row>
        <row r="10">
          <cell r="C10">
            <v>164</v>
          </cell>
        </row>
        <row r="11">
          <cell r="C11">
            <v>32</v>
          </cell>
        </row>
        <row r="12">
          <cell r="C12">
            <v>7</v>
          </cell>
        </row>
        <row r="13">
          <cell r="C13">
            <v>725</v>
          </cell>
        </row>
        <row r="14">
          <cell r="C14">
            <v>53</v>
          </cell>
        </row>
        <row r="15">
          <cell r="C15">
            <v>106</v>
          </cell>
        </row>
        <row r="16">
          <cell r="C16">
            <v>309</v>
          </cell>
        </row>
        <row r="17">
          <cell r="C17">
            <v>64</v>
          </cell>
        </row>
        <row r="18">
          <cell r="C18">
            <v>1835</v>
          </cell>
        </row>
        <row r="19">
          <cell r="C19">
            <v>1074</v>
          </cell>
        </row>
        <row r="20">
          <cell r="C20">
            <v>1367</v>
          </cell>
        </row>
        <row r="21">
          <cell r="C21">
            <v>1127</v>
          </cell>
        </row>
        <row r="22">
          <cell r="C22">
            <v>311</v>
          </cell>
        </row>
        <row r="23">
          <cell r="C23">
            <v>463</v>
          </cell>
        </row>
        <row r="24">
          <cell r="C24">
            <v>447</v>
          </cell>
        </row>
        <row r="25">
          <cell r="C25">
            <v>67</v>
          </cell>
        </row>
        <row r="26">
          <cell r="C26">
            <v>10</v>
          </cell>
        </row>
        <row r="27">
          <cell r="C27">
            <v>183</v>
          </cell>
        </row>
        <row r="28">
          <cell r="C28">
            <v>255</v>
          </cell>
        </row>
        <row r="29">
          <cell r="C29">
            <v>0</v>
          </cell>
        </row>
        <row r="30">
          <cell r="C30">
            <v>461</v>
          </cell>
        </row>
        <row r="31">
          <cell r="C31">
            <v>1237</v>
          </cell>
        </row>
        <row r="32">
          <cell r="C32">
            <v>756</v>
          </cell>
        </row>
        <row r="33">
          <cell r="C33">
            <v>460</v>
          </cell>
        </row>
        <row r="34">
          <cell r="C34">
            <v>402</v>
          </cell>
        </row>
        <row r="35">
          <cell r="C35">
            <v>481</v>
          </cell>
        </row>
        <row r="36">
          <cell r="C36">
            <v>69</v>
          </cell>
        </row>
        <row r="37">
          <cell r="C37">
            <v>93</v>
          </cell>
        </row>
        <row r="38">
          <cell r="C38">
            <v>594</v>
          </cell>
        </row>
        <row r="39">
          <cell r="C39">
            <v>352</v>
          </cell>
        </row>
        <row r="40">
          <cell r="C40">
            <v>513</v>
          </cell>
        </row>
        <row r="41">
          <cell r="C41">
            <v>285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90</v>
          </cell>
        </row>
        <row r="45">
          <cell r="C45">
            <v>538</v>
          </cell>
        </row>
        <row r="46">
          <cell r="C46">
            <v>129</v>
          </cell>
        </row>
        <row r="47">
          <cell r="C47">
            <v>57</v>
          </cell>
        </row>
        <row r="48">
          <cell r="C48">
            <v>380</v>
          </cell>
        </row>
        <row r="49">
          <cell r="C49">
            <v>141</v>
          </cell>
        </row>
        <row r="50">
          <cell r="C50">
            <v>164</v>
          </cell>
        </row>
        <row r="51">
          <cell r="C51">
            <v>36</v>
          </cell>
        </row>
        <row r="52">
          <cell r="C52">
            <v>57</v>
          </cell>
        </row>
        <row r="53">
          <cell r="C53">
            <v>14</v>
          </cell>
        </row>
        <row r="54">
          <cell r="C54">
            <v>29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46283</v>
          </cell>
          <cell r="E2">
            <v>13</v>
          </cell>
        </row>
        <row r="3">
          <cell r="C3" t="str">
            <v>FINAL VENTAS</v>
          </cell>
          <cell r="D3">
            <v>46295</v>
          </cell>
          <cell r="E3">
            <v>9</v>
          </cell>
        </row>
        <row r="8">
          <cell r="C8">
            <v>669</v>
          </cell>
        </row>
        <row r="9">
          <cell r="C9">
            <v>27</v>
          </cell>
        </row>
        <row r="10">
          <cell r="C10">
            <v>192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2054</v>
          </cell>
        </row>
        <row r="14">
          <cell r="C14">
            <v>164</v>
          </cell>
        </row>
        <row r="15">
          <cell r="C15">
            <v>187</v>
          </cell>
        </row>
        <row r="16">
          <cell r="C16">
            <v>946</v>
          </cell>
        </row>
        <row r="17">
          <cell r="C17">
            <v>270</v>
          </cell>
        </row>
        <row r="18">
          <cell r="C18">
            <v>7478</v>
          </cell>
        </row>
        <row r="19">
          <cell r="C19">
            <v>4048</v>
          </cell>
        </row>
        <row r="20">
          <cell r="C20">
            <v>4030</v>
          </cell>
        </row>
        <row r="21">
          <cell r="C21">
            <v>4979</v>
          </cell>
        </row>
        <row r="22">
          <cell r="C22">
            <v>1652</v>
          </cell>
        </row>
        <row r="23">
          <cell r="C23">
            <v>1865</v>
          </cell>
        </row>
        <row r="24">
          <cell r="C24">
            <v>1994</v>
          </cell>
        </row>
        <row r="25">
          <cell r="C25">
            <v>399</v>
          </cell>
        </row>
        <row r="26">
          <cell r="C26">
            <v>110</v>
          </cell>
        </row>
        <row r="27">
          <cell r="C27">
            <v>1158</v>
          </cell>
        </row>
        <row r="28">
          <cell r="C28">
            <v>1452</v>
          </cell>
        </row>
        <row r="29">
          <cell r="C29">
            <v>70</v>
          </cell>
        </row>
        <row r="30">
          <cell r="C30">
            <v>606</v>
          </cell>
        </row>
        <row r="31">
          <cell r="C31">
            <v>1444</v>
          </cell>
        </row>
        <row r="32">
          <cell r="C32">
            <v>788</v>
          </cell>
        </row>
        <row r="33">
          <cell r="C33">
            <v>476</v>
          </cell>
        </row>
        <row r="34">
          <cell r="C34">
            <v>691</v>
          </cell>
        </row>
        <row r="35">
          <cell r="C35">
            <v>808</v>
          </cell>
        </row>
        <row r="36">
          <cell r="C36">
            <v>138</v>
          </cell>
        </row>
        <row r="37">
          <cell r="C37">
            <v>200</v>
          </cell>
        </row>
        <row r="38">
          <cell r="C38">
            <v>1639</v>
          </cell>
        </row>
        <row r="39">
          <cell r="C39">
            <v>814</v>
          </cell>
        </row>
        <row r="40">
          <cell r="C40">
            <v>1223</v>
          </cell>
        </row>
        <row r="41">
          <cell r="C41">
            <v>544</v>
          </cell>
        </row>
        <row r="42">
          <cell r="C42">
            <v>15</v>
          </cell>
        </row>
        <row r="43">
          <cell r="C43">
            <v>0</v>
          </cell>
        </row>
        <row r="44">
          <cell r="C44">
            <v>194</v>
          </cell>
        </row>
        <row r="45">
          <cell r="C45">
            <v>307</v>
          </cell>
        </row>
        <row r="46">
          <cell r="C46">
            <v>451</v>
          </cell>
        </row>
        <row r="47">
          <cell r="C47">
            <v>207</v>
          </cell>
        </row>
        <row r="48">
          <cell r="C48">
            <v>609</v>
          </cell>
        </row>
        <row r="49">
          <cell r="C49">
            <v>319</v>
          </cell>
        </row>
        <row r="50">
          <cell r="C50">
            <v>349</v>
          </cell>
        </row>
        <row r="51">
          <cell r="C51">
            <v>78</v>
          </cell>
        </row>
        <row r="52">
          <cell r="C52">
            <v>269</v>
          </cell>
        </row>
        <row r="53">
          <cell r="C53">
            <v>69</v>
          </cell>
        </row>
        <row r="54">
          <cell r="C54">
            <v>72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46283</v>
          </cell>
          <cell r="E2">
            <v>13</v>
          </cell>
        </row>
        <row r="3">
          <cell r="C3" t="str">
            <v>FINAL VENTAS</v>
          </cell>
          <cell r="D3">
            <v>46295</v>
          </cell>
          <cell r="E3">
            <v>9</v>
          </cell>
        </row>
        <row r="8">
          <cell r="C8">
            <v>10586</v>
          </cell>
        </row>
        <row r="9">
          <cell r="C9">
            <v>455</v>
          </cell>
        </row>
        <row r="10">
          <cell r="C10">
            <v>4640</v>
          </cell>
        </row>
        <row r="11">
          <cell r="C11">
            <v>1045</v>
          </cell>
        </row>
        <row r="12">
          <cell r="C12">
            <v>146</v>
          </cell>
        </row>
        <row r="13">
          <cell r="C13">
            <v>11265</v>
          </cell>
        </row>
        <row r="14">
          <cell r="C14">
            <v>765</v>
          </cell>
        </row>
        <row r="15">
          <cell r="C15">
            <v>1593</v>
          </cell>
        </row>
        <row r="16">
          <cell r="C16">
            <v>3721</v>
          </cell>
        </row>
        <row r="17">
          <cell r="C17">
            <v>2125</v>
          </cell>
        </row>
        <row r="18">
          <cell r="C18">
            <v>22063</v>
          </cell>
        </row>
        <row r="19">
          <cell r="C19">
            <v>14174</v>
          </cell>
        </row>
        <row r="20">
          <cell r="C20">
            <v>14090</v>
          </cell>
        </row>
        <row r="21">
          <cell r="C21">
            <v>17993</v>
          </cell>
        </row>
        <row r="22">
          <cell r="C22">
            <v>4424</v>
          </cell>
        </row>
        <row r="23">
          <cell r="C23">
            <v>4224</v>
          </cell>
        </row>
        <row r="24">
          <cell r="C24">
            <v>4626</v>
          </cell>
        </row>
        <row r="25">
          <cell r="C25">
            <v>1108</v>
          </cell>
        </row>
        <row r="26">
          <cell r="C26">
            <v>523</v>
          </cell>
        </row>
        <row r="27">
          <cell r="C27">
            <v>2695</v>
          </cell>
        </row>
        <row r="28">
          <cell r="C28">
            <v>5179</v>
          </cell>
        </row>
        <row r="29">
          <cell r="C29">
            <v>890</v>
          </cell>
        </row>
        <row r="30">
          <cell r="C30">
            <v>5619</v>
          </cell>
        </row>
        <row r="31">
          <cell r="C31">
            <v>8535</v>
          </cell>
        </row>
        <row r="32">
          <cell r="C32">
            <v>3500</v>
          </cell>
        </row>
        <row r="33">
          <cell r="C33">
            <v>2682</v>
          </cell>
        </row>
        <row r="34">
          <cell r="C34">
            <v>1133</v>
          </cell>
        </row>
        <row r="35">
          <cell r="C35">
            <v>1495</v>
          </cell>
        </row>
        <row r="36">
          <cell r="C36">
            <v>875</v>
          </cell>
        </row>
        <row r="37">
          <cell r="C37">
            <v>850</v>
          </cell>
        </row>
        <row r="38">
          <cell r="C38">
            <v>3953</v>
          </cell>
        </row>
        <row r="39">
          <cell r="C39">
            <v>3508</v>
          </cell>
        </row>
        <row r="40">
          <cell r="C40">
            <v>4621</v>
          </cell>
        </row>
        <row r="41">
          <cell r="C41">
            <v>3350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627</v>
          </cell>
        </row>
        <row r="45">
          <cell r="C45">
            <v>3396</v>
          </cell>
        </row>
        <row r="46">
          <cell r="C46">
            <v>2485</v>
          </cell>
        </row>
        <row r="47">
          <cell r="C47">
            <v>1738</v>
          </cell>
        </row>
        <row r="48">
          <cell r="C48">
            <v>3342</v>
          </cell>
        </row>
        <row r="49">
          <cell r="C49">
            <v>2377</v>
          </cell>
        </row>
        <row r="50">
          <cell r="C50">
            <v>1341</v>
          </cell>
        </row>
        <row r="51">
          <cell r="C51">
            <v>205</v>
          </cell>
        </row>
        <row r="52">
          <cell r="C52">
            <v>625</v>
          </cell>
        </row>
        <row r="53">
          <cell r="C53">
            <v>353</v>
          </cell>
        </row>
        <row r="54">
          <cell r="C54">
            <v>494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46283</v>
          </cell>
          <cell r="E2">
            <v>13</v>
          </cell>
        </row>
        <row r="3">
          <cell r="C3" t="str">
            <v>FINAL VENTAS</v>
          </cell>
          <cell r="D3">
            <v>46295</v>
          </cell>
          <cell r="E3">
            <v>9</v>
          </cell>
        </row>
        <row r="8">
          <cell r="C8">
            <v>3321</v>
          </cell>
        </row>
        <row r="9">
          <cell r="C9">
            <v>245</v>
          </cell>
        </row>
        <row r="10">
          <cell r="C10">
            <v>1267</v>
          </cell>
        </row>
        <row r="11">
          <cell r="C11">
            <v>347</v>
          </cell>
        </row>
        <row r="12">
          <cell r="C12">
            <v>28</v>
          </cell>
        </row>
        <row r="13">
          <cell r="C13">
            <v>4303</v>
          </cell>
        </row>
        <row r="14">
          <cell r="C14">
            <v>723</v>
          </cell>
        </row>
        <row r="15">
          <cell r="C15">
            <v>1535</v>
          </cell>
        </row>
        <row r="16">
          <cell r="C16">
            <v>4066</v>
          </cell>
        </row>
        <row r="17">
          <cell r="C17">
            <v>1797</v>
          </cell>
        </row>
        <row r="18">
          <cell r="C18">
            <v>12152</v>
          </cell>
        </row>
        <row r="19">
          <cell r="C19">
            <v>7558</v>
          </cell>
        </row>
        <row r="20">
          <cell r="C20">
            <v>8028</v>
          </cell>
        </row>
        <row r="21">
          <cell r="C21">
            <v>9277</v>
          </cell>
        </row>
        <row r="22">
          <cell r="C22">
            <v>2453</v>
          </cell>
        </row>
        <row r="23">
          <cell r="C23">
            <v>3425</v>
          </cell>
        </row>
        <row r="24">
          <cell r="C24">
            <v>3548</v>
          </cell>
        </row>
        <row r="25">
          <cell r="C25">
            <v>1510</v>
          </cell>
        </row>
        <row r="26">
          <cell r="C26">
            <v>845</v>
          </cell>
        </row>
        <row r="27">
          <cell r="C27">
            <v>2306</v>
          </cell>
        </row>
        <row r="28">
          <cell r="C28">
            <v>3400</v>
          </cell>
        </row>
        <row r="29">
          <cell r="C29">
            <v>0</v>
          </cell>
        </row>
        <row r="30">
          <cell r="C30">
            <v>2058</v>
          </cell>
        </row>
        <row r="31">
          <cell r="C31">
            <v>2966</v>
          </cell>
        </row>
        <row r="32">
          <cell r="C32">
            <v>1708</v>
          </cell>
        </row>
        <row r="33">
          <cell r="C33">
            <v>1250</v>
          </cell>
        </row>
        <row r="34">
          <cell r="C34">
            <v>756</v>
          </cell>
        </row>
        <row r="35">
          <cell r="C35">
            <v>891</v>
          </cell>
        </row>
        <row r="36">
          <cell r="C36">
            <v>461</v>
          </cell>
        </row>
        <row r="37">
          <cell r="C37">
            <v>452</v>
          </cell>
        </row>
        <row r="38">
          <cell r="C38">
            <v>2936</v>
          </cell>
        </row>
        <row r="39">
          <cell r="C39">
            <v>2285</v>
          </cell>
        </row>
        <row r="40">
          <cell r="C40">
            <v>3232</v>
          </cell>
        </row>
        <row r="41">
          <cell r="C41">
            <v>1884</v>
          </cell>
        </row>
        <row r="42">
          <cell r="C42">
            <v>37</v>
          </cell>
        </row>
        <row r="43">
          <cell r="C43">
            <v>7</v>
          </cell>
        </row>
        <row r="44">
          <cell r="C44">
            <v>842</v>
          </cell>
        </row>
        <row r="45">
          <cell r="C45">
            <v>2413</v>
          </cell>
        </row>
        <row r="46">
          <cell r="C46">
            <v>2269</v>
          </cell>
        </row>
        <row r="47">
          <cell r="C47">
            <v>421</v>
          </cell>
        </row>
        <row r="48">
          <cell r="C48">
            <v>1456</v>
          </cell>
        </row>
        <row r="49">
          <cell r="C49">
            <v>747</v>
          </cell>
        </row>
        <row r="50">
          <cell r="C50">
            <v>949</v>
          </cell>
        </row>
        <row r="51">
          <cell r="C51">
            <v>145</v>
          </cell>
        </row>
        <row r="52">
          <cell r="C52">
            <v>332</v>
          </cell>
        </row>
        <row r="53">
          <cell r="C53">
            <v>94</v>
          </cell>
        </row>
        <row r="54">
          <cell r="C54">
            <v>126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46283</v>
          </cell>
          <cell r="E2">
            <v>13</v>
          </cell>
        </row>
        <row r="3">
          <cell r="C3" t="str">
            <v>FINAL VENTAS</v>
          </cell>
          <cell r="D3">
            <v>46295</v>
          </cell>
          <cell r="E3">
            <v>9</v>
          </cell>
        </row>
        <row r="8">
          <cell r="C8">
            <v>435</v>
          </cell>
        </row>
        <row r="9">
          <cell r="C9">
            <v>66</v>
          </cell>
        </row>
        <row r="10">
          <cell r="C10">
            <v>129</v>
          </cell>
        </row>
        <row r="11">
          <cell r="C11">
            <v>57</v>
          </cell>
        </row>
        <row r="12">
          <cell r="C12">
            <v>6</v>
          </cell>
        </row>
        <row r="13">
          <cell r="C13">
            <v>183</v>
          </cell>
        </row>
        <row r="14">
          <cell r="C14">
            <v>151</v>
          </cell>
        </row>
        <row r="15">
          <cell r="C15">
            <v>190</v>
          </cell>
        </row>
        <row r="16">
          <cell r="C16">
            <v>260</v>
          </cell>
        </row>
        <row r="17">
          <cell r="C17">
            <v>56</v>
          </cell>
        </row>
        <row r="18">
          <cell r="C18">
            <v>796</v>
          </cell>
        </row>
        <row r="19">
          <cell r="C19">
            <v>510</v>
          </cell>
        </row>
        <row r="20">
          <cell r="C20">
            <v>366</v>
          </cell>
        </row>
        <row r="21">
          <cell r="C21">
            <v>572</v>
          </cell>
        </row>
        <row r="22">
          <cell r="C22">
            <v>160</v>
          </cell>
        </row>
        <row r="23">
          <cell r="C23">
            <v>228</v>
          </cell>
        </row>
        <row r="24">
          <cell r="C24">
            <v>236</v>
          </cell>
        </row>
        <row r="25">
          <cell r="C25">
            <v>64</v>
          </cell>
        </row>
        <row r="26">
          <cell r="C26">
            <v>21</v>
          </cell>
        </row>
        <row r="27">
          <cell r="C27">
            <v>60</v>
          </cell>
        </row>
        <row r="28">
          <cell r="C28">
            <v>174</v>
          </cell>
        </row>
        <row r="29">
          <cell r="C29">
            <v>0</v>
          </cell>
        </row>
        <row r="30">
          <cell r="C30">
            <v>182</v>
          </cell>
        </row>
        <row r="31">
          <cell r="C31">
            <v>331</v>
          </cell>
        </row>
        <row r="32">
          <cell r="C32">
            <v>246</v>
          </cell>
        </row>
        <row r="33">
          <cell r="C33">
            <v>349</v>
          </cell>
        </row>
        <row r="34">
          <cell r="C34">
            <v>64</v>
          </cell>
        </row>
        <row r="35">
          <cell r="C35">
            <v>63</v>
          </cell>
        </row>
        <row r="36">
          <cell r="C36">
            <v>65</v>
          </cell>
        </row>
        <row r="37">
          <cell r="C37">
            <v>57</v>
          </cell>
        </row>
        <row r="38">
          <cell r="C38">
            <v>364</v>
          </cell>
        </row>
        <row r="39">
          <cell r="C39">
            <v>334</v>
          </cell>
        </row>
        <row r="40">
          <cell r="C40">
            <v>346</v>
          </cell>
        </row>
        <row r="41">
          <cell r="C41">
            <v>332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61</v>
          </cell>
        </row>
        <row r="45">
          <cell r="C45">
            <v>139</v>
          </cell>
        </row>
        <row r="46">
          <cell r="C46">
            <v>52</v>
          </cell>
        </row>
        <row r="47">
          <cell r="C47">
            <v>23</v>
          </cell>
        </row>
        <row r="48">
          <cell r="C48">
            <v>93</v>
          </cell>
        </row>
        <row r="49">
          <cell r="C49">
            <v>105</v>
          </cell>
        </row>
        <row r="50">
          <cell r="C50">
            <v>105</v>
          </cell>
        </row>
        <row r="51">
          <cell r="C51">
            <v>26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46283</v>
          </cell>
          <cell r="E2">
            <v>13</v>
          </cell>
        </row>
        <row r="3">
          <cell r="C3" t="str">
            <v>FINAL VENTAS</v>
          </cell>
          <cell r="D3">
            <v>46295</v>
          </cell>
          <cell r="E3">
            <v>9</v>
          </cell>
        </row>
        <row r="8">
          <cell r="C8">
            <v>15880</v>
          </cell>
        </row>
        <row r="9">
          <cell r="C9">
            <v>870</v>
          </cell>
        </row>
        <row r="10">
          <cell r="C10">
            <v>6480</v>
          </cell>
        </row>
        <row r="11">
          <cell r="C11">
            <v>1508</v>
          </cell>
        </row>
        <row r="12">
          <cell r="C12">
            <v>193</v>
          </cell>
        </row>
        <row r="13">
          <cell r="C13">
            <v>18704</v>
          </cell>
        </row>
        <row r="14">
          <cell r="C14">
            <v>1877</v>
          </cell>
        </row>
        <row r="15">
          <cell r="C15">
            <v>3654</v>
          </cell>
        </row>
        <row r="16">
          <cell r="C16">
            <v>9467</v>
          </cell>
        </row>
        <row r="17">
          <cell r="C17">
            <v>4436</v>
          </cell>
        </row>
        <row r="18">
          <cell r="C18">
            <v>44744</v>
          </cell>
        </row>
        <row r="19">
          <cell r="C19">
            <v>27639</v>
          </cell>
        </row>
        <row r="20">
          <cell r="C20">
            <v>28167</v>
          </cell>
        </row>
        <row r="21">
          <cell r="C21">
            <v>34306</v>
          </cell>
        </row>
        <row r="22">
          <cell r="C22">
            <v>9028</v>
          </cell>
        </row>
        <row r="23">
          <cell r="C23">
            <v>10246</v>
          </cell>
        </row>
        <row r="24">
          <cell r="C24">
            <v>10891</v>
          </cell>
        </row>
        <row r="25">
          <cell r="C25">
            <v>3252</v>
          </cell>
        </row>
        <row r="26">
          <cell r="C26">
            <v>1539</v>
          </cell>
        </row>
        <row r="27">
          <cell r="C27">
            <v>6467</v>
          </cell>
        </row>
        <row r="28">
          <cell r="C28">
            <v>10679</v>
          </cell>
        </row>
        <row r="29">
          <cell r="C29">
            <v>960</v>
          </cell>
        </row>
        <row r="30">
          <cell r="C30">
            <v>9110</v>
          </cell>
        </row>
        <row r="31">
          <cell r="C31">
            <v>14646</v>
          </cell>
        </row>
        <row r="32">
          <cell r="C32">
            <v>7137</v>
          </cell>
        </row>
        <row r="33">
          <cell r="C33">
            <v>5575</v>
          </cell>
        </row>
        <row r="34">
          <cell r="C34">
            <v>3113</v>
          </cell>
        </row>
        <row r="35">
          <cell r="C35">
            <v>3766</v>
          </cell>
        </row>
        <row r="36">
          <cell r="C36">
            <v>1651</v>
          </cell>
        </row>
        <row r="37">
          <cell r="C37">
            <v>1690</v>
          </cell>
        </row>
        <row r="38">
          <cell r="C38">
            <v>9699</v>
          </cell>
        </row>
        <row r="39">
          <cell r="C39">
            <v>7466</v>
          </cell>
        </row>
        <row r="40">
          <cell r="C40">
            <v>10025</v>
          </cell>
        </row>
        <row r="41">
          <cell r="C41">
            <v>6509</v>
          </cell>
        </row>
        <row r="42">
          <cell r="C42">
            <v>52</v>
          </cell>
        </row>
        <row r="43">
          <cell r="C43">
            <v>7</v>
          </cell>
        </row>
        <row r="44">
          <cell r="C44">
            <v>1851</v>
          </cell>
        </row>
        <row r="45">
          <cell r="C45">
            <v>6864</v>
          </cell>
        </row>
        <row r="46">
          <cell r="C46">
            <v>5434</v>
          </cell>
        </row>
        <row r="47">
          <cell r="C47">
            <v>2523</v>
          </cell>
        </row>
        <row r="48">
          <cell r="C48">
            <v>5958</v>
          </cell>
        </row>
        <row r="49">
          <cell r="C49">
            <v>3719</v>
          </cell>
        </row>
        <row r="50">
          <cell r="C50">
            <v>2894</v>
          </cell>
        </row>
        <row r="51">
          <cell r="C51">
            <v>468</v>
          </cell>
        </row>
        <row r="52">
          <cell r="C52">
            <v>1359</v>
          </cell>
        </row>
        <row r="53">
          <cell r="C53">
            <v>561</v>
          </cell>
        </row>
        <row r="54">
          <cell r="C54">
            <v>740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46283</v>
      </c>
      <c r="E2" s="4">
        <f ca="1">'[1]VENTAS CONSOLIDADA ZULIA'!E2</f>
        <v>13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9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435</v>
      </c>
      <c r="D8" s="5">
        <f t="shared" ref="D8:D54" ca="1" si="0">C8/$E$2</f>
        <v>33.46153846153846</v>
      </c>
      <c r="E8" s="5">
        <f ca="1">D8*($E$2+$E$3)</f>
        <v>736.15384615384608</v>
      </c>
    </row>
    <row r="9" spans="1:5" x14ac:dyDescent="0.25">
      <c r="A9">
        <v>110151</v>
      </c>
      <c r="B9" t="s">
        <v>5</v>
      </c>
      <c r="C9">
        <f>'[1]VENTAS CONSOLIDADA ZULIA'!C9</f>
        <v>66</v>
      </c>
      <c r="D9" s="5">
        <f t="shared" ca="1" si="0"/>
        <v>5.0769230769230766</v>
      </c>
      <c r="E9" s="5">
        <f t="shared" ref="E9:E54" ca="1" si="1">D9*($E$2+$E$3)</f>
        <v>111.69230769230768</v>
      </c>
    </row>
    <row r="10" spans="1:5" x14ac:dyDescent="0.25">
      <c r="A10">
        <v>110230</v>
      </c>
      <c r="B10" t="s">
        <v>1</v>
      </c>
      <c r="C10">
        <f>'[1]VENTAS CONSOLIDADA ZULIA'!C10</f>
        <v>129</v>
      </c>
      <c r="D10" s="5">
        <f t="shared" ca="1" si="0"/>
        <v>9.9230769230769234</v>
      </c>
      <c r="E10" s="5">
        <f t="shared" ca="1" si="1"/>
        <v>218.30769230769232</v>
      </c>
    </row>
    <row r="11" spans="1:5" x14ac:dyDescent="0.25">
      <c r="A11">
        <v>110400</v>
      </c>
      <c r="B11" t="s">
        <v>13</v>
      </c>
      <c r="C11">
        <f>'[1]VENTAS CONSOLIDADA ZULIA'!C11</f>
        <v>57</v>
      </c>
      <c r="D11" s="5">
        <f t="shared" ca="1" si="0"/>
        <v>4.384615384615385</v>
      </c>
      <c r="E11" s="5">
        <f t="shared" ca="1" si="1"/>
        <v>96.461538461538467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0.46153846153846156</v>
      </c>
      <c r="E12" s="5">
        <f t="shared" ca="1" si="1"/>
        <v>10.153846153846155</v>
      </c>
    </row>
    <row r="13" spans="1:5" x14ac:dyDescent="0.25">
      <c r="A13">
        <v>120130</v>
      </c>
      <c r="B13" t="s">
        <v>15</v>
      </c>
      <c r="C13">
        <f>'[1]VENTAS CONSOLIDADA ZULIA'!C13</f>
        <v>183</v>
      </c>
      <c r="D13" s="5">
        <f t="shared" ca="1" si="0"/>
        <v>14.076923076923077</v>
      </c>
      <c r="E13" s="5">
        <f t="shared" ca="1" si="1"/>
        <v>309.69230769230768</v>
      </c>
    </row>
    <row r="14" spans="1:5" x14ac:dyDescent="0.25">
      <c r="A14">
        <v>120131</v>
      </c>
      <c r="B14" t="s">
        <v>23</v>
      </c>
      <c r="C14">
        <f>'[1]VENTAS CONSOLIDADA ZULIA'!C14</f>
        <v>151</v>
      </c>
      <c r="D14" s="5">
        <f t="shared" ca="1" si="0"/>
        <v>11.615384615384615</v>
      </c>
      <c r="E14" s="5">
        <f t="shared" ca="1" si="1"/>
        <v>255.53846153846152</v>
      </c>
    </row>
    <row r="15" spans="1:5" x14ac:dyDescent="0.25">
      <c r="A15">
        <v>120132</v>
      </c>
      <c r="B15" t="s">
        <v>21</v>
      </c>
      <c r="C15">
        <f>'[1]VENTAS CONSOLIDADA ZULIA'!C15</f>
        <v>190</v>
      </c>
      <c r="D15" s="5">
        <f t="shared" ca="1" si="0"/>
        <v>14.615384615384615</v>
      </c>
      <c r="E15" s="5">
        <f t="shared" ca="1" si="1"/>
        <v>321.53846153846155</v>
      </c>
    </row>
    <row r="16" spans="1:5" x14ac:dyDescent="0.25">
      <c r="A16">
        <v>130150</v>
      </c>
      <c r="B16" t="s">
        <v>0</v>
      </c>
      <c r="C16">
        <f>'[1]VENTAS CONSOLIDADA ZULIA'!C16</f>
        <v>260</v>
      </c>
      <c r="D16" s="5">
        <f t="shared" ca="1" si="0"/>
        <v>20</v>
      </c>
      <c r="E16" s="5">
        <f t="shared" ca="1" si="1"/>
        <v>440</v>
      </c>
    </row>
    <row r="17" spans="1:5" x14ac:dyDescent="0.25">
      <c r="A17">
        <v>130151</v>
      </c>
      <c r="B17" t="s">
        <v>4</v>
      </c>
      <c r="C17">
        <f>'[1]VENTAS CONSOLIDADA ZULIA'!C17</f>
        <v>56</v>
      </c>
      <c r="D17" s="5">
        <f t="shared" ca="1" si="0"/>
        <v>4.3076923076923075</v>
      </c>
      <c r="E17" s="5">
        <f t="shared" ca="1" si="1"/>
        <v>94.769230769230759</v>
      </c>
    </row>
    <row r="18" spans="1:5" x14ac:dyDescent="0.25">
      <c r="A18">
        <v>130152</v>
      </c>
      <c r="B18" t="s">
        <v>51</v>
      </c>
      <c r="C18">
        <f>'[1]VENTAS CONSOLIDADA ZULIA'!C18</f>
        <v>796</v>
      </c>
      <c r="D18" s="5">
        <f t="shared" ca="1" si="0"/>
        <v>61.230769230769234</v>
      </c>
      <c r="E18" s="5">
        <f t="shared" ca="1" si="1"/>
        <v>1347.0769230769231</v>
      </c>
    </row>
    <row r="19" spans="1:5" x14ac:dyDescent="0.25">
      <c r="A19">
        <v>130153</v>
      </c>
      <c r="B19" t="s">
        <v>52</v>
      </c>
      <c r="C19">
        <f>'[1]VENTAS CONSOLIDADA ZULIA'!C19</f>
        <v>510</v>
      </c>
      <c r="D19" s="5">
        <f t="shared" ca="1" si="0"/>
        <v>39.230769230769234</v>
      </c>
      <c r="E19" s="5">
        <f t="shared" ca="1" si="1"/>
        <v>863.07692307692309</v>
      </c>
    </row>
    <row r="20" spans="1:5" x14ac:dyDescent="0.25">
      <c r="A20">
        <v>130154</v>
      </c>
      <c r="B20" t="s">
        <v>53</v>
      </c>
      <c r="C20">
        <f>'[1]VENTAS CONSOLIDADA ZULIA'!C20</f>
        <v>366</v>
      </c>
      <c r="D20" s="5">
        <f t="shared" ca="1" si="0"/>
        <v>28.153846153846153</v>
      </c>
      <c r="E20" s="5">
        <f t="shared" ca="1" si="1"/>
        <v>619.38461538461536</v>
      </c>
    </row>
    <row r="21" spans="1:5" x14ac:dyDescent="0.25">
      <c r="A21">
        <v>130155</v>
      </c>
      <c r="B21" t="s">
        <v>16</v>
      </c>
      <c r="C21">
        <f>'[1]VENTAS CONSOLIDADA ZULIA'!C21</f>
        <v>572</v>
      </c>
      <c r="D21" s="5">
        <f t="shared" ca="1" si="0"/>
        <v>44</v>
      </c>
      <c r="E21" s="5">
        <f t="shared" ca="1" si="1"/>
        <v>968</v>
      </c>
    </row>
    <row r="22" spans="1:5" x14ac:dyDescent="0.25">
      <c r="A22">
        <v>130157</v>
      </c>
      <c r="B22" t="s">
        <v>43</v>
      </c>
      <c r="C22">
        <f>'[1]VENTAS CONSOLIDADA ZULIA'!C22</f>
        <v>160</v>
      </c>
      <c r="D22" s="5">
        <f t="shared" ca="1" si="0"/>
        <v>12.307692307692308</v>
      </c>
      <c r="E22" s="5">
        <f t="shared" ca="1" si="1"/>
        <v>270.76923076923077</v>
      </c>
    </row>
    <row r="23" spans="1:5" x14ac:dyDescent="0.25">
      <c r="A23">
        <v>130158</v>
      </c>
      <c r="B23" t="s">
        <v>44</v>
      </c>
      <c r="C23">
        <f>'[1]VENTAS CONSOLIDADA ZULIA'!C23</f>
        <v>228</v>
      </c>
      <c r="D23" s="5">
        <f t="shared" ca="1" si="0"/>
        <v>17.53846153846154</v>
      </c>
      <c r="E23" s="5">
        <f t="shared" ca="1" si="1"/>
        <v>385.84615384615387</v>
      </c>
    </row>
    <row r="24" spans="1:5" x14ac:dyDescent="0.25">
      <c r="A24">
        <v>130159</v>
      </c>
      <c r="B24" t="s">
        <v>45</v>
      </c>
      <c r="C24">
        <f>'[1]VENTAS CONSOLIDADA ZULIA'!C24</f>
        <v>236</v>
      </c>
      <c r="D24" s="5">
        <f t="shared" ca="1" si="0"/>
        <v>18.153846153846153</v>
      </c>
      <c r="E24" s="5">
        <f t="shared" ca="1" si="1"/>
        <v>399.38461538461536</v>
      </c>
    </row>
    <row r="25" spans="1:5" x14ac:dyDescent="0.25">
      <c r="A25">
        <v>130700</v>
      </c>
      <c r="B25" t="s">
        <v>3</v>
      </c>
      <c r="C25">
        <f>'[1]VENTAS CONSOLIDADA ZULIA'!C25</f>
        <v>64</v>
      </c>
      <c r="D25" s="5">
        <f t="shared" ca="1" si="0"/>
        <v>4.9230769230769234</v>
      </c>
      <c r="E25" s="5">
        <f t="shared" ca="1" si="1"/>
        <v>108.30769230769232</v>
      </c>
    </row>
    <row r="26" spans="1:5" x14ac:dyDescent="0.25">
      <c r="A26">
        <v>130701</v>
      </c>
      <c r="B26" t="s">
        <v>30</v>
      </c>
      <c r="C26">
        <f>'[1]VENTAS CONSOLIDADA ZULIA'!C26</f>
        <v>21</v>
      </c>
      <c r="D26" s="5">
        <f t="shared" ca="1" si="0"/>
        <v>1.6153846153846154</v>
      </c>
      <c r="E26" s="5">
        <f t="shared" ca="1" si="1"/>
        <v>35.53846153846154</v>
      </c>
    </row>
    <row r="27" spans="1:5" x14ac:dyDescent="0.25">
      <c r="A27">
        <v>130702</v>
      </c>
      <c r="B27" t="s">
        <v>12</v>
      </c>
      <c r="C27">
        <f>'[1]VENTAS CONSOLIDADA ZULIA'!C27</f>
        <v>60</v>
      </c>
      <c r="D27" s="5">
        <f t="shared" ca="1" si="0"/>
        <v>4.615384615384615</v>
      </c>
      <c r="E27" s="5">
        <f t="shared" ca="1" si="1"/>
        <v>101.53846153846153</v>
      </c>
    </row>
    <row r="28" spans="1:5" x14ac:dyDescent="0.25">
      <c r="A28">
        <v>130703</v>
      </c>
      <c r="B28" t="s">
        <v>17</v>
      </c>
      <c r="C28">
        <f>'[1]VENTAS CONSOLIDADA ZULIA'!C28</f>
        <v>174</v>
      </c>
      <c r="D28" s="5">
        <f t="shared" ca="1" si="0"/>
        <v>13.384615384615385</v>
      </c>
      <c r="E28" s="5">
        <f t="shared" ca="1" si="1"/>
        <v>294.46153846153845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182</v>
      </c>
      <c r="D30" s="5">
        <f t="shared" ca="1" si="0"/>
        <v>14</v>
      </c>
      <c r="E30" s="5">
        <f t="shared" ca="1" si="1"/>
        <v>308</v>
      </c>
    </row>
    <row r="31" spans="1:5" x14ac:dyDescent="0.25">
      <c r="A31">
        <v>131151</v>
      </c>
      <c r="B31" t="s">
        <v>19</v>
      </c>
      <c r="C31">
        <f>'[1]VENTAS CONSOLIDADA ZULIA'!C31</f>
        <v>331</v>
      </c>
      <c r="D31" s="5">
        <f t="shared" ca="1" si="0"/>
        <v>25.46153846153846</v>
      </c>
      <c r="E31" s="5">
        <f t="shared" ca="1" si="1"/>
        <v>560.15384615384608</v>
      </c>
    </row>
    <row r="32" spans="1:5" x14ac:dyDescent="0.25">
      <c r="A32">
        <v>131152</v>
      </c>
      <c r="B32" t="s">
        <v>32</v>
      </c>
      <c r="C32">
        <f>'[1]VENTAS CONSOLIDADA ZULIA'!C32</f>
        <v>246</v>
      </c>
      <c r="D32" s="5">
        <f t="shared" ca="1" si="0"/>
        <v>18.923076923076923</v>
      </c>
      <c r="E32" s="5">
        <f t="shared" ca="1" si="1"/>
        <v>416.30769230769232</v>
      </c>
    </row>
    <row r="33" spans="1:5" x14ac:dyDescent="0.25">
      <c r="A33">
        <v>131153</v>
      </c>
      <c r="B33" t="s">
        <v>11</v>
      </c>
      <c r="C33">
        <f>'[1]VENTAS CONSOLIDADA ZULIA'!C33</f>
        <v>349</v>
      </c>
      <c r="D33" s="5">
        <f t="shared" ca="1" si="0"/>
        <v>26.846153846153847</v>
      </c>
      <c r="E33" s="5">
        <f t="shared" ca="1" si="1"/>
        <v>590.61538461538464</v>
      </c>
    </row>
    <row r="34" spans="1:5" x14ac:dyDescent="0.25">
      <c r="A34">
        <v>131154</v>
      </c>
      <c r="B34" t="s">
        <v>48</v>
      </c>
      <c r="C34">
        <f>'[1]VENTAS CONSOLIDADA ZULIA'!C34</f>
        <v>64</v>
      </c>
      <c r="D34" s="5">
        <f t="shared" ca="1" si="0"/>
        <v>4.9230769230769234</v>
      </c>
      <c r="E34" s="5">
        <f t="shared" ca="1" si="1"/>
        <v>108.30769230769232</v>
      </c>
    </row>
    <row r="35" spans="1:5" x14ac:dyDescent="0.25">
      <c r="A35">
        <v>131155</v>
      </c>
      <c r="B35" t="s">
        <v>57</v>
      </c>
      <c r="C35">
        <f>'[1]VENTAS CONSOLIDADA ZULIA'!C35</f>
        <v>63</v>
      </c>
      <c r="D35" s="5">
        <f t="shared" ca="1" si="0"/>
        <v>4.8461538461538458</v>
      </c>
      <c r="E35" s="5">
        <f t="shared" ca="1" si="1"/>
        <v>106.61538461538461</v>
      </c>
    </row>
    <row r="36" spans="1:5" x14ac:dyDescent="0.25">
      <c r="A36">
        <v>131700</v>
      </c>
      <c r="B36" t="s">
        <v>20</v>
      </c>
      <c r="C36">
        <f>'[1]VENTAS CONSOLIDADA ZULIA'!C36</f>
        <v>65</v>
      </c>
      <c r="D36" s="5">
        <f t="shared" ca="1" si="0"/>
        <v>5</v>
      </c>
      <c r="E36" s="5">
        <f t="shared" ca="1" si="1"/>
        <v>110</v>
      </c>
    </row>
    <row r="37" spans="1:5" x14ac:dyDescent="0.25">
      <c r="A37">
        <v>131701</v>
      </c>
      <c r="B37" t="s">
        <v>24</v>
      </c>
      <c r="C37">
        <f>'[1]VENTAS CONSOLIDADA ZULIA'!C37</f>
        <v>57</v>
      </c>
      <c r="D37" s="5">
        <f t="shared" ca="1" si="0"/>
        <v>4.384615384615385</v>
      </c>
      <c r="E37" s="5">
        <f t="shared" ca="1" si="1"/>
        <v>96.461538461538467</v>
      </c>
    </row>
    <row r="38" spans="1:5" x14ac:dyDescent="0.25">
      <c r="A38">
        <v>132150</v>
      </c>
      <c r="B38" t="s">
        <v>25</v>
      </c>
      <c r="C38">
        <f>'[1]VENTAS CONSOLIDADA ZULIA'!C38</f>
        <v>364</v>
      </c>
      <c r="D38" s="5">
        <f t="shared" ca="1" si="0"/>
        <v>28</v>
      </c>
      <c r="E38" s="5">
        <f t="shared" ca="1" si="1"/>
        <v>616</v>
      </c>
    </row>
    <row r="39" spans="1:5" x14ac:dyDescent="0.25">
      <c r="A39">
        <v>132151</v>
      </c>
      <c r="B39" t="s">
        <v>26</v>
      </c>
      <c r="C39">
        <f>'[1]VENTAS CONSOLIDADA ZULIA'!C39</f>
        <v>334</v>
      </c>
      <c r="D39" s="5">
        <f t="shared" ca="1" si="0"/>
        <v>25.692307692307693</v>
      </c>
      <c r="E39" s="5">
        <f t="shared" ca="1" si="1"/>
        <v>565.23076923076928</v>
      </c>
    </row>
    <row r="40" spans="1:5" x14ac:dyDescent="0.25">
      <c r="A40">
        <v>132152</v>
      </c>
      <c r="B40" t="s">
        <v>27</v>
      </c>
      <c r="C40">
        <f>'[1]VENTAS CONSOLIDADA ZULIA'!C40</f>
        <v>346</v>
      </c>
      <c r="D40" s="5">
        <f t="shared" ca="1" si="0"/>
        <v>26.615384615384617</v>
      </c>
      <c r="E40" s="5">
        <f t="shared" ca="1" si="1"/>
        <v>585.53846153846155</v>
      </c>
    </row>
    <row r="41" spans="1:5" x14ac:dyDescent="0.25">
      <c r="A41">
        <v>132153</v>
      </c>
      <c r="B41" t="s">
        <v>40</v>
      </c>
      <c r="C41">
        <f>'[1]VENTAS CONSOLIDADA ZULIA'!C41</f>
        <v>332</v>
      </c>
      <c r="D41" s="5">
        <f t="shared" ca="1" si="0"/>
        <v>25.53846153846154</v>
      </c>
      <c r="E41" s="5">
        <f t="shared" ca="1" si="1"/>
        <v>561.84615384615392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61</v>
      </c>
      <c r="D44" s="5">
        <f t="shared" ca="1" si="0"/>
        <v>4.6923076923076925</v>
      </c>
      <c r="E44" s="5">
        <f t="shared" ca="1" si="1"/>
        <v>103.23076923076924</v>
      </c>
    </row>
    <row r="45" spans="1:5" x14ac:dyDescent="0.25">
      <c r="A45">
        <v>140231</v>
      </c>
      <c r="B45" t="s">
        <v>10</v>
      </c>
      <c r="C45">
        <f>'[1]VENTAS CONSOLIDADA ZULIA'!C45</f>
        <v>139</v>
      </c>
      <c r="D45" s="5">
        <f t="shared" ca="1" si="0"/>
        <v>10.692307692307692</v>
      </c>
      <c r="E45" s="5">
        <f t="shared" ca="1" si="1"/>
        <v>235.23076923076923</v>
      </c>
    </row>
    <row r="46" spans="1:5" x14ac:dyDescent="0.25">
      <c r="A46">
        <v>140232</v>
      </c>
      <c r="B46" t="s">
        <v>9</v>
      </c>
      <c r="C46">
        <f>'[1]VENTAS CONSOLIDADA ZULIA'!C46</f>
        <v>52</v>
      </c>
      <c r="D46" s="5">
        <f t="shared" ca="1" si="0"/>
        <v>4</v>
      </c>
      <c r="E46" s="5">
        <f t="shared" ca="1" si="1"/>
        <v>88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1.7692307692307692</v>
      </c>
      <c r="E47" s="5">
        <f t="shared" ca="1" si="1"/>
        <v>38.92307692307692</v>
      </c>
    </row>
    <row r="48" spans="1:5" x14ac:dyDescent="0.25">
      <c r="A48">
        <v>150361</v>
      </c>
      <c r="B48" t="s">
        <v>29</v>
      </c>
      <c r="C48">
        <f>'[1]VENTAS CONSOLIDADA ZULIA'!C48</f>
        <v>93</v>
      </c>
      <c r="D48" s="5">
        <f t="shared" ca="1" si="0"/>
        <v>7.1538461538461542</v>
      </c>
      <c r="E48" s="5">
        <f t="shared" ca="1" si="1"/>
        <v>157.38461538461539</v>
      </c>
    </row>
    <row r="49" spans="1:5" x14ac:dyDescent="0.25">
      <c r="A49">
        <v>150362</v>
      </c>
      <c r="B49" t="s">
        <v>36</v>
      </c>
      <c r="C49">
        <f>'[1]VENTAS CONSOLIDADA ZULIA'!C49</f>
        <v>105</v>
      </c>
      <c r="D49" s="5">
        <f t="shared" ca="1" si="0"/>
        <v>8.0769230769230766</v>
      </c>
      <c r="E49" s="5">
        <f t="shared" ca="1" si="1"/>
        <v>177.69230769230768</v>
      </c>
    </row>
    <row r="50" spans="1:5" x14ac:dyDescent="0.25">
      <c r="A50">
        <v>150363</v>
      </c>
      <c r="B50" t="s">
        <v>31</v>
      </c>
      <c r="C50">
        <f>'[1]VENTAS CONSOLIDADA ZULIA'!C50</f>
        <v>105</v>
      </c>
      <c r="D50" s="5">
        <f t="shared" ca="1" si="0"/>
        <v>8.0769230769230766</v>
      </c>
      <c r="E50" s="5">
        <f t="shared" ca="1" si="1"/>
        <v>177.69230769230768</v>
      </c>
    </row>
    <row r="51" spans="1:5" x14ac:dyDescent="0.25">
      <c r="A51">
        <v>151500</v>
      </c>
      <c r="B51" t="s">
        <v>41</v>
      </c>
      <c r="C51">
        <f>'[1]VENTAS CONSOLIDADA ZULIA'!C51</f>
        <v>26</v>
      </c>
      <c r="D51" s="5">
        <f t="shared" ca="1" si="0"/>
        <v>2</v>
      </c>
      <c r="E51" s="5">
        <f t="shared" ca="1" si="1"/>
        <v>44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2.4615384615384617</v>
      </c>
      <c r="E52" s="5">
        <f t="shared" ca="1" si="1"/>
        <v>54.15384615384616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2.0769230769230771</v>
      </c>
      <c r="E53" s="5">
        <f t="shared" ca="1" si="1"/>
        <v>45.692307692307693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1.1538461538461537</v>
      </c>
      <c r="E54" s="5">
        <f t="shared" ca="1" si="1"/>
        <v>25.384615384615383</v>
      </c>
    </row>
    <row r="55" spans="1:5" x14ac:dyDescent="0.25">
      <c r="D55" s="5">
        <f ca="1">SUM(D8:D54)</f>
        <v>625.46153846153868</v>
      </c>
      <c r="E55" s="5">
        <f ca="1">SUM(E8:E54)</f>
        <v>13760.153846153848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46283</v>
      </c>
      <c r="E2" s="4">
        <f ca="1">'[1]VENTAS CONSOLIDADA VALENCIA'!E2</f>
        <v>13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9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3321</v>
      </c>
      <c r="D8" s="5">
        <f t="shared" ref="D8:D54" ca="1" si="0">C8/$E$2</f>
        <v>255.46153846153845</v>
      </c>
      <c r="E8" s="5">
        <f ca="1">D8*($E$2+$E$3)</f>
        <v>5620.1538461538457</v>
      </c>
    </row>
    <row r="9" spans="1:5" x14ac:dyDescent="0.25">
      <c r="A9">
        <v>110151</v>
      </c>
      <c r="B9" t="s">
        <v>5</v>
      </c>
      <c r="C9">
        <f>'[1]VENTAS CONSOLIDADA VALENCIA'!C9</f>
        <v>245</v>
      </c>
      <c r="D9" s="5">
        <f t="shared" ca="1" si="0"/>
        <v>18.846153846153847</v>
      </c>
      <c r="E9" s="5">
        <f t="shared" ref="E9:E54" ca="1" si="1">D9*($E$2+$E$3)</f>
        <v>414.61538461538464</v>
      </c>
    </row>
    <row r="10" spans="1:5" x14ac:dyDescent="0.25">
      <c r="A10">
        <v>110230</v>
      </c>
      <c r="B10" t="s">
        <v>1</v>
      </c>
      <c r="C10">
        <f>'[1]VENTAS CONSOLIDADA VALENCIA'!C10</f>
        <v>1267</v>
      </c>
      <c r="D10" s="5">
        <f t="shared" ca="1" si="0"/>
        <v>97.461538461538467</v>
      </c>
      <c r="E10" s="5">
        <f t="shared" ca="1" si="1"/>
        <v>2144.1538461538462</v>
      </c>
    </row>
    <row r="11" spans="1:5" x14ac:dyDescent="0.25">
      <c r="A11">
        <v>110400</v>
      </c>
      <c r="B11" t="s">
        <v>13</v>
      </c>
      <c r="C11">
        <f>'[1]VENTAS CONSOLIDADA VALENCIA'!C11</f>
        <v>347</v>
      </c>
      <c r="D11" s="5">
        <f t="shared" ca="1" si="0"/>
        <v>26.692307692307693</v>
      </c>
      <c r="E11" s="5">
        <f t="shared" ca="1" si="1"/>
        <v>587.23076923076928</v>
      </c>
    </row>
    <row r="12" spans="1:5" x14ac:dyDescent="0.25">
      <c r="A12">
        <v>111000</v>
      </c>
      <c r="B12" t="s">
        <v>14</v>
      </c>
      <c r="C12">
        <f>'[1]VENTAS CONSOLIDADA VALENCIA'!C12</f>
        <v>28</v>
      </c>
      <c r="D12" s="5">
        <f t="shared" ca="1" si="0"/>
        <v>2.1538461538461537</v>
      </c>
      <c r="E12" s="5">
        <f t="shared" ca="1" si="1"/>
        <v>47.38461538461538</v>
      </c>
    </row>
    <row r="13" spans="1:5" x14ac:dyDescent="0.25">
      <c r="A13">
        <v>120130</v>
      </c>
      <c r="B13" t="s">
        <v>15</v>
      </c>
      <c r="C13">
        <f>'[1]VENTAS CONSOLIDADA VALENCIA'!C13</f>
        <v>4303</v>
      </c>
      <c r="D13" s="5">
        <f t="shared" ca="1" si="0"/>
        <v>331</v>
      </c>
      <c r="E13" s="5">
        <f t="shared" ca="1" si="1"/>
        <v>7282</v>
      </c>
    </row>
    <row r="14" spans="1:5" x14ac:dyDescent="0.25">
      <c r="A14">
        <v>120131</v>
      </c>
      <c r="B14" t="s">
        <v>23</v>
      </c>
      <c r="C14">
        <f>'[1]VENTAS CONSOLIDADA VALENCIA'!C14</f>
        <v>723</v>
      </c>
      <c r="D14" s="5">
        <f t="shared" ca="1" si="0"/>
        <v>55.615384615384613</v>
      </c>
      <c r="E14" s="5">
        <f t="shared" ca="1" si="1"/>
        <v>1223.5384615384614</v>
      </c>
    </row>
    <row r="15" spans="1:5" x14ac:dyDescent="0.25">
      <c r="A15">
        <v>120132</v>
      </c>
      <c r="B15" t="s">
        <v>21</v>
      </c>
      <c r="C15">
        <f>'[1]VENTAS CONSOLIDADA VALENCIA'!C15</f>
        <v>1535</v>
      </c>
      <c r="D15" s="5">
        <f t="shared" ca="1" si="0"/>
        <v>118.07692307692308</v>
      </c>
      <c r="E15" s="5">
        <f t="shared" ca="1" si="1"/>
        <v>2597.6923076923076</v>
      </c>
    </row>
    <row r="16" spans="1:5" x14ac:dyDescent="0.25">
      <c r="A16">
        <v>130150</v>
      </c>
      <c r="B16" t="s">
        <v>0</v>
      </c>
      <c r="C16">
        <f>'[1]VENTAS CONSOLIDADA VALENCIA'!C16</f>
        <v>4066</v>
      </c>
      <c r="D16" s="5">
        <f t="shared" ca="1" si="0"/>
        <v>312.76923076923077</v>
      </c>
      <c r="E16" s="5">
        <f t="shared" ca="1" si="1"/>
        <v>6880.9230769230771</v>
      </c>
    </row>
    <row r="17" spans="1:5" x14ac:dyDescent="0.25">
      <c r="A17">
        <v>130151</v>
      </c>
      <c r="B17" t="s">
        <v>4</v>
      </c>
      <c r="C17">
        <f>'[1]VENTAS CONSOLIDADA VALENCIA'!C17</f>
        <v>1797</v>
      </c>
      <c r="D17" s="5">
        <f t="shared" ca="1" si="0"/>
        <v>138.23076923076923</v>
      </c>
      <c r="E17" s="5">
        <f t="shared" ca="1" si="1"/>
        <v>3041.0769230769229</v>
      </c>
    </row>
    <row r="18" spans="1:5" x14ac:dyDescent="0.25">
      <c r="A18">
        <v>130152</v>
      </c>
      <c r="B18" t="s">
        <v>51</v>
      </c>
      <c r="C18">
        <f>'[1]VENTAS CONSOLIDADA VALENCIA'!C18</f>
        <v>12152</v>
      </c>
      <c r="D18" s="5">
        <f t="shared" ca="1" si="0"/>
        <v>934.76923076923072</v>
      </c>
      <c r="E18" s="5">
        <f t="shared" ca="1" si="1"/>
        <v>20564.923076923074</v>
      </c>
    </row>
    <row r="19" spans="1:5" x14ac:dyDescent="0.25">
      <c r="A19">
        <v>130153</v>
      </c>
      <c r="B19" t="s">
        <v>52</v>
      </c>
      <c r="C19">
        <f>'[1]VENTAS CONSOLIDADA VALENCIA'!C19</f>
        <v>7558</v>
      </c>
      <c r="D19" s="5">
        <f t="shared" ca="1" si="0"/>
        <v>581.38461538461536</v>
      </c>
      <c r="E19" s="5">
        <f t="shared" ca="1" si="1"/>
        <v>12790.461538461537</v>
      </c>
    </row>
    <row r="20" spans="1:5" x14ac:dyDescent="0.25">
      <c r="A20">
        <v>130154</v>
      </c>
      <c r="B20" t="s">
        <v>53</v>
      </c>
      <c r="C20">
        <f>'[1]VENTAS CONSOLIDADA VALENCIA'!C20</f>
        <v>8028</v>
      </c>
      <c r="D20" s="5">
        <f t="shared" ca="1" si="0"/>
        <v>617.53846153846155</v>
      </c>
      <c r="E20" s="5">
        <f t="shared" ca="1" si="1"/>
        <v>13585.846153846154</v>
      </c>
    </row>
    <row r="21" spans="1:5" x14ac:dyDescent="0.25">
      <c r="A21">
        <v>130155</v>
      </c>
      <c r="B21" t="s">
        <v>16</v>
      </c>
      <c r="C21">
        <f>'[1]VENTAS CONSOLIDADA VALENCIA'!C21</f>
        <v>9277</v>
      </c>
      <c r="D21" s="5">
        <f t="shared" ca="1" si="0"/>
        <v>713.61538461538464</v>
      </c>
      <c r="E21" s="5">
        <f t="shared" ca="1" si="1"/>
        <v>15699.538461538463</v>
      </c>
    </row>
    <row r="22" spans="1:5" x14ac:dyDescent="0.25">
      <c r="A22">
        <v>130157</v>
      </c>
      <c r="B22" t="s">
        <v>43</v>
      </c>
      <c r="C22">
        <f>'[1]VENTAS CONSOLIDADA VALENCIA'!C22</f>
        <v>2453</v>
      </c>
      <c r="D22" s="5">
        <f t="shared" ca="1" si="0"/>
        <v>188.69230769230768</v>
      </c>
      <c r="E22" s="5">
        <f t="shared" ca="1" si="1"/>
        <v>4151.2307692307686</v>
      </c>
    </row>
    <row r="23" spans="1:5" x14ac:dyDescent="0.25">
      <c r="A23">
        <v>130158</v>
      </c>
      <c r="B23" t="s">
        <v>44</v>
      </c>
      <c r="C23">
        <f>'[1]VENTAS CONSOLIDADA VALENCIA'!C23</f>
        <v>3425</v>
      </c>
      <c r="D23" s="5">
        <f t="shared" ca="1" si="0"/>
        <v>263.46153846153845</v>
      </c>
      <c r="E23" s="5">
        <f t="shared" ca="1" si="1"/>
        <v>5796.1538461538457</v>
      </c>
    </row>
    <row r="24" spans="1:5" x14ac:dyDescent="0.25">
      <c r="A24">
        <v>130159</v>
      </c>
      <c r="B24" t="s">
        <v>45</v>
      </c>
      <c r="C24">
        <f>'[1]VENTAS CONSOLIDADA VALENCIA'!C24</f>
        <v>3548</v>
      </c>
      <c r="D24" s="5">
        <f t="shared" ca="1" si="0"/>
        <v>272.92307692307691</v>
      </c>
      <c r="E24" s="5">
        <f t="shared" ca="1" si="1"/>
        <v>6004.3076923076915</v>
      </c>
    </row>
    <row r="25" spans="1:5" x14ac:dyDescent="0.25">
      <c r="A25">
        <v>130700</v>
      </c>
      <c r="B25" t="s">
        <v>3</v>
      </c>
      <c r="C25">
        <f>'[1]VENTAS CONSOLIDADA VALENCIA'!C25</f>
        <v>1510</v>
      </c>
      <c r="D25" s="5">
        <f t="shared" ca="1" si="0"/>
        <v>116.15384615384616</v>
      </c>
      <c r="E25" s="5">
        <f t="shared" ca="1" si="1"/>
        <v>2555.3846153846157</v>
      </c>
    </row>
    <row r="26" spans="1:5" x14ac:dyDescent="0.25">
      <c r="A26">
        <v>130701</v>
      </c>
      <c r="B26" t="s">
        <v>30</v>
      </c>
      <c r="C26">
        <f>'[1]VENTAS CONSOLIDADA VALENCIA'!C26</f>
        <v>845</v>
      </c>
      <c r="D26" s="5">
        <f t="shared" ca="1" si="0"/>
        <v>65</v>
      </c>
      <c r="E26" s="5">
        <f t="shared" ca="1" si="1"/>
        <v>1430</v>
      </c>
    </row>
    <row r="27" spans="1:5" x14ac:dyDescent="0.25">
      <c r="A27">
        <v>130702</v>
      </c>
      <c r="B27" t="s">
        <v>12</v>
      </c>
      <c r="C27">
        <f>'[1]VENTAS CONSOLIDADA VALENCIA'!C27</f>
        <v>2306</v>
      </c>
      <c r="D27" s="5">
        <f t="shared" ca="1" si="0"/>
        <v>177.38461538461539</v>
      </c>
      <c r="E27" s="5">
        <f t="shared" ca="1" si="1"/>
        <v>3902.4615384615386</v>
      </c>
    </row>
    <row r="28" spans="1:5" x14ac:dyDescent="0.25">
      <c r="A28">
        <v>130703</v>
      </c>
      <c r="B28" t="s">
        <v>17</v>
      </c>
      <c r="C28">
        <f>'[1]VENTAS CONSOLIDADA VALENCIA'!C28</f>
        <v>3400</v>
      </c>
      <c r="D28" s="5">
        <f t="shared" ca="1" si="0"/>
        <v>261.53846153846155</v>
      </c>
      <c r="E28" s="5">
        <f t="shared" ca="1" si="1"/>
        <v>5753.8461538461543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2058</v>
      </c>
      <c r="D30" s="5">
        <f t="shared" ca="1" si="0"/>
        <v>158.30769230769232</v>
      </c>
      <c r="E30" s="5">
        <f t="shared" ca="1" si="1"/>
        <v>3482.7692307692309</v>
      </c>
    </row>
    <row r="31" spans="1:5" x14ac:dyDescent="0.25">
      <c r="A31">
        <v>131151</v>
      </c>
      <c r="B31" t="s">
        <v>19</v>
      </c>
      <c r="C31">
        <f>'[1]VENTAS CONSOLIDADA VALENCIA'!C31</f>
        <v>2966</v>
      </c>
      <c r="D31" s="5">
        <f t="shared" ca="1" si="0"/>
        <v>228.15384615384616</v>
      </c>
      <c r="E31" s="5">
        <f t="shared" ca="1" si="1"/>
        <v>5019.3846153846152</v>
      </c>
    </row>
    <row r="32" spans="1:5" x14ac:dyDescent="0.25">
      <c r="A32">
        <v>131152</v>
      </c>
      <c r="B32" t="s">
        <v>32</v>
      </c>
      <c r="C32">
        <f>'[1]VENTAS CONSOLIDADA VALENCIA'!C32</f>
        <v>1708</v>
      </c>
      <c r="D32" s="5">
        <f t="shared" ca="1" si="0"/>
        <v>131.38461538461539</v>
      </c>
      <c r="E32" s="5">
        <f t="shared" ca="1" si="1"/>
        <v>2890.4615384615386</v>
      </c>
    </row>
    <row r="33" spans="1:5" x14ac:dyDescent="0.25">
      <c r="A33">
        <v>131153</v>
      </c>
      <c r="B33" t="s">
        <v>11</v>
      </c>
      <c r="C33">
        <f>'[1]VENTAS CONSOLIDADA VALENCIA'!C33</f>
        <v>1250</v>
      </c>
      <c r="D33" s="5">
        <f t="shared" ca="1" si="0"/>
        <v>96.15384615384616</v>
      </c>
      <c r="E33" s="5">
        <f t="shared" ca="1" si="1"/>
        <v>2115.3846153846157</v>
      </c>
    </row>
    <row r="34" spans="1:5" x14ac:dyDescent="0.25">
      <c r="A34">
        <v>131154</v>
      </c>
      <c r="B34" t="s">
        <v>48</v>
      </c>
      <c r="C34">
        <f>'[1]VENTAS CONSOLIDADA VALENCIA'!C34</f>
        <v>756</v>
      </c>
      <c r="D34" s="5">
        <f t="shared" ca="1" si="0"/>
        <v>58.153846153846153</v>
      </c>
      <c r="E34" s="5">
        <f t="shared" ca="1" si="1"/>
        <v>1279.3846153846155</v>
      </c>
    </row>
    <row r="35" spans="1:5" x14ac:dyDescent="0.25">
      <c r="A35">
        <v>131155</v>
      </c>
      <c r="B35" t="s">
        <v>57</v>
      </c>
      <c r="C35">
        <f>'[1]VENTAS CONSOLIDADA VALENCIA'!C35</f>
        <v>891</v>
      </c>
      <c r="D35" s="5">
        <f t="shared" ca="1" si="0"/>
        <v>68.538461538461533</v>
      </c>
      <c r="E35" s="5">
        <f t="shared" ca="1" si="1"/>
        <v>1507.8461538461538</v>
      </c>
    </row>
    <row r="36" spans="1:5" x14ac:dyDescent="0.25">
      <c r="A36">
        <v>131700</v>
      </c>
      <c r="B36" t="s">
        <v>20</v>
      </c>
      <c r="C36">
        <f>'[1]VENTAS CONSOLIDADA VALENCIA'!C36</f>
        <v>461</v>
      </c>
      <c r="D36" s="5">
        <f t="shared" ca="1" si="0"/>
        <v>35.46153846153846</v>
      </c>
      <c r="E36" s="5">
        <f t="shared" ca="1" si="1"/>
        <v>780.15384615384608</v>
      </c>
    </row>
    <row r="37" spans="1:5" x14ac:dyDescent="0.25">
      <c r="A37">
        <v>131701</v>
      </c>
      <c r="B37" t="s">
        <v>24</v>
      </c>
      <c r="C37">
        <f>'[1]VENTAS CONSOLIDADA VALENCIA'!C37</f>
        <v>452</v>
      </c>
      <c r="D37" s="5">
        <f t="shared" ca="1" si="0"/>
        <v>34.769230769230766</v>
      </c>
      <c r="E37" s="5">
        <f t="shared" ca="1" si="1"/>
        <v>764.92307692307691</v>
      </c>
    </row>
    <row r="38" spans="1:5" x14ac:dyDescent="0.25">
      <c r="A38">
        <v>132150</v>
      </c>
      <c r="B38" t="s">
        <v>25</v>
      </c>
      <c r="C38">
        <f>'[1]VENTAS CONSOLIDADA VALENCIA'!C38</f>
        <v>2936</v>
      </c>
      <c r="D38" s="5">
        <f t="shared" ca="1" si="0"/>
        <v>225.84615384615384</v>
      </c>
      <c r="E38" s="5">
        <f t="shared" ca="1" si="1"/>
        <v>4968.6153846153848</v>
      </c>
    </row>
    <row r="39" spans="1:5" x14ac:dyDescent="0.25">
      <c r="A39">
        <v>132151</v>
      </c>
      <c r="B39" t="s">
        <v>26</v>
      </c>
      <c r="C39">
        <f>'[1]VENTAS CONSOLIDADA VALENCIA'!C39</f>
        <v>2285</v>
      </c>
      <c r="D39" s="5">
        <f t="shared" ca="1" si="0"/>
        <v>175.76923076923077</v>
      </c>
      <c r="E39" s="5">
        <f t="shared" ca="1" si="1"/>
        <v>3866.9230769230771</v>
      </c>
    </row>
    <row r="40" spans="1:5" x14ac:dyDescent="0.25">
      <c r="A40">
        <v>132152</v>
      </c>
      <c r="B40" t="s">
        <v>27</v>
      </c>
      <c r="C40">
        <f>'[1]VENTAS CONSOLIDADA VALENCIA'!C40</f>
        <v>3232</v>
      </c>
      <c r="D40" s="5">
        <f t="shared" ca="1" si="0"/>
        <v>248.61538461538461</v>
      </c>
      <c r="E40" s="5">
        <f t="shared" ca="1" si="1"/>
        <v>5469.5384615384619</v>
      </c>
    </row>
    <row r="41" spans="1:5" x14ac:dyDescent="0.25">
      <c r="A41">
        <v>132153</v>
      </c>
      <c r="B41" t="s">
        <v>40</v>
      </c>
      <c r="C41">
        <f>'[1]VENTAS CONSOLIDADA VALENCIA'!C41</f>
        <v>1884</v>
      </c>
      <c r="D41" s="5">
        <f t="shared" ca="1" si="0"/>
        <v>144.92307692307693</v>
      </c>
      <c r="E41" s="5">
        <f t="shared" ca="1" si="1"/>
        <v>3188.3076923076924</v>
      </c>
    </row>
    <row r="42" spans="1:5" x14ac:dyDescent="0.25">
      <c r="A42">
        <v>134000</v>
      </c>
      <c r="B42" t="s">
        <v>35</v>
      </c>
      <c r="C42">
        <f>'[1]VENTAS CONSOLIDADA VALENCIA'!C42</f>
        <v>37</v>
      </c>
      <c r="D42" s="5">
        <f t="shared" ca="1" si="0"/>
        <v>2.8461538461538463</v>
      </c>
      <c r="E42" s="5">
        <f t="shared" ca="1" si="1"/>
        <v>62.61538461538462</v>
      </c>
    </row>
    <row r="43" spans="1:5" x14ac:dyDescent="0.25">
      <c r="A43">
        <v>134001</v>
      </c>
      <c r="B43" t="s">
        <v>47</v>
      </c>
      <c r="C43">
        <f>'[1]VENTAS CONSOLIDADA VALENCIA'!C43</f>
        <v>7</v>
      </c>
      <c r="D43" s="5">
        <f t="shared" ca="1" si="0"/>
        <v>0.53846153846153844</v>
      </c>
      <c r="E43" s="5">
        <f t="shared" ca="1" si="1"/>
        <v>11.846153846153845</v>
      </c>
    </row>
    <row r="44" spans="1:5" x14ac:dyDescent="0.25">
      <c r="A44">
        <v>140230</v>
      </c>
      <c r="B44" t="s">
        <v>18</v>
      </c>
      <c r="C44">
        <f>'[1]VENTAS CONSOLIDADA VALENCIA'!C44</f>
        <v>842</v>
      </c>
      <c r="D44" s="5">
        <f t="shared" ca="1" si="0"/>
        <v>64.769230769230774</v>
      </c>
      <c r="E44" s="5">
        <f t="shared" ca="1" si="1"/>
        <v>1424.9230769230771</v>
      </c>
    </row>
    <row r="45" spans="1:5" x14ac:dyDescent="0.25">
      <c r="A45">
        <v>140231</v>
      </c>
      <c r="B45" t="s">
        <v>10</v>
      </c>
      <c r="C45">
        <f>'[1]VENTAS CONSOLIDADA VALENCIA'!C45</f>
        <v>2413</v>
      </c>
      <c r="D45" s="5">
        <f t="shared" ca="1" si="0"/>
        <v>185.61538461538461</v>
      </c>
      <c r="E45" s="5">
        <f t="shared" ca="1" si="1"/>
        <v>4083.5384615384614</v>
      </c>
    </row>
    <row r="46" spans="1:5" x14ac:dyDescent="0.25">
      <c r="A46">
        <v>140232</v>
      </c>
      <c r="B46" t="s">
        <v>9</v>
      </c>
      <c r="C46">
        <f>'[1]VENTAS CONSOLIDADA VALENCIA'!C46</f>
        <v>2269</v>
      </c>
      <c r="D46" s="5">
        <f t="shared" ca="1" si="0"/>
        <v>174.53846153846155</v>
      </c>
      <c r="E46" s="5">
        <f t="shared" ca="1" si="1"/>
        <v>3839.8461538461543</v>
      </c>
    </row>
    <row r="47" spans="1:5" x14ac:dyDescent="0.25">
      <c r="A47">
        <v>150360</v>
      </c>
      <c r="B47" t="s">
        <v>28</v>
      </c>
      <c r="C47">
        <f>'[1]VENTAS CONSOLIDADA VALENCIA'!C47</f>
        <v>421</v>
      </c>
      <c r="D47" s="5">
        <f t="shared" ca="1" si="0"/>
        <v>32.384615384615387</v>
      </c>
      <c r="E47" s="5">
        <f t="shared" ca="1" si="1"/>
        <v>712.46153846153857</v>
      </c>
    </row>
    <row r="48" spans="1:5" x14ac:dyDescent="0.25">
      <c r="A48">
        <v>150361</v>
      </c>
      <c r="B48" t="s">
        <v>29</v>
      </c>
      <c r="C48">
        <f>'[1]VENTAS CONSOLIDADA VALENCIA'!C48</f>
        <v>1456</v>
      </c>
      <c r="D48" s="5">
        <f t="shared" ca="1" si="0"/>
        <v>112</v>
      </c>
      <c r="E48" s="5">
        <f t="shared" ca="1" si="1"/>
        <v>2464</v>
      </c>
    </row>
    <row r="49" spans="1:5" x14ac:dyDescent="0.25">
      <c r="A49">
        <v>150362</v>
      </c>
      <c r="B49" t="s">
        <v>36</v>
      </c>
      <c r="C49">
        <f>'[1]VENTAS CONSOLIDADA VALENCIA'!C49</f>
        <v>747</v>
      </c>
      <c r="D49" s="5">
        <f t="shared" ca="1" si="0"/>
        <v>57.46153846153846</v>
      </c>
      <c r="E49" s="5">
        <f t="shared" ca="1" si="1"/>
        <v>1264.1538461538462</v>
      </c>
    </row>
    <row r="50" spans="1:5" x14ac:dyDescent="0.25">
      <c r="A50">
        <v>150363</v>
      </c>
      <c r="B50" t="s">
        <v>31</v>
      </c>
      <c r="C50">
        <f>'[1]VENTAS CONSOLIDADA VALENCIA'!C50</f>
        <v>949</v>
      </c>
      <c r="D50" s="5">
        <f t="shared" ca="1" si="0"/>
        <v>73</v>
      </c>
      <c r="E50" s="5">
        <f t="shared" ca="1" si="1"/>
        <v>1606</v>
      </c>
    </row>
    <row r="51" spans="1:5" x14ac:dyDescent="0.25">
      <c r="A51">
        <v>151500</v>
      </c>
      <c r="B51" t="s">
        <v>41</v>
      </c>
      <c r="C51">
        <f>'[1]VENTAS CONSOLIDADA VALENCIA'!C51</f>
        <v>145</v>
      </c>
      <c r="D51" s="5">
        <f t="shared" ca="1" si="0"/>
        <v>11.153846153846153</v>
      </c>
      <c r="E51" s="5">
        <f t="shared" ca="1" si="1"/>
        <v>245.38461538461536</v>
      </c>
    </row>
    <row r="52" spans="1:5" x14ac:dyDescent="0.25">
      <c r="A52">
        <v>151501</v>
      </c>
      <c r="B52" t="s">
        <v>33</v>
      </c>
      <c r="C52">
        <f>'[1]VENTAS CONSOLIDADA VALENCIA'!C52</f>
        <v>332</v>
      </c>
      <c r="D52" s="5">
        <f t="shared" ca="1" si="0"/>
        <v>25.53846153846154</v>
      </c>
      <c r="E52" s="5">
        <f t="shared" ca="1" si="1"/>
        <v>561.84615384615392</v>
      </c>
    </row>
    <row r="53" spans="1:5" x14ac:dyDescent="0.25">
      <c r="A53">
        <v>151502</v>
      </c>
      <c r="B53" t="s">
        <v>37</v>
      </c>
      <c r="C53">
        <f>'[1]VENTAS CONSOLIDADA VALENCIA'!C53</f>
        <v>94</v>
      </c>
      <c r="D53" s="5">
        <f t="shared" ca="1" si="0"/>
        <v>7.2307692307692308</v>
      </c>
      <c r="E53" s="5">
        <f t="shared" ca="1" si="1"/>
        <v>159.07692307692307</v>
      </c>
    </row>
    <row r="54" spans="1:5" x14ac:dyDescent="0.25">
      <c r="A54">
        <v>151503</v>
      </c>
      <c r="B54" t="s">
        <v>34</v>
      </c>
      <c r="C54">
        <f>'[1]VENTAS CONSOLIDADA VALENCIA'!C54</f>
        <v>126</v>
      </c>
      <c r="D54" s="5">
        <f t="shared" ca="1" si="0"/>
        <v>9.6923076923076916</v>
      </c>
      <c r="E54" s="5">
        <f t="shared" ca="1" si="1"/>
        <v>213.23076923076923</v>
      </c>
    </row>
    <row r="55" spans="1:5" x14ac:dyDescent="0.25">
      <c r="D55" s="5">
        <f ca="1">SUM(D8:D54)</f>
        <v>7911.6153846153829</v>
      </c>
      <c r="E55" s="5">
        <f ca="1">SUM(E8:E54)</f>
        <v>174055.53846153844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46283</v>
      </c>
      <c r="E2" s="4">
        <f ca="1">'[1]VENTAS CONSOLIDADA CARACAS'!E2</f>
        <v>13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9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10586</v>
      </c>
      <c r="D8" s="5">
        <f t="shared" ref="D8:D54" ca="1" si="0">C8/$E$2</f>
        <v>814.30769230769226</v>
      </c>
      <c r="E8" s="5">
        <f ca="1">D8*($E$2+$E$3)</f>
        <v>17914.76923076923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455</v>
      </c>
      <c r="D9" s="5">
        <f t="shared" ca="1" si="0"/>
        <v>35</v>
      </c>
      <c r="E9" s="5">
        <f t="shared" ref="E9:E54" ca="1" si="1">D9*($E$2+$E$3)</f>
        <v>770</v>
      </c>
    </row>
    <row r="10" spans="1:6" x14ac:dyDescent="0.25">
      <c r="A10">
        <v>110230</v>
      </c>
      <c r="B10" t="s">
        <v>1</v>
      </c>
      <c r="C10">
        <f>'[1]VENTAS CONSOLIDADA CARACAS'!C10</f>
        <v>4640</v>
      </c>
      <c r="D10" s="5">
        <f t="shared" ca="1" si="0"/>
        <v>356.92307692307691</v>
      </c>
      <c r="E10" s="5">
        <f t="shared" ca="1" si="1"/>
        <v>7852.3076923076915</v>
      </c>
    </row>
    <row r="11" spans="1:6" x14ac:dyDescent="0.25">
      <c r="A11">
        <v>110400</v>
      </c>
      <c r="B11" t="s">
        <v>13</v>
      </c>
      <c r="C11">
        <f>'[1]VENTAS CONSOLIDADA CARACAS'!C11</f>
        <v>1045</v>
      </c>
      <c r="D11" s="5">
        <f t="shared" ca="1" si="0"/>
        <v>80.384615384615387</v>
      </c>
      <c r="E11" s="5">
        <f t="shared" ca="1" si="1"/>
        <v>1768.4615384615386</v>
      </c>
    </row>
    <row r="12" spans="1:6" x14ac:dyDescent="0.25">
      <c r="A12">
        <v>111000</v>
      </c>
      <c r="B12" t="s">
        <v>14</v>
      </c>
      <c r="C12">
        <f>'[1]VENTAS CONSOLIDADA CARACAS'!C12</f>
        <v>146</v>
      </c>
      <c r="D12" s="5">
        <f t="shared" ca="1" si="0"/>
        <v>11.23076923076923</v>
      </c>
      <c r="E12" s="5">
        <f t="shared" ca="1" si="1"/>
        <v>247.07692307692307</v>
      </c>
    </row>
    <row r="13" spans="1:6" x14ac:dyDescent="0.25">
      <c r="A13">
        <v>120130</v>
      </c>
      <c r="B13" t="s">
        <v>15</v>
      </c>
      <c r="C13">
        <f>'[1]VENTAS CONSOLIDADA CARACAS'!C13</f>
        <v>11265</v>
      </c>
      <c r="D13" s="5">
        <f t="shared" ca="1" si="0"/>
        <v>866.53846153846155</v>
      </c>
      <c r="E13" s="5">
        <f t="shared" ca="1" si="1"/>
        <v>19063.846153846152</v>
      </c>
    </row>
    <row r="14" spans="1:6" x14ac:dyDescent="0.25">
      <c r="A14">
        <v>120131</v>
      </c>
      <c r="B14" t="s">
        <v>23</v>
      </c>
      <c r="C14">
        <f>'[1]VENTAS CONSOLIDADA CARACAS'!C14</f>
        <v>765</v>
      </c>
      <c r="D14" s="5">
        <f t="shared" ca="1" si="0"/>
        <v>58.846153846153847</v>
      </c>
      <c r="E14" s="5">
        <f t="shared" ca="1" si="1"/>
        <v>1294.6153846153845</v>
      </c>
    </row>
    <row r="15" spans="1:6" x14ac:dyDescent="0.25">
      <c r="A15">
        <v>120132</v>
      </c>
      <c r="B15" t="s">
        <v>21</v>
      </c>
      <c r="C15">
        <f>'[1]VENTAS CONSOLIDADA CARACAS'!C15</f>
        <v>1593</v>
      </c>
      <c r="D15" s="5">
        <f t="shared" ca="1" si="0"/>
        <v>122.53846153846153</v>
      </c>
      <c r="E15" s="5">
        <f t="shared" ca="1" si="1"/>
        <v>2695.8461538461538</v>
      </c>
    </row>
    <row r="16" spans="1:6" x14ac:dyDescent="0.25">
      <c r="A16">
        <v>130150</v>
      </c>
      <c r="B16" t="s">
        <v>0</v>
      </c>
      <c r="C16">
        <f>'[1]VENTAS CONSOLIDADA CARACAS'!C16</f>
        <v>3721</v>
      </c>
      <c r="D16" s="5">
        <f t="shared" ca="1" si="0"/>
        <v>286.23076923076923</v>
      </c>
      <c r="E16" s="5">
        <f t="shared" ca="1" si="1"/>
        <v>6297.0769230769229</v>
      </c>
    </row>
    <row r="17" spans="1:5" x14ac:dyDescent="0.25">
      <c r="A17">
        <v>130151</v>
      </c>
      <c r="B17" t="s">
        <v>4</v>
      </c>
      <c r="C17">
        <f>'[1]VENTAS CONSOLIDADA CARACAS'!C17</f>
        <v>2125</v>
      </c>
      <c r="D17" s="5">
        <f t="shared" ca="1" si="0"/>
        <v>163.46153846153845</v>
      </c>
      <c r="E17" s="5">
        <f t="shared" ca="1" si="1"/>
        <v>3596.1538461538457</v>
      </c>
    </row>
    <row r="18" spans="1:5" x14ac:dyDescent="0.25">
      <c r="A18">
        <v>130152</v>
      </c>
      <c r="B18" t="s">
        <v>51</v>
      </c>
      <c r="C18">
        <f>'[1]VENTAS CONSOLIDADA CARACAS'!C18</f>
        <v>22063</v>
      </c>
      <c r="D18" s="5">
        <f t="shared" ca="1" si="0"/>
        <v>1697.1538461538462</v>
      </c>
      <c r="E18" s="5">
        <f t="shared" ca="1" si="1"/>
        <v>37337.384615384617</v>
      </c>
    </row>
    <row r="19" spans="1:5" x14ac:dyDescent="0.25">
      <c r="A19">
        <v>130153</v>
      </c>
      <c r="B19" t="s">
        <v>52</v>
      </c>
      <c r="C19">
        <f>'[1]VENTAS CONSOLIDADA CARACAS'!C19</f>
        <v>14174</v>
      </c>
      <c r="D19" s="5">
        <f t="shared" ca="1" si="0"/>
        <v>1090.3076923076924</v>
      </c>
      <c r="E19" s="5">
        <f t="shared" ca="1" si="1"/>
        <v>23986.769230769234</v>
      </c>
    </row>
    <row r="20" spans="1:5" x14ac:dyDescent="0.25">
      <c r="A20">
        <v>130154</v>
      </c>
      <c r="B20" t="s">
        <v>53</v>
      </c>
      <c r="C20">
        <f>'[1]VENTAS CONSOLIDADA CARACAS'!C20</f>
        <v>14090</v>
      </c>
      <c r="D20" s="5">
        <f t="shared" ca="1" si="0"/>
        <v>1083.8461538461538</v>
      </c>
      <c r="E20" s="5">
        <f t="shared" ca="1" si="1"/>
        <v>23844.615384615383</v>
      </c>
    </row>
    <row r="21" spans="1:5" x14ac:dyDescent="0.25">
      <c r="A21">
        <v>130155</v>
      </c>
      <c r="B21" t="s">
        <v>16</v>
      </c>
      <c r="C21">
        <f>'[1]VENTAS CONSOLIDADA CARACAS'!C21</f>
        <v>17993</v>
      </c>
      <c r="D21" s="5">
        <f t="shared" ca="1" si="0"/>
        <v>1384.0769230769231</v>
      </c>
      <c r="E21" s="5">
        <f t="shared" ca="1" si="1"/>
        <v>30449.692307692309</v>
      </c>
    </row>
    <row r="22" spans="1:5" x14ac:dyDescent="0.25">
      <c r="A22">
        <v>130157</v>
      </c>
      <c r="B22" t="s">
        <v>43</v>
      </c>
      <c r="C22">
        <f>'[1]VENTAS CONSOLIDADA CARACAS'!C22</f>
        <v>4424</v>
      </c>
      <c r="D22" s="5">
        <f t="shared" ca="1" si="0"/>
        <v>340.30769230769232</v>
      </c>
      <c r="E22" s="5">
        <f t="shared" ca="1" si="1"/>
        <v>7486.7692307692314</v>
      </c>
    </row>
    <row r="23" spans="1:5" x14ac:dyDescent="0.25">
      <c r="A23">
        <v>130158</v>
      </c>
      <c r="B23" t="s">
        <v>44</v>
      </c>
      <c r="C23">
        <f>'[1]VENTAS CONSOLIDADA CARACAS'!C23</f>
        <v>4224</v>
      </c>
      <c r="D23" s="5">
        <f t="shared" ca="1" si="0"/>
        <v>324.92307692307691</v>
      </c>
      <c r="E23" s="5">
        <f t="shared" ca="1" si="1"/>
        <v>7148.3076923076915</v>
      </c>
    </row>
    <row r="24" spans="1:5" x14ac:dyDescent="0.25">
      <c r="A24">
        <v>130159</v>
      </c>
      <c r="B24" t="s">
        <v>45</v>
      </c>
      <c r="C24">
        <f>'[1]VENTAS CONSOLIDADA CARACAS'!C24</f>
        <v>4626</v>
      </c>
      <c r="D24" s="5">
        <f t="shared" ca="1" si="0"/>
        <v>355.84615384615387</v>
      </c>
      <c r="E24" s="5">
        <f t="shared" ca="1" si="1"/>
        <v>7828.6153846153848</v>
      </c>
    </row>
    <row r="25" spans="1:5" x14ac:dyDescent="0.25">
      <c r="A25">
        <v>130700</v>
      </c>
      <c r="B25" t="s">
        <v>3</v>
      </c>
      <c r="C25">
        <f>'[1]VENTAS CONSOLIDADA CARACAS'!C25</f>
        <v>1108</v>
      </c>
      <c r="D25" s="5">
        <f t="shared" ca="1" si="0"/>
        <v>85.230769230769226</v>
      </c>
      <c r="E25" s="5">
        <f t="shared" ca="1" si="1"/>
        <v>1875.0769230769229</v>
      </c>
    </row>
    <row r="26" spans="1:5" x14ac:dyDescent="0.25">
      <c r="A26">
        <v>130701</v>
      </c>
      <c r="B26" t="s">
        <v>30</v>
      </c>
      <c r="C26">
        <f>'[1]VENTAS CONSOLIDADA CARACAS'!C26</f>
        <v>523</v>
      </c>
      <c r="D26" s="5">
        <f t="shared" ca="1" si="0"/>
        <v>40.230769230769234</v>
      </c>
      <c r="E26" s="5">
        <f t="shared" ca="1" si="1"/>
        <v>885.07692307692309</v>
      </c>
    </row>
    <row r="27" spans="1:5" x14ac:dyDescent="0.25">
      <c r="A27">
        <v>130702</v>
      </c>
      <c r="B27" t="s">
        <v>12</v>
      </c>
      <c r="C27">
        <f>'[1]VENTAS CONSOLIDADA CARACAS'!C27</f>
        <v>2695</v>
      </c>
      <c r="D27" s="5">
        <f t="shared" ca="1" si="0"/>
        <v>207.30769230769232</v>
      </c>
      <c r="E27" s="5">
        <f t="shared" ca="1" si="1"/>
        <v>4560.7692307692314</v>
      </c>
    </row>
    <row r="28" spans="1:5" x14ac:dyDescent="0.25">
      <c r="A28">
        <v>130703</v>
      </c>
      <c r="B28" t="s">
        <v>17</v>
      </c>
      <c r="C28">
        <f>'[1]VENTAS CONSOLIDADA CARACAS'!C28</f>
        <v>5179</v>
      </c>
      <c r="D28" s="5">
        <f t="shared" ca="1" si="0"/>
        <v>398.38461538461536</v>
      </c>
      <c r="E28" s="5">
        <f t="shared" ca="1" si="1"/>
        <v>8764.4615384615372</v>
      </c>
    </row>
    <row r="29" spans="1:5" x14ac:dyDescent="0.25">
      <c r="A29">
        <v>130707</v>
      </c>
      <c r="B29" t="s">
        <v>42</v>
      </c>
      <c r="C29">
        <f>'[1]VENTAS CONSOLIDADA CARACAS'!C29</f>
        <v>890</v>
      </c>
      <c r="D29" s="5">
        <f t="shared" ca="1" si="0"/>
        <v>68.461538461538467</v>
      </c>
      <c r="E29" s="5">
        <f t="shared" ca="1" si="1"/>
        <v>1506.1538461538462</v>
      </c>
    </row>
    <row r="30" spans="1:5" x14ac:dyDescent="0.25">
      <c r="A30">
        <v>131150</v>
      </c>
      <c r="B30" t="s">
        <v>22</v>
      </c>
      <c r="C30">
        <f>'[1]VENTAS CONSOLIDADA CARACAS'!C30</f>
        <v>5619</v>
      </c>
      <c r="D30" s="5">
        <f t="shared" ca="1" si="0"/>
        <v>432.23076923076923</v>
      </c>
      <c r="E30" s="5">
        <f t="shared" ca="1" si="1"/>
        <v>9509.0769230769238</v>
      </c>
    </row>
    <row r="31" spans="1:5" x14ac:dyDescent="0.25">
      <c r="A31">
        <v>131151</v>
      </c>
      <c r="B31" t="s">
        <v>19</v>
      </c>
      <c r="C31">
        <f>'[1]VENTAS CONSOLIDADA CARACAS'!C31</f>
        <v>8535</v>
      </c>
      <c r="D31" s="5">
        <f t="shared" ca="1" si="0"/>
        <v>656.53846153846155</v>
      </c>
      <c r="E31" s="5">
        <f t="shared" ca="1" si="1"/>
        <v>14443.846153846154</v>
      </c>
    </row>
    <row r="32" spans="1:5" x14ac:dyDescent="0.25">
      <c r="A32">
        <v>131152</v>
      </c>
      <c r="B32" t="s">
        <v>32</v>
      </c>
      <c r="C32">
        <f>'[1]VENTAS CONSOLIDADA CARACAS'!C32</f>
        <v>3500</v>
      </c>
      <c r="D32" s="5">
        <f t="shared" ca="1" si="0"/>
        <v>269.23076923076923</v>
      </c>
      <c r="E32" s="5">
        <f t="shared" ca="1" si="1"/>
        <v>5923.0769230769229</v>
      </c>
    </row>
    <row r="33" spans="1:5" x14ac:dyDescent="0.25">
      <c r="A33">
        <v>131153</v>
      </c>
      <c r="B33" t="s">
        <v>11</v>
      </c>
      <c r="C33">
        <f>'[1]VENTAS CONSOLIDADA CARACAS'!C33</f>
        <v>2682</v>
      </c>
      <c r="D33" s="5">
        <f t="shared" ca="1" si="0"/>
        <v>206.30769230769232</v>
      </c>
      <c r="E33" s="5">
        <f t="shared" ca="1" si="1"/>
        <v>4538.7692307692314</v>
      </c>
    </row>
    <row r="34" spans="1:5" x14ac:dyDescent="0.25">
      <c r="A34">
        <v>131154</v>
      </c>
      <c r="B34" t="s">
        <v>48</v>
      </c>
      <c r="C34">
        <f>'[1]VENTAS CONSOLIDADA CARACAS'!C34</f>
        <v>1133</v>
      </c>
      <c r="D34" s="5">
        <f t="shared" ca="1" si="0"/>
        <v>87.15384615384616</v>
      </c>
      <c r="E34" s="5">
        <f t="shared" ca="1" si="1"/>
        <v>1917.3846153846155</v>
      </c>
    </row>
    <row r="35" spans="1:5" x14ac:dyDescent="0.25">
      <c r="A35">
        <v>131155</v>
      </c>
      <c r="B35" t="s">
        <v>57</v>
      </c>
      <c r="C35">
        <f>'[1]VENTAS CONSOLIDADA CARACAS'!C35</f>
        <v>1495</v>
      </c>
      <c r="D35" s="5">
        <f t="shared" ca="1" si="0"/>
        <v>115</v>
      </c>
      <c r="E35" s="5">
        <f t="shared" ca="1" si="1"/>
        <v>2530</v>
      </c>
    </row>
    <row r="36" spans="1:5" x14ac:dyDescent="0.25">
      <c r="A36">
        <v>131700</v>
      </c>
      <c r="B36" t="s">
        <v>20</v>
      </c>
      <c r="C36">
        <f>'[1]VENTAS CONSOLIDADA CARACAS'!C36</f>
        <v>875</v>
      </c>
      <c r="D36" s="5">
        <f t="shared" ca="1" si="0"/>
        <v>67.307692307692307</v>
      </c>
      <c r="E36" s="5">
        <f t="shared" ca="1" si="1"/>
        <v>1480.7692307692307</v>
      </c>
    </row>
    <row r="37" spans="1:5" x14ac:dyDescent="0.25">
      <c r="A37">
        <v>131701</v>
      </c>
      <c r="B37" t="s">
        <v>24</v>
      </c>
      <c r="C37">
        <f>'[1]VENTAS CONSOLIDADA CARACAS'!C37</f>
        <v>850</v>
      </c>
      <c r="D37" s="5">
        <f t="shared" ca="1" si="0"/>
        <v>65.384615384615387</v>
      </c>
      <c r="E37" s="5">
        <f t="shared" ca="1" si="1"/>
        <v>1438.4615384615386</v>
      </c>
    </row>
    <row r="38" spans="1:5" x14ac:dyDescent="0.25">
      <c r="A38">
        <v>132150</v>
      </c>
      <c r="B38" t="s">
        <v>25</v>
      </c>
      <c r="C38">
        <f>'[1]VENTAS CONSOLIDADA CARACAS'!C38</f>
        <v>3953</v>
      </c>
      <c r="D38" s="5">
        <f t="shared" ca="1" si="0"/>
        <v>304.07692307692309</v>
      </c>
      <c r="E38" s="5">
        <f t="shared" ca="1" si="1"/>
        <v>6689.6923076923085</v>
      </c>
    </row>
    <row r="39" spans="1:5" x14ac:dyDescent="0.25">
      <c r="A39">
        <v>132151</v>
      </c>
      <c r="B39" t="s">
        <v>26</v>
      </c>
      <c r="C39">
        <f>'[1]VENTAS CONSOLIDADA CARACAS'!C39</f>
        <v>3508</v>
      </c>
      <c r="D39" s="5">
        <f t="shared" ca="1" si="0"/>
        <v>269.84615384615387</v>
      </c>
      <c r="E39" s="5">
        <f t="shared" ca="1" si="1"/>
        <v>5936.6153846153848</v>
      </c>
    </row>
    <row r="40" spans="1:5" x14ac:dyDescent="0.25">
      <c r="A40">
        <v>132152</v>
      </c>
      <c r="B40" t="s">
        <v>27</v>
      </c>
      <c r="C40">
        <f>'[1]VENTAS CONSOLIDADA CARACAS'!C40</f>
        <v>4621</v>
      </c>
      <c r="D40" s="5">
        <f t="shared" ca="1" si="0"/>
        <v>355.46153846153845</v>
      </c>
      <c r="E40" s="5">
        <f t="shared" ca="1" si="1"/>
        <v>7820.1538461538457</v>
      </c>
    </row>
    <row r="41" spans="1:5" x14ac:dyDescent="0.25">
      <c r="A41">
        <v>132153</v>
      </c>
      <c r="B41" t="s">
        <v>40</v>
      </c>
      <c r="C41">
        <f>'[1]VENTAS CONSOLIDADA CARACAS'!C41</f>
        <v>3350</v>
      </c>
      <c r="D41" s="5">
        <f t="shared" ca="1" si="0"/>
        <v>257.69230769230768</v>
      </c>
      <c r="E41" s="5">
        <f t="shared" ca="1" si="1"/>
        <v>5669.2307692307686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627</v>
      </c>
      <c r="D44" s="5">
        <f t="shared" ca="1" si="0"/>
        <v>48.230769230769234</v>
      </c>
      <c r="E44" s="5">
        <f t="shared" ca="1" si="1"/>
        <v>1061.0769230769231</v>
      </c>
    </row>
    <row r="45" spans="1:5" x14ac:dyDescent="0.25">
      <c r="A45">
        <v>140231</v>
      </c>
      <c r="B45" t="s">
        <v>10</v>
      </c>
      <c r="C45">
        <f>'[1]VENTAS CONSOLIDADA CARACAS'!C45</f>
        <v>3396</v>
      </c>
      <c r="D45" s="5">
        <f t="shared" ca="1" si="0"/>
        <v>261.23076923076923</v>
      </c>
      <c r="E45" s="5">
        <f t="shared" ca="1" si="1"/>
        <v>5747.0769230769229</v>
      </c>
    </row>
    <row r="46" spans="1:5" x14ac:dyDescent="0.25">
      <c r="A46">
        <v>140232</v>
      </c>
      <c r="B46" t="s">
        <v>9</v>
      </c>
      <c r="C46">
        <f>'[1]VENTAS CONSOLIDADA CARACAS'!C46</f>
        <v>2485</v>
      </c>
      <c r="D46" s="5">
        <f t="shared" ca="1" si="0"/>
        <v>191.15384615384616</v>
      </c>
      <c r="E46" s="5">
        <f t="shared" ca="1" si="1"/>
        <v>4205.3846153846152</v>
      </c>
    </row>
    <row r="47" spans="1:5" x14ac:dyDescent="0.25">
      <c r="A47">
        <v>150360</v>
      </c>
      <c r="B47" t="s">
        <v>28</v>
      </c>
      <c r="C47">
        <f>'[1]VENTAS CONSOLIDADA CARACAS'!C47</f>
        <v>1738</v>
      </c>
      <c r="D47" s="5">
        <f t="shared" ca="1" si="0"/>
        <v>133.69230769230768</v>
      </c>
      <c r="E47" s="5">
        <f t="shared" ca="1" si="1"/>
        <v>2941.2307692307691</v>
      </c>
    </row>
    <row r="48" spans="1:5" x14ac:dyDescent="0.25">
      <c r="A48">
        <v>150361</v>
      </c>
      <c r="B48" t="s">
        <v>29</v>
      </c>
      <c r="C48">
        <f>'[1]VENTAS CONSOLIDADA CARACAS'!C48</f>
        <v>3342</v>
      </c>
      <c r="D48" s="5">
        <f t="shared" ca="1" si="0"/>
        <v>257.07692307692309</v>
      </c>
      <c r="E48" s="5">
        <f t="shared" ca="1" si="1"/>
        <v>5655.6923076923085</v>
      </c>
    </row>
    <row r="49" spans="1:5" x14ac:dyDescent="0.25">
      <c r="A49">
        <v>150362</v>
      </c>
      <c r="B49" t="s">
        <v>36</v>
      </c>
      <c r="C49">
        <f>'[1]VENTAS CONSOLIDADA CARACAS'!C49</f>
        <v>2377</v>
      </c>
      <c r="D49" s="5">
        <f t="shared" ca="1" si="0"/>
        <v>182.84615384615384</v>
      </c>
      <c r="E49" s="5">
        <f t="shared" ca="1" si="1"/>
        <v>4022.6153846153843</v>
      </c>
    </row>
    <row r="50" spans="1:5" x14ac:dyDescent="0.25">
      <c r="A50">
        <v>150363</v>
      </c>
      <c r="B50" t="s">
        <v>31</v>
      </c>
      <c r="C50">
        <f>'[1]VENTAS CONSOLIDADA CARACAS'!C50</f>
        <v>1341</v>
      </c>
      <c r="D50" s="5">
        <f t="shared" ca="1" si="0"/>
        <v>103.15384615384616</v>
      </c>
      <c r="E50" s="5">
        <f t="shared" ca="1" si="1"/>
        <v>2269.3846153846157</v>
      </c>
    </row>
    <row r="51" spans="1:5" x14ac:dyDescent="0.25">
      <c r="A51">
        <v>151500</v>
      </c>
      <c r="B51" t="s">
        <v>41</v>
      </c>
      <c r="C51">
        <f>'[1]VENTAS CONSOLIDADA CARACAS'!C51</f>
        <v>205</v>
      </c>
      <c r="D51" s="5">
        <f t="shared" ca="1" si="0"/>
        <v>15.76923076923077</v>
      </c>
      <c r="E51" s="5">
        <f t="shared" ca="1" si="1"/>
        <v>346.92307692307696</v>
      </c>
    </row>
    <row r="52" spans="1:5" x14ac:dyDescent="0.25">
      <c r="A52">
        <v>151501</v>
      </c>
      <c r="B52" t="s">
        <v>33</v>
      </c>
      <c r="C52">
        <f>'[1]VENTAS CONSOLIDADA CARACAS'!C52</f>
        <v>625</v>
      </c>
      <c r="D52" s="5">
        <f t="shared" ca="1" si="0"/>
        <v>48.07692307692308</v>
      </c>
      <c r="E52" s="5">
        <f t="shared" ca="1" si="1"/>
        <v>1057.6923076923078</v>
      </c>
    </row>
    <row r="53" spans="1:5" x14ac:dyDescent="0.25">
      <c r="A53">
        <v>151502</v>
      </c>
      <c r="B53" t="s">
        <v>37</v>
      </c>
      <c r="C53">
        <f>'[1]VENTAS CONSOLIDADA CARACAS'!C53</f>
        <v>353</v>
      </c>
      <c r="D53" s="5">
        <f t="shared" ca="1" si="0"/>
        <v>27.153846153846153</v>
      </c>
      <c r="E53" s="5">
        <f t="shared" ca="1" si="1"/>
        <v>597.38461538461536</v>
      </c>
    </row>
    <row r="54" spans="1:5" x14ac:dyDescent="0.25">
      <c r="A54">
        <v>151503</v>
      </c>
      <c r="B54" t="s">
        <v>34</v>
      </c>
      <c r="C54">
        <f>'[1]VENTAS CONSOLIDADA CARACAS'!C54</f>
        <v>494</v>
      </c>
      <c r="D54" s="5">
        <f t="shared" ca="1" si="0"/>
        <v>38</v>
      </c>
      <c r="E54" s="5">
        <f t="shared" ca="1" si="1"/>
        <v>836</v>
      </c>
    </row>
    <row r="55" spans="1:5" x14ac:dyDescent="0.25">
      <c r="D55" s="5">
        <f ca="1">SUM(D8:D54)</f>
        <v>14264.153846153848</v>
      </c>
      <c r="E55" s="5">
        <f ca="1">SUM(E8:E54)</f>
        <v>313811.38461538462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46283</v>
      </c>
      <c r="E2" s="4">
        <f ca="1">'[1]VENTAS CONSOLIDADA LARA'!E2</f>
        <v>13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9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669</v>
      </c>
      <c r="D8" s="5">
        <f t="shared" ref="D8:D54" ca="1" si="0">C8/$E$2</f>
        <v>51.46153846153846</v>
      </c>
      <c r="E8" s="5">
        <f ca="1">D8*($E$2+$E$3)</f>
        <v>1132.1538461538462</v>
      </c>
    </row>
    <row r="9" spans="1:5" x14ac:dyDescent="0.25">
      <c r="A9">
        <v>110151</v>
      </c>
      <c r="B9" t="s">
        <v>5</v>
      </c>
      <c r="C9">
        <f>'[1]VENTAS CONSOLIDADA LARA'!C9</f>
        <v>27</v>
      </c>
      <c r="D9" s="5">
        <f t="shared" ca="1" si="0"/>
        <v>2.0769230769230771</v>
      </c>
      <c r="E9" s="5">
        <f t="shared" ref="E9:E54" ca="1" si="1">D9*($E$2+$E$3)</f>
        <v>45.692307692307693</v>
      </c>
    </row>
    <row r="10" spans="1:5" x14ac:dyDescent="0.25">
      <c r="A10">
        <v>110230</v>
      </c>
      <c r="B10" t="s">
        <v>1</v>
      </c>
      <c r="C10">
        <f>'[1]VENTAS CONSOLIDADA LARA'!C10</f>
        <v>192</v>
      </c>
      <c r="D10" s="5">
        <f t="shared" ca="1" si="0"/>
        <v>14.76923076923077</v>
      </c>
      <c r="E10" s="5">
        <f t="shared" ca="1" si="1"/>
        <v>324.92307692307696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1.0769230769230769</v>
      </c>
      <c r="E11" s="5">
        <f t="shared" ca="1" si="1"/>
        <v>23.69230769230769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2054</v>
      </c>
      <c r="D13" s="5">
        <f t="shared" ca="1" si="0"/>
        <v>158</v>
      </c>
      <c r="E13" s="5">
        <f t="shared" ca="1" si="1"/>
        <v>3476</v>
      </c>
    </row>
    <row r="14" spans="1:5" x14ac:dyDescent="0.25">
      <c r="A14">
        <v>120131</v>
      </c>
      <c r="B14" t="s">
        <v>23</v>
      </c>
      <c r="C14">
        <f>'[1]VENTAS CONSOLIDADA LARA'!C14</f>
        <v>164</v>
      </c>
      <c r="D14" s="5">
        <f t="shared" ca="1" si="0"/>
        <v>12.615384615384615</v>
      </c>
      <c r="E14" s="5">
        <f t="shared" ca="1" si="1"/>
        <v>277.53846153846155</v>
      </c>
    </row>
    <row r="15" spans="1:5" x14ac:dyDescent="0.25">
      <c r="A15">
        <v>120132</v>
      </c>
      <c r="B15" t="s">
        <v>21</v>
      </c>
      <c r="C15">
        <f>'[1]VENTAS CONSOLIDADA LARA'!C15</f>
        <v>187</v>
      </c>
      <c r="D15" s="5">
        <f t="shared" ca="1" si="0"/>
        <v>14.384615384615385</v>
      </c>
      <c r="E15" s="5">
        <f t="shared" ca="1" si="1"/>
        <v>316.46153846153845</v>
      </c>
    </row>
    <row r="16" spans="1:5" x14ac:dyDescent="0.25">
      <c r="A16">
        <v>130150</v>
      </c>
      <c r="B16" t="s">
        <v>0</v>
      </c>
      <c r="C16">
        <f>'[1]VENTAS CONSOLIDADA LARA'!C16</f>
        <v>946</v>
      </c>
      <c r="D16" s="5">
        <f t="shared" ca="1" si="0"/>
        <v>72.769230769230774</v>
      </c>
      <c r="E16" s="5">
        <f t="shared" ca="1" si="1"/>
        <v>1600.9230769230771</v>
      </c>
    </row>
    <row r="17" spans="1:5" x14ac:dyDescent="0.25">
      <c r="A17">
        <v>130151</v>
      </c>
      <c r="B17" t="s">
        <v>4</v>
      </c>
      <c r="C17">
        <f>'[1]VENTAS CONSOLIDADA LARA'!C17</f>
        <v>270</v>
      </c>
      <c r="D17" s="5">
        <f t="shared" ca="1" si="0"/>
        <v>20.76923076923077</v>
      </c>
      <c r="E17" s="5">
        <f t="shared" ca="1" si="1"/>
        <v>456.92307692307696</v>
      </c>
    </row>
    <row r="18" spans="1:5" x14ac:dyDescent="0.25">
      <c r="A18">
        <v>130152</v>
      </c>
      <c r="B18" t="s">
        <v>51</v>
      </c>
      <c r="C18">
        <f>'[1]VENTAS CONSOLIDADA LARA'!C18</f>
        <v>7478</v>
      </c>
      <c r="D18" s="5">
        <f t="shared" ca="1" si="0"/>
        <v>575.23076923076928</v>
      </c>
      <c r="E18" s="5">
        <f t="shared" ca="1" si="1"/>
        <v>12655.076923076924</v>
      </c>
    </row>
    <row r="19" spans="1:5" x14ac:dyDescent="0.25">
      <c r="A19">
        <v>130153</v>
      </c>
      <c r="B19" t="s">
        <v>52</v>
      </c>
      <c r="C19">
        <f>'[1]VENTAS CONSOLIDADA LARA'!C19</f>
        <v>4048</v>
      </c>
      <c r="D19" s="5">
        <f t="shared" ca="1" si="0"/>
        <v>311.38461538461536</v>
      </c>
      <c r="E19" s="5">
        <f t="shared" ca="1" si="1"/>
        <v>6850.4615384615381</v>
      </c>
    </row>
    <row r="20" spans="1:5" x14ac:dyDescent="0.25">
      <c r="A20">
        <v>130154</v>
      </c>
      <c r="B20" t="s">
        <v>53</v>
      </c>
      <c r="C20">
        <f>'[1]VENTAS CONSOLIDADA LARA'!C20</f>
        <v>4030</v>
      </c>
      <c r="D20" s="5">
        <f t="shared" ca="1" si="0"/>
        <v>310</v>
      </c>
      <c r="E20" s="5">
        <f t="shared" ca="1" si="1"/>
        <v>6820</v>
      </c>
    </row>
    <row r="21" spans="1:5" x14ac:dyDescent="0.25">
      <c r="A21">
        <v>130155</v>
      </c>
      <c r="B21" t="s">
        <v>16</v>
      </c>
      <c r="C21">
        <f>'[1]VENTAS CONSOLIDADA LARA'!C21</f>
        <v>4979</v>
      </c>
      <c r="D21" s="5">
        <f t="shared" ca="1" si="0"/>
        <v>383</v>
      </c>
      <c r="E21" s="5">
        <f t="shared" ca="1" si="1"/>
        <v>8426</v>
      </c>
    </row>
    <row r="22" spans="1:5" x14ac:dyDescent="0.25">
      <c r="A22">
        <v>130157</v>
      </c>
      <c r="B22" t="s">
        <v>43</v>
      </c>
      <c r="C22">
        <f>'[1]VENTAS CONSOLIDADA LARA'!C22</f>
        <v>1652</v>
      </c>
      <c r="D22" s="5">
        <f t="shared" ca="1" si="0"/>
        <v>127.07692307692308</v>
      </c>
      <c r="E22" s="5">
        <f t="shared" ca="1" si="1"/>
        <v>2795.6923076923076</v>
      </c>
    </row>
    <row r="23" spans="1:5" x14ac:dyDescent="0.25">
      <c r="A23">
        <v>130158</v>
      </c>
      <c r="B23" t="s">
        <v>44</v>
      </c>
      <c r="C23">
        <f>'[1]VENTAS CONSOLIDADA LARA'!C23</f>
        <v>1865</v>
      </c>
      <c r="D23" s="5">
        <f t="shared" ca="1" si="0"/>
        <v>143.46153846153845</v>
      </c>
      <c r="E23" s="5">
        <f t="shared" ca="1" si="1"/>
        <v>3156.1538461538457</v>
      </c>
    </row>
    <row r="24" spans="1:5" x14ac:dyDescent="0.25">
      <c r="A24">
        <v>130159</v>
      </c>
      <c r="B24" t="s">
        <v>45</v>
      </c>
      <c r="C24">
        <f>'[1]VENTAS CONSOLIDADA LARA'!C24</f>
        <v>1994</v>
      </c>
      <c r="D24" s="5">
        <f t="shared" ca="1" si="0"/>
        <v>153.38461538461539</v>
      </c>
      <c r="E24" s="5">
        <f t="shared" ca="1" si="1"/>
        <v>3374.4615384615386</v>
      </c>
    </row>
    <row r="25" spans="1:5" x14ac:dyDescent="0.25">
      <c r="A25">
        <v>130700</v>
      </c>
      <c r="B25" t="s">
        <v>3</v>
      </c>
      <c r="C25">
        <f>'[1]VENTAS CONSOLIDADA LARA'!C25</f>
        <v>399</v>
      </c>
      <c r="D25" s="5">
        <f t="shared" ca="1" si="0"/>
        <v>30.692307692307693</v>
      </c>
      <c r="E25" s="5">
        <f t="shared" ca="1" si="1"/>
        <v>675.23076923076928</v>
      </c>
    </row>
    <row r="26" spans="1:5" x14ac:dyDescent="0.25">
      <c r="A26">
        <v>130701</v>
      </c>
      <c r="B26" t="s">
        <v>30</v>
      </c>
      <c r="C26">
        <f>'[1]VENTAS CONSOLIDADA LARA'!C26</f>
        <v>110</v>
      </c>
      <c r="D26" s="5">
        <f t="shared" ca="1" si="0"/>
        <v>8.4615384615384617</v>
      </c>
      <c r="E26" s="5">
        <f t="shared" ca="1" si="1"/>
        <v>186.15384615384616</v>
      </c>
    </row>
    <row r="27" spans="1:5" x14ac:dyDescent="0.25">
      <c r="A27">
        <v>130702</v>
      </c>
      <c r="B27" t="s">
        <v>12</v>
      </c>
      <c r="C27">
        <f>'[1]VENTAS CONSOLIDADA LARA'!C27</f>
        <v>1158</v>
      </c>
      <c r="D27" s="5">
        <f t="shared" ca="1" si="0"/>
        <v>89.07692307692308</v>
      </c>
      <c r="E27" s="5">
        <f t="shared" ca="1" si="1"/>
        <v>1959.6923076923078</v>
      </c>
    </row>
    <row r="28" spans="1:5" x14ac:dyDescent="0.25">
      <c r="A28">
        <v>130703</v>
      </c>
      <c r="B28" t="s">
        <v>17</v>
      </c>
      <c r="C28">
        <f>'[1]VENTAS CONSOLIDADA LARA'!C28</f>
        <v>1452</v>
      </c>
      <c r="D28" s="5">
        <f t="shared" ca="1" si="0"/>
        <v>111.69230769230769</v>
      </c>
      <c r="E28" s="5">
        <f t="shared" ca="1" si="1"/>
        <v>2457.2307692307691</v>
      </c>
    </row>
    <row r="29" spans="1:5" x14ac:dyDescent="0.25">
      <c r="A29">
        <v>130707</v>
      </c>
      <c r="B29" t="s">
        <v>42</v>
      </c>
      <c r="C29">
        <f>'[1]VENTAS CONSOLIDADA LARA'!C29</f>
        <v>70</v>
      </c>
      <c r="D29" s="5">
        <f t="shared" ca="1" si="0"/>
        <v>5.384615384615385</v>
      </c>
      <c r="E29" s="5">
        <f t="shared" ca="1" si="1"/>
        <v>118.46153846153847</v>
      </c>
    </row>
    <row r="30" spans="1:5" x14ac:dyDescent="0.25">
      <c r="A30">
        <v>131150</v>
      </c>
      <c r="B30" t="s">
        <v>22</v>
      </c>
      <c r="C30">
        <f>'[1]VENTAS CONSOLIDADA LARA'!C30</f>
        <v>606</v>
      </c>
      <c r="D30" s="5">
        <f t="shared" ca="1" si="0"/>
        <v>46.615384615384613</v>
      </c>
      <c r="E30" s="5">
        <f t="shared" ca="1" si="1"/>
        <v>1025.5384615384614</v>
      </c>
    </row>
    <row r="31" spans="1:5" x14ac:dyDescent="0.25">
      <c r="A31">
        <v>131151</v>
      </c>
      <c r="B31" t="s">
        <v>19</v>
      </c>
      <c r="C31">
        <f>'[1]VENTAS CONSOLIDADA LARA'!C31</f>
        <v>1444</v>
      </c>
      <c r="D31" s="5">
        <f t="shared" ca="1" si="0"/>
        <v>111.07692307692308</v>
      </c>
      <c r="E31" s="5">
        <f t="shared" ca="1" si="1"/>
        <v>2443.6923076923076</v>
      </c>
    </row>
    <row r="32" spans="1:5" x14ac:dyDescent="0.25">
      <c r="A32">
        <v>131152</v>
      </c>
      <c r="B32" t="s">
        <v>32</v>
      </c>
      <c r="C32">
        <f>'[1]VENTAS CONSOLIDADA LARA'!C32</f>
        <v>788</v>
      </c>
      <c r="D32" s="5">
        <f t="shared" ca="1" si="0"/>
        <v>60.615384615384613</v>
      </c>
      <c r="E32" s="5">
        <f t="shared" ca="1" si="1"/>
        <v>1333.5384615384614</v>
      </c>
    </row>
    <row r="33" spans="1:5" x14ac:dyDescent="0.25">
      <c r="A33">
        <v>131153</v>
      </c>
      <c r="B33" t="s">
        <v>11</v>
      </c>
      <c r="C33">
        <f>'[1]VENTAS CONSOLIDADA LARA'!C33</f>
        <v>476</v>
      </c>
      <c r="D33" s="5">
        <f t="shared" ca="1" si="0"/>
        <v>36.615384615384613</v>
      </c>
      <c r="E33" s="5">
        <f t="shared" ca="1" si="1"/>
        <v>805.53846153846143</v>
      </c>
    </row>
    <row r="34" spans="1:5" x14ac:dyDescent="0.25">
      <c r="A34">
        <v>131154</v>
      </c>
      <c r="B34" t="s">
        <v>48</v>
      </c>
      <c r="C34">
        <f>'[1]VENTAS CONSOLIDADA LARA'!C34</f>
        <v>691</v>
      </c>
      <c r="D34" s="5">
        <f t="shared" ca="1" si="0"/>
        <v>53.153846153846153</v>
      </c>
      <c r="E34" s="5">
        <f t="shared" ca="1" si="1"/>
        <v>1169.3846153846155</v>
      </c>
    </row>
    <row r="35" spans="1:5" x14ac:dyDescent="0.25">
      <c r="A35">
        <v>131155</v>
      </c>
      <c r="B35" t="s">
        <v>57</v>
      </c>
      <c r="C35">
        <f>'[1]VENTAS CONSOLIDADA LARA'!C35</f>
        <v>808</v>
      </c>
      <c r="D35" s="5">
        <f t="shared" ca="1" si="0"/>
        <v>62.153846153846153</v>
      </c>
      <c r="E35" s="5">
        <f t="shared" ca="1" si="1"/>
        <v>1367.3846153846155</v>
      </c>
    </row>
    <row r="36" spans="1:5" x14ac:dyDescent="0.25">
      <c r="A36">
        <v>131700</v>
      </c>
      <c r="B36" t="s">
        <v>20</v>
      </c>
      <c r="C36">
        <f>'[1]VENTAS CONSOLIDADA LARA'!C36</f>
        <v>138</v>
      </c>
      <c r="D36" s="5">
        <f t="shared" ca="1" si="0"/>
        <v>10.615384615384615</v>
      </c>
      <c r="E36" s="5">
        <f t="shared" ca="1" si="1"/>
        <v>233.53846153846152</v>
      </c>
    </row>
    <row r="37" spans="1:5" x14ac:dyDescent="0.25">
      <c r="A37">
        <v>131701</v>
      </c>
      <c r="B37" t="s">
        <v>24</v>
      </c>
      <c r="C37">
        <f>'[1]VENTAS CONSOLIDADA LARA'!C37</f>
        <v>200</v>
      </c>
      <c r="D37" s="5">
        <f t="shared" ca="1" si="0"/>
        <v>15.384615384615385</v>
      </c>
      <c r="E37" s="5">
        <f t="shared" ca="1" si="1"/>
        <v>338.46153846153845</v>
      </c>
    </row>
    <row r="38" spans="1:5" x14ac:dyDescent="0.25">
      <c r="A38">
        <v>132150</v>
      </c>
      <c r="B38" t="s">
        <v>25</v>
      </c>
      <c r="C38">
        <f>'[1]VENTAS CONSOLIDADA LARA'!C38</f>
        <v>1639</v>
      </c>
      <c r="D38" s="5">
        <f t="shared" ca="1" si="0"/>
        <v>126.07692307692308</v>
      </c>
      <c r="E38" s="5">
        <f t="shared" ca="1" si="1"/>
        <v>2773.6923076923076</v>
      </c>
    </row>
    <row r="39" spans="1:5" x14ac:dyDescent="0.25">
      <c r="A39">
        <v>132151</v>
      </c>
      <c r="B39" t="s">
        <v>26</v>
      </c>
      <c r="C39">
        <f>'[1]VENTAS CONSOLIDADA LARA'!C39</f>
        <v>814</v>
      </c>
      <c r="D39" s="5">
        <f t="shared" ca="1" si="0"/>
        <v>62.615384615384613</v>
      </c>
      <c r="E39" s="5">
        <f t="shared" ca="1" si="1"/>
        <v>1377.5384615384614</v>
      </c>
    </row>
    <row r="40" spans="1:5" x14ac:dyDescent="0.25">
      <c r="A40">
        <v>132152</v>
      </c>
      <c r="B40" t="s">
        <v>27</v>
      </c>
      <c r="C40">
        <f>'[1]VENTAS CONSOLIDADA LARA'!C40</f>
        <v>1223</v>
      </c>
      <c r="D40" s="5">
        <f t="shared" ca="1" si="0"/>
        <v>94.07692307692308</v>
      </c>
      <c r="E40" s="5">
        <f t="shared" ca="1" si="1"/>
        <v>2069.6923076923076</v>
      </c>
    </row>
    <row r="41" spans="1:5" x14ac:dyDescent="0.25">
      <c r="A41">
        <v>132153</v>
      </c>
      <c r="B41" t="s">
        <v>40</v>
      </c>
      <c r="C41">
        <f>'[1]VENTAS CONSOLIDADA LARA'!C41</f>
        <v>544</v>
      </c>
      <c r="D41" s="5">
        <f t="shared" ca="1" si="0"/>
        <v>41.846153846153847</v>
      </c>
      <c r="E41" s="5">
        <f t="shared" ca="1" si="1"/>
        <v>920.61538461538464</v>
      </c>
    </row>
    <row r="42" spans="1:5" x14ac:dyDescent="0.25">
      <c r="A42">
        <v>134000</v>
      </c>
      <c r="B42" t="s">
        <v>35</v>
      </c>
      <c r="C42">
        <f>'[1]VENTAS CONSOLIDADA LARA'!C42</f>
        <v>15</v>
      </c>
      <c r="D42" s="5">
        <f t="shared" ca="1" si="0"/>
        <v>1.1538461538461537</v>
      </c>
      <c r="E42" s="5">
        <f t="shared" ca="1" si="1"/>
        <v>25.384615384615383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194</v>
      </c>
      <c r="D44" s="5">
        <f t="shared" ca="1" si="0"/>
        <v>14.923076923076923</v>
      </c>
      <c r="E44" s="5">
        <f t="shared" ca="1" si="1"/>
        <v>328.30769230769232</v>
      </c>
    </row>
    <row r="45" spans="1:5" x14ac:dyDescent="0.25">
      <c r="A45">
        <v>140231</v>
      </c>
      <c r="B45" t="s">
        <v>10</v>
      </c>
      <c r="C45">
        <f>'[1]VENTAS CONSOLIDADA LARA'!C45</f>
        <v>307</v>
      </c>
      <c r="D45" s="5">
        <f t="shared" ca="1" si="0"/>
        <v>23.615384615384617</v>
      </c>
      <c r="E45" s="5">
        <f t="shared" ca="1" si="1"/>
        <v>519.53846153846155</v>
      </c>
    </row>
    <row r="46" spans="1:5" x14ac:dyDescent="0.25">
      <c r="A46">
        <v>140232</v>
      </c>
      <c r="B46" t="s">
        <v>9</v>
      </c>
      <c r="C46">
        <f>'[1]VENTAS CONSOLIDADA LARA'!C46</f>
        <v>451</v>
      </c>
      <c r="D46" s="5">
        <f t="shared" ca="1" si="0"/>
        <v>34.692307692307693</v>
      </c>
      <c r="E46" s="5">
        <f t="shared" ca="1" si="1"/>
        <v>763.23076923076928</v>
      </c>
    </row>
    <row r="47" spans="1:5" x14ac:dyDescent="0.25">
      <c r="A47">
        <v>150360</v>
      </c>
      <c r="B47" t="s">
        <v>28</v>
      </c>
      <c r="C47">
        <f>'[1]VENTAS CONSOLIDADA LARA'!C47</f>
        <v>207</v>
      </c>
      <c r="D47" s="5">
        <f t="shared" ca="1" si="0"/>
        <v>15.923076923076923</v>
      </c>
      <c r="E47" s="5">
        <f t="shared" ca="1" si="1"/>
        <v>350.30769230769232</v>
      </c>
    </row>
    <row r="48" spans="1:5" x14ac:dyDescent="0.25">
      <c r="A48">
        <v>150361</v>
      </c>
      <c r="B48" t="s">
        <v>29</v>
      </c>
      <c r="C48">
        <f>'[1]VENTAS CONSOLIDADA LARA'!C48</f>
        <v>609</v>
      </c>
      <c r="D48" s="5">
        <f t="shared" ca="1" si="0"/>
        <v>46.846153846153847</v>
      </c>
      <c r="E48" s="5">
        <f t="shared" ca="1" si="1"/>
        <v>1030.6153846153845</v>
      </c>
    </row>
    <row r="49" spans="1:5" x14ac:dyDescent="0.25">
      <c r="A49">
        <v>150362</v>
      </c>
      <c r="B49" t="s">
        <v>36</v>
      </c>
      <c r="C49">
        <f>'[1]VENTAS CONSOLIDADA LARA'!C49</f>
        <v>319</v>
      </c>
      <c r="D49" s="5">
        <f t="shared" ca="1" si="0"/>
        <v>24.53846153846154</v>
      </c>
      <c r="E49" s="5">
        <f t="shared" ca="1" si="1"/>
        <v>539.84615384615392</v>
      </c>
    </row>
    <row r="50" spans="1:5" x14ac:dyDescent="0.25">
      <c r="A50">
        <v>150363</v>
      </c>
      <c r="B50" t="s">
        <v>31</v>
      </c>
      <c r="C50">
        <f>'[1]VENTAS CONSOLIDADA LARA'!C50</f>
        <v>349</v>
      </c>
      <c r="D50" s="5">
        <f t="shared" ca="1" si="0"/>
        <v>26.846153846153847</v>
      </c>
      <c r="E50" s="5">
        <f t="shared" ca="1" si="1"/>
        <v>590.61538461538464</v>
      </c>
    </row>
    <row r="51" spans="1:5" x14ac:dyDescent="0.25">
      <c r="A51">
        <v>151500</v>
      </c>
      <c r="B51" t="s">
        <v>41</v>
      </c>
      <c r="C51">
        <f>'[1]VENTAS CONSOLIDADA LARA'!C51</f>
        <v>78</v>
      </c>
      <c r="D51" s="5">
        <f t="shared" ca="1" si="0"/>
        <v>6</v>
      </c>
      <c r="E51" s="5">
        <f t="shared" ca="1" si="1"/>
        <v>132</v>
      </c>
    </row>
    <row r="52" spans="1:5" x14ac:dyDescent="0.25">
      <c r="A52">
        <v>151501</v>
      </c>
      <c r="B52" t="s">
        <v>33</v>
      </c>
      <c r="C52">
        <f>'[1]VENTAS CONSOLIDADA LARA'!C52</f>
        <v>269</v>
      </c>
      <c r="D52" s="5">
        <f t="shared" ca="1" si="0"/>
        <v>20.692307692307693</v>
      </c>
      <c r="E52" s="5">
        <f t="shared" ca="1" si="1"/>
        <v>455.23076923076928</v>
      </c>
    </row>
    <row r="53" spans="1:5" x14ac:dyDescent="0.25">
      <c r="A53">
        <v>151502</v>
      </c>
      <c r="B53" t="s">
        <v>37</v>
      </c>
      <c r="C53">
        <f>'[1]VENTAS CONSOLIDADA LARA'!C53</f>
        <v>69</v>
      </c>
      <c r="D53" s="5">
        <f t="shared" ca="1" si="0"/>
        <v>5.3076923076923075</v>
      </c>
      <c r="E53" s="5">
        <f t="shared" ca="1" si="1"/>
        <v>116.76923076923076</v>
      </c>
    </row>
    <row r="54" spans="1:5" x14ac:dyDescent="0.25">
      <c r="A54">
        <v>151503</v>
      </c>
      <c r="B54" t="s">
        <v>34</v>
      </c>
      <c r="C54">
        <f>'[1]VENTAS CONSOLIDADA LARA'!C54</f>
        <v>72</v>
      </c>
      <c r="D54" s="5">
        <f t="shared" ca="1" si="0"/>
        <v>5.5384615384615383</v>
      </c>
      <c r="E54" s="5">
        <f t="shared" ca="1" si="1"/>
        <v>121.84615384615384</v>
      </c>
    </row>
    <row r="55" spans="1:5" x14ac:dyDescent="0.25">
      <c r="D55" s="5">
        <f ca="1">SUM(D8:D54)</f>
        <v>3543.6923076923072</v>
      </c>
      <c r="E55" s="5">
        <f ca="1">SUM(E8:E54)</f>
        <v>77961.23076923078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46283</v>
      </c>
      <c r="E2" s="4">
        <f ca="1">'[1]VENTAS CONSOLIDADA ANZOATEGUI'!E2</f>
        <v>13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9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597</v>
      </c>
      <c r="D8" s="5">
        <f t="shared" ref="D8:D54" ca="1" si="0">C8/$E$2</f>
        <v>45.92307692307692</v>
      </c>
      <c r="E8" s="5">
        <f t="shared" ref="E8:E54" ca="1" si="1">D8*($E$2+$E$3)</f>
        <v>1010.3076923076923</v>
      </c>
    </row>
    <row r="9" spans="1:5" x14ac:dyDescent="0.25">
      <c r="A9">
        <v>110151</v>
      </c>
      <c r="B9" t="s">
        <v>5</v>
      </c>
      <c r="C9">
        <f>'[1]VENTAS CONSOLIDADA ANZOATEGUI'!C9</f>
        <v>74</v>
      </c>
      <c r="D9" s="5">
        <f t="shared" ca="1" si="0"/>
        <v>5.6923076923076925</v>
      </c>
      <c r="E9" s="5">
        <f t="shared" ca="1" si="1"/>
        <v>125.23076923076924</v>
      </c>
    </row>
    <row r="10" spans="1:5" x14ac:dyDescent="0.25">
      <c r="A10">
        <v>110230</v>
      </c>
      <c r="B10" t="s">
        <v>1</v>
      </c>
      <c r="C10">
        <f>'[1]VENTAS CONSOLIDADA ANZOATEGUI'!C10</f>
        <v>164</v>
      </c>
      <c r="D10" s="5">
        <f t="shared" ca="1" si="0"/>
        <v>12.615384615384615</v>
      </c>
      <c r="E10" s="5">
        <f t="shared" ca="1" si="1"/>
        <v>277.53846153846155</v>
      </c>
    </row>
    <row r="11" spans="1:5" x14ac:dyDescent="0.25">
      <c r="A11">
        <v>110400</v>
      </c>
      <c r="B11" t="s">
        <v>13</v>
      </c>
      <c r="C11">
        <f>'[1]VENTAS CONSOLIDADA ANZOATEGUI'!C11</f>
        <v>32</v>
      </c>
      <c r="D11" s="5">
        <f t="shared" ca="1" si="0"/>
        <v>2.4615384615384617</v>
      </c>
      <c r="E11" s="5">
        <f t="shared" ca="1" si="1"/>
        <v>54.15384615384616</v>
      </c>
    </row>
    <row r="12" spans="1:5" x14ac:dyDescent="0.25">
      <c r="A12">
        <v>111000</v>
      </c>
      <c r="B12" t="s">
        <v>14</v>
      </c>
      <c r="C12">
        <f>'[1]VENTAS CONSOLIDADA ANZOATEGUI'!C12</f>
        <v>7</v>
      </c>
      <c r="D12" s="5">
        <f t="shared" ca="1" si="0"/>
        <v>0.53846153846153844</v>
      </c>
      <c r="E12" s="5">
        <f t="shared" ca="1" si="1"/>
        <v>11.846153846153845</v>
      </c>
    </row>
    <row r="13" spans="1:5" x14ac:dyDescent="0.25">
      <c r="A13">
        <v>120130</v>
      </c>
      <c r="B13" t="s">
        <v>15</v>
      </c>
      <c r="C13">
        <f>'[1]VENTAS CONSOLIDADA ANZOATEGUI'!C13</f>
        <v>725</v>
      </c>
      <c r="D13" s="5">
        <f t="shared" ca="1" si="0"/>
        <v>55.769230769230766</v>
      </c>
      <c r="E13" s="5">
        <f t="shared" ca="1" si="1"/>
        <v>1226.9230769230769</v>
      </c>
    </row>
    <row r="14" spans="1:5" x14ac:dyDescent="0.25">
      <c r="A14">
        <v>120131</v>
      </c>
      <c r="B14" t="s">
        <v>23</v>
      </c>
      <c r="C14">
        <f>'[1]VENTAS CONSOLIDADA ANZOATEGUI'!C14</f>
        <v>53</v>
      </c>
      <c r="D14" s="5">
        <f t="shared" ca="1" si="0"/>
        <v>4.0769230769230766</v>
      </c>
      <c r="E14" s="5">
        <f t="shared" ca="1" si="1"/>
        <v>89.692307692307679</v>
      </c>
    </row>
    <row r="15" spans="1:5" x14ac:dyDescent="0.25">
      <c r="A15">
        <v>120132</v>
      </c>
      <c r="B15" t="s">
        <v>21</v>
      </c>
      <c r="C15">
        <f>'[1]VENTAS CONSOLIDADA ANZOATEGUI'!C15</f>
        <v>106</v>
      </c>
      <c r="D15" s="5">
        <f t="shared" ca="1" si="0"/>
        <v>8.1538461538461533</v>
      </c>
      <c r="E15" s="5">
        <f t="shared" ca="1" si="1"/>
        <v>179.38461538461536</v>
      </c>
    </row>
    <row r="16" spans="1:5" x14ac:dyDescent="0.25">
      <c r="A16">
        <v>130150</v>
      </c>
      <c r="B16" t="s">
        <v>0</v>
      </c>
      <c r="C16">
        <f>'[1]VENTAS CONSOLIDADA ANZOATEGUI'!C16</f>
        <v>309</v>
      </c>
      <c r="D16" s="5">
        <f t="shared" ca="1" si="0"/>
        <v>23.76923076923077</v>
      </c>
      <c r="E16" s="5">
        <f t="shared" ca="1" si="1"/>
        <v>522.92307692307691</v>
      </c>
    </row>
    <row r="17" spans="1:5" x14ac:dyDescent="0.25">
      <c r="A17">
        <v>130151</v>
      </c>
      <c r="B17" t="s">
        <v>4</v>
      </c>
      <c r="C17">
        <f>'[1]VENTAS CONSOLIDADA ANZOATEGUI'!C17</f>
        <v>64</v>
      </c>
      <c r="D17" s="5">
        <f t="shared" ca="1" si="0"/>
        <v>4.9230769230769234</v>
      </c>
      <c r="E17" s="5">
        <f t="shared" ca="1" si="1"/>
        <v>108.30769230769232</v>
      </c>
    </row>
    <row r="18" spans="1:5" x14ac:dyDescent="0.25">
      <c r="A18">
        <v>130152</v>
      </c>
      <c r="B18" t="s">
        <v>51</v>
      </c>
      <c r="C18">
        <f>'[1]VENTAS CONSOLIDADA ANZOATEGUI'!C18</f>
        <v>1835</v>
      </c>
      <c r="D18" s="5">
        <f t="shared" ca="1" si="0"/>
        <v>141.15384615384616</v>
      </c>
      <c r="E18" s="5">
        <f t="shared" ca="1" si="1"/>
        <v>3105.3846153846157</v>
      </c>
    </row>
    <row r="19" spans="1:5" x14ac:dyDescent="0.25">
      <c r="A19">
        <v>130153</v>
      </c>
      <c r="B19" t="s">
        <v>52</v>
      </c>
      <c r="C19">
        <f>'[1]VENTAS CONSOLIDADA ANZOATEGUI'!C19</f>
        <v>1074</v>
      </c>
      <c r="D19" s="5">
        <f t="shared" ca="1" si="0"/>
        <v>82.615384615384613</v>
      </c>
      <c r="E19" s="5">
        <f t="shared" ca="1" si="1"/>
        <v>1817.5384615384614</v>
      </c>
    </row>
    <row r="20" spans="1:5" x14ac:dyDescent="0.25">
      <c r="A20">
        <v>130154</v>
      </c>
      <c r="B20" t="s">
        <v>53</v>
      </c>
      <c r="C20">
        <f>'[1]VENTAS CONSOLIDADA ANZOATEGUI'!C20</f>
        <v>1367</v>
      </c>
      <c r="D20" s="5">
        <f t="shared" ca="1" si="0"/>
        <v>105.15384615384616</v>
      </c>
      <c r="E20" s="5">
        <f t="shared" ca="1" si="1"/>
        <v>2313.3846153846157</v>
      </c>
    </row>
    <row r="21" spans="1:5" x14ac:dyDescent="0.25">
      <c r="A21">
        <v>130155</v>
      </c>
      <c r="B21" t="s">
        <v>16</v>
      </c>
      <c r="C21">
        <f>'[1]VENTAS CONSOLIDADA ANZOATEGUI'!C21</f>
        <v>1127</v>
      </c>
      <c r="D21" s="5">
        <f t="shared" ca="1" si="0"/>
        <v>86.692307692307693</v>
      </c>
      <c r="E21" s="5">
        <f t="shared" ca="1" si="1"/>
        <v>1907.2307692307693</v>
      </c>
    </row>
    <row r="22" spans="1:5" x14ac:dyDescent="0.25">
      <c r="A22">
        <v>130157</v>
      </c>
      <c r="B22" t="s">
        <v>43</v>
      </c>
      <c r="C22">
        <f>'[1]VENTAS CONSOLIDADA ANZOATEGUI'!C22</f>
        <v>311</v>
      </c>
      <c r="D22" s="5">
        <f t="shared" ca="1" si="0"/>
        <v>23.923076923076923</v>
      </c>
      <c r="E22" s="5">
        <f t="shared" ca="1" si="1"/>
        <v>526.30769230769226</v>
      </c>
    </row>
    <row r="23" spans="1:5" x14ac:dyDescent="0.25">
      <c r="A23">
        <v>130158</v>
      </c>
      <c r="B23" t="s">
        <v>44</v>
      </c>
      <c r="C23">
        <f>'[1]VENTAS CONSOLIDADA ANZOATEGUI'!C23</f>
        <v>463</v>
      </c>
      <c r="D23" s="5">
        <f t="shared" ca="1" si="0"/>
        <v>35.615384615384613</v>
      </c>
      <c r="E23" s="5">
        <f t="shared" ca="1" si="1"/>
        <v>783.53846153846143</v>
      </c>
    </row>
    <row r="24" spans="1:5" x14ac:dyDescent="0.25">
      <c r="A24">
        <v>130159</v>
      </c>
      <c r="B24" t="s">
        <v>45</v>
      </c>
      <c r="C24">
        <f>'[1]VENTAS CONSOLIDADA ANZOATEGUI'!C24</f>
        <v>447</v>
      </c>
      <c r="D24" s="5">
        <f t="shared" ca="1" si="0"/>
        <v>34.384615384615387</v>
      </c>
      <c r="E24" s="5">
        <f t="shared" ca="1" si="1"/>
        <v>756.46153846153857</v>
      </c>
    </row>
    <row r="25" spans="1:5" x14ac:dyDescent="0.25">
      <c r="A25">
        <v>130700</v>
      </c>
      <c r="B25" t="s">
        <v>3</v>
      </c>
      <c r="C25">
        <f>'[1]VENTAS CONSOLIDADA ANZOATEGUI'!C25</f>
        <v>67</v>
      </c>
      <c r="D25" s="5">
        <f t="shared" ca="1" si="0"/>
        <v>5.1538461538461542</v>
      </c>
      <c r="E25" s="5">
        <f t="shared" ca="1" si="1"/>
        <v>113.38461538461539</v>
      </c>
    </row>
    <row r="26" spans="1:5" x14ac:dyDescent="0.25">
      <c r="A26">
        <v>130701</v>
      </c>
      <c r="B26" t="s">
        <v>30</v>
      </c>
      <c r="C26">
        <f>'[1]VENTAS CONSOLIDADA ANZOATEGUI'!C26</f>
        <v>10</v>
      </c>
      <c r="D26" s="5">
        <f t="shared" ca="1" si="0"/>
        <v>0.76923076923076927</v>
      </c>
      <c r="E26" s="5">
        <f t="shared" ca="1" si="1"/>
        <v>16.923076923076923</v>
      </c>
    </row>
    <row r="27" spans="1:5" x14ac:dyDescent="0.25">
      <c r="A27">
        <v>130702</v>
      </c>
      <c r="B27" t="s">
        <v>12</v>
      </c>
      <c r="C27">
        <f>'[1]VENTAS CONSOLIDADA ANZOATEGUI'!C27</f>
        <v>183</v>
      </c>
      <c r="D27" s="5">
        <f t="shared" ca="1" si="0"/>
        <v>14.076923076923077</v>
      </c>
      <c r="E27" s="5">
        <f t="shared" ca="1" si="1"/>
        <v>309.69230769230768</v>
      </c>
    </row>
    <row r="28" spans="1:5" x14ac:dyDescent="0.25">
      <c r="A28">
        <v>130703</v>
      </c>
      <c r="B28" t="s">
        <v>17</v>
      </c>
      <c r="C28">
        <f>'[1]VENTAS CONSOLIDADA ANZOATEGUI'!C28</f>
        <v>255</v>
      </c>
      <c r="D28" s="5">
        <f t="shared" ca="1" si="0"/>
        <v>19.615384615384617</v>
      </c>
      <c r="E28" s="5">
        <f t="shared" ca="1" si="1"/>
        <v>431.53846153846155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461</v>
      </c>
      <c r="D30" s="5">
        <f t="shared" ca="1" si="0"/>
        <v>35.46153846153846</v>
      </c>
      <c r="E30" s="5">
        <f t="shared" ca="1" si="1"/>
        <v>780.15384615384608</v>
      </c>
    </row>
    <row r="31" spans="1:5" x14ac:dyDescent="0.25">
      <c r="A31">
        <v>131151</v>
      </c>
      <c r="B31" t="s">
        <v>19</v>
      </c>
      <c r="C31">
        <f>'[1]VENTAS CONSOLIDADA ANZOATEGUI'!C31</f>
        <v>1237</v>
      </c>
      <c r="D31" s="5">
        <f t="shared" ca="1" si="0"/>
        <v>95.15384615384616</v>
      </c>
      <c r="E31" s="5">
        <f t="shared" ca="1" si="1"/>
        <v>2093.3846153846157</v>
      </c>
    </row>
    <row r="32" spans="1:5" x14ac:dyDescent="0.25">
      <c r="A32">
        <v>131152</v>
      </c>
      <c r="B32" t="s">
        <v>32</v>
      </c>
      <c r="C32">
        <f>'[1]VENTAS CONSOLIDADA ANZOATEGUI'!C32</f>
        <v>756</v>
      </c>
      <c r="D32" s="5">
        <f t="shared" ca="1" si="0"/>
        <v>58.153846153846153</v>
      </c>
      <c r="E32" s="5">
        <f t="shared" ca="1" si="1"/>
        <v>1279.3846153846155</v>
      </c>
    </row>
    <row r="33" spans="1:5" x14ac:dyDescent="0.25">
      <c r="A33">
        <v>131153</v>
      </c>
      <c r="B33" t="s">
        <v>11</v>
      </c>
      <c r="C33">
        <f>'[1]VENTAS CONSOLIDADA ANZOATEGUI'!C33</f>
        <v>460</v>
      </c>
      <c r="D33" s="5">
        <f t="shared" ca="1" si="0"/>
        <v>35.384615384615387</v>
      </c>
      <c r="E33" s="5">
        <f t="shared" ca="1" si="1"/>
        <v>778.46153846153857</v>
      </c>
    </row>
    <row r="34" spans="1:5" x14ac:dyDescent="0.25">
      <c r="A34">
        <v>131154</v>
      </c>
      <c r="B34" t="s">
        <v>48</v>
      </c>
      <c r="C34">
        <f>'[1]VENTAS CONSOLIDADA ANZOATEGUI'!C34</f>
        <v>402</v>
      </c>
      <c r="D34" s="5">
        <f t="shared" ca="1" si="0"/>
        <v>30.923076923076923</v>
      </c>
      <c r="E34" s="5">
        <f t="shared" ca="1" si="1"/>
        <v>680.30769230769226</v>
      </c>
    </row>
    <row r="35" spans="1:5" x14ac:dyDescent="0.25">
      <c r="A35">
        <v>131155</v>
      </c>
      <c r="B35" t="s">
        <v>57</v>
      </c>
      <c r="C35">
        <f>'[1]VENTAS CONSOLIDADA ANZOATEGUI'!C35</f>
        <v>481</v>
      </c>
      <c r="D35" s="5">
        <f t="shared" ca="1" si="0"/>
        <v>37</v>
      </c>
      <c r="E35" s="5">
        <f t="shared" ca="1" si="1"/>
        <v>814</v>
      </c>
    </row>
    <row r="36" spans="1:5" x14ac:dyDescent="0.25">
      <c r="A36">
        <v>131700</v>
      </c>
      <c r="B36" t="s">
        <v>20</v>
      </c>
      <c r="C36">
        <f>'[1]VENTAS CONSOLIDADA ANZOATEGUI'!C36</f>
        <v>69</v>
      </c>
      <c r="D36" s="5">
        <f t="shared" ca="1" si="0"/>
        <v>5.3076923076923075</v>
      </c>
      <c r="E36" s="5">
        <f t="shared" ca="1" si="1"/>
        <v>116.76923076923076</v>
      </c>
    </row>
    <row r="37" spans="1:5" x14ac:dyDescent="0.25">
      <c r="A37">
        <v>131701</v>
      </c>
      <c r="B37" t="s">
        <v>24</v>
      </c>
      <c r="C37">
        <f>'[1]VENTAS CONSOLIDADA ANZOATEGUI'!C37</f>
        <v>93</v>
      </c>
      <c r="D37" s="5">
        <f t="shared" ca="1" si="0"/>
        <v>7.1538461538461542</v>
      </c>
      <c r="E37" s="5">
        <f t="shared" ca="1" si="1"/>
        <v>157.38461538461539</v>
      </c>
    </row>
    <row r="38" spans="1:5" x14ac:dyDescent="0.25">
      <c r="A38">
        <v>132150</v>
      </c>
      <c r="B38" t="s">
        <v>25</v>
      </c>
      <c r="C38">
        <f>'[1]VENTAS CONSOLIDADA ANZOATEGUI'!C38</f>
        <v>594</v>
      </c>
      <c r="D38" s="5">
        <f t="shared" ca="1" si="0"/>
        <v>45.692307692307693</v>
      </c>
      <c r="E38" s="5">
        <f t="shared" ca="1" si="1"/>
        <v>1005.2307692307693</v>
      </c>
    </row>
    <row r="39" spans="1:5" x14ac:dyDescent="0.25">
      <c r="A39">
        <v>132151</v>
      </c>
      <c r="B39" t="s">
        <v>26</v>
      </c>
      <c r="C39">
        <f>'[1]VENTAS CONSOLIDADA ANZOATEGUI'!C39</f>
        <v>352</v>
      </c>
      <c r="D39" s="5">
        <f t="shared" ca="1" si="0"/>
        <v>27.076923076923077</v>
      </c>
      <c r="E39" s="5">
        <f t="shared" ca="1" si="1"/>
        <v>595.69230769230774</v>
      </c>
    </row>
    <row r="40" spans="1:5" x14ac:dyDescent="0.25">
      <c r="A40">
        <v>132152</v>
      </c>
      <c r="B40" t="s">
        <v>27</v>
      </c>
      <c r="C40">
        <f>'[1]VENTAS CONSOLIDADA ANZOATEGUI'!C40</f>
        <v>513</v>
      </c>
      <c r="D40" s="5">
        <f t="shared" ca="1" si="0"/>
        <v>39.46153846153846</v>
      </c>
      <c r="E40" s="5">
        <f t="shared" ca="1" si="1"/>
        <v>868.15384615384608</v>
      </c>
    </row>
    <row r="41" spans="1:5" x14ac:dyDescent="0.25">
      <c r="A41">
        <v>132153</v>
      </c>
      <c r="B41" t="s">
        <v>40</v>
      </c>
      <c r="C41">
        <f>'[1]VENTAS CONSOLIDADA ANZOATEGUI'!C41</f>
        <v>285</v>
      </c>
      <c r="D41" s="5">
        <f t="shared" ca="1" si="0"/>
        <v>21.923076923076923</v>
      </c>
      <c r="E41" s="5">
        <f t="shared" ca="1" si="1"/>
        <v>482.30769230769232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90</v>
      </c>
      <c r="D44" s="5">
        <f t="shared" ca="1" si="0"/>
        <v>6.9230769230769234</v>
      </c>
      <c r="E44" s="5">
        <f t="shared" ca="1" si="1"/>
        <v>152.30769230769232</v>
      </c>
    </row>
    <row r="45" spans="1:5" x14ac:dyDescent="0.25">
      <c r="A45">
        <v>140231</v>
      </c>
      <c r="B45" t="s">
        <v>10</v>
      </c>
      <c r="C45">
        <f>'[1]VENTAS CONSOLIDADA ANZOATEGUI'!C45</f>
        <v>538</v>
      </c>
      <c r="D45" s="5">
        <f t="shared" ca="1" si="0"/>
        <v>41.384615384615387</v>
      </c>
      <c r="E45" s="5">
        <f t="shared" ca="1" si="1"/>
        <v>910.46153846153857</v>
      </c>
    </row>
    <row r="46" spans="1:5" x14ac:dyDescent="0.25">
      <c r="A46">
        <v>140232</v>
      </c>
      <c r="B46" t="s">
        <v>9</v>
      </c>
      <c r="C46">
        <f>'[1]VENTAS CONSOLIDADA ANZOATEGUI'!C46</f>
        <v>129</v>
      </c>
      <c r="D46" s="5">
        <f t="shared" ca="1" si="0"/>
        <v>9.9230769230769234</v>
      </c>
      <c r="E46" s="5">
        <f t="shared" ca="1" si="1"/>
        <v>218.30769230769232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4.384615384615385</v>
      </c>
      <c r="E47" s="5">
        <f t="shared" ca="1" si="1"/>
        <v>96.461538461538467</v>
      </c>
    </row>
    <row r="48" spans="1:5" x14ac:dyDescent="0.25">
      <c r="A48">
        <v>150361</v>
      </c>
      <c r="B48" t="s">
        <v>29</v>
      </c>
      <c r="C48">
        <f>'[1]VENTAS CONSOLIDADA ANZOATEGUI'!C48</f>
        <v>380</v>
      </c>
      <c r="D48" s="5">
        <f t="shared" ca="1" si="0"/>
        <v>29.23076923076923</v>
      </c>
      <c r="E48" s="5">
        <f t="shared" ca="1" si="1"/>
        <v>643.07692307692309</v>
      </c>
    </row>
    <row r="49" spans="1:5" x14ac:dyDescent="0.25">
      <c r="A49">
        <v>150362</v>
      </c>
      <c r="B49" t="s">
        <v>36</v>
      </c>
      <c r="C49">
        <f>'[1]VENTAS CONSOLIDADA ANZOATEGUI'!C49</f>
        <v>141</v>
      </c>
      <c r="D49" s="5">
        <f t="shared" ca="1" si="0"/>
        <v>10.846153846153847</v>
      </c>
      <c r="E49" s="5">
        <f t="shared" ca="1" si="1"/>
        <v>238.61538461538464</v>
      </c>
    </row>
    <row r="50" spans="1:5" x14ac:dyDescent="0.25">
      <c r="A50">
        <v>150363</v>
      </c>
      <c r="B50" t="s">
        <v>31</v>
      </c>
      <c r="C50">
        <f>'[1]VENTAS CONSOLIDADA ANZOATEGUI'!C50</f>
        <v>164</v>
      </c>
      <c r="D50" s="5">
        <f t="shared" ca="1" si="0"/>
        <v>12.615384615384615</v>
      </c>
      <c r="E50" s="5">
        <f t="shared" ca="1" si="1"/>
        <v>277.53846153846155</v>
      </c>
    </row>
    <row r="51" spans="1:5" x14ac:dyDescent="0.25">
      <c r="A51">
        <v>151500</v>
      </c>
      <c r="B51" t="s">
        <v>41</v>
      </c>
      <c r="C51">
        <f>'[1]VENTAS CONSOLIDADA ANZOATEGUI'!C51</f>
        <v>36</v>
      </c>
      <c r="D51" s="5">
        <f t="shared" ca="1" si="0"/>
        <v>2.7692307692307692</v>
      </c>
      <c r="E51" s="5">
        <f t="shared" ca="1" si="1"/>
        <v>60.92307692307692</v>
      </c>
    </row>
    <row r="52" spans="1:5" x14ac:dyDescent="0.25">
      <c r="A52">
        <v>151501</v>
      </c>
      <c r="B52" t="s">
        <v>33</v>
      </c>
      <c r="C52">
        <f>'[1]VENTAS CONSOLIDADA ANZOATEGUI'!C52</f>
        <v>57</v>
      </c>
      <c r="D52" s="5">
        <f t="shared" ca="1" si="0"/>
        <v>4.384615384615385</v>
      </c>
      <c r="E52" s="5">
        <f t="shared" ca="1" si="1"/>
        <v>96.461538461538467</v>
      </c>
    </row>
    <row r="53" spans="1:5" x14ac:dyDescent="0.25">
      <c r="A53">
        <v>151502</v>
      </c>
      <c r="B53" t="s">
        <v>37</v>
      </c>
      <c r="C53">
        <f>'[1]VENTAS CONSOLIDADA ANZOATEGUI'!C53</f>
        <v>14</v>
      </c>
      <c r="D53" s="5">
        <f t="shared" ca="1" si="0"/>
        <v>1.0769230769230769</v>
      </c>
      <c r="E53" s="5">
        <f t="shared" ca="1" si="1"/>
        <v>23.69230769230769</v>
      </c>
    </row>
    <row r="54" spans="1:5" x14ac:dyDescent="0.25">
      <c r="A54">
        <v>151503</v>
      </c>
      <c r="B54" t="s">
        <v>34</v>
      </c>
      <c r="C54">
        <f>'[1]VENTAS CONSOLIDADA ANZOATEGUI'!C54</f>
        <v>29</v>
      </c>
      <c r="D54" s="5">
        <f t="shared" ca="1" si="0"/>
        <v>2.2307692307692308</v>
      </c>
      <c r="E54" s="5">
        <f t="shared" ca="1" si="1"/>
        <v>49.07692307692308</v>
      </c>
    </row>
    <row r="55" spans="1:5" x14ac:dyDescent="0.25">
      <c r="D55" s="7">
        <f ca="1">SUM(D8:D54)</f>
        <v>1277.5384615384619</v>
      </c>
      <c r="E55" s="7">
        <f ca="1">SUM(E8:E54)</f>
        <v>28105.846153846156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F32" sqref="F32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46283</v>
      </c>
      <c r="E2" s="4">
        <f ca="1">'[1]VENTAS CONSOLIDADA 1,0'!E2</f>
        <v>13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9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15880</v>
      </c>
      <c r="D8" s="5">
        <f t="shared" ref="D8:D54" ca="1" si="0">C8/$E$2</f>
        <v>1221.5384615384614</v>
      </c>
      <c r="E8" s="5">
        <f ca="1">D8*($E$2+$E$3)</f>
        <v>26873.846153846152</v>
      </c>
    </row>
    <row r="9" spans="1:5" x14ac:dyDescent="0.25">
      <c r="A9">
        <v>110151</v>
      </c>
      <c r="B9" t="s">
        <v>5</v>
      </c>
      <c r="C9">
        <f>'[1]VENTAS CONSOLIDADA 1,0'!C9</f>
        <v>870</v>
      </c>
      <c r="D9" s="5">
        <f t="shared" ca="1" si="0"/>
        <v>66.92307692307692</v>
      </c>
      <c r="E9" s="5">
        <f t="shared" ref="E9:E54" ca="1" si="1">D9*($E$2+$E$3)</f>
        <v>1472.3076923076922</v>
      </c>
    </row>
    <row r="10" spans="1:5" x14ac:dyDescent="0.25">
      <c r="A10">
        <v>110230</v>
      </c>
      <c r="B10" t="s">
        <v>1</v>
      </c>
      <c r="C10">
        <f>'[1]VENTAS CONSOLIDADA 1,0'!C10</f>
        <v>6480</v>
      </c>
      <c r="D10" s="5">
        <f t="shared" ca="1" si="0"/>
        <v>498.46153846153845</v>
      </c>
      <c r="E10" s="5">
        <f t="shared" ca="1" si="1"/>
        <v>10966.153846153846</v>
      </c>
    </row>
    <row r="11" spans="1:5" x14ac:dyDescent="0.25">
      <c r="A11">
        <v>110400</v>
      </c>
      <c r="B11" t="s">
        <v>13</v>
      </c>
      <c r="C11">
        <f>'[1]VENTAS CONSOLIDADA 1,0'!C11</f>
        <v>1508</v>
      </c>
      <c r="D11" s="5">
        <f t="shared" ca="1" si="0"/>
        <v>116</v>
      </c>
      <c r="E11" s="5">
        <f t="shared" ca="1" si="1"/>
        <v>2552</v>
      </c>
    </row>
    <row r="12" spans="1:5" x14ac:dyDescent="0.25">
      <c r="A12">
        <v>111000</v>
      </c>
      <c r="B12" t="s">
        <v>14</v>
      </c>
      <c r="C12">
        <f>'[1]VENTAS CONSOLIDADA 1,0'!C12</f>
        <v>193</v>
      </c>
      <c r="D12" s="5">
        <f t="shared" ca="1" si="0"/>
        <v>14.846153846153847</v>
      </c>
      <c r="E12" s="5">
        <f t="shared" ca="1" si="1"/>
        <v>326.61538461538464</v>
      </c>
    </row>
    <row r="13" spans="1:5" x14ac:dyDescent="0.25">
      <c r="A13">
        <v>120130</v>
      </c>
      <c r="B13" t="s">
        <v>15</v>
      </c>
      <c r="C13">
        <f>'[1]VENTAS CONSOLIDADA 1,0'!C13</f>
        <v>18704</v>
      </c>
      <c r="D13" s="5">
        <f t="shared" ca="1" si="0"/>
        <v>1438.7692307692307</v>
      </c>
      <c r="E13" s="5">
        <f t="shared" ca="1" si="1"/>
        <v>31652.923076923074</v>
      </c>
    </row>
    <row r="14" spans="1:5" x14ac:dyDescent="0.25">
      <c r="A14">
        <v>120131</v>
      </c>
      <c r="B14" t="s">
        <v>23</v>
      </c>
      <c r="C14">
        <f>'[1]VENTAS CONSOLIDADA 1,0'!C14</f>
        <v>1877</v>
      </c>
      <c r="D14" s="5">
        <f t="shared" ca="1" si="0"/>
        <v>144.38461538461539</v>
      </c>
      <c r="E14" s="5">
        <f t="shared" ca="1" si="1"/>
        <v>3176.4615384615386</v>
      </c>
    </row>
    <row r="15" spans="1:5" x14ac:dyDescent="0.25">
      <c r="A15">
        <v>120132</v>
      </c>
      <c r="B15" t="s">
        <v>21</v>
      </c>
      <c r="C15">
        <f>'[1]VENTAS CONSOLIDADA 1,0'!C15</f>
        <v>3654</v>
      </c>
      <c r="D15" s="5">
        <f t="shared" ca="1" si="0"/>
        <v>281.07692307692309</v>
      </c>
      <c r="E15" s="5">
        <f t="shared" ca="1" si="1"/>
        <v>6183.6923076923085</v>
      </c>
    </row>
    <row r="16" spans="1:5" x14ac:dyDescent="0.25">
      <c r="A16">
        <v>130150</v>
      </c>
      <c r="B16" t="s">
        <v>0</v>
      </c>
      <c r="C16">
        <f>'[1]VENTAS CONSOLIDADA 1,0'!C16</f>
        <v>9467</v>
      </c>
      <c r="D16" s="5">
        <f t="shared" ca="1" si="0"/>
        <v>728.23076923076928</v>
      </c>
      <c r="E16" s="5">
        <f t="shared" ca="1" si="1"/>
        <v>16021.076923076924</v>
      </c>
    </row>
    <row r="17" spans="1:5" x14ac:dyDescent="0.25">
      <c r="A17">
        <v>130151</v>
      </c>
      <c r="B17" t="s">
        <v>4</v>
      </c>
      <c r="C17">
        <f>'[1]VENTAS CONSOLIDADA 1,0'!C17</f>
        <v>4436</v>
      </c>
      <c r="D17" s="5">
        <f t="shared" ca="1" si="0"/>
        <v>341.23076923076923</v>
      </c>
      <c r="E17" s="5">
        <f t="shared" ca="1" si="1"/>
        <v>7507.0769230769229</v>
      </c>
    </row>
    <row r="18" spans="1:5" x14ac:dyDescent="0.25">
      <c r="A18">
        <v>130152</v>
      </c>
      <c r="B18" t="s">
        <v>51</v>
      </c>
      <c r="C18">
        <f>'[1]VENTAS CONSOLIDADA 1,0'!C18</f>
        <v>44744</v>
      </c>
      <c r="D18" s="5">
        <f t="shared" ca="1" si="0"/>
        <v>3441.8461538461538</v>
      </c>
      <c r="E18" s="5">
        <f t="shared" ca="1" si="1"/>
        <v>75720.61538461539</v>
      </c>
    </row>
    <row r="19" spans="1:5" x14ac:dyDescent="0.25">
      <c r="A19">
        <v>130153</v>
      </c>
      <c r="B19" t="s">
        <v>52</v>
      </c>
      <c r="C19">
        <f>'[1]VENTAS CONSOLIDADA 1,0'!C19</f>
        <v>27639</v>
      </c>
      <c r="D19" s="5">
        <f t="shared" ca="1" si="0"/>
        <v>2126.0769230769229</v>
      </c>
      <c r="E19" s="5">
        <f t="shared" ca="1" si="1"/>
        <v>46773.692307692305</v>
      </c>
    </row>
    <row r="20" spans="1:5" x14ac:dyDescent="0.25">
      <c r="A20">
        <v>130154</v>
      </c>
      <c r="B20" t="s">
        <v>53</v>
      </c>
      <c r="C20">
        <f>'[1]VENTAS CONSOLIDADA 1,0'!C20</f>
        <v>28167</v>
      </c>
      <c r="D20" s="5">
        <f t="shared" ca="1" si="0"/>
        <v>2166.6923076923076</v>
      </c>
      <c r="E20" s="5">
        <f t="shared" ca="1" si="1"/>
        <v>47667.230769230766</v>
      </c>
    </row>
    <row r="21" spans="1:5" x14ac:dyDescent="0.25">
      <c r="A21">
        <v>130155</v>
      </c>
      <c r="B21" t="s">
        <v>16</v>
      </c>
      <c r="C21">
        <f>'[1]VENTAS CONSOLIDADA 1,0'!C21</f>
        <v>34306</v>
      </c>
      <c r="D21" s="5">
        <f t="shared" ca="1" si="0"/>
        <v>2638.9230769230771</v>
      </c>
      <c r="E21" s="5">
        <f t="shared" ca="1" si="1"/>
        <v>58056.307692307695</v>
      </c>
    </row>
    <row r="22" spans="1:5" x14ac:dyDescent="0.25">
      <c r="A22">
        <v>130157</v>
      </c>
      <c r="B22" t="s">
        <v>43</v>
      </c>
      <c r="C22">
        <f>'[1]VENTAS CONSOLIDADA 1,0'!C22</f>
        <v>9028</v>
      </c>
      <c r="D22" s="5">
        <f t="shared" ca="1" si="0"/>
        <v>694.46153846153845</v>
      </c>
      <c r="E22" s="5">
        <f t="shared" ca="1" si="1"/>
        <v>15278.153846153846</v>
      </c>
    </row>
    <row r="23" spans="1:5" x14ac:dyDescent="0.25">
      <c r="A23">
        <v>130158</v>
      </c>
      <c r="B23" t="s">
        <v>44</v>
      </c>
      <c r="C23">
        <f>'[1]VENTAS CONSOLIDADA 1,0'!C23</f>
        <v>10246</v>
      </c>
      <c r="D23" s="5">
        <f t="shared" ca="1" si="0"/>
        <v>788.15384615384619</v>
      </c>
      <c r="E23" s="5">
        <f t="shared" ca="1" si="1"/>
        <v>17339.384615384617</v>
      </c>
    </row>
    <row r="24" spans="1:5" x14ac:dyDescent="0.25">
      <c r="A24">
        <v>130159</v>
      </c>
      <c r="B24" t="s">
        <v>45</v>
      </c>
      <c r="C24">
        <f>'[1]VENTAS CONSOLIDADA 1,0'!C24</f>
        <v>10891</v>
      </c>
      <c r="D24" s="5">
        <f t="shared" ca="1" si="0"/>
        <v>837.76923076923072</v>
      </c>
      <c r="E24" s="5">
        <f t="shared" ca="1" si="1"/>
        <v>18430.923076923074</v>
      </c>
    </row>
    <row r="25" spans="1:5" x14ac:dyDescent="0.25">
      <c r="A25">
        <v>130700</v>
      </c>
      <c r="B25" t="s">
        <v>3</v>
      </c>
      <c r="C25">
        <f>'[1]VENTAS CONSOLIDADA 1,0'!C25</f>
        <v>3252</v>
      </c>
      <c r="D25" s="5">
        <f t="shared" ca="1" si="0"/>
        <v>250.15384615384616</v>
      </c>
      <c r="E25" s="5">
        <f t="shared" ca="1" si="1"/>
        <v>5503.3846153846152</v>
      </c>
    </row>
    <row r="26" spans="1:5" x14ac:dyDescent="0.25">
      <c r="A26">
        <v>130701</v>
      </c>
      <c r="B26" t="s">
        <v>30</v>
      </c>
      <c r="C26">
        <f>'[1]VENTAS CONSOLIDADA 1,0'!C26</f>
        <v>1539</v>
      </c>
      <c r="D26" s="5">
        <f t="shared" ca="1" si="0"/>
        <v>118.38461538461539</v>
      </c>
      <c r="E26" s="5">
        <f t="shared" ca="1" si="1"/>
        <v>2604.4615384615386</v>
      </c>
    </row>
    <row r="27" spans="1:5" x14ac:dyDescent="0.25">
      <c r="A27">
        <v>130702</v>
      </c>
      <c r="B27" t="s">
        <v>12</v>
      </c>
      <c r="C27">
        <f>'[1]VENTAS CONSOLIDADA 1,0'!C27</f>
        <v>6467</v>
      </c>
      <c r="D27" s="5">
        <f t="shared" ca="1" si="0"/>
        <v>497.46153846153845</v>
      </c>
      <c r="E27" s="5">
        <f t="shared" ca="1" si="1"/>
        <v>10944.153846153846</v>
      </c>
    </row>
    <row r="28" spans="1:5" x14ac:dyDescent="0.25">
      <c r="A28">
        <v>130703</v>
      </c>
      <c r="B28" t="s">
        <v>17</v>
      </c>
      <c r="C28">
        <f>'[1]VENTAS CONSOLIDADA 1,0'!C28</f>
        <v>10679</v>
      </c>
      <c r="D28" s="5">
        <f t="shared" ca="1" si="0"/>
        <v>821.46153846153845</v>
      </c>
      <c r="E28" s="5">
        <f t="shared" ca="1" si="1"/>
        <v>18072.153846153848</v>
      </c>
    </row>
    <row r="29" spans="1:5" x14ac:dyDescent="0.25">
      <c r="A29">
        <v>130707</v>
      </c>
      <c r="B29" t="s">
        <v>42</v>
      </c>
      <c r="C29">
        <f>'[1]VENTAS CONSOLIDADA 1,0'!C29</f>
        <v>960</v>
      </c>
      <c r="D29" s="5">
        <f t="shared" ca="1" si="0"/>
        <v>73.84615384615384</v>
      </c>
      <c r="E29" s="5">
        <f t="shared" ca="1" si="1"/>
        <v>1624.6153846153845</v>
      </c>
    </row>
    <row r="30" spans="1:5" x14ac:dyDescent="0.25">
      <c r="A30">
        <v>131150</v>
      </c>
      <c r="B30" t="s">
        <v>22</v>
      </c>
      <c r="C30">
        <f>'[1]VENTAS CONSOLIDADA 1,0'!C30</f>
        <v>9110</v>
      </c>
      <c r="D30" s="5">
        <f t="shared" ca="1" si="0"/>
        <v>700.76923076923072</v>
      </c>
      <c r="E30" s="5">
        <f t="shared" ca="1" si="1"/>
        <v>15416.923076923076</v>
      </c>
    </row>
    <row r="31" spans="1:5" x14ac:dyDescent="0.25">
      <c r="A31">
        <v>131151</v>
      </c>
      <c r="B31" t="s">
        <v>19</v>
      </c>
      <c r="C31">
        <f>'[1]VENTAS CONSOLIDADA 1,0'!C31</f>
        <v>14646</v>
      </c>
      <c r="D31" s="5">
        <f t="shared" ca="1" si="0"/>
        <v>1126.6153846153845</v>
      </c>
      <c r="E31" s="5">
        <f t="shared" ca="1" si="1"/>
        <v>24785.538461538461</v>
      </c>
    </row>
    <row r="32" spans="1:5" x14ac:dyDescent="0.25">
      <c r="A32">
        <v>131152</v>
      </c>
      <c r="B32" t="s">
        <v>32</v>
      </c>
      <c r="C32">
        <f>'[1]VENTAS CONSOLIDADA 1,0'!C32</f>
        <v>7137</v>
      </c>
      <c r="D32" s="5">
        <f t="shared" ca="1" si="0"/>
        <v>549</v>
      </c>
      <c r="E32" s="5">
        <f t="shared" ca="1" si="1"/>
        <v>12078</v>
      </c>
    </row>
    <row r="33" spans="1:5" x14ac:dyDescent="0.25">
      <c r="A33">
        <v>131153</v>
      </c>
      <c r="B33" t="s">
        <v>11</v>
      </c>
      <c r="C33">
        <f>'[1]VENTAS CONSOLIDADA 1,0'!C33</f>
        <v>5575</v>
      </c>
      <c r="D33" s="5">
        <f t="shared" ca="1" si="0"/>
        <v>428.84615384615387</v>
      </c>
      <c r="E33" s="5">
        <f t="shared" ca="1" si="1"/>
        <v>9434.6153846153848</v>
      </c>
    </row>
    <row r="34" spans="1:5" x14ac:dyDescent="0.25">
      <c r="A34">
        <v>131154</v>
      </c>
      <c r="B34" t="s">
        <v>48</v>
      </c>
      <c r="C34">
        <f>'[1]VENTAS CONSOLIDADA 1,0'!C34</f>
        <v>3113</v>
      </c>
      <c r="D34" s="5">
        <f t="shared" ca="1" si="0"/>
        <v>239.46153846153845</v>
      </c>
      <c r="E34" s="5">
        <f t="shared" ca="1" si="1"/>
        <v>5268.1538461538457</v>
      </c>
    </row>
    <row r="35" spans="1:5" x14ac:dyDescent="0.25">
      <c r="A35">
        <v>131155</v>
      </c>
      <c r="B35" t="s">
        <v>57</v>
      </c>
      <c r="C35">
        <f>'[1]VENTAS CONSOLIDADA 1,0'!C35</f>
        <v>3766</v>
      </c>
      <c r="D35" s="5">
        <f t="shared" ca="1" si="0"/>
        <v>289.69230769230768</v>
      </c>
      <c r="E35" s="5">
        <f t="shared" ca="1" si="1"/>
        <v>6373.2307692307686</v>
      </c>
    </row>
    <row r="36" spans="1:5" x14ac:dyDescent="0.25">
      <c r="A36">
        <v>131700</v>
      </c>
      <c r="B36" t="s">
        <v>20</v>
      </c>
      <c r="C36">
        <f>'[1]VENTAS CONSOLIDADA 1,0'!C36</f>
        <v>1651</v>
      </c>
      <c r="D36" s="5">
        <f t="shared" ca="1" si="0"/>
        <v>127</v>
      </c>
      <c r="E36" s="5">
        <f t="shared" ca="1" si="1"/>
        <v>2794</v>
      </c>
    </row>
    <row r="37" spans="1:5" x14ac:dyDescent="0.25">
      <c r="A37">
        <v>131701</v>
      </c>
      <c r="B37" t="s">
        <v>24</v>
      </c>
      <c r="C37">
        <f>'[1]VENTAS CONSOLIDADA 1,0'!C37</f>
        <v>1690</v>
      </c>
      <c r="D37" s="5">
        <f t="shared" ca="1" si="0"/>
        <v>130</v>
      </c>
      <c r="E37" s="5">
        <f t="shared" ca="1" si="1"/>
        <v>2860</v>
      </c>
    </row>
    <row r="38" spans="1:5" x14ac:dyDescent="0.25">
      <c r="A38">
        <v>132150</v>
      </c>
      <c r="B38" t="s">
        <v>25</v>
      </c>
      <c r="C38">
        <f>'[1]VENTAS CONSOLIDADA 1,0'!C38</f>
        <v>9699</v>
      </c>
      <c r="D38" s="5">
        <f t="shared" ca="1" si="0"/>
        <v>746.07692307692309</v>
      </c>
      <c r="E38" s="5">
        <f t="shared" ca="1" si="1"/>
        <v>16413.692307692309</v>
      </c>
    </row>
    <row r="39" spans="1:5" x14ac:dyDescent="0.25">
      <c r="A39">
        <v>132151</v>
      </c>
      <c r="B39" t="s">
        <v>26</v>
      </c>
      <c r="C39">
        <f>'[1]VENTAS CONSOLIDADA 1,0'!C39</f>
        <v>7466</v>
      </c>
      <c r="D39" s="5">
        <f t="shared" ca="1" si="0"/>
        <v>574.30769230769226</v>
      </c>
      <c r="E39" s="5">
        <f t="shared" ca="1" si="1"/>
        <v>12634.76923076923</v>
      </c>
    </row>
    <row r="40" spans="1:5" x14ac:dyDescent="0.25">
      <c r="A40">
        <v>132152</v>
      </c>
      <c r="B40" t="s">
        <v>27</v>
      </c>
      <c r="C40">
        <f>'[1]VENTAS CONSOLIDADA 1,0'!C40</f>
        <v>10025</v>
      </c>
      <c r="D40" s="5">
        <f t="shared" ca="1" si="0"/>
        <v>771.15384615384619</v>
      </c>
      <c r="E40" s="5">
        <f t="shared" ca="1" si="1"/>
        <v>16965.384615384617</v>
      </c>
    </row>
    <row r="41" spans="1:5" x14ac:dyDescent="0.25">
      <c r="A41">
        <v>132153</v>
      </c>
      <c r="B41" t="s">
        <v>40</v>
      </c>
      <c r="C41">
        <f>'[1]VENTAS CONSOLIDADA 1,0'!C41</f>
        <v>6509</v>
      </c>
      <c r="D41" s="5">
        <f t="shared" ca="1" si="0"/>
        <v>500.69230769230768</v>
      </c>
      <c r="E41" s="5">
        <f t="shared" ca="1" si="1"/>
        <v>11015.23076923077</v>
      </c>
    </row>
    <row r="42" spans="1:5" x14ac:dyDescent="0.25">
      <c r="A42">
        <v>134000</v>
      </c>
      <c r="B42" t="s">
        <v>35</v>
      </c>
      <c r="C42">
        <f>'[1]VENTAS CONSOLIDADA 1,0'!C42</f>
        <v>52</v>
      </c>
      <c r="D42" s="5">
        <f t="shared" ca="1" si="0"/>
        <v>4</v>
      </c>
      <c r="E42" s="5">
        <f t="shared" ca="1" si="1"/>
        <v>88</v>
      </c>
    </row>
    <row r="43" spans="1:5" x14ac:dyDescent="0.25">
      <c r="A43">
        <v>134001</v>
      </c>
      <c r="B43" t="s">
        <v>47</v>
      </c>
      <c r="C43">
        <f>'[1]VENTAS CONSOLIDADA 1,0'!C43</f>
        <v>7</v>
      </c>
      <c r="D43" s="5">
        <f t="shared" ca="1" si="0"/>
        <v>0.53846153846153844</v>
      </c>
      <c r="E43" s="5">
        <f t="shared" ca="1" si="1"/>
        <v>11.846153846153845</v>
      </c>
    </row>
    <row r="44" spans="1:5" x14ac:dyDescent="0.25">
      <c r="A44">
        <v>140230</v>
      </c>
      <c r="B44" t="s">
        <v>18</v>
      </c>
      <c r="C44">
        <f>'[1]VENTAS CONSOLIDADA 1,0'!C44</f>
        <v>1851</v>
      </c>
      <c r="D44" s="5">
        <f t="shared" ca="1" si="0"/>
        <v>142.38461538461539</v>
      </c>
      <c r="E44" s="5">
        <f t="shared" ca="1" si="1"/>
        <v>3132.4615384615386</v>
      </c>
    </row>
    <row r="45" spans="1:5" x14ac:dyDescent="0.25">
      <c r="A45">
        <v>140231</v>
      </c>
      <c r="B45" t="s">
        <v>10</v>
      </c>
      <c r="C45">
        <f>'[1]VENTAS CONSOLIDADA 1,0'!C45</f>
        <v>6864</v>
      </c>
      <c r="D45" s="5">
        <f t="shared" ca="1" si="0"/>
        <v>528</v>
      </c>
      <c r="E45" s="5">
        <f t="shared" ca="1" si="1"/>
        <v>11616</v>
      </c>
    </row>
    <row r="46" spans="1:5" x14ac:dyDescent="0.25">
      <c r="A46">
        <v>140232</v>
      </c>
      <c r="B46" t="s">
        <v>9</v>
      </c>
      <c r="C46">
        <f>'[1]VENTAS CONSOLIDADA 1,0'!C46</f>
        <v>5434</v>
      </c>
      <c r="D46" s="5">
        <f t="shared" ca="1" si="0"/>
        <v>418</v>
      </c>
      <c r="E46" s="5">
        <f t="shared" ca="1" si="1"/>
        <v>9196</v>
      </c>
    </row>
    <row r="47" spans="1:5" x14ac:dyDescent="0.25">
      <c r="A47">
        <v>150360</v>
      </c>
      <c r="B47" t="s">
        <v>28</v>
      </c>
      <c r="C47">
        <f>'[1]VENTAS CONSOLIDADA 1,0'!C47</f>
        <v>2523</v>
      </c>
      <c r="D47" s="5">
        <f t="shared" ca="1" si="0"/>
        <v>194.07692307692307</v>
      </c>
      <c r="E47" s="5">
        <f t="shared" ca="1" si="1"/>
        <v>4269.6923076923076</v>
      </c>
    </row>
    <row r="48" spans="1:5" x14ac:dyDescent="0.25">
      <c r="A48">
        <v>150361</v>
      </c>
      <c r="B48" t="s">
        <v>29</v>
      </c>
      <c r="C48">
        <f>'[1]VENTAS CONSOLIDADA 1,0'!C48</f>
        <v>5958</v>
      </c>
      <c r="D48" s="5">
        <f t="shared" ca="1" si="0"/>
        <v>458.30769230769232</v>
      </c>
      <c r="E48" s="5">
        <f t="shared" ca="1" si="1"/>
        <v>10082.76923076923</v>
      </c>
    </row>
    <row r="49" spans="1:5" x14ac:dyDescent="0.25">
      <c r="A49">
        <v>150362</v>
      </c>
      <c r="B49" t="s">
        <v>36</v>
      </c>
      <c r="C49">
        <f>'[1]VENTAS CONSOLIDADA 1,0'!C49</f>
        <v>3719</v>
      </c>
      <c r="D49" s="5">
        <f t="shared" ca="1" si="0"/>
        <v>286.07692307692309</v>
      </c>
      <c r="E49" s="5">
        <f t="shared" ca="1" si="1"/>
        <v>6293.6923076923085</v>
      </c>
    </row>
    <row r="50" spans="1:5" x14ac:dyDescent="0.25">
      <c r="A50">
        <v>150363</v>
      </c>
      <c r="B50" t="s">
        <v>31</v>
      </c>
      <c r="C50">
        <f>'[1]VENTAS CONSOLIDADA 1,0'!C50</f>
        <v>2894</v>
      </c>
      <c r="D50" s="5">
        <f t="shared" ca="1" si="0"/>
        <v>222.61538461538461</v>
      </c>
      <c r="E50" s="5">
        <f t="shared" ca="1" si="1"/>
        <v>4897.5384615384619</v>
      </c>
    </row>
    <row r="51" spans="1:5" x14ac:dyDescent="0.25">
      <c r="A51">
        <v>151500</v>
      </c>
      <c r="B51" t="s">
        <v>41</v>
      </c>
      <c r="C51">
        <f>'[1]VENTAS CONSOLIDADA 1,0'!C51</f>
        <v>468</v>
      </c>
      <c r="D51" s="5">
        <f t="shared" ca="1" si="0"/>
        <v>36</v>
      </c>
      <c r="E51" s="5">
        <f t="shared" ca="1" si="1"/>
        <v>792</v>
      </c>
    </row>
    <row r="52" spans="1:5" x14ac:dyDescent="0.25">
      <c r="A52">
        <v>151501</v>
      </c>
      <c r="B52" t="s">
        <v>33</v>
      </c>
      <c r="C52">
        <f>'[1]VENTAS CONSOLIDADA 1,0'!C52</f>
        <v>1359</v>
      </c>
      <c r="D52" s="5">
        <f t="shared" ca="1" si="0"/>
        <v>104.53846153846153</v>
      </c>
      <c r="E52" s="5">
        <f t="shared" ca="1" si="1"/>
        <v>2299.8461538461538</v>
      </c>
    </row>
    <row r="53" spans="1:5" x14ac:dyDescent="0.25">
      <c r="A53">
        <v>151502</v>
      </c>
      <c r="B53" t="s">
        <v>37</v>
      </c>
      <c r="C53">
        <f>'[1]VENTAS CONSOLIDADA 1,0'!C53</f>
        <v>561</v>
      </c>
      <c r="D53" s="5">
        <f t="shared" ca="1" si="0"/>
        <v>43.153846153846153</v>
      </c>
      <c r="E53" s="5">
        <f t="shared" ca="1" si="1"/>
        <v>949.38461538461536</v>
      </c>
    </row>
    <row r="54" spans="1:5" x14ac:dyDescent="0.25">
      <c r="A54">
        <v>151503</v>
      </c>
      <c r="B54" t="s">
        <v>34</v>
      </c>
      <c r="C54">
        <f>'[1]VENTAS CONSOLIDADA 1,0'!C54</f>
        <v>740</v>
      </c>
      <c r="D54" s="5">
        <f t="shared" ca="1" si="0"/>
        <v>56.92307692307692</v>
      </c>
      <c r="E54" s="5">
        <f t="shared" ca="1" si="1"/>
        <v>1252.3076923076922</v>
      </c>
    </row>
    <row r="55" spans="1:5" x14ac:dyDescent="0.25">
      <c r="C55">
        <f>SUM(C8:C54)</f>
        <v>363804</v>
      </c>
      <c r="D55" s="5">
        <f ca="1">SUM(D8:D54)</f>
        <v>27984.923076923078</v>
      </c>
      <c r="E55" s="5">
        <f ca="1">SUM(E8:E54)</f>
        <v>615668.30769230763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B0CC2B14-7DD7-4033-8A48-822C26B12A45}">
  <ds:schemaRefs/>
</ds:datastoreItem>
</file>

<file path=customXml/itemProps2.xml><?xml version="1.0" encoding="utf-8"?>
<ds:datastoreItem xmlns:ds="http://schemas.openxmlformats.org/officeDocument/2006/customXml" ds:itemID="{CFB06E3D-1317-4F60-85DB-890000D02217}">
  <ds:schemaRefs/>
</ds:datastoreItem>
</file>

<file path=customXml/itemProps3.xml><?xml version="1.0" encoding="utf-8"?>
<ds:datastoreItem xmlns:ds="http://schemas.openxmlformats.org/officeDocument/2006/customXml" ds:itemID="{7AE93A93-CA27-4BDA-AA62-2C35967BA493}">
  <ds:schemaRefs/>
</ds:datastoreItem>
</file>

<file path=customXml/itemProps4.xml><?xml version="1.0" encoding="utf-8"?>
<ds:datastoreItem xmlns:ds="http://schemas.openxmlformats.org/officeDocument/2006/customXml" ds:itemID="{7845B0CC-F2DA-4435-B3A8-0B67EEA59E3E}">
  <ds:schemaRefs/>
</ds:datastoreItem>
</file>

<file path=customXml/itemProps5.xml><?xml version="1.0" encoding="utf-8"?>
<ds:datastoreItem xmlns:ds="http://schemas.openxmlformats.org/officeDocument/2006/customXml" ds:itemID="{8E0207D3-36B0-4047-99FA-B78F3EBADFAC}">
  <ds:schemaRefs/>
</ds:datastoreItem>
</file>

<file path=customXml/itemProps6.xml><?xml version="1.0" encoding="utf-8"?>
<ds:datastoreItem xmlns:ds="http://schemas.openxmlformats.org/officeDocument/2006/customXml" ds:itemID="{38DB5A37-2218-4EAC-B67D-146D68E76E36}">
  <ds:schemaRefs/>
</ds:datastoreItem>
</file>

<file path=customXml/itemProps7.xml><?xml version="1.0" encoding="utf-8"?>
<ds:datastoreItem xmlns:ds="http://schemas.openxmlformats.org/officeDocument/2006/customXml" ds:itemID="{DEFC51E7-3E67-4621-B139-07F56E3C51B6}">
  <ds:schemaRefs/>
</ds:datastoreItem>
</file>

<file path=customXml/itemProps8.xml><?xml version="1.0" encoding="utf-8"?>
<ds:datastoreItem xmlns:ds="http://schemas.openxmlformats.org/officeDocument/2006/customXml" ds:itemID="{F5D7323A-644E-4D3D-8486-43C2FFAD8146}">
  <ds:schemaRefs/>
</ds:datastoreItem>
</file>

<file path=customXml/itemProps9.xml><?xml version="1.0" encoding="utf-8"?>
<ds:datastoreItem xmlns:ds="http://schemas.openxmlformats.org/officeDocument/2006/customXml" ds:itemID="{AF2AF42B-D484-4F26-B929-D7FB2E56F71D}">
  <ds:schemaRefs/>
</ds:datastoreItem>
</file>

<file path=customXml/itemProps10.xml><?xml version="1.0" encoding="utf-8"?>
<ds:datastoreItem xmlns:ds="http://schemas.openxmlformats.org/officeDocument/2006/customXml" ds:itemID="{CC2043D8-989E-412C-8862-ACDB973E448B}">
  <ds:schemaRefs/>
</ds:datastoreItem>
</file>

<file path=customXml/itemProps11.xml><?xml version="1.0" encoding="utf-8"?>
<ds:datastoreItem xmlns:ds="http://schemas.openxmlformats.org/officeDocument/2006/customXml" ds:itemID="{65BE5737-5D13-4B92-9A1E-66AAD091BECC}">
  <ds:schemaRefs/>
</ds:datastoreItem>
</file>

<file path=customXml/itemProps12.xml><?xml version="1.0" encoding="utf-8"?>
<ds:datastoreItem xmlns:ds="http://schemas.openxmlformats.org/officeDocument/2006/customXml" ds:itemID="{CAB6C292-B853-467D-B711-6EBB7D36CC58}">
  <ds:schemaRefs/>
</ds:datastoreItem>
</file>

<file path=customXml/itemProps13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52FA8FE5-D878-4A8D-B664-9568032292DD}">
  <ds:schemaRefs/>
</ds:datastoreItem>
</file>

<file path=customXml/itemProps15.xml><?xml version="1.0" encoding="utf-8"?>
<ds:datastoreItem xmlns:ds="http://schemas.openxmlformats.org/officeDocument/2006/customXml" ds:itemID="{1624F75C-FD6B-41DE-81B8-76266AB6E660}">
  <ds:schemaRefs/>
</ds:datastoreItem>
</file>

<file path=customXml/itemProps16.xml><?xml version="1.0" encoding="utf-8"?>
<ds:datastoreItem xmlns:ds="http://schemas.openxmlformats.org/officeDocument/2006/customXml" ds:itemID="{4DF253BA-E348-4CD2-AA4E-97FB2A32A7F0}">
  <ds:schemaRefs/>
</ds:datastoreItem>
</file>

<file path=customXml/itemProps17.xml><?xml version="1.0" encoding="utf-8"?>
<ds:datastoreItem xmlns:ds="http://schemas.openxmlformats.org/officeDocument/2006/customXml" ds:itemID="{0AD6CB95-564A-49A8-92C3-BDDCD21D69FF}">
  <ds:schemaRefs/>
</ds:datastoreItem>
</file>

<file path=customXml/itemProps18.xml><?xml version="1.0" encoding="utf-8"?>
<ds:datastoreItem xmlns:ds="http://schemas.openxmlformats.org/officeDocument/2006/customXml" ds:itemID="{2FB7461A-5A6D-4ED3-B35C-48147355CFC0}">
  <ds:schemaRefs/>
</ds:datastoreItem>
</file>

<file path=customXml/itemProps19.xml><?xml version="1.0" encoding="utf-8"?>
<ds:datastoreItem xmlns:ds="http://schemas.openxmlformats.org/officeDocument/2006/customXml" ds:itemID="{084C0BCB-4732-44D2-A228-50E994334BF1}">
  <ds:schemaRefs/>
</ds:datastoreItem>
</file>

<file path=customXml/itemProps20.xml><?xml version="1.0" encoding="utf-8"?>
<ds:datastoreItem xmlns:ds="http://schemas.openxmlformats.org/officeDocument/2006/customXml" ds:itemID="{DB2ACCEB-6CC9-4D35-BDF4-AC9EF8C2F11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2026-09-18T12:33:50Z</dcterms:modified>
</cp:coreProperties>
</file>