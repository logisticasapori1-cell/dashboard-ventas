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67140592-89E0-4A3B-976E-9C659C5F1323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0"/>
  <c r="D2" i="54"/>
  <c r="D2" i="52"/>
  <c r="D2" i="51"/>
  <c r="D2" i="53"/>
  <c r="C55" i="55" l="1"/>
  <c r="D2" i="55"/>
  <c r="E3" i="55"/>
  <c r="E3" i="50"/>
  <c r="E2" i="50"/>
  <c r="D46" i="50" s="1"/>
  <c r="E3" i="51"/>
  <c r="E2" i="51"/>
  <c r="E3" i="52"/>
  <c r="E2" i="52"/>
  <c r="E2" i="54"/>
  <c r="E3" i="54"/>
  <c r="E3" i="53"/>
  <c r="E2" i="55" l="1"/>
  <c r="E2" i="53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<sst xmlns="http://schemas.openxmlformats.org/spreadsheetml/2006/main" count="320" uniqueCount="62">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</sst>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46287</v>
          </cell>
          <cell r="E2">
            <v>15</v>
          </cell>
        </row>
        <row r="3">
          <cell r="C3" t="str">
            <v>FINAL VENTAS</v>
          </cell>
          <cell r="D3">
            <v>46295</v>
          </cell>
          <cell r="E3">
            <v>7</v>
          </cell>
        </row>
        <row r="8">
          <cell r="C8">
            <v>730</v>
          </cell>
        </row>
        <row r="9">
          <cell r="C9">
            <v>75</v>
          </cell>
        </row>
        <row r="10">
          <cell r="C10">
            <v>180</v>
          </cell>
        </row>
        <row r="11">
          <cell r="C11">
            <v>34</v>
          </cell>
        </row>
        <row r="12">
          <cell r="C12">
            <v>8</v>
          </cell>
        </row>
        <row r="13">
          <cell r="C13">
            <v>913</v>
          </cell>
        </row>
        <row r="14">
          <cell r="C14">
            <v>74</v>
          </cell>
        </row>
        <row r="15">
          <cell r="C15">
            <v>133</v>
          </cell>
        </row>
        <row r="16">
          <cell r="C16">
            <v>403</v>
          </cell>
        </row>
        <row r="17">
          <cell r="C17">
            <v>80</v>
          </cell>
        </row>
        <row r="18">
          <cell r="C18">
            <v>2255</v>
          </cell>
        </row>
        <row r="19">
          <cell r="C19">
            <v>1307</v>
          </cell>
        </row>
        <row r="20">
          <cell r="C20">
            <v>1618</v>
          </cell>
        </row>
        <row r="21">
          <cell r="C21">
            <v>1239</v>
          </cell>
        </row>
        <row r="22">
          <cell r="C22">
            <v>419</v>
          </cell>
        </row>
        <row r="23">
          <cell r="C23">
            <v>578</v>
          </cell>
        </row>
        <row r="24">
          <cell r="C24">
            <v>592</v>
          </cell>
        </row>
        <row r="25">
          <cell r="C25">
            <v>90</v>
          </cell>
        </row>
        <row r="26">
          <cell r="C26">
            <v>10</v>
          </cell>
        </row>
        <row r="27">
          <cell r="C27">
            <v>208</v>
          </cell>
        </row>
        <row r="28">
          <cell r="C28">
            <v>301</v>
          </cell>
        </row>
        <row r="29">
          <cell r="C29">
            <v>32</v>
          </cell>
        </row>
        <row r="30">
          <cell r="C30">
            <v>551</v>
          </cell>
        </row>
        <row r="31">
          <cell r="C31">
            <v>1407</v>
          </cell>
        </row>
        <row r="32">
          <cell r="C32">
            <v>869</v>
          </cell>
        </row>
        <row r="33">
          <cell r="C33">
            <v>559</v>
          </cell>
        </row>
        <row r="34">
          <cell r="C34">
            <v>473</v>
          </cell>
        </row>
        <row r="35">
          <cell r="C35">
            <v>597</v>
          </cell>
        </row>
        <row r="36">
          <cell r="C36">
            <v>80</v>
          </cell>
        </row>
        <row r="37">
          <cell r="C37">
            <v>106</v>
          </cell>
        </row>
        <row r="38">
          <cell r="C38">
            <v>700</v>
          </cell>
        </row>
        <row r="39">
          <cell r="C39">
            <v>415</v>
          </cell>
        </row>
        <row r="40">
          <cell r="C40">
            <v>619</v>
          </cell>
        </row>
        <row r="41">
          <cell r="C41">
            <v>352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100</v>
          </cell>
        </row>
        <row r="45">
          <cell r="C45">
            <v>627</v>
          </cell>
        </row>
        <row r="46">
          <cell r="C46">
            <v>192</v>
          </cell>
        </row>
        <row r="47">
          <cell r="C47">
            <v>117</v>
          </cell>
        </row>
        <row r="48">
          <cell r="C48">
            <v>471</v>
          </cell>
        </row>
        <row r="49">
          <cell r="C49">
            <v>169</v>
          </cell>
        </row>
        <row r="50">
          <cell r="C50">
            <v>257</v>
          </cell>
        </row>
        <row r="51">
          <cell r="C51">
            <v>42</v>
          </cell>
        </row>
        <row r="52">
          <cell r="C52">
            <v>81</v>
          </cell>
        </row>
        <row r="53">
          <cell r="C53">
            <v>14</v>
          </cell>
        </row>
        <row r="54">
          <cell r="C54">
            <v>29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46287</v>
          </cell>
          <cell r="E2">
            <v>15</v>
          </cell>
        </row>
        <row r="3">
          <cell r="C3" t="str">
            <v>FINAL VENTAS</v>
          </cell>
          <cell r="D3">
            <v>46295</v>
          </cell>
          <cell r="E3">
            <v>7</v>
          </cell>
        </row>
        <row r="8">
          <cell r="C8">
            <v>702</v>
          </cell>
        </row>
        <row r="9">
          <cell r="C9">
            <v>27</v>
          </cell>
        </row>
        <row r="10">
          <cell r="C10">
            <v>209</v>
          </cell>
        </row>
        <row r="11">
          <cell r="C11">
            <v>14</v>
          </cell>
        </row>
        <row r="12">
          <cell r="C12">
            <v>0</v>
          </cell>
        </row>
        <row r="13">
          <cell r="C13">
            <v>2240</v>
          </cell>
        </row>
        <row r="14">
          <cell r="C14">
            <v>179</v>
          </cell>
        </row>
        <row r="15">
          <cell r="C15">
            <v>246</v>
          </cell>
        </row>
        <row r="16">
          <cell r="C16">
            <v>1062</v>
          </cell>
        </row>
        <row r="17">
          <cell r="C17">
            <v>336</v>
          </cell>
        </row>
        <row r="18">
          <cell r="C18">
            <v>8167</v>
          </cell>
        </row>
        <row r="19">
          <cell r="C19">
            <v>4307</v>
          </cell>
        </row>
        <row r="20">
          <cell r="C20">
            <v>4355</v>
          </cell>
        </row>
        <row r="21">
          <cell r="C21">
            <v>5391</v>
          </cell>
        </row>
        <row r="22">
          <cell r="C22">
            <v>1734</v>
          </cell>
        </row>
        <row r="23">
          <cell r="C23">
            <v>2011</v>
          </cell>
        </row>
        <row r="24">
          <cell r="C24">
            <v>2182</v>
          </cell>
        </row>
        <row r="25">
          <cell r="C25">
            <v>414</v>
          </cell>
        </row>
        <row r="26">
          <cell r="C26">
            <v>114</v>
          </cell>
        </row>
        <row r="27">
          <cell r="C27">
            <v>1233</v>
          </cell>
        </row>
        <row r="28">
          <cell r="C28">
            <v>1571</v>
          </cell>
        </row>
        <row r="29">
          <cell r="C29">
            <v>110</v>
          </cell>
        </row>
        <row r="30">
          <cell r="C30">
            <v>650</v>
          </cell>
        </row>
        <row r="31">
          <cell r="C31">
            <v>1596</v>
          </cell>
        </row>
        <row r="32">
          <cell r="C32">
            <v>822</v>
          </cell>
        </row>
        <row r="33">
          <cell r="C33">
            <v>497</v>
          </cell>
        </row>
        <row r="34">
          <cell r="C34">
            <v>773</v>
          </cell>
        </row>
        <row r="35">
          <cell r="C35">
            <v>946</v>
          </cell>
        </row>
        <row r="36">
          <cell r="C36">
            <v>152</v>
          </cell>
        </row>
        <row r="37">
          <cell r="C37">
            <v>244</v>
          </cell>
        </row>
        <row r="38">
          <cell r="C38">
            <v>1730</v>
          </cell>
        </row>
        <row r="39">
          <cell r="C39">
            <v>894</v>
          </cell>
        </row>
        <row r="40">
          <cell r="C40">
            <v>1344</v>
          </cell>
        </row>
        <row r="41">
          <cell r="C41">
            <v>580</v>
          </cell>
        </row>
        <row r="42">
          <cell r="C42">
            <v>15</v>
          </cell>
        </row>
        <row r="43">
          <cell r="C43">
            <v>0</v>
          </cell>
        </row>
        <row r="44">
          <cell r="C44">
            <v>194</v>
          </cell>
        </row>
        <row r="45">
          <cell r="C45">
            <v>371</v>
          </cell>
        </row>
        <row r="46">
          <cell r="C46">
            <v>485</v>
          </cell>
        </row>
        <row r="47">
          <cell r="C47">
            <v>291</v>
          </cell>
        </row>
        <row r="48">
          <cell r="C48">
            <v>781</v>
          </cell>
        </row>
        <row r="49">
          <cell r="C49">
            <v>385</v>
          </cell>
        </row>
        <row r="50">
          <cell r="C50">
            <v>427</v>
          </cell>
        </row>
        <row r="51">
          <cell r="C51">
            <v>111</v>
          </cell>
        </row>
        <row r="52">
          <cell r="C52">
            <v>332</v>
          </cell>
        </row>
        <row r="53">
          <cell r="C53">
            <v>93</v>
          </cell>
        </row>
        <row r="54">
          <cell r="C54">
            <v>96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46287</v>
          </cell>
          <cell r="E2">
            <v>15</v>
          </cell>
        </row>
        <row r="3">
          <cell r="C3" t="str">
            <v>FINAL VENTAS</v>
          </cell>
          <cell r="D3">
            <v>46295</v>
          </cell>
          <cell r="E3">
            <v>7</v>
          </cell>
        </row>
        <row r="8">
          <cell r="C8">
            <v>12018</v>
          </cell>
        </row>
        <row r="9">
          <cell r="C9">
            <v>466</v>
          </cell>
        </row>
        <row r="10">
          <cell r="C10">
            <v>5226</v>
          </cell>
        </row>
        <row r="11">
          <cell r="C11">
            <v>1077</v>
          </cell>
        </row>
        <row r="12">
          <cell r="C12">
            <v>146</v>
          </cell>
        </row>
        <row r="13">
          <cell r="C13">
            <v>12949</v>
          </cell>
        </row>
        <row r="14">
          <cell r="C14">
            <v>842</v>
          </cell>
        </row>
        <row r="15">
          <cell r="C15">
            <v>1882</v>
          </cell>
        </row>
        <row r="16">
          <cell r="C16">
            <v>4396</v>
          </cell>
        </row>
        <row r="17">
          <cell r="C17">
            <v>2545</v>
          </cell>
        </row>
        <row r="18">
          <cell r="C18">
            <v>24885</v>
          </cell>
        </row>
        <row r="19">
          <cell r="C19">
            <v>16304</v>
          </cell>
        </row>
        <row r="20">
          <cell r="C20">
            <v>16080</v>
          </cell>
        </row>
        <row r="21">
          <cell r="C21">
            <v>20844</v>
          </cell>
        </row>
        <row r="22">
          <cell r="C22">
            <v>5000</v>
          </cell>
        </row>
        <row r="23">
          <cell r="C23">
            <v>4882</v>
          </cell>
        </row>
        <row r="24">
          <cell r="C24">
            <v>5340</v>
          </cell>
        </row>
        <row r="25">
          <cell r="C25">
            <v>1400</v>
          </cell>
        </row>
        <row r="26">
          <cell r="C26">
            <v>658</v>
          </cell>
        </row>
        <row r="27">
          <cell r="C27">
            <v>3226</v>
          </cell>
        </row>
        <row r="28">
          <cell r="C28">
            <v>6282</v>
          </cell>
        </row>
        <row r="29">
          <cell r="C29">
            <v>890</v>
          </cell>
        </row>
        <row r="30">
          <cell r="C30">
            <v>6462</v>
          </cell>
        </row>
        <row r="31">
          <cell r="C31">
            <v>9390</v>
          </cell>
        </row>
        <row r="32">
          <cell r="C32">
            <v>4051</v>
          </cell>
        </row>
        <row r="33">
          <cell r="C33">
            <v>2871</v>
          </cell>
        </row>
        <row r="34">
          <cell r="C34">
            <v>1421</v>
          </cell>
        </row>
        <row r="35">
          <cell r="C35">
            <v>1831</v>
          </cell>
        </row>
        <row r="36">
          <cell r="C36">
            <v>993</v>
          </cell>
        </row>
        <row r="37">
          <cell r="C37">
            <v>1029</v>
          </cell>
        </row>
        <row r="38">
          <cell r="C38">
            <v>4663</v>
          </cell>
        </row>
        <row r="39">
          <cell r="C39">
            <v>4160</v>
          </cell>
        </row>
        <row r="40">
          <cell r="C40">
            <v>5456</v>
          </cell>
        </row>
        <row r="41">
          <cell r="C41">
            <v>3996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773</v>
          </cell>
        </row>
        <row r="45">
          <cell r="C45">
            <v>4097</v>
          </cell>
        </row>
        <row r="46">
          <cell r="C46">
            <v>2893</v>
          </cell>
        </row>
        <row r="47">
          <cell r="C47">
            <v>2123</v>
          </cell>
        </row>
        <row r="48">
          <cell r="C48">
            <v>3917</v>
          </cell>
        </row>
        <row r="49">
          <cell r="C49">
            <v>2621</v>
          </cell>
        </row>
        <row r="50">
          <cell r="C50">
            <v>2361</v>
          </cell>
        </row>
        <row r="51">
          <cell r="C51">
            <v>523</v>
          </cell>
        </row>
        <row r="52">
          <cell r="C52">
            <v>1045</v>
          </cell>
        </row>
        <row r="53">
          <cell r="C53">
            <v>374</v>
          </cell>
        </row>
        <row r="54">
          <cell r="C54">
            <v>517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46287</v>
          </cell>
          <cell r="E2">
            <v>15</v>
          </cell>
        </row>
        <row r="3">
          <cell r="C3" t="str">
            <v>FINAL VENTAS</v>
          </cell>
          <cell r="D3">
            <v>46295</v>
          </cell>
          <cell r="E3">
            <v>7</v>
          </cell>
        </row>
        <row r="8">
          <cell r="C8">
            <v>3897</v>
          </cell>
        </row>
        <row r="9">
          <cell r="C9">
            <v>249</v>
          </cell>
        </row>
        <row r="10">
          <cell r="C10">
            <v>1584</v>
          </cell>
        </row>
        <row r="11">
          <cell r="C11">
            <v>386</v>
          </cell>
        </row>
        <row r="12">
          <cell r="C12">
            <v>32</v>
          </cell>
        </row>
        <row r="13">
          <cell r="C13">
            <v>4856</v>
          </cell>
        </row>
        <row r="14">
          <cell r="C14">
            <v>870</v>
          </cell>
        </row>
        <row r="15">
          <cell r="C15">
            <v>1928</v>
          </cell>
        </row>
        <row r="16">
          <cell r="C16">
            <v>4793</v>
          </cell>
        </row>
        <row r="17">
          <cell r="C17">
            <v>2118</v>
          </cell>
        </row>
        <row r="18">
          <cell r="C18">
            <v>13827</v>
          </cell>
        </row>
        <row r="19">
          <cell r="C19">
            <v>8487</v>
          </cell>
        </row>
        <row r="20">
          <cell r="C20">
            <v>9094</v>
          </cell>
        </row>
        <row r="21">
          <cell r="C21">
            <v>10612</v>
          </cell>
        </row>
        <row r="22">
          <cell r="C22">
            <v>2878</v>
          </cell>
        </row>
        <row r="23">
          <cell r="C23">
            <v>3965</v>
          </cell>
        </row>
        <row r="24">
          <cell r="C24">
            <v>4073</v>
          </cell>
        </row>
        <row r="25">
          <cell r="C25">
            <v>1795</v>
          </cell>
        </row>
        <row r="26">
          <cell r="C26">
            <v>980</v>
          </cell>
        </row>
        <row r="27">
          <cell r="C27">
            <v>2664</v>
          </cell>
        </row>
        <row r="28">
          <cell r="C28">
            <v>3880</v>
          </cell>
        </row>
        <row r="29">
          <cell r="C29">
            <v>0</v>
          </cell>
        </row>
        <row r="30">
          <cell r="C30">
            <v>2414</v>
          </cell>
        </row>
        <row r="31">
          <cell r="C31">
            <v>3404</v>
          </cell>
        </row>
        <row r="32">
          <cell r="C32">
            <v>1985</v>
          </cell>
        </row>
        <row r="33">
          <cell r="C33">
            <v>1505</v>
          </cell>
        </row>
        <row r="34">
          <cell r="C34">
            <v>848</v>
          </cell>
        </row>
        <row r="35">
          <cell r="C35">
            <v>1031</v>
          </cell>
        </row>
        <row r="36">
          <cell r="C36">
            <v>528</v>
          </cell>
        </row>
        <row r="37">
          <cell r="C37">
            <v>541</v>
          </cell>
        </row>
        <row r="38">
          <cell r="C38">
            <v>3388</v>
          </cell>
        </row>
        <row r="39">
          <cell r="C39">
            <v>2754</v>
          </cell>
        </row>
        <row r="40">
          <cell r="C40">
            <v>3717</v>
          </cell>
        </row>
        <row r="41">
          <cell r="C41">
            <v>2212</v>
          </cell>
        </row>
        <row r="42">
          <cell r="C42">
            <v>40</v>
          </cell>
        </row>
        <row r="43">
          <cell r="C43">
            <v>7</v>
          </cell>
        </row>
        <row r="44">
          <cell r="C44">
            <v>963</v>
          </cell>
        </row>
        <row r="45">
          <cell r="C45">
            <v>2778</v>
          </cell>
        </row>
        <row r="46">
          <cell r="C46">
            <v>2484</v>
          </cell>
        </row>
        <row r="47">
          <cell r="C47">
            <v>494</v>
          </cell>
        </row>
        <row r="48">
          <cell r="C48">
            <v>1726</v>
          </cell>
        </row>
        <row r="49">
          <cell r="C49">
            <v>885</v>
          </cell>
        </row>
        <row r="50">
          <cell r="C50">
            <v>1103</v>
          </cell>
        </row>
        <row r="51">
          <cell r="C51">
            <v>182</v>
          </cell>
        </row>
        <row r="52">
          <cell r="C52">
            <v>420</v>
          </cell>
        </row>
        <row r="53">
          <cell r="C53">
            <v>146</v>
          </cell>
        </row>
        <row r="54">
          <cell r="C54">
            <v>130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46287</v>
          </cell>
          <cell r="E2">
            <v>15</v>
          </cell>
        </row>
        <row r="3">
          <cell r="C3" t="str">
            <v>FINAL VENTAS</v>
          </cell>
          <cell r="D3">
            <v>46295</v>
          </cell>
          <cell r="E3">
            <v>7</v>
          </cell>
        </row>
        <row r="8">
          <cell r="C8">
            <v>453</v>
          </cell>
        </row>
        <row r="9">
          <cell r="C9">
            <v>66</v>
          </cell>
        </row>
        <row r="10">
          <cell r="C10">
            <v>140</v>
          </cell>
        </row>
        <row r="11">
          <cell r="C11">
            <v>57</v>
          </cell>
        </row>
        <row r="12">
          <cell r="C12">
            <v>6</v>
          </cell>
        </row>
        <row r="13">
          <cell r="C13">
            <v>202</v>
          </cell>
        </row>
        <row r="14">
          <cell r="C14">
            <v>164</v>
          </cell>
        </row>
        <row r="15">
          <cell r="C15">
            <v>203</v>
          </cell>
        </row>
        <row r="16">
          <cell r="C16">
            <v>275</v>
          </cell>
        </row>
        <row r="17">
          <cell r="C17">
            <v>66</v>
          </cell>
        </row>
        <row r="18">
          <cell r="C18">
            <v>825</v>
          </cell>
        </row>
        <row r="19">
          <cell r="C19">
            <v>528</v>
          </cell>
        </row>
        <row r="20">
          <cell r="C20">
            <v>379</v>
          </cell>
        </row>
        <row r="21">
          <cell r="C21">
            <v>584</v>
          </cell>
        </row>
        <row r="22">
          <cell r="C22">
            <v>173</v>
          </cell>
        </row>
        <row r="23">
          <cell r="C23">
            <v>250</v>
          </cell>
        </row>
        <row r="24">
          <cell r="C24">
            <v>249</v>
          </cell>
        </row>
        <row r="25">
          <cell r="C25">
            <v>64</v>
          </cell>
        </row>
        <row r="26">
          <cell r="C26">
            <v>21</v>
          </cell>
        </row>
        <row r="27">
          <cell r="C27">
            <v>61</v>
          </cell>
        </row>
        <row r="28">
          <cell r="C28">
            <v>174</v>
          </cell>
        </row>
        <row r="29">
          <cell r="C29">
            <v>0</v>
          </cell>
        </row>
        <row r="30">
          <cell r="C30">
            <v>189</v>
          </cell>
        </row>
        <row r="31">
          <cell r="C31">
            <v>342</v>
          </cell>
        </row>
        <row r="32">
          <cell r="C32">
            <v>246</v>
          </cell>
        </row>
        <row r="33">
          <cell r="C33">
            <v>359</v>
          </cell>
        </row>
        <row r="34">
          <cell r="C34">
            <v>68</v>
          </cell>
        </row>
        <row r="35">
          <cell r="C35">
            <v>63</v>
          </cell>
        </row>
        <row r="36">
          <cell r="C36">
            <v>65</v>
          </cell>
        </row>
        <row r="37">
          <cell r="C37">
            <v>57</v>
          </cell>
        </row>
        <row r="38">
          <cell r="C38">
            <v>381</v>
          </cell>
        </row>
        <row r="39">
          <cell r="C39">
            <v>353</v>
          </cell>
        </row>
        <row r="40">
          <cell r="C40">
            <v>367</v>
          </cell>
        </row>
        <row r="41">
          <cell r="C41">
            <v>343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64</v>
          </cell>
        </row>
        <row r="45">
          <cell r="C45">
            <v>154</v>
          </cell>
        </row>
        <row r="46">
          <cell r="C46">
            <v>55</v>
          </cell>
        </row>
        <row r="47">
          <cell r="C47">
            <v>23</v>
          </cell>
        </row>
        <row r="48">
          <cell r="C48">
            <v>110</v>
          </cell>
        </row>
        <row r="49">
          <cell r="C49">
            <v>124</v>
          </cell>
        </row>
        <row r="50">
          <cell r="C50">
            <v>124</v>
          </cell>
        </row>
        <row r="51">
          <cell r="C51">
            <v>31</v>
          </cell>
        </row>
        <row r="52">
          <cell r="C52">
            <v>32</v>
          </cell>
        </row>
        <row r="53">
          <cell r="C53">
            <v>27</v>
          </cell>
        </row>
        <row r="54">
          <cell r="C54">
            <v>15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46287</v>
          </cell>
          <cell r="E2">
            <v>15</v>
          </cell>
        </row>
        <row r="3">
          <cell r="C3" t="str">
            <v>FINAL VENTAS</v>
          </cell>
          <cell r="D3">
            <v>46295</v>
          </cell>
          <cell r="E3">
            <v>7</v>
          </cell>
        </row>
        <row r="8">
          <cell r="C8">
            <v>18070</v>
          </cell>
        </row>
        <row r="9">
          <cell r="C9">
            <v>886</v>
          </cell>
        </row>
        <row r="10">
          <cell r="C10">
            <v>7427</v>
          </cell>
        </row>
        <row r="11">
          <cell r="C11">
            <v>1581</v>
          </cell>
        </row>
        <row r="12">
          <cell r="C12">
            <v>198</v>
          </cell>
        </row>
        <row r="13">
          <cell r="C13">
            <v>21334</v>
          </cell>
        </row>
        <row r="14">
          <cell r="C14">
            <v>2150</v>
          </cell>
        </row>
        <row r="15">
          <cell r="C15">
            <v>4435</v>
          </cell>
        </row>
        <row r="16">
          <cell r="C16">
            <v>11094</v>
          </cell>
        </row>
        <row r="17">
          <cell r="C17">
            <v>5269</v>
          </cell>
        </row>
        <row r="18">
          <cell r="C18">
            <v>50379</v>
          </cell>
        </row>
        <row r="19">
          <cell r="C19">
            <v>31208</v>
          </cell>
        </row>
        <row r="20">
          <cell r="C20">
            <v>31812</v>
          </cell>
        </row>
        <row r="21">
          <cell r="C21">
            <v>39028</v>
          </cell>
        </row>
        <row r="22">
          <cell r="C22">
            <v>10232</v>
          </cell>
        </row>
        <row r="23">
          <cell r="C23">
            <v>11727</v>
          </cell>
        </row>
        <row r="24">
          <cell r="C24">
            <v>12476</v>
          </cell>
        </row>
        <row r="25">
          <cell r="C25">
            <v>3867</v>
          </cell>
        </row>
        <row r="26">
          <cell r="C26">
            <v>1813</v>
          </cell>
        </row>
        <row r="27">
          <cell r="C27">
            <v>7457</v>
          </cell>
        </row>
        <row r="28">
          <cell r="C28">
            <v>12427</v>
          </cell>
        </row>
        <row r="29">
          <cell r="C29">
            <v>1032</v>
          </cell>
        </row>
        <row r="30">
          <cell r="C30">
            <v>10450</v>
          </cell>
        </row>
        <row r="31">
          <cell r="C31">
            <v>16272</v>
          </cell>
        </row>
        <row r="32">
          <cell r="C32">
            <v>8112</v>
          </cell>
        </row>
        <row r="33">
          <cell r="C33">
            <v>6149</v>
          </cell>
        </row>
        <row r="34">
          <cell r="C34">
            <v>3650</v>
          </cell>
        </row>
        <row r="35">
          <cell r="C35">
            <v>4496</v>
          </cell>
        </row>
        <row r="36">
          <cell r="C36">
            <v>1861</v>
          </cell>
        </row>
        <row r="37">
          <cell r="C37">
            <v>2015</v>
          </cell>
        </row>
        <row r="38">
          <cell r="C38">
            <v>11075</v>
          </cell>
        </row>
        <row r="39">
          <cell r="C39">
            <v>8749</v>
          </cell>
        </row>
        <row r="40">
          <cell r="C40">
            <v>11595</v>
          </cell>
        </row>
        <row r="41">
          <cell r="C41">
            <v>7597</v>
          </cell>
        </row>
        <row r="42">
          <cell r="C42">
            <v>55</v>
          </cell>
        </row>
        <row r="43">
          <cell r="C43">
            <v>7</v>
          </cell>
        </row>
        <row r="44">
          <cell r="C44">
            <v>2131</v>
          </cell>
        </row>
        <row r="45">
          <cell r="C45">
            <v>8098</v>
          </cell>
        </row>
        <row r="46">
          <cell r="C46">
            <v>6157</v>
          </cell>
        </row>
        <row r="47">
          <cell r="C47">
            <v>3125</v>
          </cell>
        </row>
        <row r="48">
          <cell r="C48">
            <v>7083</v>
          </cell>
        </row>
        <row r="49">
          <cell r="C49">
            <v>4214</v>
          </cell>
        </row>
        <row r="50">
          <cell r="C50">
            <v>4258</v>
          </cell>
        </row>
        <row r="51">
          <cell r="C51">
            <v>867</v>
          </cell>
        </row>
        <row r="52">
          <cell r="C52">
            <v>1954</v>
          </cell>
        </row>
        <row r="53">
          <cell r="C53">
            <v>658</v>
          </cell>
        </row>
        <row r="54">
          <cell r="C54">
            <v>791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46287</v>
      </c>
      <c r="E2" s="4">
        <f ca="1">'[1]VENTAS CONSOLIDADA ZULIA'!E2</f>
        <v>15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7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453</v>
      </c>
      <c r="D8" s="5">
        <f t="shared" ref="D8:D54" ca="1" si="0">C8/$E$2</f>
        <v>30.2</v>
      </c>
      <c r="E8" s="5">
        <f ca="1">D8*($E$2+$E$3)</f>
        <v>664.4</v>
      </c>
    </row>
    <row r="9" spans="1:5" x14ac:dyDescent="0.25">
      <c r="A9">
        <v>110151</v>
      </c>
      <c r="B9" t="s">
        <v>5</v>
      </c>
      <c r="C9">
        <f>'[1]VENTAS CONSOLIDADA ZULIA'!C9</f>
        <v>66</v>
      </c>
      <c r="D9" s="5">
        <f t="shared" ca="1" si="0"/>
        <v>4.4000000000000004</v>
      </c>
      <c r="E9" s="5">
        <f t="shared" ref="E9:E54" ca="1" si="1">D9*($E$2+$E$3)</f>
        <v>96.800000000000011</v>
      </c>
    </row>
    <row r="10" spans="1:5" x14ac:dyDescent="0.25">
      <c r="A10">
        <v>110230</v>
      </c>
      <c r="B10" t="s">
        <v>1</v>
      </c>
      <c r="C10">
        <f>'[1]VENTAS CONSOLIDADA ZULIA'!C10</f>
        <v>140</v>
      </c>
      <c r="D10" s="5">
        <f t="shared" ca="1" si="0"/>
        <v>9.3333333333333339</v>
      </c>
      <c r="E10" s="5">
        <f t="shared" ca="1" si="1"/>
        <v>205.33333333333334</v>
      </c>
    </row>
    <row r="11" spans="1:5" x14ac:dyDescent="0.25">
      <c r="A11">
        <v>110400</v>
      </c>
      <c r="B11" t="s">
        <v>13</v>
      </c>
      <c r="C11">
        <f>'[1]VENTAS CONSOLIDADA ZULIA'!C11</f>
        <v>57</v>
      </c>
      <c r="D11" s="5">
        <f t="shared" ca="1" si="0"/>
        <v>3.8</v>
      </c>
      <c r="E11" s="5">
        <f t="shared" ca="1" si="1"/>
        <v>83.6</v>
      </c>
    </row>
    <row r="12" spans="1:5" x14ac:dyDescent="0.25">
      <c r="A12">
        <v>111000</v>
      </c>
      <c r="B12" t="s">
        <v>14</v>
      </c>
      <c r="C12">
        <f>'[1]VENTAS CONSOLIDADA ZULIA'!C12</f>
        <v>6</v>
      </c>
      <c r="D12" s="5">
        <f t="shared" ca="1" si="0"/>
        <v>0.4</v>
      </c>
      <c r="E12" s="5">
        <f t="shared" ca="1" si="1"/>
        <v>8.8000000000000007</v>
      </c>
    </row>
    <row r="13" spans="1:5" x14ac:dyDescent="0.25">
      <c r="A13">
        <v>120130</v>
      </c>
      <c r="B13" t="s">
        <v>15</v>
      </c>
      <c r="C13">
        <f>'[1]VENTAS CONSOLIDADA ZULIA'!C13</f>
        <v>202</v>
      </c>
      <c r="D13" s="5">
        <f t="shared" ca="1" si="0"/>
        <v>13.466666666666667</v>
      </c>
      <c r="E13" s="5">
        <f t="shared" ca="1" si="1"/>
        <v>296.26666666666665</v>
      </c>
    </row>
    <row r="14" spans="1:5" x14ac:dyDescent="0.25">
      <c r="A14">
        <v>120131</v>
      </c>
      <c r="B14" t="s">
        <v>23</v>
      </c>
      <c r="C14">
        <f>'[1]VENTAS CONSOLIDADA ZULIA'!C14</f>
        <v>164</v>
      </c>
      <c r="D14" s="5">
        <f t="shared" ca="1" si="0"/>
        <v>10.933333333333334</v>
      </c>
      <c r="E14" s="5">
        <f t="shared" ca="1" si="1"/>
        <v>240.53333333333333</v>
      </c>
    </row>
    <row r="15" spans="1:5" x14ac:dyDescent="0.25">
      <c r="A15">
        <v>120132</v>
      </c>
      <c r="B15" t="s">
        <v>21</v>
      </c>
      <c r="C15">
        <f>'[1]VENTAS CONSOLIDADA ZULIA'!C15</f>
        <v>203</v>
      </c>
      <c r="D15" s="5">
        <f t="shared" ca="1" si="0"/>
        <v>13.533333333333333</v>
      </c>
      <c r="E15" s="5">
        <f t="shared" ca="1" si="1"/>
        <v>297.73333333333335</v>
      </c>
    </row>
    <row r="16" spans="1:5" x14ac:dyDescent="0.25">
      <c r="A16">
        <v>130150</v>
      </c>
      <c r="B16" t="s">
        <v>0</v>
      </c>
      <c r="C16">
        <f>'[1]VENTAS CONSOLIDADA ZULIA'!C16</f>
        <v>275</v>
      </c>
      <c r="D16" s="5">
        <f t="shared" ca="1" si="0"/>
        <v>18.333333333333332</v>
      </c>
      <c r="E16" s="5">
        <f t="shared" ca="1" si="1"/>
        <v>403.33333333333331</v>
      </c>
    </row>
    <row r="17" spans="1:5" x14ac:dyDescent="0.25">
      <c r="A17">
        <v>130151</v>
      </c>
      <c r="B17" t="s">
        <v>4</v>
      </c>
      <c r="C17">
        <f>'[1]VENTAS CONSOLIDADA ZULIA'!C17</f>
        <v>66</v>
      </c>
      <c r="D17" s="5">
        <f t="shared" ca="1" si="0"/>
        <v>4.4000000000000004</v>
      </c>
      <c r="E17" s="5">
        <f t="shared" ca="1" si="1"/>
        <v>96.800000000000011</v>
      </c>
    </row>
    <row r="18" spans="1:5" x14ac:dyDescent="0.25">
      <c r="A18">
        <v>130152</v>
      </c>
      <c r="B18" t="s">
        <v>51</v>
      </c>
      <c r="C18">
        <f>'[1]VENTAS CONSOLIDADA ZULIA'!C18</f>
        <v>825</v>
      </c>
      <c r="D18" s="5">
        <f t="shared" ca="1" si="0"/>
        <v>55</v>
      </c>
      <c r="E18" s="5">
        <f t="shared" ca="1" si="1"/>
        <v>1210</v>
      </c>
    </row>
    <row r="19" spans="1:5" x14ac:dyDescent="0.25">
      <c r="A19">
        <v>130153</v>
      </c>
      <c r="B19" t="s">
        <v>52</v>
      </c>
      <c r="C19">
        <f>'[1]VENTAS CONSOLIDADA ZULIA'!C19</f>
        <v>528</v>
      </c>
      <c r="D19" s="5">
        <f t="shared" ca="1" si="0"/>
        <v>35.200000000000003</v>
      </c>
      <c r="E19" s="5">
        <f t="shared" ca="1" si="1"/>
        <v>774.40000000000009</v>
      </c>
    </row>
    <row r="20" spans="1:5" x14ac:dyDescent="0.25">
      <c r="A20">
        <v>130154</v>
      </c>
      <c r="B20" t="s">
        <v>53</v>
      </c>
      <c r="C20">
        <f>'[1]VENTAS CONSOLIDADA ZULIA'!C20</f>
        <v>379</v>
      </c>
      <c r="D20" s="5">
        <f t="shared" ca="1" si="0"/>
        <v>25.266666666666666</v>
      </c>
      <c r="E20" s="5">
        <f t="shared" ca="1" si="1"/>
        <v>555.86666666666667</v>
      </c>
    </row>
    <row r="21" spans="1:5" x14ac:dyDescent="0.25">
      <c r="A21">
        <v>130155</v>
      </c>
      <c r="B21" t="s">
        <v>16</v>
      </c>
      <c r="C21">
        <f>'[1]VENTAS CONSOLIDADA ZULIA'!C21</f>
        <v>584</v>
      </c>
      <c r="D21" s="5">
        <f t="shared" ca="1" si="0"/>
        <v>38.93333333333333</v>
      </c>
      <c r="E21" s="5">
        <f t="shared" ca="1" si="1"/>
        <v>856.5333333333333</v>
      </c>
    </row>
    <row r="22" spans="1:5" x14ac:dyDescent="0.25">
      <c r="A22">
        <v>130157</v>
      </c>
      <c r="B22" t="s">
        <v>43</v>
      </c>
      <c r="C22">
        <f>'[1]VENTAS CONSOLIDADA ZULIA'!C22</f>
        <v>173</v>
      </c>
      <c r="D22" s="5">
        <f t="shared" ca="1" si="0"/>
        <v>11.533333333333333</v>
      </c>
      <c r="E22" s="5">
        <f t="shared" ca="1" si="1"/>
        <v>253.73333333333332</v>
      </c>
    </row>
    <row r="23" spans="1:5" x14ac:dyDescent="0.25">
      <c r="A23">
        <v>130158</v>
      </c>
      <c r="B23" t="s">
        <v>44</v>
      </c>
      <c r="C23">
        <f>'[1]VENTAS CONSOLIDADA ZULIA'!C23</f>
        <v>250</v>
      </c>
      <c r="D23" s="5">
        <f t="shared" ca="1" si="0"/>
        <v>16.666666666666668</v>
      </c>
      <c r="E23" s="5">
        <f t="shared" ca="1" si="1"/>
        <v>366.66666666666669</v>
      </c>
    </row>
    <row r="24" spans="1:5" x14ac:dyDescent="0.25">
      <c r="A24">
        <v>130159</v>
      </c>
      <c r="B24" t="s">
        <v>45</v>
      </c>
      <c r="C24">
        <f>'[1]VENTAS CONSOLIDADA ZULIA'!C24</f>
        <v>249</v>
      </c>
      <c r="D24" s="5">
        <f t="shared" ca="1" si="0"/>
        <v>16.600000000000001</v>
      </c>
      <c r="E24" s="5">
        <f t="shared" ca="1" si="1"/>
        <v>365.20000000000005</v>
      </c>
    </row>
    <row r="25" spans="1:5" x14ac:dyDescent="0.25">
      <c r="A25">
        <v>130700</v>
      </c>
      <c r="B25" t="s">
        <v>3</v>
      </c>
      <c r="C25">
        <f>'[1]VENTAS CONSOLIDADA ZULIA'!C25</f>
        <v>64</v>
      </c>
      <c r="D25" s="5">
        <f t="shared" ca="1" si="0"/>
        <v>4.2666666666666666</v>
      </c>
      <c r="E25" s="5">
        <f t="shared" ca="1" si="1"/>
        <v>93.86666666666666</v>
      </c>
    </row>
    <row r="26" spans="1:5" x14ac:dyDescent="0.25">
      <c r="A26">
        <v>130701</v>
      </c>
      <c r="B26" t="s">
        <v>30</v>
      </c>
      <c r="C26">
        <f>'[1]VENTAS CONSOLIDADA ZULIA'!C26</f>
        <v>21</v>
      </c>
      <c r="D26" s="5">
        <f t="shared" ca="1" si="0"/>
        <v>1.4</v>
      </c>
      <c r="E26" s="5">
        <f t="shared" ca="1" si="1"/>
        <v>30.799999999999997</v>
      </c>
    </row>
    <row r="27" spans="1:5" x14ac:dyDescent="0.25">
      <c r="A27">
        <v>130702</v>
      </c>
      <c r="B27" t="s">
        <v>12</v>
      </c>
      <c r="C27">
        <f>'[1]VENTAS CONSOLIDADA ZULIA'!C27</f>
        <v>61</v>
      </c>
      <c r="D27" s="5">
        <f t="shared" ca="1" si="0"/>
        <v>4.0666666666666664</v>
      </c>
      <c r="E27" s="5">
        <f t="shared" ca="1" si="1"/>
        <v>89.466666666666669</v>
      </c>
    </row>
    <row r="28" spans="1:5" x14ac:dyDescent="0.25">
      <c r="A28">
        <v>130703</v>
      </c>
      <c r="B28" t="s">
        <v>17</v>
      </c>
      <c r="C28">
        <f>'[1]VENTAS CONSOLIDADA ZULIA'!C28</f>
        <v>174</v>
      </c>
      <c r="D28" s="5">
        <f t="shared" ca="1" si="0"/>
        <v>11.6</v>
      </c>
      <c r="E28" s="5">
        <f t="shared" ca="1" si="1"/>
        <v>255.2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189</v>
      </c>
      <c r="D30" s="5">
        <f t="shared" ca="1" si="0"/>
        <v>12.6</v>
      </c>
      <c r="E30" s="5">
        <f t="shared" ca="1" si="1"/>
        <v>277.2</v>
      </c>
    </row>
    <row r="31" spans="1:5" x14ac:dyDescent="0.25">
      <c r="A31">
        <v>131151</v>
      </c>
      <c r="B31" t="s">
        <v>19</v>
      </c>
      <c r="C31">
        <f>'[1]VENTAS CONSOLIDADA ZULIA'!C31</f>
        <v>342</v>
      </c>
      <c r="D31" s="5">
        <f t="shared" ca="1" si="0"/>
        <v>22.8</v>
      </c>
      <c r="E31" s="5">
        <f t="shared" ca="1" si="1"/>
        <v>501.6</v>
      </c>
    </row>
    <row r="32" spans="1:5" x14ac:dyDescent="0.25">
      <c r="A32">
        <v>131152</v>
      </c>
      <c r="B32" t="s">
        <v>32</v>
      </c>
      <c r="C32">
        <f>'[1]VENTAS CONSOLIDADA ZULIA'!C32</f>
        <v>246</v>
      </c>
      <c r="D32" s="5">
        <f t="shared" ca="1" si="0"/>
        <v>16.399999999999999</v>
      </c>
      <c r="E32" s="5">
        <f t="shared" ca="1" si="1"/>
        <v>360.79999999999995</v>
      </c>
    </row>
    <row r="33" spans="1:5" x14ac:dyDescent="0.25">
      <c r="A33">
        <v>131153</v>
      </c>
      <c r="B33" t="s">
        <v>11</v>
      </c>
      <c r="C33">
        <f>'[1]VENTAS CONSOLIDADA ZULIA'!C33</f>
        <v>359</v>
      </c>
      <c r="D33" s="5">
        <f t="shared" ca="1" si="0"/>
        <v>23.933333333333334</v>
      </c>
      <c r="E33" s="5">
        <f t="shared" ca="1" si="1"/>
        <v>526.5333333333333</v>
      </c>
    </row>
    <row r="34" spans="1:5" x14ac:dyDescent="0.25">
      <c r="A34">
        <v>131154</v>
      </c>
      <c r="B34" t="s">
        <v>48</v>
      </c>
      <c r="C34">
        <f>'[1]VENTAS CONSOLIDADA ZULIA'!C34</f>
        <v>68</v>
      </c>
      <c r="D34" s="5">
        <f t="shared" ca="1" si="0"/>
        <v>4.5333333333333332</v>
      </c>
      <c r="E34" s="5">
        <f t="shared" ca="1" si="1"/>
        <v>99.733333333333334</v>
      </c>
    </row>
    <row r="35" spans="1:5" x14ac:dyDescent="0.25">
      <c r="A35">
        <v>131155</v>
      </c>
      <c r="B35" t="s">
        <v>57</v>
      </c>
      <c r="C35">
        <f>'[1]VENTAS CONSOLIDADA ZULIA'!C35</f>
        <v>63</v>
      </c>
      <c r="D35" s="5">
        <f t="shared" ca="1" si="0"/>
        <v>4.2</v>
      </c>
      <c r="E35" s="5">
        <f t="shared" ca="1" si="1"/>
        <v>92.4</v>
      </c>
    </row>
    <row r="36" spans="1:5" x14ac:dyDescent="0.25">
      <c r="A36">
        <v>131700</v>
      </c>
      <c r="B36" t="s">
        <v>20</v>
      </c>
      <c r="C36">
        <f>'[1]VENTAS CONSOLIDADA ZULIA'!C36</f>
        <v>65</v>
      </c>
      <c r="D36" s="5">
        <f t="shared" ca="1" si="0"/>
        <v>4.333333333333333</v>
      </c>
      <c r="E36" s="5">
        <f t="shared" ca="1" si="1"/>
        <v>95.333333333333329</v>
      </c>
    </row>
    <row r="37" spans="1:5" x14ac:dyDescent="0.25">
      <c r="A37">
        <v>131701</v>
      </c>
      <c r="B37" t="s">
        <v>24</v>
      </c>
      <c r="C37">
        <f>'[1]VENTAS CONSOLIDADA ZULIA'!C37</f>
        <v>57</v>
      </c>
      <c r="D37" s="5">
        <f t="shared" ca="1" si="0"/>
        <v>3.8</v>
      </c>
      <c r="E37" s="5">
        <f t="shared" ca="1" si="1"/>
        <v>83.6</v>
      </c>
    </row>
    <row r="38" spans="1:5" x14ac:dyDescent="0.25">
      <c r="A38">
        <v>132150</v>
      </c>
      <c r="B38" t="s">
        <v>25</v>
      </c>
      <c r="C38">
        <f>'[1]VENTAS CONSOLIDADA ZULIA'!C38</f>
        <v>381</v>
      </c>
      <c r="D38" s="5">
        <f t="shared" ca="1" si="0"/>
        <v>25.4</v>
      </c>
      <c r="E38" s="5">
        <f t="shared" ca="1" si="1"/>
        <v>558.79999999999995</v>
      </c>
    </row>
    <row r="39" spans="1:5" x14ac:dyDescent="0.25">
      <c r="A39">
        <v>132151</v>
      </c>
      <c r="B39" t="s">
        <v>26</v>
      </c>
      <c r="C39">
        <f>'[1]VENTAS CONSOLIDADA ZULIA'!C39</f>
        <v>353</v>
      </c>
      <c r="D39" s="5">
        <f t="shared" ca="1" si="0"/>
        <v>23.533333333333335</v>
      </c>
      <c r="E39" s="5">
        <f t="shared" ca="1" si="1"/>
        <v>517.73333333333335</v>
      </c>
    </row>
    <row r="40" spans="1:5" x14ac:dyDescent="0.25">
      <c r="A40">
        <v>132152</v>
      </c>
      <c r="B40" t="s">
        <v>27</v>
      </c>
      <c r="C40">
        <f>'[1]VENTAS CONSOLIDADA ZULIA'!C40</f>
        <v>367</v>
      </c>
      <c r="D40" s="5">
        <f t="shared" ca="1" si="0"/>
        <v>24.466666666666665</v>
      </c>
      <c r="E40" s="5">
        <f t="shared" ca="1" si="1"/>
        <v>538.26666666666665</v>
      </c>
    </row>
    <row r="41" spans="1:5" x14ac:dyDescent="0.25">
      <c r="A41">
        <v>132153</v>
      </c>
      <c r="B41" t="s">
        <v>40</v>
      </c>
      <c r="C41">
        <f>'[1]VENTAS CONSOLIDADA ZULIA'!C41</f>
        <v>343</v>
      </c>
      <c r="D41" s="5">
        <f t="shared" ca="1" si="0"/>
        <v>22.866666666666667</v>
      </c>
      <c r="E41" s="5">
        <f t="shared" ca="1" si="1"/>
        <v>503.06666666666666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64</v>
      </c>
      <c r="D44" s="5">
        <f t="shared" ca="1" si="0"/>
        <v>4.2666666666666666</v>
      </c>
      <c r="E44" s="5">
        <f t="shared" ca="1" si="1"/>
        <v>93.86666666666666</v>
      </c>
    </row>
    <row r="45" spans="1:5" x14ac:dyDescent="0.25">
      <c r="A45">
        <v>140231</v>
      </c>
      <c r="B45" t="s">
        <v>10</v>
      </c>
      <c r="C45">
        <f>'[1]VENTAS CONSOLIDADA ZULIA'!C45</f>
        <v>154</v>
      </c>
      <c r="D45" s="5">
        <f t="shared" ca="1" si="0"/>
        <v>10.266666666666667</v>
      </c>
      <c r="E45" s="5">
        <f t="shared" ca="1" si="1"/>
        <v>225.86666666666667</v>
      </c>
    </row>
    <row r="46" spans="1:5" x14ac:dyDescent="0.25">
      <c r="A46">
        <v>140232</v>
      </c>
      <c r="B46" t="s">
        <v>9</v>
      </c>
      <c r="C46">
        <f>'[1]VENTAS CONSOLIDADA ZULIA'!C46</f>
        <v>55</v>
      </c>
      <c r="D46" s="5">
        <f t="shared" ca="1" si="0"/>
        <v>3.6666666666666665</v>
      </c>
      <c r="E46" s="5">
        <f t="shared" ca="1" si="1"/>
        <v>80.666666666666657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1.5333333333333334</v>
      </c>
      <c r="E47" s="5">
        <f t="shared" ca="1" si="1"/>
        <v>33.733333333333334</v>
      </c>
    </row>
    <row r="48" spans="1:5" x14ac:dyDescent="0.25">
      <c r="A48">
        <v>150361</v>
      </c>
      <c r="B48" t="s">
        <v>29</v>
      </c>
      <c r="C48">
        <f>'[1]VENTAS CONSOLIDADA ZULIA'!C48</f>
        <v>110</v>
      </c>
      <c r="D48" s="5">
        <f t="shared" ca="1" si="0"/>
        <v>7.333333333333333</v>
      </c>
      <c r="E48" s="5">
        <f t="shared" ca="1" si="1"/>
        <v>161.33333333333331</v>
      </c>
    </row>
    <row r="49" spans="1:5" x14ac:dyDescent="0.25">
      <c r="A49">
        <v>150362</v>
      </c>
      <c r="B49" t="s">
        <v>36</v>
      </c>
      <c r="C49">
        <f>'[1]VENTAS CONSOLIDADA ZULIA'!C49</f>
        <v>124</v>
      </c>
      <c r="D49" s="5">
        <f t="shared" ca="1" si="0"/>
        <v>8.2666666666666675</v>
      </c>
      <c r="E49" s="5">
        <f t="shared" ca="1" si="1"/>
        <v>181.86666666666667</v>
      </c>
    </row>
    <row r="50" spans="1:5" x14ac:dyDescent="0.25">
      <c r="A50">
        <v>150363</v>
      </c>
      <c r="B50" t="s">
        <v>31</v>
      </c>
      <c r="C50">
        <f>'[1]VENTAS CONSOLIDADA ZULIA'!C50</f>
        <v>124</v>
      </c>
      <c r="D50" s="5">
        <f t="shared" ca="1" si="0"/>
        <v>8.2666666666666675</v>
      </c>
      <c r="E50" s="5">
        <f t="shared" ca="1" si="1"/>
        <v>181.86666666666667</v>
      </c>
    </row>
    <row r="51" spans="1:5" x14ac:dyDescent="0.25">
      <c r="A51">
        <v>151500</v>
      </c>
      <c r="B51" t="s">
        <v>41</v>
      </c>
      <c r="C51">
        <f>'[1]VENTAS CONSOLIDADA ZULIA'!C51</f>
        <v>31</v>
      </c>
      <c r="D51" s="5">
        <f t="shared" ca="1" si="0"/>
        <v>2.0666666666666669</v>
      </c>
      <c r="E51" s="5">
        <f t="shared" ca="1" si="1"/>
        <v>45.466666666666669</v>
      </c>
    </row>
    <row r="52" spans="1:5" x14ac:dyDescent="0.25">
      <c r="A52">
        <v>151501</v>
      </c>
      <c r="B52" t="s">
        <v>33</v>
      </c>
      <c r="C52">
        <f>'[1]VENTAS CONSOLIDADA ZULIA'!C52</f>
        <v>32</v>
      </c>
      <c r="D52" s="5">
        <f t="shared" ca="1" si="0"/>
        <v>2.1333333333333333</v>
      </c>
      <c r="E52" s="5">
        <f t="shared" ca="1" si="1"/>
        <v>46.93333333333333</v>
      </c>
    </row>
    <row r="53" spans="1:5" x14ac:dyDescent="0.25">
      <c r="A53">
        <v>151502</v>
      </c>
      <c r="B53" t="s">
        <v>37</v>
      </c>
      <c r="C53">
        <f>'[1]VENTAS CONSOLIDADA ZULIA'!C53</f>
        <v>27</v>
      </c>
      <c r="D53" s="5">
        <f t="shared" ca="1" si="0"/>
        <v>1.8</v>
      </c>
      <c r="E53" s="5">
        <f t="shared" ca="1" si="1"/>
        <v>39.6</v>
      </c>
    </row>
    <row r="54" spans="1:5" x14ac:dyDescent="0.25">
      <c r="A54">
        <v>151503</v>
      </c>
      <c r="B54" t="s">
        <v>34</v>
      </c>
      <c r="C54">
        <f>'[1]VENTAS CONSOLIDADA ZULIA'!C54</f>
        <v>15</v>
      </c>
      <c r="D54" s="5">
        <f t="shared" ca="1" si="0"/>
        <v>1</v>
      </c>
      <c r="E54" s="5">
        <f t="shared" ca="1" si="1"/>
        <v>22</v>
      </c>
    </row>
    <row r="55" spans="1:5" x14ac:dyDescent="0.25">
      <c r="D55" s="5">
        <f ca="1">SUM(D8:D54)</f>
        <v>568.79999999999995</v>
      </c>
      <c r="E55" s="5">
        <f ca="1">SUM(E8:E54)</f>
        <v>12513.6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46287</v>
      </c>
      <c r="E2" s="4">
        <f ca="1">'[1]VENTAS CONSOLIDADA VALENCIA'!E2</f>
        <v>15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7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3897</v>
      </c>
      <c r="D8" s="5">
        <f t="shared" ref="D8:D54" ca="1" si="0">C8/$E$2</f>
        <v>259.8</v>
      </c>
      <c r="E8" s="5">
        <f ca="1">D8*($E$2+$E$3)</f>
        <v>5715.6</v>
      </c>
    </row>
    <row r="9" spans="1:5" x14ac:dyDescent="0.25">
      <c r="A9">
        <v>110151</v>
      </c>
      <c r="B9" t="s">
        <v>5</v>
      </c>
      <c r="C9">
        <f>'[1]VENTAS CONSOLIDADA VALENCIA'!C9</f>
        <v>249</v>
      </c>
      <c r="D9" s="5">
        <f t="shared" ca="1" si="0"/>
        <v>16.600000000000001</v>
      </c>
      <c r="E9" s="5">
        <f t="shared" ref="E9:E54" ca="1" si="1">D9*($E$2+$E$3)</f>
        <v>365.20000000000005</v>
      </c>
    </row>
    <row r="10" spans="1:5" x14ac:dyDescent="0.25">
      <c r="A10">
        <v>110230</v>
      </c>
      <c r="B10" t="s">
        <v>1</v>
      </c>
      <c r="C10">
        <f>'[1]VENTAS CONSOLIDADA VALENCIA'!C10</f>
        <v>1584</v>
      </c>
      <c r="D10" s="5">
        <f t="shared" ca="1" si="0"/>
        <v>105.6</v>
      </c>
      <c r="E10" s="5">
        <f t="shared" ca="1" si="1"/>
        <v>2323.1999999999998</v>
      </c>
    </row>
    <row r="11" spans="1:5" x14ac:dyDescent="0.25">
      <c r="A11">
        <v>110400</v>
      </c>
      <c r="B11" t="s">
        <v>13</v>
      </c>
      <c r="C11">
        <f>'[1]VENTAS CONSOLIDADA VALENCIA'!C11</f>
        <v>386</v>
      </c>
      <c r="D11" s="5">
        <f t="shared" ca="1" si="0"/>
        <v>25.733333333333334</v>
      </c>
      <c r="E11" s="5">
        <f t="shared" ca="1" si="1"/>
        <v>566.13333333333333</v>
      </c>
    </row>
    <row r="12" spans="1:5" x14ac:dyDescent="0.25">
      <c r="A12">
        <v>111000</v>
      </c>
      <c r="B12" t="s">
        <v>14</v>
      </c>
      <c r="C12">
        <f>'[1]VENTAS CONSOLIDADA VALENCIA'!C12</f>
        <v>32</v>
      </c>
      <c r="D12" s="5">
        <f t="shared" ca="1" si="0"/>
        <v>2.1333333333333333</v>
      </c>
      <c r="E12" s="5">
        <f t="shared" ca="1" si="1"/>
        <v>46.93333333333333</v>
      </c>
    </row>
    <row r="13" spans="1:5" x14ac:dyDescent="0.25">
      <c r="A13">
        <v>120130</v>
      </c>
      <c r="B13" t="s">
        <v>15</v>
      </c>
      <c r="C13">
        <f>'[1]VENTAS CONSOLIDADA VALENCIA'!C13</f>
        <v>4856</v>
      </c>
      <c r="D13" s="5">
        <f t="shared" ca="1" si="0"/>
        <v>323.73333333333335</v>
      </c>
      <c r="E13" s="5">
        <f t="shared" ca="1" si="1"/>
        <v>7122.1333333333332</v>
      </c>
    </row>
    <row r="14" spans="1:5" x14ac:dyDescent="0.25">
      <c r="A14">
        <v>120131</v>
      </c>
      <c r="B14" t="s">
        <v>23</v>
      </c>
      <c r="C14">
        <f>'[1]VENTAS CONSOLIDADA VALENCIA'!C14</f>
        <v>870</v>
      </c>
      <c r="D14" s="5">
        <f t="shared" ca="1" si="0"/>
        <v>58</v>
      </c>
      <c r="E14" s="5">
        <f t="shared" ca="1" si="1"/>
        <v>1276</v>
      </c>
    </row>
    <row r="15" spans="1:5" x14ac:dyDescent="0.25">
      <c r="A15">
        <v>120132</v>
      </c>
      <c r="B15" t="s">
        <v>21</v>
      </c>
      <c r="C15">
        <f>'[1]VENTAS CONSOLIDADA VALENCIA'!C15</f>
        <v>1928</v>
      </c>
      <c r="D15" s="5">
        <f t="shared" ca="1" si="0"/>
        <v>128.53333333333333</v>
      </c>
      <c r="E15" s="5">
        <f t="shared" ca="1" si="1"/>
        <v>2827.7333333333331</v>
      </c>
    </row>
    <row r="16" spans="1:5" x14ac:dyDescent="0.25">
      <c r="A16">
        <v>130150</v>
      </c>
      <c r="B16" t="s">
        <v>0</v>
      </c>
      <c r="C16">
        <f>'[1]VENTAS CONSOLIDADA VALENCIA'!C16</f>
        <v>4793</v>
      </c>
      <c r="D16" s="5">
        <f t="shared" ca="1" si="0"/>
        <v>319.53333333333336</v>
      </c>
      <c r="E16" s="5">
        <f t="shared" ca="1" si="1"/>
        <v>7029.7333333333336</v>
      </c>
    </row>
    <row r="17" spans="1:5" x14ac:dyDescent="0.25">
      <c r="A17">
        <v>130151</v>
      </c>
      <c r="B17" t="s">
        <v>4</v>
      </c>
      <c r="C17">
        <f>'[1]VENTAS CONSOLIDADA VALENCIA'!C17</f>
        <v>2118</v>
      </c>
      <c r="D17" s="5">
        <f t="shared" ca="1" si="0"/>
        <v>141.19999999999999</v>
      </c>
      <c r="E17" s="5">
        <f t="shared" ca="1" si="1"/>
        <v>3106.3999999999996</v>
      </c>
    </row>
    <row r="18" spans="1:5" x14ac:dyDescent="0.25">
      <c r="A18">
        <v>130152</v>
      </c>
      <c r="B18" t="s">
        <v>51</v>
      </c>
      <c r="C18">
        <f>'[1]VENTAS CONSOLIDADA VALENCIA'!C18</f>
        <v>13827</v>
      </c>
      <c r="D18" s="5">
        <f t="shared" ca="1" si="0"/>
        <v>921.8</v>
      </c>
      <c r="E18" s="5">
        <f t="shared" ca="1" si="1"/>
        <v>20279.599999999999</v>
      </c>
    </row>
    <row r="19" spans="1:5" x14ac:dyDescent="0.25">
      <c r="A19">
        <v>130153</v>
      </c>
      <c r="B19" t="s">
        <v>52</v>
      </c>
      <c r="C19">
        <f>'[1]VENTAS CONSOLIDADA VALENCIA'!C19</f>
        <v>8487</v>
      </c>
      <c r="D19" s="5">
        <f t="shared" ca="1" si="0"/>
        <v>565.79999999999995</v>
      </c>
      <c r="E19" s="5">
        <f t="shared" ca="1" si="1"/>
        <v>12447.599999999999</v>
      </c>
    </row>
    <row r="20" spans="1:5" x14ac:dyDescent="0.25">
      <c r="A20">
        <v>130154</v>
      </c>
      <c r="B20" t="s">
        <v>53</v>
      </c>
      <c r="C20">
        <f>'[1]VENTAS CONSOLIDADA VALENCIA'!C20</f>
        <v>9094</v>
      </c>
      <c r="D20" s="5">
        <f t="shared" ca="1" si="0"/>
        <v>606.26666666666665</v>
      </c>
      <c r="E20" s="5">
        <f t="shared" ca="1" si="1"/>
        <v>13337.866666666667</v>
      </c>
    </row>
    <row r="21" spans="1:5" x14ac:dyDescent="0.25">
      <c r="A21">
        <v>130155</v>
      </c>
      <c r="B21" t="s">
        <v>16</v>
      </c>
      <c r="C21">
        <f>'[1]VENTAS CONSOLIDADA VALENCIA'!C21</f>
        <v>10612</v>
      </c>
      <c r="D21" s="5">
        <f t="shared" ca="1" si="0"/>
        <v>707.4666666666667</v>
      </c>
      <c r="E21" s="5">
        <f t="shared" ca="1" si="1"/>
        <v>15564.266666666666</v>
      </c>
    </row>
    <row r="22" spans="1:5" x14ac:dyDescent="0.25">
      <c r="A22">
        <v>130157</v>
      </c>
      <c r="B22" t="s">
        <v>43</v>
      </c>
      <c r="C22">
        <f>'[1]VENTAS CONSOLIDADA VALENCIA'!C22</f>
        <v>2878</v>
      </c>
      <c r="D22" s="5">
        <f t="shared" ca="1" si="0"/>
        <v>191.86666666666667</v>
      </c>
      <c r="E22" s="5">
        <f t="shared" ca="1" si="1"/>
        <v>4221.0666666666666</v>
      </c>
    </row>
    <row r="23" spans="1:5" x14ac:dyDescent="0.25">
      <c r="A23">
        <v>130158</v>
      </c>
      <c r="B23" t="s">
        <v>44</v>
      </c>
      <c r="C23">
        <f>'[1]VENTAS CONSOLIDADA VALENCIA'!C23</f>
        <v>3965</v>
      </c>
      <c r="D23" s="5">
        <f t="shared" ca="1" si="0"/>
        <v>264.33333333333331</v>
      </c>
      <c r="E23" s="5">
        <f t="shared" ca="1" si="1"/>
        <v>5815.333333333333</v>
      </c>
    </row>
    <row r="24" spans="1:5" x14ac:dyDescent="0.25">
      <c r="A24">
        <v>130159</v>
      </c>
      <c r="B24" t="s">
        <v>45</v>
      </c>
      <c r="C24">
        <f>'[1]VENTAS CONSOLIDADA VALENCIA'!C24</f>
        <v>4073</v>
      </c>
      <c r="D24" s="5">
        <f t="shared" ca="1" si="0"/>
        <v>271.53333333333336</v>
      </c>
      <c r="E24" s="5">
        <f t="shared" ca="1" si="1"/>
        <v>5973.7333333333336</v>
      </c>
    </row>
    <row r="25" spans="1:5" x14ac:dyDescent="0.25">
      <c r="A25">
        <v>130700</v>
      </c>
      <c r="B25" t="s">
        <v>3</v>
      </c>
      <c r="C25">
        <f>'[1]VENTAS CONSOLIDADA VALENCIA'!C25</f>
        <v>1795</v>
      </c>
      <c r="D25" s="5">
        <f t="shared" ca="1" si="0"/>
        <v>119.66666666666667</v>
      </c>
      <c r="E25" s="5">
        <f t="shared" ca="1" si="1"/>
        <v>2632.666666666667</v>
      </c>
    </row>
    <row r="26" spans="1:5" x14ac:dyDescent="0.25">
      <c r="A26">
        <v>130701</v>
      </c>
      <c r="B26" t="s">
        <v>30</v>
      </c>
      <c r="C26">
        <f>'[1]VENTAS CONSOLIDADA VALENCIA'!C26</f>
        <v>980</v>
      </c>
      <c r="D26" s="5">
        <f t="shared" ca="1" si="0"/>
        <v>65.333333333333329</v>
      </c>
      <c r="E26" s="5">
        <f t="shared" ca="1" si="1"/>
        <v>1437.3333333333333</v>
      </c>
    </row>
    <row r="27" spans="1:5" x14ac:dyDescent="0.25">
      <c r="A27">
        <v>130702</v>
      </c>
      <c r="B27" t="s">
        <v>12</v>
      </c>
      <c r="C27">
        <f>'[1]VENTAS CONSOLIDADA VALENCIA'!C27</f>
        <v>2664</v>
      </c>
      <c r="D27" s="5">
        <f t="shared" ca="1" si="0"/>
        <v>177.6</v>
      </c>
      <c r="E27" s="5">
        <f t="shared" ca="1" si="1"/>
        <v>3907.2</v>
      </c>
    </row>
    <row r="28" spans="1:5" x14ac:dyDescent="0.25">
      <c r="A28">
        <v>130703</v>
      </c>
      <c r="B28" t="s">
        <v>17</v>
      </c>
      <c r="C28">
        <f>'[1]VENTAS CONSOLIDADA VALENCIA'!C28</f>
        <v>3880</v>
      </c>
      <c r="D28" s="5">
        <f t="shared" ca="1" si="0"/>
        <v>258.66666666666669</v>
      </c>
      <c r="E28" s="5">
        <f t="shared" ca="1" si="1"/>
        <v>5690.666666666667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2414</v>
      </c>
      <c r="D30" s="5">
        <f t="shared" ca="1" si="0"/>
        <v>160.93333333333334</v>
      </c>
      <c r="E30" s="5">
        <f t="shared" ca="1" si="1"/>
        <v>3540.5333333333333</v>
      </c>
    </row>
    <row r="31" spans="1:5" x14ac:dyDescent="0.25">
      <c r="A31">
        <v>131151</v>
      </c>
      <c r="B31" t="s">
        <v>19</v>
      </c>
      <c r="C31">
        <f>'[1]VENTAS CONSOLIDADA VALENCIA'!C31</f>
        <v>3404</v>
      </c>
      <c r="D31" s="5">
        <f t="shared" ca="1" si="0"/>
        <v>226.93333333333334</v>
      </c>
      <c r="E31" s="5">
        <f t="shared" ca="1" si="1"/>
        <v>4992.5333333333338</v>
      </c>
    </row>
    <row r="32" spans="1:5" x14ac:dyDescent="0.25">
      <c r="A32">
        <v>131152</v>
      </c>
      <c r="B32" t="s">
        <v>32</v>
      </c>
      <c r="C32">
        <f>'[1]VENTAS CONSOLIDADA VALENCIA'!C32</f>
        <v>1985</v>
      </c>
      <c r="D32" s="5">
        <f t="shared" ca="1" si="0"/>
        <v>132.33333333333334</v>
      </c>
      <c r="E32" s="5">
        <f t="shared" ca="1" si="1"/>
        <v>2911.3333333333335</v>
      </c>
    </row>
    <row r="33" spans="1:5" x14ac:dyDescent="0.25">
      <c r="A33">
        <v>131153</v>
      </c>
      <c r="B33" t="s">
        <v>11</v>
      </c>
      <c r="C33">
        <f>'[1]VENTAS CONSOLIDADA VALENCIA'!C33</f>
        <v>1505</v>
      </c>
      <c r="D33" s="5">
        <f t="shared" ca="1" si="0"/>
        <v>100.33333333333333</v>
      </c>
      <c r="E33" s="5">
        <f t="shared" ca="1" si="1"/>
        <v>2207.333333333333</v>
      </c>
    </row>
    <row r="34" spans="1:5" x14ac:dyDescent="0.25">
      <c r="A34">
        <v>131154</v>
      </c>
      <c r="B34" t="s">
        <v>48</v>
      </c>
      <c r="C34">
        <f>'[1]VENTAS CONSOLIDADA VALENCIA'!C34</f>
        <v>848</v>
      </c>
      <c r="D34" s="5">
        <f t="shared" ca="1" si="0"/>
        <v>56.533333333333331</v>
      </c>
      <c r="E34" s="5">
        <f t="shared" ca="1" si="1"/>
        <v>1243.7333333333333</v>
      </c>
    </row>
    <row r="35" spans="1:5" x14ac:dyDescent="0.25">
      <c r="A35">
        <v>131155</v>
      </c>
      <c r="B35" t="s">
        <v>57</v>
      </c>
      <c r="C35">
        <f>'[1]VENTAS CONSOLIDADA VALENCIA'!C35</f>
        <v>1031</v>
      </c>
      <c r="D35" s="5">
        <f t="shared" ca="1" si="0"/>
        <v>68.733333333333334</v>
      </c>
      <c r="E35" s="5">
        <f t="shared" ca="1" si="1"/>
        <v>1512.1333333333334</v>
      </c>
    </row>
    <row r="36" spans="1:5" x14ac:dyDescent="0.25">
      <c r="A36">
        <v>131700</v>
      </c>
      <c r="B36" t="s">
        <v>20</v>
      </c>
      <c r="C36">
        <f>'[1]VENTAS CONSOLIDADA VALENCIA'!C36</f>
        <v>528</v>
      </c>
      <c r="D36" s="5">
        <f t="shared" ca="1" si="0"/>
        <v>35.200000000000003</v>
      </c>
      <c r="E36" s="5">
        <f t="shared" ca="1" si="1"/>
        <v>774.40000000000009</v>
      </c>
    </row>
    <row r="37" spans="1:5" x14ac:dyDescent="0.25">
      <c r="A37">
        <v>131701</v>
      </c>
      <c r="B37" t="s">
        <v>24</v>
      </c>
      <c r="C37">
        <f>'[1]VENTAS CONSOLIDADA VALENCIA'!C37</f>
        <v>541</v>
      </c>
      <c r="D37" s="5">
        <f t="shared" ca="1" si="0"/>
        <v>36.06666666666667</v>
      </c>
      <c r="E37" s="5">
        <f t="shared" ca="1" si="1"/>
        <v>793.4666666666667</v>
      </c>
    </row>
    <row r="38" spans="1:5" x14ac:dyDescent="0.25">
      <c r="A38">
        <v>132150</v>
      </c>
      <c r="B38" t="s">
        <v>25</v>
      </c>
      <c r="C38">
        <f>'[1]VENTAS CONSOLIDADA VALENCIA'!C38</f>
        <v>3388</v>
      </c>
      <c r="D38" s="5">
        <f t="shared" ca="1" si="0"/>
        <v>225.86666666666667</v>
      </c>
      <c r="E38" s="5">
        <f t="shared" ca="1" si="1"/>
        <v>4969.0666666666666</v>
      </c>
    </row>
    <row r="39" spans="1:5" x14ac:dyDescent="0.25">
      <c r="A39">
        <v>132151</v>
      </c>
      <c r="B39" t="s">
        <v>26</v>
      </c>
      <c r="C39">
        <f>'[1]VENTAS CONSOLIDADA VALENCIA'!C39</f>
        <v>2754</v>
      </c>
      <c r="D39" s="5">
        <f t="shared" ca="1" si="0"/>
        <v>183.6</v>
      </c>
      <c r="E39" s="5">
        <f t="shared" ca="1" si="1"/>
        <v>4039.2</v>
      </c>
    </row>
    <row r="40" spans="1:5" x14ac:dyDescent="0.25">
      <c r="A40">
        <v>132152</v>
      </c>
      <c r="B40" t="s">
        <v>27</v>
      </c>
      <c r="C40">
        <f>'[1]VENTAS CONSOLIDADA VALENCIA'!C40</f>
        <v>3717</v>
      </c>
      <c r="D40" s="5">
        <f t="shared" ca="1" si="0"/>
        <v>247.8</v>
      </c>
      <c r="E40" s="5">
        <f t="shared" ca="1" si="1"/>
        <v>5451.6</v>
      </c>
    </row>
    <row r="41" spans="1:5" x14ac:dyDescent="0.25">
      <c r="A41">
        <v>132153</v>
      </c>
      <c r="B41" t="s">
        <v>40</v>
      </c>
      <c r="C41">
        <f>'[1]VENTAS CONSOLIDADA VALENCIA'!C41</f>
        <v>2212</v>
      </c>
      <c r="D41" s="5">
        <f t="shared" ca="1" si="0"/>
        <v>147.46666666666667</v>
      </c>
      <c r="E41" s="5">
        <f t="shared" ca="1" si="1"/>
        <v>3244.2666666666669</v>
      </c>
    </row>
    <row r="42" spans="1:5" x14ac:dyDescent="0.25">
      <c r="A42">
        <v>134000</v>
      </c>
      <c r="B42" t="s">
        <v>35</v>
      </c>
      <c r="C42">
        <f>'[1]VENTAS CONSOLIDADA VALENCIA'!C42</f>
        <v>40</v>
      </c>
      <c r="D42" s="5">
        <f t="shared" ca="1" si="0"/>
        <v>2.6666666666666665</v>
      </c>
      <c r="E42" s="5">
        <f t="shared" ca="1" si="1"/>
        <v>58.666666666666664</v>
      </c>
    </row>
    <row r="43" spans="1:5" x14ac:dyDescent="0.25">
      <c r="A43">
        <v>134001</v>
      </c>
      <c r="B43" t="s">
        <v>47</v>
      </c>
      <c r="C43">
        <f>'[1]VENTAS CONSOLIDADA VALENCIA'!C43</f>
        <v>7</v>
      </c>
      <c r="D43" s="5">
        <f t="shared" ca="1" si="0"/>
        <v>0.46666666666666667</v>
      </c>
      <c r="E43" s="5">
        <f t="shared" ca="1" si="1"/>
        <v>10.266666666666667</v>
      </c>
    </row>
    <row r="44" spans="1:5" x14ac:dyDescent="0.25">
      <c r="A44">
        <v>140230</v>
      </c>
      <c r="B44" t="s">
        <v>18</v>
      </c>
      <c r="C44">
        <f>'[1]VENTAS CONSOLIDADA VALENCIA'!C44</f>
        <v>963</v>
      </c>
      <c r="D44" s="5">
        <f t="shared" ca="1" si="0"/>
        <v>64.2</v>
      </c>
      <c r="E44" s="5">
        <f t="shared" ca="1" si="1"/>
        <v>1412.4</v>
      </c>
    </row>
    <row r="45" spans="1:5" x14ac:dyDescent="0.25">
      <c r="A45">
        <v>140231</v>
      </c>
      <c r="B45" t="s">
        <v>10</v>
      </c>
      <c r="C45">
        <f>'[1]VENTAS CONSOLIDADA VALENCIA'!C45</f>
        <v>2778</v>
      </c>
      <c r="D45" s="5">
        <f t="shared" ca="1" si="0"/>
        <v>185.2</v>
      </c>
      <c r="E45" s="5">
        <f t="shared" ca="1" si="1"/>
        <v>4074.3999999999996</v>
      </c>
    </row>
    <row r="46" spans="1:5" x14ac:dyDescent="0.25">
      <c r="A46">
        <v>140232</v>
      </c>
      <c r="B46" t="s">
        <v>9</v>
      </c>
      <c r="C46">
        <f>'[1]VENTAS CONSOLIDADA VALENCIA'!C46</f>
        <v>2484</v>
      </c>
      <c r="D46" s="5">
        <f t="shared" ca="1" si="0"/>
        <v>165.6</v>
      </c>
      <c r="E46" s="5">
        <f t="shared" ca="1" si="1"/>
        <v>3643.2</v>
      </c>
    </row>
    <row r="47" spans="1:5" x14ac:dyDescent="0.25">
      <c r="A47">
        <v>150360</v>
      </c>
      <c r="B47" t="s">
        <v>28</v>
      </c>
      <c r="C47">
        <f>'[1]VENTAS CONSOLIDADA VALENCIA'!C47</f>
        <v>494</v>
      </c>
      <c r="D47" s="5">
        <f t="shared" ca="1" si="0"/>
        <v>32.93333333333333</v>
      </c>
      <c r="E47" s="5">
        <f t="shared" ca="1" si="1"/>
        <v>724.5333333333333</v>
      </c>
    </row>
    <row r="48" spans="1:5" x14ac:dyDescent="0.25">
      <c r="A48">
        <v>150361</v>
      </c>
      <c r="B48" t="s">
        <v>29</v>
      </c>
      <c r="C48">
        <f>'[1]VENTAS CONSOLIDADA VALENCIA'!C48</f>
        <v>1726</v>
      </c>
      <c r="D48" s="5">
        <f t="shared" ca="1" si="0"/>
        <v>115.06666666666666</v>
      </c>
      <c r="E48" s="5">
        <f t="shared" ca="1" si="1"/>
        <v>2531.4666666666667</v>
      </c>
    </row>
    <row r="49" spans="1:5" x14ac:dyDescent="0.25">
      <c r="A49">
        <v>150362</v>
      </c>
      <c r="B49" t="s">
        <v>36</v>
      </c>
      <c r="C49">
        <f>'[1]VENTAS CONSOLIDADA VALENCIA'!C49</f>
        <v>885</v>
      </c>
      <c r="D49" s="5">
        <f t="shared" ca="1" si="0"/>
        <v>59</v>
      </c>
      <c r="E49" s="5">
        <f t="shared" ca="1" si="1"/>
        <v>1298</v>
      </c>
    </row>
    <row r="50" spans="1:5" x14ac:dyDescent="0.25">
      <c r="A50">
        <v>150363</v>
      </c>
      <c r="B50" t="s">
        <v>31</v>
      </c>
      <c r="C50">
        <f>'[1]VENTAS CONSOLIDADA VALENCIA'!C50</f>
        <v>1103</v>
      </c>
      <c r="D50" s="5">
        <f t="shared" ca="1" si="0"/>
        <v>73.533333333333331</v>
      </c>
      <c r="E50" s="5">
        <f t="shared" ca="1" si="1"/>
        <v>1617.7333333333333</v>
      </c>
    </row>
    <row r="51" spans="1:5" x14ac:dyDescent="0.25">
      <c r="A51">
        <v>151500</v>
      </c>
      <c r="B51" t="s">
        <v>41</v>
      </c>
      <c r="C51">
        <f>'[1]VENTAS CONSOLIDADA VALENCIA'!C51</f>
        <v>182</v>
      </c>
      <c r="D51" s="5">
        <f t="shared" ca="1" si="0"/>
        <v>12.133333333333333</v>
      </c>
      <c r="E51" s="5">
        <f t="shared" ca="1" si="1"/>
        <v>266.93333333333334</v>
      </c>
    </row>
    <row r="52" spans="1:5" x14ac:dyDescent="0.25">
      <c r="A52">
        <v>151501</v>
      </c>
      <c r="B52" t="s">
        <v>33</v>
      </c>
      <c r="C52">
        <f>'[1]VENTAS CONSOLIDADA VALENCIA'!C52</f>
        <v>420</v>
      </c>
      <c r="D52" s="5">
        <f t="shared" ca="1" si="0"/>
        <v>28</v>
      </c>
      <c r="E52" s="5">
        <f t="shared" ca="1" si="1"/>
        <v>616</v>
      </c>
    </row>
    <row r="53" spans="1:5" x14ac:dyDescent="0.25">
      <c r="A53">
        <v>151502</v>
      </c>
      <c r="B53" t="s">
        <v>37</v>
      </c>
      <c r="C53">
        <f>'[1]VENTAS CONSOLIDADA VALENCIA'!C53</f>
        <v>146</v>
      </c>
      <c r="D53" s="5">
        <f t="shared" ca="1" si="0"/>
        <v>9.7333333333333325</v>
      </c>
      <c r="E53" s="5">
        <f t="shared" ca="1" si="1"/>
        <v>214.13333333333333</v>
      </c>
    </row>
    <row r="54" spans="1:5" x14ac:dyDescent="0.25">
      <c r="A54">
        <v>151503</v>
      </c>
      <c r="B54" t="s">
        <v>34</v>
      </c>
      <c r="C54">
        <f>'[1]VENTAS CONSOLIDADA VALENCIA'!C54</f>
        <v>130</v>
      </c>
      <c r="D54" s="5">
        <f t="shared" ca="1" si="0"/>
        <v>8.6666666666666661</v>
      </c>
      <c r="E54" s="5">
        <f t="shared" ca="1" si="1"/>
        <v>190.66666666666666</v>
      </c>
    </row>
    <row r="55" spans="1:5" x14ac:dyDescent="0.25">
      <c r="D55" s="5">
        <f ca="1">SUM(D8:D54)</f>
        <v>7910.2000000000025</v>
      </c>
      <c r="E55" s="5">
        <f ca="1">SUM(E8:E54)</f>
        <v>174024.40000000002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46287</v>
      </c>
      <c r="E2" s="4">
        <f ca="1">'[1]VENTAS CONSOLIDADA CARACAS'!E2</f>
        <v>15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7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12018</v>
      </c>
      <c r="D8" s="5">
        <f t="shared" ref="D8:D54" ca="1" si="0">C8/$E$2</f>
        <v>801.2</v>
      </c>
      <c r="E8" s="5">
        <f ca="1">D8*($E$2+$E$3)</f>
        <v>17626.400000000001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466</v>
      </c>
      <c r="D9" s="5">
        <f t="shared" ca="1" si="0"/>
        <v>31.066666666666666</v>
      </c>
      <c r="E9" s="5">
        <f t="shared" ref="E9:E54" ca="1" si="1">D9*($E$2+$E$3)</f>
        <v>683.4666666666667</v>
      </c>
    </row>
    <row r="10" spans="1:6" x14ac:dyDescent="0.25">
      <c r="A10">
        <v>110230</v>
      </c>
      <c r="B10" t="s">
        <v>1</v>
      </c>
      <c r="C10">
        <f>'[1]VENTAS CONSOLIDADA CARACAS'!C10</f>
        <v>5226</v>
      </c>
      <c r="D10" s="5">
        <f t="shared" ca="1" si="0"/>
        <v>348.4</v>
      </c>
      <c r="E10" s="5">
        <f t="shared" ca="1" si="1"/>
        <v>7664.7999999999993</v>
      </c>
    </row>
    <row r="11" spans="1:6" x14ac:dyDescent="0.25">
      <c r="A11">
        <v>110400</v>
      </c>
      <c r="B11" t="s">
        <v>13</v>
      </c>
      <c r="C11">
        <f>'[1]VENTAS CONSOLIDADA CARACAS'!C11</f>
        <v>1077</v>
      </c>
      <c r="D11" s="5">
        <f t="shared" ca="1" si="0"/>
        <v>71.8</v>
      </c>
      <c r="E11" s="5">
        <f t="shared" ca="1" si="1"/>
        <v>1579.6</v>
      </c>
    </row>
    <row r="12" spans="1:6" x14ac:dyDescent="0.25">
      <c r="A12">
        <v>111000</v>
      </c>
      <c r="B12" t="s">
        <v>14</v>
      </c>
      <c r="C12">
        <f>'[1]VENTAS CONSOLIDADA CARACAS'!C12</f>
        <v>146</v>
      </c>
      <c r="D12" s="5">
        <f t="shared" ca="1" si="0"/>
        <v>9.7333333333333325</v>
      </c>
      <c r="E12" s="5">
        <f t="shared" ca="1" si="1"/>
        <v>214.13333333333333</v>
      </c>
    </row>
    <row r="13" spans="1:6" x14ac:dyDescent="0.25">
      <c r="A13">
        <v>120130</v>
      </c>
      <c r="B13" t="s">
        <v>15</v>
      </c>
      <c r="C13">
        <f>'[1]VENTAS CONSOLIDADA CARACAS'!C13</f>
        <v>12949</v>
      </c>
      <c r="D13" s="5">
        <f t="shared" ca="1" si="0"/>
        <v>863.26666666666665</v>
      </c>
      <c r="E13" s="5">
        <f t="shared" ca="1" si="1"/>
        <v>18991.866666666665</v>
      </c>
    </row>
    <row r="14" spans="1:6" x14ac:dyDescent="0.25">
      <c r="A14">
        <v>120131</v>
      </c>
      <c r="B14" t="s">
        <v>23</v>
      </c>
      <c r="C14">
        <f>'[1]VENTAS CONSOLIDADA CARACAS'!C14</f>
        <v>842</v>
      </c>
      <c r="D14" s="5">
        <f t="shared" ca="1" si="0"/>
        <v>56.133333333333333</v>
      </c>
      <c r="E14" s="5">
        <f t="shared" ca="1" si="1"/>
        <v>1234.9333333333334</v>
      </c>
    </row>
    <row r="15" spans="1:6" x14ac:dyDescent="0.25">
      <c r="A15">
        <v>120132</v>
      </c>
      <c r="B15" t="s">
        <v>21</v>
      </c>
      <c r="C15">
        <f>'[1]VENTAS CONSOLIDADA CARACAS'!C15</f>
        <v>1882</v>
      </c>
      <c r="D15" s="5">
        <f t="shared" ca="1" si="0"/>
        <v>125.46666666666667</v>
      </c>
      <c r="E15" s="5">
        <f t="shared" ca="1" si="1"/>
        <v>2760.2666666666669</v>
      </c>
    </row>
    <row r="16" spans="1:6" x14ac:dyDescent="0.25">
      <c r="A16">
        <v>130150</v>
      </c>
      <c r="B16" t="s">
        <v>0</v>
      </c>
      <c r="C16">
        <f>'[1]VENTAS CONSOLIDADA CARACAS'!C16</f>
        <v>4396</v>
      </c>
      <c r="D16" s="5">
        <f t="shared" ca="1" si="0"/>
        <v>293.06666666666666</v>
      </c>
      <c r="E16" s="5">
        <f t="shared" ca="1" si="1"/>
        <v>6447.4666666666662</v>
      </c>
    </row>
    <row r="17" spans="1:5" x14ac:dyDescent="0.25">
      <c r="A17">
        <v>130151</v>
      </c>
      <c r="B17" t="s">
        <v>4</v>
      </c>
      <c r="C17">
        <f>'[1]VENTAS CONSOLIDADA CARACAS'!C17</f>
        <v>2545</v>
      </c>
      <c r="D17" s="5">
        <f t="shared" ca="1" si="0"/>
        <v>169.66666666666666</v>
      </c>
      <c r="E17" s="5">
        <f t="shared" ca="1" si="1"/>
        <v>3732.6666666666665</v>
      </c>
    </row>
    <row r="18" spans="1:5" x14ac:dyDescent="0.25">
      <c r="A18">
        <v>130152</v>
      </c>
      <c r="B18" t="s">
        <v>51</v>
      </c>
      <c r="C18">
        <f>'[1]VENTAS CONSOLIDADA CARACAS'!C18</f>
        <v>24885</v>
      </c>
      <c r="D18" s="5">
        <f t="shared" ca="1" si="0"/>
        <v>1659</v>
      </c>
      <c r="E18" s="5">
        <f t="shared" ca="1" si="1"/>
        <v>36498</v>
      </c>
    </row>
    <row r="19" spans="1:5" x14ac:dyDescent="0.25">
      <c r="A19">
        <v>130153</v>
      </c>
      <c r="B19" t="s">
        <v>52</v>
      </c>
      <c r="C19">
        <f>'[1]VENTAS CONSOLIDADA CARACAS'!C19</f>
        <v>16304</v>
      </c>
      <c r="D19" s="5">
        <f t="shared" ca="1" si="0"/>
        <v>1086.9333333333334</v>
      </c>
      <c r="E19" s="5">
        <f t="shared" ca="1" si="1"/>
        <v>23912.533333333333</v>
      </c>
    </row>
    <row r="20" spans="1:5" x14ac:dyDescent="0.25">
      <c r="A20">
        <v>130154</v>
      </c>
      <c r="B20" t="s">
        <v>53</v>
      </c>
      <c r="C20">
        <f>'[1]VENTAS CONSOLIDADA CARACAS'!C20</f>
        <v>16080</v>
      </c>
      <c r="D20" s="5">
        <f t="shared" ca="1" si="0"/>
        <v>1072</v>
      </c>
      <c r="E20" s="5">
        <f t="shared" ca="1" si="1"/>
        <v>23584</v>
      </c>
    </row>
    <row r="21" spans="1:5" x14ac:dyDescent="0.25">
      <c r="A21">
        <v>130155</v>
      </c>
      <c r="B21" t="s">
        <v>16</v>
      </c>
      <c r="C21">
        <f>'[1]VENTAS CONSOLIDADA CARACAS'!C21</f>
        <v>20844</v>
      </c>
      <c r="D21" s="5">
        <f t="shared" ca="1" si="0"/>
        <v>1389.6</v>
      </c>
      <c r="E21" s="5">
        <f t="shared" ca="1" si="1"/>
        <v>30571.199999999997</v>
      </c>
    </row>
    <row r="22" spans="1:5" x14ac:dyDescent="0.25">
      <c r="A22">
        <v>130157</v>
      </c>
      <c r="B22" t="s">
        <v>43</v>
      </c>
      <c r="C22">
        <f>'[1]VENTAS CONSOLIDADA CARACAS'!C22</f>
        <v>5000</v>
      </c>
      <c r="D22" s="5">
        <f t="shared" ca="1" si="0"/>
        <v>333.33333333333331</v>
      </c>
      <c r="E22" s="5">
        <f t="shared" ca="1" si="1"/>
        <v>7333.333333333333</v>
      </c>
    </row>
    <row r="23" spans="1:5" x14ac:dyDescent="0.25">
      <c r="A23">
        <v>130158</v>
      </c>
      <c r="B23" t="s">
        <v>44</v>
      </c>
      <c r="C23">
        <f>'[1]VENTAS CONSOLIDADA CARACAS'!C23</f>
        <v>4882</v>
      </c>
      <c r="D23" s="5">
        <f t="shared" ca="1" si="0"/>
        <v>325.46666666666664</v>
      </c>
      <c r="E23" s="5">
        <f t="shared" ca="1" si="1"/>
        <v>7160.2666666666664</v>
      </c>
    </row>
    <row r="24" spans="1:5" x14ac:dyDescent="0.25">
      <c r="A24">
        <v>130159</v>
      </c>
      <c r="B24" t="s">
        <v>45</v>
      </c>
      <c r="C24">
        <f>'[1]VENTAS CONSOLIDADA CARACAS'!C24</f>
        <v>5340</v>
      </c>
      <c r="D24" s="5">
        <f t="shared" ca="1" si="0"/>
        <v>356</v>
      </c>
      <c r="E24" s="5">
        <f t="shared" ca="1" si="1"/>
        <v>7832</v>
      </c>
    </row>
    <row r="25" spans="1:5" x14ac:dyDescent="0.25">
      <c r="A25">
        <v>130700</v>
      </c>
      <c r="B25" t="s">
        <v>3</v>
      </c>
      <c r="C25">
        <f>'[1]VENTAS CONSOLIDADA CARACAS'!C25</f>
        <v>1400</v>
      </c>
      <c r="D25" s="5">
        <f t="shared" ca="1" si="0"/>
        <v>93.333333333333329</v>
      </c>
      <c r="E25" s="5">
        <f t="shared" ca="1" si="1"/>
        <v>2053.333333333333</v>
      </c>
    </row>
    <row r="26" spans="1:5" x14ac:dyDescent="0.25">
      <c r="A26">
        <v>130701</v>
      </c>
      <c r="B26" t="s">
        <v>30</v>
      </c>
      <c r="C26">
        <f>'[1]VENTAS CONSOLIDADA CARACAS'!C26</f>
        <v>658</v>
      </c>
      <c r="D26" s="5">
        <f t="shared" ca="1" si="0"/>
        <v>43.866666666666667</v>
      </c>
      <c r="E26" s="5">
        <f t="shared" ca="1" si="1"/>
        <v>965.06666666666672</v>
      </c>
    </row>
    <row r="27" spans="1:5" x14ac:dyDescent="0.25">
      <c r="A27">
        <v>130702</v>
      </c>
      <c r="B27" t="s">
        <v>12</v>
      </c>
      <c r="C27">
        <f>'[1]VENTAS CONSOLIDADA CARACAS'!C27</f>
        <v>3226</v>
      </c>
      <c r="D27" s="5">
        <f t="shared" ca="1" si="0"/>
        <v>215.06666666666666</v>
      </c>
      <c r="E27" s="5">
        <f t="shared" ca="1" si="1"/>
        <v>4731.4666666666662</v>
      </c>
    </row>
    <row r="28" spans="1:5" x14ac:dyDescent="0.25">
      <c r="A28">
        <v>130703</v>
      </c>
      <c r="B28" t="s">
        <v>17</v>
      </c>
      <c r="C28">
        <f>'[1]VENTAS CONSOLIDADA CARACAS'!C28</f>
        <v>6282</v>
      </c>
      <c r="D28" s="5">
        <f t="shared" ca="1" si="0"/>
        <v>418.8</v>
      </c>
      <c r="E28" s="5">
        <f t="shared" ca="1" si="1"/>
        <v>9213.6</v>
      </c>
    </row>
    <row r="29" spans="1:5" x14ac:dyDescent="0.25">
      <c r="A29">
        <v>130707</v>
      </c>
      <c r="B29" t="s">
        <v>42</v>
      </c>
      <c r="C29">
        <f>'[1]VENTAS CONSOLIDADA CARACAS'!C29</f>
        <v>890</v>
      </c>
      <c r="D29" s="5">
        <f t="shared" ca="1" si="0"/>
        <v>59.333333333333336</v>
      </c>
      <c r="E29" s="5">
        <f t="shared" ca="1" si="1"/>
        <v>1305.3333333333335</v>
      </c>
    </row>
    <row r="30" spans="1:5" x14ac:dyDescent="0.25">
      <c r="A30">
        <v>131150</v>
      </c>
      <c r="B30" t="s">
        <v>22</v>
      </c>
      <c r="C30">
        <f>'[1]VENTAS CONSOLIDADA CARACAS'!C30</f>
        <v>6462</v>
      </c>
      <c r="D30" s="5">
        <f t="shared" ca="1" si="0"/>
        <v>430.8</v>
      </c>
      <c r="E30" s="5">
        <f t="shared" ca="1" si="1"/>
        <v>9477.6</v>
      </c>
    </row>
    <row r="31" spans="1:5" x14ac:dyDescent="0.25">
      <c r="A31">
        <v>131151</v>
      </c>
      <c r="B31" t="s">
        <v>19</v>
      </c>
      <c r="C31">
        <f>'[1]VENTAS CONSOLIDADA CARACAS'!C31</f>
        <v>9390</v>
      </c>
      <c r="D31" s="5">
        <f t="shared" ca="1" si="0"/>
        <v>626</v>
      </c>
      <c r="E31" s="5">
        <f t="shared" ca="1" si="1"/>
        <v>13772</v>
      </c>
    </row>
    <row r="32" spans="1:5" x14ac:dyDescent="0.25">
      <c r="A32">
        <v>131152</v>
      </c>
      <c r="B32" t="s">
        <v>32</v>
      </c>
      <c r="C32">
        <f>'[1]VENTAS CONSOLIDADA CARACAS'!C32</f>
        <v>4051</v>
      </c>
      <c r="D32" s="5">
        <f t="shared" ca="1" si="0"/>
        <v>270.06666666666666</v>
      </c>
      <c r="E32" s="5">
        <f t="shared" ca="1" si="1"/>
        <v>5941.4666666666662</v>
      </c>
    </row>
    <row r="33" spans="1:5" x14ac:dyDescent="0.25">
      <c r="A33">
        <v>131153</v>
      </c>
      <c r="B33" t="s">
        <v>11</v>
      </c>
      <c r="C33">
        <f>'[1]VENTAS CONSOLIDADA CARACAS'!C33</f>
        <v>2871</v>
      </c>
      <c r="D33" s="5">
        <f t="shared" ca="1" si="0"/>
        <v>191.4</v>
      </c>
      <c r="E33" s="5">
        <f t="shared" ca="1" si="1"/>
        <v>4210.8</v>
      </c>
    </row>
    <row r="34" spans="1:5" x14ac:dyDescent="0.25">
      <c r="A34">
        <v>131154</v>
      </c>
      <c r="B34" t="s">
        <v>48</v>
      </c>
      <c r="C34">
        <f>'[1]VENTAS CONSOLIDADA CARACAS'!C34</f>
        <v>1421</v>
      </c>
      <c r="D34" s="5">
        <f t="shared" ca="1" si="0"/>
        <v>94.733333333333334</v>
      </c>
      <c r="E34" s="5">
        <f t="shared" ca="1" si="1"/>
        <v>2084.1333333333332</v>
      </c>
    </row>
    <row r="35" spans="1:5" x14ac:dyDescent="0.25">
      <c r="A35">
        <v>131155</v>
      </c>
      <c r="B35" t="s">
        <v>57</v>
      </c>
      <c r="C35">
        <f>'[1]VENTAS CONSOLIDADA CARACAS'!C35</f>
        <v>1831</v>
      </c>
      <c r="D35" s="5">
        <f t="shared" ca="1" si="0"/>
        <v>122.06666666666666</v>
      </c>
      <c r="E35" s="5">
        <f t="shared" ca="1" si="1"/>
        <v>2685.4666666666667</v>
      </c>
    </row>
    <row r="36" spans="1:5" x14ac:dyDescent="0.25">
      <c r="A36">
        <v>131700</v>
      </c>
      <c r="B36" t="s">
        <v>20</v>
      </c>
      <c r="C36">
        <f>'[1]VENTAS CONSOLIDADA CARACAS'!C36</f>
        <v>993</v>
      </c>
      <c r="D36" s="5">
        <f t="shared" ca="1" si="0"/>
        <v>66.2</v>
      </c>
      <c r="E36" s="5">
        <f t="shared" ca="1" si="1"/>
        <v>1456.4</v>
      </c>
    </row>
    <row r="37" spans="1:5" x14ac:dyDescent="0.25">
      <c r="A37">
        <v>131701</v>
      </c>
      <c r="B37" t="s">
        <v>24</v>
      </c>
      <c r="C37">
        <f>'[1]VENTAS CONSOLIDADA CARACAS'!C37</f>
        <v>1029</v>
      </c>
      <c r="D37" s="5">
        <f t="shared" ca="1" si="0"/>
        <v>68.599999999999994</v>
      </c>
      <c r="E37" s="5">
        <f t="shared" ca="1" si="1"/>
        <v>1509.1999999999998</v>
      </c>
    </row>
    <row r="38" spans="1:5" x14ac:dyDescent="0.25">
      <c r="A38">
        <v>132150</v>
      </c>
      <c r="B38" t="s">
        <v>25</v>
      </c>
      <c r="C38">
        <f>'[1]VENTAS CONSOLIDADA CARACAS'!C38</f>
        <v>4663</v>
      </c>
      <c r="D38" s="5">
        <f t="shared" ca="1" si="0"/>
        <v>310.86666666666667</v>
      </c>
      <c r="E38" s="5">
        <f t="shared" ca="1" si="1"/>
        <v>6839.0666666666666</v>
      </c>
    </row>
    <row r="39" spans="1:5" x14ac:dyDescent="0.25">
      <c r="A39">
        <v>132151</v>
      </c>
      <c r="B39" t="s">
        <v>26</v>
      </c>
      <c r="C39">
        <f>'[1]VENTAS CONSOLIDADA CARACAS'!C39</f>
        <v>4160</v>
      </c>
      <c r="D39" s="5">
        <f t="shared" ca="1" si="0"/>
        <v>277.33333333333331</v>
      </c>
      <c r="E39" s="5">
        <f t="shared" ca="1" si="1"/>
        <v>6101.333333333333</v>
      </c>
    </row>
    <row r="40" spans="1:5" x14ac:dyDescent="0.25">
      <c r="A40">
        <v>132152</v>
      </c>
      <c r="B40" t="s">
        <v>27</v>
      </c>
      <c r="C40">
        <f>'[1]VENTAS CONSOLIDADA CARACAS'!C40</f>
        <v>5456</v>
      </c>
      <c r="D40" s="5">
        <f t="shared" ca="1" si="0"/>
        <v>363.73333333333335</v>
      </c>
      <c r="E40" s="5">
        <f t="shared" ca="1" si="1"/>
        <v>8002.1333333333332</v>
      </c>
    </row>
    <row r="41" spans="1:5" x14ac:dyDescent="0.25">
      <c r="A41">
        <v>132153</v>
      </c>
      <c r="B41" t="s">
        <v>40</v>
      </c>
      <c r="C41">
        <f>'[1]VENTAS CONSOLIDADA CARACAS'!C41</f>
        <v>3996</v>
      </c>
      <c r="D41" s="5">
        <f t="shared" ca="1" si="0"/>
        <v>266.39999999999998</v>
      </c>
      <c r="E41" s="5">
        <f t="shared" ca="1" si="1"/>
        <v>5860.7999999999993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773</v>
      </c>
      <c r="D44" s="5">
        <f t="shared" ca="1" si="0"/>
        <v>51.533333333333331</v>
      </c>
      <c r="E44" s="5">
        <f t="shared" ca="1" si="1"/>
        <v>1133.7333333333333</v>
      </c>
    </row>
    <row r="45" spans="1:5" x14ac:dyDescent="0.25">
      <c r="A45">
        <v>140231</v>
      </c>
      <c r="B45" t="s">
        <v>10</v>
      </c>
      <c r="C45">
        <f>'[1]VENTAS CONSOLIDADA CARACAS'!C45</f>
        <v>4097</v>
      </c>
      <c r="D45" s="5">
        <f t="shared" ca="1" si="0"/>
        <v>273.13333333333333</v>
      </c>
      <c r="E45" s="5">
        <f t="shared" ca="1" si="1"/>
        <v>6008.9333333333334</v>
      </c>
    </row>
    <row r="46" spans="1:5" x14ac:dyDescent="0.25">
      <c r="A46">
        <v>140232</v>
      </c>
      <c r="B46" t="s">
        <v>9</v>
      </c>
      <c r="C46">
        <f>'[1]VENTAS CONSOLIDADA CARACAS'!C46</f>
        <v>2893</v>
      </c>
      <c r="D46" s="5">
        <f t="shared" ca="1" si="0"/>
        <v>192.86666666666667</v>
      </c>
      <c r="E46" s="5">
        <f t="shared" ca="1" si="1"/>
        <v>4243.0666666666666</v>
      </c>
    </row>
    <row r="47" spans="1:5" x14ac:dyDescent="0.25">
      <c r="A47">
        <v>150360</v>
      </c>
      <c r="B47" t="s">
        <v>28</v>
      </c>
      <c r="C47">
        <f>'[1]VENTAS CONSOLIDADA CARACAS'!C47</f>
        <v>2123</v>
      </c>
      <c r="D47" s="5">
        <f t="shared" ca="1" si="0"/>
        <v>141.53333333333333</v>
      </c>
      <c r="E47" s="5">
        <f t="shared" ca="1" si="1"/>
        <v>3113.7333333333331</v>
      </c>
    </row>
    <row r="48" spans="1:5" x14ac:dyDescent="0.25">
      <c r="A48">
        <v>150361</v>
      </c>
      <c r="B48" t="s">
        <v>29</v>
      </c>
      <c r="C48">
        <f>'[1]VENTAS CONSOLIDADA CARACAS'!C48</f>
        <v>3917</v>
      </c>
      <c r="D48" s="5">
        <f t="shared" ca="1" si="0"/>
        <v>261.13333333333333</v>
      </c>
      <c r="E48" s="5">
        <f t="shared" ca="1" si="1"/>
        <v>5744.9333333333334</v>
      </c>
    </row>
    <row r="49" spans="1:5" x14ac:dyDescent="0.25">
      <c r="A49">
        <v>150362</v>
      </c>
      <c r="B49" t="s">
        <v>36</v>
      </c>
      <c r="C49">
        <f>'[1]VENTAS CONSOLIDADA CARACAS'!C49</f>
        <v>2621</v>
      </c>
      <c r="D49" s="5">
        <f t="shared" ca="1" si="0"/>
        <v>174.73333333333332</v>
      </c>
      <c r="E49" s="5">
        <f t="shared" ca="1" si="1"/>
        <v>3844.1333333333332</v>
      </c>
    </row>
    <row r="50" spans="1:5" x14ac:dyDescent="0.25">
      <c r="A50">
        <v>150363</v>
      </c>
      <c r="B50" t="s">
        <v>31</v>
      </c>
      <c r="C50">
        <f>'[1]VENTAS CONSOLIDADA CARACAS'!C50</f>
        <v>2361</v>
      </c>
      <c r="D50" s="5">
        <f t="shared" ca="1" si="0"/>
        <v>157.4</v>
      </c>
      <c r="E50" s="5">
        <f t="shared" ca="1" si="1"/>
        <v>3462.8</v>
      </c>
    </row>
    <row r="51" spans="1:5" x14ac:dyDescent="0.25">
      <c r="A51">
        <v>151500</v>
      </c>
      <c r="B51" t="s">
        <v>41</v>
      </c>
      <c r="C51">
        <f>'[1]VENTAS CONSOLIDADA CARACAS'!C51</f>
        <v>523</v>
      </c>
      <c r="D51" s="5">
        <f t="shared" ca="1" si="0"/>
        <v>34.866666666666667</v>
      </c>
      <c r="E51" s="5">
        <f t="shared" ca="1" si="1"/>
        <v>767.06666666666672</v>
      </c>
    </row>
    <row r="52" spans="1:5" x14ac:dyDescent="0.25">
      <c r="A52">
        <v>151501</v>
      </c>
      <c r="B52" t="s">
        <v>33</v>
      </c>
      <c r="C52">
        <f>'[1]VENTAS CONSOLIDADA CARACAS'!C52</f>
        <v>1045</v>
      </c>
      <c r="D52" s="5">
        <f t="shared" ca="1" si="0"/>
        <v>69.666666666666671</v>
      </c>
      <c r="E52" s="5">
        <f t="shared" ca="1" si="1"/>
        <v>1532.6666666666667</v>
      </c>
    </row>
    <row r="53" spans="1:5" x14ac:dyDescent="0.25">
      <c r="A53">
        <v>151502</v>
      </c>
      <c r="B53" t="s">
        <v>37</v>
      </c>
      <c r="C53">
        <f>'[1]VENTAS CONSOLIDADA CARACAS'!C53</f>
        <v>374</v>
      </c>
      <c r="D53" s="5">
        <f t="shared" ca="1" si="0"/>
        <v>24.933333333333334</v>
      </c>
      <c r="E53" s="5">
        <f t="shared" ca="1" si="1"/>
        <v>548.5333333333333</v>
      </c>
    </row>
    <row r="54" spans="1:5" x14ac:dyDescent="0.25">
      <c r="A54">
        <v>151503</v>
      </c>
      <c r="B54" t="s">
        <v>34</v>
      </c>
      <c r="C54">
        <f>'[1]VENTAS CONSOLIDADA CARACAS'!C54</f>
        <v>517</v>
      </c>
      <c r="D54" s="5">
        <f t="shared" ca="1" si="0"/>
        <v>34.466666666666669</v>
      </c>
      <c r="E54" s="5">
        <f t="shared" ca="1" si="1"/>
        <v>758.26666666666665</v>
      </c>
    </row>
    <row r="55" spans="1:5" x14ac:dyDescent="0.25">
      <c r="D55" s="5">
        <f ca="1">SUM(D8:D54)</f>
        <v>14327.000000000002</v>
      </c>
      <c r="E55" s="5">
        <f ca="1">SUM(E8:E54)</f>
        <v>315194.00000000006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46287</v>
      </c>
      <c r="E2" s="4">
        <f ca="1">'[1]VENTAS CONSOLIDADA LARA'!E2</f>
        <v>15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7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702</v>
      </c>
      <c r="D8" s="5">
        <f t="shared" ref="D8:D54" ca="1" si="0">C8/$E$2</f>
        <v>46.8</v>
      </c>
      <c r="E8" s="5">
        <f ca="1">D8*($E$2+$E$3)</f>
        <v>1029.5999999999999</v>
      </c>
    </row>
    <row r="9" spans="1:5" x14ac:dyDescent="0.25">
      <c r="A9">
        <v>110151</v>
      </c>
      <c r="B9" t="s">
        <v>5</v>
      </c>
      <c r="C9">
        <f>'[1]VENTAS CONSOLIDADA LARA'!C9</f>
        <v>27</v>
      </c>
      <c r="D9" s="5">
        <f t="shared" ca="1" si="0"/>
        <v>1.8</v>
      </c>
      <c r="E9" s="5">
        <f t="shared" ref="E9:E54" ca="1" si="1">D9*($E$2+$E$3)</f>
        <v>39.6</v>
      </c>
    </row>
    <row r="10" spans="1:5" x14ac:dyDescent="0.25">
      <c r="A10">
        <v>110230</v>
      </c>
      <c r="B10" t="s">
        <v>1</v>
      </c>
      <c r="C10">
        <f>'[1]VENTAS CONSOLIDADA LARA'!C10</f>
        <v>209</v>
      </c>
      <c r="D10" s="5">
        <f t="shared" ca="1" si="0"/>
        <v>13.933333333333334</v>
      </c>
      <c r="E10" s="5">
        <f t="shared" ca="1" si="1"/>
        <v>306.53333333333336</v>
      </c>
    </row>
    <row r="11" spans="1:5" x14ac:dyDescent="0.25">
      <c r="A11">
        <v>110400</v>
      </c>
      <c r="B11" t="s">
        <v>13</v>
      </c>
      <c r="C11">
        <f>'[1]VENTAS CONSOLIDADA LARA'!C11</f>
        <v>14</v>
      </c>
      <c r="D11" s="5">
        <f t="shared" ca="1" si="0"/>
        <v>0.93333333333333335</v>
      </c>
      <c r="E11" s="5">
        <f t="shared" ca="1" si="1"/>
        <v>20.533333333333335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2240</v>
      </c>
      <c r="D13" s="5">
        <f t="shared" ca="1" si="0"/>
        <v>149.33333333333334</v>
      </c>
      <c r="E13" s="5">
        <f t="shared" ca="1" si="1"/>
        <v>3285.3333333333335</v>
      </c>
    </row>
    <row r="14" spans="1:5" x14ac:dyDescent="0.25">
      <c r="A14">
        <v>120131</v>
      </c>
      <c r="B14" t="s">
        <v>23</v>
      </c>
      <c r="C14">
        <f>'[1]VENTAS CONSOLIDADA LARA'!C14</f>
        <v>179</v>
      </c>
      <c r="D14" s="5">
        <f t="shared" ca="1" si="0"/>
        <v>11.933333333333334</v>
      </c>
      <c r="E14" s="5">
        <f t="shared" ca="1" si="1"/>
        <v>262.53333333333336</v>
      </c>
    </row>
    <row r="15" spans="1:5" x14ac:dyDescent="0.25">
      <c r="A15">
        <v>120132</v>
      </c>
      <c r="B15" t="s">
        <v>21</v>
      </c>
      <c r="C15">
        <f>'[1]VENTAS CONSOLIDADA LARA'!C15</f>
        <v>246</v>
      </c>
      <c r="D15" s="5">
        <f t="shared" ca="1" si="0"/>
        <v>16.399999999999999</v>
      </c>
      <c r="E15" s="5">
        <f t="shared" ca="1" si="1"/>
        <v>360.79999999999995</v>
      </c>
    </row>
    <row r="16" spans="1:5" x14ac:dyDescent="0.25">
      <c r="A16">
        <v>130150</v>
      </c>
      <c r="B16" t="s">
        <v>0</v>
      </c>
      <c r="C16">
        <f>'[1]VENTAS CONSOLIDADA LARA'!C16</f>
        <v>1062</v>
      </c>
      <c r="D16" s="5">
        <f t="shared" ca="1" si="0"/>
        <v>70.8</v>
      </c>
      <c r="E16" s="5">
        <f t="shared" ca="1" si="1"/>
        <v>1557.6</v>
      </c>
    </row>
    <row r="17" spans="1:5" x14ac:dyDescent="0.25">
      <c r="A17">
        <v>130151</v>
      </c>
      <c r="B17" t="s">
        <v>4</v>
      </c>
      <c r="C17">
        <f>'[1]VENTAS CONSOLIDADA LARA'!C17</f>
        <v>336</v>
      </c>
      <c r="D17" s="5">
        <f t="shared" ca="1" si="0"/>
        <v>22.4</v>
      </c>
      <c r="E17" s="5">
        <f t="shared" ca="1" si="1"/>
        <v>492.79999999999995</v>
      </c>
    </row>
    <row r="18" spans="1:5" x14ac:dyDescent="0.25">
      <c r="A18">
        <v>130152</v>
      </c>
      <c r="B18" t="s">
        <v>51</v>
      </c>
      <c r="C18">
        <f>'[1]VENTAS CONSOLIDADA LARA'!C18</f>
        <v>8167</v>
      </c>
      <c r="D18" s="5">
        <f t="shared" ca="1" si="0"/>
        <v>544.4666666666667</v>
      </c>
      <c r="E18" s="5">
        <f t="shared" ca="1" si="1"/>
        <v>11978.266666666666</v>
      </c>
    </row>
    <row r="19" spans="1:5" x14ac:dyDescent="0.25">
      <c r="A19">
        <v>130153</v>
      </c>
      <c r="B19" t="s">
        <v>52</v>
      </c>
      <c r="C19">
        <f>'[1]VENTAS CONSOLIDADA LARA'!C19</f>
        <v>4307</v>
      </c>
      <c r="D19" s="5">
        <f t="shared" ca="1" si="0"/>
        <v>287.13333333333333</v>
      </c>
      <c r="E19" s="5">
        <f t="shared" ca="1" si="1"/>
        <v>6316.9333333333334</v>
      </c>
    </row>
    <row r="20" spans="1:5" x14ac:dyDescent="0.25">
      <c r="A20">
        <v>130154</v>
      </c>
      <c r="B20" t="s">
        <v>53</v>
      </c>
      <c r="C20">
        <f>'[1]VENTAS CONSOLIDADA LARA'!C20</f>
        <v>4355</v>
      </c>
      <c r="D20" s="5">
        <f t="shared" ca="1" si="0"/>
        <v>290.33333333333331</v>
      </c>
      <c r="E20" s="5">
        <f t="shared" ca="1" si="1"/>
        <v>6387.333333333333</v>
      </c>
    </row>
    <row r="21" spans="1:5" x14ac:dyDescent="0.25">
      <c r="A21">
        <v>130155</v>
      </c>
      <c r="B21" t="s">
        <v>16</v>
      </c>
      <c r="C21">
        <f>'[1]VENTAS CONSOLIDADA LARA'!C21</f>
        <v>5391</v>
      </c>
      <c r="D21" s="5">
        <f t="shared" ca="1" si="0"/>
        <v>359.4</v>
      </c>
      <c r="E21" s="5">
        <f t="shared" ca="1" si="1"/>
        <v>7906.7999999999993</v>
      </c>
    </row>
    <row r="22" spans="1:5" x14ac:dyDescent="0.25">
      <c r="A22">
        <v>130157</v>
      </c>
      <c r="B22" t="s">
        <v>43</v>
      </c>
      <c r="C22">
        <f>'[1]VENTAS CONSOLIDADA LARA'!C22</f>
        <v>1734</v>
      </c>
      <c r="D22" s="5">
        <f t="shared" ca="1" si="0"/>
        <v>115.6</v>
      </c>
      <c r="E22" s="5">
        <f t="shared" ca="1" si="1"/>
        <v>2543.1999999999998</v>
      </c>
    </row>
    <row r="23" spans="1:5" x14ac:dyDescent="0.25">
      <c r="A23">
        <v>130158</v>
      </c>
      <c r="B23" t="s">
        <v>44</v>
      </c>
      <c r="C23">
        <f>'[1]VENTAS CONSOLIDADA LARA'!C23</f>
        <v>2011</v>
      </c>
      <c r="D23" s="5">
        <f t="shared" ca="1" si="0"/>
        <v>134.06666666666666</v>
      </c>
      <c r="E23" s="5">
        <f t="shared" ca="1" si="1"/>
        <v>2949.4666666666667</v>
      </c>
    </row>
    <row r="24" spans="1:5" x14ac:dyDescent="0.25">
      <c r="A24">
        <v>130159</v>
      </c>
      <c r="B24" t="s">
        <v>45</v>
      </c>
      <c r="C24">
        <f>'[1]VENTAS CONSOLIDADA LARA'!C24</f>
        <v>2182</v>
      </c>
      <c r="D24" s="5">
        <f t="shared" ca="1" si="0"/>
        <v>145.46666666666667</v>
      </c>
      <c r="E24" s="5">
        <f t="shared" ca="1" si="1"/>
        <v>3200.2666666666669</v>
      </c>
    </row>
    <row r="25" spans="1:5" x14ac:dyDescent="0.25">
      <c r="A25">
        <v>130700</v>
      </c>
      <c r="B25" t="s">
        <v>3</v>
      </c>
      <c r="C25">
        <f>'[1]VENTAS CONSOLIDADA LARA'!C25</f>
        <v>414</v>
      </c>
      <c r="D25" s="5">
        <f t="shared" ca="1" si="0"/>
        <v>27.6</v>
      </c>
      <c r="E25" s="5">
        <f t="shared" ca="1" si="1"/>
        <v>607.20000000000005</v>
      </c>
    </row>
    <row r="26" spans="1:5" x14ac:dyDescent="0.25">
      <c r="A26">
        <v>130701</v>
      </c>
      <c r="B26" t="s">
        <v>30</v>
      </c>
      <c r="C26">
        <f>'[1]VENTAS CONSOLIDADA LARA'!C26</f>
        <v>114</v>
      </c>
      <c r="D26" s="5">
        <f t="shared" ca="1" si="0"/>
        <v>7.6</v>
      </c>
      <c r="E26" s="5">
        <f t="shared" ca="1" si="1"/>
        <v>167.2</v>
      </c>
    </row>
    <row r="27" spans="1:5" x14ac:dyDescent="0.25">
      <c r="A27">
        <v>130702</v>
      </c>
      <c r="B27" t="s">
        <v>12</v>
      </c>
      <c r="C27">
        <f>'[1]VENTAS CONSOLIDADA LARA'!C27</f>
        <v>1233</v>
      </c>
      <c r="D27" s="5">
        <f t="shared" ca="1" si="0"/>
        <v>82.2</v>
      </c>
      <c r="E27" s="5">
        <f t="shared" ca="1" si="1"/>
        <v>1808.4</v>
      </c>
    </row>
    <row r="28" spans="1:5" x14ac:dyDescent="0.25">
      <c r="A28">
        <v>130703</v>
      </c>
      <c r="B28" t="s">
        <v>17</v>
      </c>
      <c r="C28">
        <f>'[1]VENTAS CONSOLIDADA LARA'!C28</f>
        <v>1571</v>
      </c>
      <c r="D28" s="5">
        <f t="shared" ca="1" si="0"/>
        <v>104.73333333333333</v>
      </c>
      <c r="E28" s="5">
        <f t="shared" ca="1" si="1"/>
        <v>2304.1333333333332</v>
      </c>
    </row>
    <row r="29" spans="1:5" x14ac:dyDescent="0.25">
      <c r="A29">
        <v>130707</v>
      </c>
      <c r="B29" t="s">
        <v>42</v>
      </c>
      <c r="C29">
        <f>'[1]VENTAS CONSOLIDADA LARA'!C29</f>
        <v>110</v>
      </c>
      <c r="D29" s="5">
        <f t="shared" ca="1" si="0"/>
        <v>7.333333333333333</v>
      </c>
      <c r="E29" s="5">
        <f t="shared" ca="1" si="1"/>
        <v>161.33333333333331</v>
      </c>
    </row>
    <row r="30" spans="1:5" x14ac:dyDescent="0.25">
      <c r="A30">
        <v>131150</v>
      </c>
      <c r="B30" t="s">
        <v>22</v>
      </c>
      <c r="C30">
        <f>'[1]VENTAS CONSOLIDADA LARA'!C30</f>
        <v>650</v>
      </c>
      <c r="D30" s="5">
        <f t="shared" ca="1" si="0"/>
        <v>43.333333333333336</v>
      </c>
      <c r="E30" s="5">
        <f t="shared" ca="1" si="1"/>
        <v>953.33333333333337</v>
      </c>
    </row>
    <row r="31" spans="1:5" x14ac:dyDescent="0.25">
      <c r="A31">
        <v>131151</v>
      </c>
      <c r="B31" t="s">
        <v>19</v>
      </c>
      <c r="C31">
        <f>'[1]VENTAS CONSOLIDADA LARA'!C31</f>
        <v>1596</v>
      </c>
      <c r="D31" s="5">
        <f t="shared" ca="1" si="0"/>
        <v>106.4</v>
      </c>
      <c r="E31" s="5">
        <f t="shared" ca="1" si="1"/>
        <v>2340.8000000000002</v>
      </c>
    </row>
    <row r="32" spans="1:5" x14ac:dyDescent="0.25">
      <c r="A32">
        <v>131152</v>
      </c>
      <c r="B32" t="s">
        <v>32</v>
      </c>
      <c r="C32">
        <f>'[1]VENTAS CONSOLIDADA LARA'!C32</f>
        <v>822</v>
      </c>
      <c r="D32" s="5">
        <f t="shared" ca="1" si="0"/>
        <v>54.8</v>
      </c>
      <c r="E32" s="5">
        <f t="shared" ca="1" si="1"/>
        <v>1205.5999999999999</v>
      </c>
    </row>
    <row r="33" spans="1:5" x14ac:dyDescent="0.25">
      <c r="A33">
        <v>131153</v>
      </c>
      <c r="B33" t="s">
        <v>11</v>
      </c>
      <c r="C33">
        <f>'[1]VENTAS CONSOLIDADA LARA'!C33</f>
        <v>497</v>
      </c>
      <c r="D33" s="5">
        <f t="shared" ca="1" si="0"/>
        <v>33.133333333333333</v>
      </c>
      <c r="E33" s="5">
        <f t="shared" ca="1" si="1"/>
        <v>728.93333333333328</v>
      </c>
    </row>
    <row r="34" spans="1:5" x14ac:dyDescent="0.25">
      <c r="A34">
        <v>131154</v>
      </c>
      <c r="B34" t="s">
        <v>48</v>
      </c>
      <c r="C34">
        <f>'[1]VENTAS CONSOLIDADA LARA'!C34</f>
        <v>773</v>
      </c>
      <c r="D34" s="5">
        <f t="shared" ca="1" si="0"/>
        <v>51.533333333333331</v>
      </c>
      <c r="E34" s="5">
        <f t="shared" ca="1" si="1"/>
        <v>1133.7333333333333</v>
      </c>
    </row>
    <row r="35" spans="1:5" x14ac:dyDescent="0.25">
      <c r="A35">
        <v>131155</v>
      </c>
      <c r="B35" t="s">
        <v>57</v>
      </c>
      <c r="C35">
        <f>'[1]VENTAS CONSOLIDADA LARA'!C35</f>
        <v>946</v>
      </c>
      <c r="D35" s="5">
        <f t="shared" ca="1" si="0"/>
        <v>63.06666666666667</v>
      </c>
      <c r="E35" s="5">
        <f t="shared" ca="1" si="1"/>
        <v>1387.4666666666667</v>
      </c>
    </row>
    <row r="36" spans="1:5" x14ac:dyDescent="0.25">
      <c r="A36">
        <v>131700</v>
      </c>
      <c r="B36" t="s">
        <v>20</v>
      </c>
      <c r="C36">
        <f>'[1]VENTAS CONSOLIDADA LARA'!C36</f>
        <v>152</v>
      </c>
      <c r="D36" s="5">
        <f t="shared" ca="1" si="0"/>
        <v>10.133333333333333</v>
      </c>
      <c r="E36" s="5">
        <f t="shared" ca="1" si="1"/>
        <v>222.93333333333334</v>
      </c>
    </row>
    <row r="37" spans="1:5" x14ac:dyDescent="0.25">
      <c r="A37">
        <v>131701</v>
      </c>
      <c r="B37" t="s">
        <v>24</v>
      </c>
      <c r="C37">
        <f>'[1]VENTAS CONSOLIDADA LARA'!C37</f>
        <v>244</v>
      </c>
      <c r="D37" s="5">
        <f t="shared" ca="1" si="0"/>
        <v>16.266666666666666</v>
      </c>
      <c r="E37" s="5">
        <f t="shared" ca="1" si="1"/>
        <v>357.86666666666667</v>
      </c>
    </row>
    <row r="38" spans="1:5" x14ac:dyDescent="0.25">
      <c r="A38">
        <v>132150</v>
      </c>
      <c r="B38" t="s">
        <v>25</v>
      </c>
      <c r="C38">
        <f>'[1]VENTAS CONSOLIDADA LARA'!C38</f>
        <v>1730</v>
      </c>
      <c r="D38" s="5">
        <f t="shared" ca="1" si="0"/>
        <v>115.33333333333333</v>
      </c>
      <c r="E38" s="5">
        <f t="shared" ca="1" si="1"/>
        <v>2537.333333333333</v>
      </c>
    </row>
    <row r="39" spans="1:5" x14ac:dyDescent="0.25">
      <c r="A39">
        <v>132151</v>
      </c>
      <c r="B39" t="s">
        <v>26</v>
      </c>
      <c r="C39">
        <f>'[1]VENTAS CONSOLIDADA LARA'!C39</f>
        <v>894</v>
      </c>
      <c r="D39" s="5">
        <f t="shared" ca="1" si="0"/>
        <v>59.6</v>
      </c>
      <c r="E39" s="5">
        <f t="shared" ca="1" si="1"/>
        <v>1311.2</v>
      </c>
    </row>
    <row r="40" spans="1:5" x14ac:dyDescent="0.25">
      <c r="A40">
        <v>132152</v>
      </c>
      <c r="B40" t="s">
        <v>27</v>
      </c>
      <c r="C40">
        <f>'[1]VENTAS CONSOLIDADA LARA'!C40</f>
        <v>1344</v>
      </c>
      <c r="D40" s="5">
        <f t="shared" ca="1" si="0"/>
        <v>89.6</v>
      </c>
      <c r="E40" s="5">
        <f t="shared" ca="1" si="1"/>
        <v>1971.1999999999998</v>
      </c>
    </row>
    <row r="41" spans="1:5" x14ac:dyDescent="0.25">
      <c r="A41">
        <v>132153</v>
      </c>
      <c r="B41" t="s">
        <v>40</v>
      </c>
      <c r="C41">
        <f>'[1]VENTAS CONSOLIDADA LARA'!C41</f>
        <v>580</v>
      </c>
      <c r="D41" s="5">
        <f t="shared" ca="1" si="0"/>
        <v>38.666666666666664</v>
      </c>
      <c r="E41" s="5">
        <f t="shared" ca="1" si="1"/>
        <v>850.66666666666663</v>
      </c>
    </row>
    <row r="42" spans="1:5" x14ac:dyDescent="0.25">
      <c r="A42">
        <v>134000</v>
      </c>
      <c r="B42" t="s">
        <v>35</v>
      </c>
      <c r="C42">
        <f>'[1]VENTAS CONSOLIDADA LARA'!C42</f>
        <v>15</v>
      </c>
      <c r="D42" s="5">
        <f t="shared" ca="1" si="0"/>
        <v>1</v>
      </c>
      <c r="E42" s="5">
        <f t="shared" ca="1" si="1"/>
        <v>22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194</v>
      </c>
      <c r="D44" s="5">
        <f t="shared" ca="1" si="0"/>
        <v>12.933333333333334</v>
      </c>
      <c r="E44" s="5">
        <f t="shared" ca="1" si="1"/>
        <v>284.53333333333336</v>
      </c>
    </row>
    <row r="45" spans="1:5" x14ac:dyDescent="0.25">
      <c r="A45">
        <v>140231</v>
      </c>
      <c r="B45" t="s">
        <v>10</v>
      </c>
      <c r="C45">
        <f>'[1]VENTAS CONSOLIDADA LARA'!C45</f>
        <v>371</v>
      </c>
      <c r="D45" s="5">
        <f t="shared" ca="1" si="0"/>
        <v>24.733333333333334</v>
      </c>
      <c r="E45" s="5">
        <f t="shared" ca="1" si="1"/>
        <v>544.13333333333333</v>
      </c>
    </row>
    <row r="46" spans="1:5" x14ac:dyDescent="0.25">
      <c r="A46">
        <v>140232</v>
      </c>
      <c r="B46" t="s">
        <v>9</v>
      </c>
      <c r="C46">
        <f>'[1]VENTAS CONSOLIDADA LARA'!C46</f>
        <v>485</v>
      </c>
      <c r="D46" s="5">
        <f t="shared" ca="1" si="0"/>
        <v>32.333333333333336</v>
      </c>
      <c r="E46" s="5">
        <f t="shared" ca="1" si="1"/>
        <v>711.33333333333337</v>
      </c>
    </row>
    <row r="47" spans="1:5" x14ac:dyDescent="0.25">
      <c r="A47">
        <v>150360</v>
      </c>
      <c r="B47" t="s">
        <v>28</v>
      </c>
      <c r="C47">
        <f>'[1]VENTAS CONSOLIDADA LARA'!C47</f>
        <v>291</v>
      </c>
      <c r="D47" s="5">
        <f t="shared" ca="1" si="0"/>
        <v>19.399999999999999</v>
      </c>
      <c r="E47" s="5">
        <f t="shared" ca="1" si="1"/>
        <v>426.79999999999995</v>
      </c>
    </row>
    <row r="48" spans="1:5" x14ac:dyDescent="0.25">
      <c r="A48">
        <v>150361</v>
      </c>
      <c r="B48" t="s">
        <v>29</v>
      </c>
      <c r="C48">
        <f>'[1]VENTAS CONSOLIDADA LARA'!C48</f>
        <v>781</v>
      </c>
      <c r="D48" s="5">
        <f t="shared" ca="1" si="0"/>
        <v>52.06666666666667</v>
      </c>
      <c r="E48" s="5">
        <f t="shared" ca="1" si="1"/>
        <v>1145.4666666666667</v>
      </c>
    </row>
    <row r="49" spans="1:5" x14ac:dyDescent="0.25">
      <c r="A49">
        <v>150362</v>
      </c>
      <c r="B49" t="s">
        <v>36</v>
      </c>
      <c r="C49">
        <f>'[1]VENTAS CONSOLIDADA LARA'!C49</f>
        <v>385</v>
      </c>
      <c r="D49" s="5">
        <f t="shared" ca="1" si="0"/>
        <v>25.666666666666668</v>
      </c>
      <c r="E49" s="5">
        <f t="shared" ca="1" si="1"/>
        <v>564.66666666666674</v>
      </c>
    </row>
    <row r="50" spans="1:5" x14ac:dyDescent="0.25">
      <c r="A50">
        <v>150363</v>
      </c>
      <c r="B50" t="s">
        <v>31</v>
      </c>
      <c r="C50">
        <f>'[1]VENTAS CONSOLIDADA LARA'!C50</f>
        <v>427</v>
      </c>
      <c r="D50" s="5">
        <f t="shared" ca="1" si="0"/>
        <v>28.466666666666665</v>
      </c>
      <c r="E50" s="5">
        <f t="shared" ca="1" si="1"/>
        <v>626.26666666666665</v>
      </c>
    </row>
    <row r="51" spans="1:5" x14ac:dyDescent="0.25">
      <c r="A51">
        <v>151500</v>
      </c>
      <c r="B51" t="s">
        <v>41</v>
      </c>
      <c r="C51">
        <f>'[1]VENTAS CONSOLIDADA LARA'!C51</f>
        <v>111</v>
      </c>
      <c r="D51" s="5">
        <f t="shared" ca="1" si="0"/>
        <v>7.4</v>
      </c>
      <c r="E51" s="5">
        <f t="shared" ca="1" si="1"/>
        <v>162.80000000000001</v>
      </c>
    </row>
    <row r="52" spans="1:5" x14ac:dyDescent="0.25">
      <c r="A52">
        <v>151501</v>
      </c>
      <c r="B52" t="s">
        <v>33</v>
      </c>
      <c r="C52">
        <f>'[1]VENTAS CONSOLIDADA LARA'!C52</f>
        <v>332</v>
      </c>
      <c r="D52" s="5">
        <f t="shared" ca="1" si="0"/>
        <v>22.133333333333333</v>
      </c>
      <c r="E52" s="5">
        <f t="shared" ca="1" si="1"/>
        <v>486.93333333333334</v>
      </c>
    </row>
    <row r="53" spans="1:5" x14ac:dyDescent="0.25">
      <c r="A53">
        <v>151502</v>
      </c>
      <c r="B53" t="s">
        <v>37</v>
      </c>
      <c r="C53">
        <f>'[1]VENTAS CONSOLIDADA LARA'!C53</f>
        <v>93</v>
      </c>
      <c r="D53" s="5">
        <f t="shared" ca="1" si="0"/>
        <v>6.2</v>
      </c>
      <c r="E53" s="5">
        <f t="shared" ca="1" si="1"/>
        <v>136.4</v>
      </c>
    </row>
    <row r="54" spans="1:5" x14ac:dyDescent="0.25">
      <c r="A54">
        <v>151503</v>
      </c>
      <c r="B54" t="s">
        <v>34</v>
      </c>
      <c r="C54">
        <f>'[1]VENTAS CONSOLIDADA LARA'!C54</f>
        <v>96</v>
      </c>
      <c r="D54" s="5">
        <f t="shared" ca="1" si="0"/>
        <v>6.4</v>
      </c>
      <c r="E54" s="5">
        <f t="shared" ca="1" si="1"/>
        <v>140.80000000000001</v>
      </c>
    </row>
    <row r="55" spans="1:5" x14ac:dyDescent="0.25">
      <c r="D55" s="5">
        <f ca="1">SUM(D8:D54)</f>
        <v>3360.8666666666659</v>
      </c>
      <c r="E55" s="5">
        <f ca="1">SUM(E8:E54)</f>
        <v>73939.06666666668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46287</v>
      </c>
      <c r="E2" s="4">
        <f ca="1">'[1]VENTAS CONSOLIDADA ANZOATEGUI'!E2</f>
        <v>15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7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730</v>
      </c>
      <c r="D8" s="5">
        <f t="shared" ref="D8:D54" ca="1" si="0">C8/$E$2</f>
        <v>48.666666666666664</v>
      </c>
      <c r="E8" s="5">
        <f t="shared" ref="E8:E54" ca="1" si="1">D8*($E$2+$E$3)</f>
        <v>1070.6666666666665</v>
      </c>
    </row>
    <row r="9" spans="1:5" x14ac:dyDescent="0.25">
      <c r="A9">
        <v>110151</v>
      </c>
      <c r="B9" t="s">
        <v>5</v>
      </c>
      <c r="C9">
        <f>'[1]VENTAS CONSOLIDADA ANZOATEGUI'!C9</f>
        <v>75</v>
      </c>
      <c r="D9" s="5">
        <f t="shared" ca="1" si="0"/>
        <v>5</v>
      </c>
      <c r="E9" s="5">
        <f t="shared" ca="1" si="1"/>
        <v>110</v>
      </c>
    </row>
    <row r="10" spans="1:5" x14ac:dyDescent="0.25">
      <c r="A10">
        <v>110230</v>
      </c>
      <c r="B10" t="s">
        <v>1</v>
      </c>
      <c r="C10">
        <f>'[1]VENTAS CONSOLIDADA ANZOATEGUI'!C10</f>
        <v>180</v>
      </c>
      <c r="D10" s="5">
        <f t="shared" ca="1" si="0"/>
        <v>12</v>
      </c>
      <c r="E10" s="5">
        <f t="shared" ca="1" si="1"/>
        <v>264</v>
      </c>
    </row>
    <row r="11" spans="1:5" x14ac:dyDescent="0.25">
      <c r="A11">
        <v>110400</v>
      </c>
      <c r="B11" t="s">
        <v>13</v>
      </c>
      <c r="C11">
        <f>'[1]VENTAS CONSOLIDADA ANZOATEGUI'!C11</f>
        <v>34</v>
      </c>
      <c r="D11" s="5">
        <f t="shared" ca="1" si="0"/>
        <v>2.2666666666666666</v>
      </c>
      <c r="E11" s="5">
        <f t="shared" ca="1" si="1"/>
        <v>49.866666666666667</v>
      </c>
    </row>
    <row r="12" spans="1:5" x14ac:dyDescent="0.25">
      <c r="A12">
        <v>111000</v>
      </c>
      <c r="B12" t="s">
        <v>14</v>
      </c>
      <c r="C12">
        <f>'[1]VENTAS CONSOLIDADA ANZOATEGUI'!C12</f>
        <v>8</v>
      </c>
      <c r="D12" s="5">
        <f t="shared" ca="1" si="0"/>
        <v>0.53333333333333333</v>
      </c>
      <c r="E12" s="5">
        <f t="shared" ca="1" si="1"/>
        <v>11.733333333333333</v>
      </c>
    </row>
    <row r="13" spans="1:5" x14ac:dyDescent="0.25">
      <c r="A13">
        <v>120130</v>
      </c>
      <c r="B13" t="s">
        <v>15</v>
      </c>
      <c r="C13">
        <f>'[1]VENTAS CONSOLIDADA ANZOATEGUI'!C13</f>
        <v>913</v>
      </c>
      <c r="D13" s="5">
        <f t="shared" ca="1" si="0"/>
        <v>60.866666666666667</v>
      </c>
      <c r="E13" s="5">
        <f t="shared" ca="1" si="1"/>
        <v>1339.0666666666666</v>
      </c>
    </row>
    <row r="14" spans="1:5" x14ac:dyDescent="0.25">
      <c r="A14">
        <v>120131</v>
      </c>
      <c r="B14" t="s">
        <v>23</v>
      </c>
      <c r="C14">
        <f>'[1]VENTAS CONSOLIDADA ANZOATEGUI'!C14</f>
        <v>74</v>
      </c>
      <c r="D14" s="5">
        <f t="shared" ca="1" si="0"/>
        <v>4.9333333333333336</v>
      </c>
      <c r="E14" s="5">
        <f t="shared" ca="1" si="1"/>
        <v>108.53333333333333</v>
      </c>
    </row>
    <row r="15" spans="1:5" x14ac:dyDescent="0.25">
      <c r="A15">
        <v>120132</v>
      </c>
      <c r="B15" t="s">
        <v>21</v>
      </c>
      <c r="C15">
        <f>'[1]VENTAS CONSOLIDADA ANZOATEGUI'!C15</f>
        <v>133</v>
      </c>
      <c r="D15" s="5">
        <f t="shared" ca="1" si="0"/>
        <v>8.8666666666666671</v>
      </c>
      <c r="E15" s="5">
        <f t="shared" ca="1" si="1"/>
        <v>195.06666666666666</v>
      </c>
    </row>
    <row r="16" spans="1:5" x14ac:dyDescent="0.25">
      <c r="A16">
        <v>130150</v>
      </c>
      <c r="B16" t="s">
        <v>0</v>
      </c>
      <c r="C16">
        <f>'[1]VENTAS CONSOLIDADA ANZOATEGUI'!C16</f>
        <v>403</v>
      </c>
      <c r="D16" s="5">
        <f t="shared" ca="1" si="0"/>
        <v>26.866666666666667</v>
      </c>
      <c r="E16" s="5">
        <f t="shared" ca="1" si="1"/>
        <v>591.06666666666672</v>
      </c>
    </row>
    <row r="17" spans="1:5" x14ac:dyDescent="0.25">
      <c r="A17">
        <v>130151</v>
      </c>
      <c r="B17" t="s">
        <v>4</v>
      </c>
      <c r="C17">
        <f>'[1]VENTAS CONSOLIDADA ANZOATEGUI'!C17</f>
        <v>80</v>
      </c>
      <c r="D17" s="5">
        <f t="shared" ca="1" si="0"/>
        <v>5.333333333333333</v>
      </c>
      <c r="E17" s="5">
        <f t="shared" ca="1" si="1"/>
        <v>117.33333333333333</v>
      </c>
    </row>
    <row r="18" spans="1:5" x14ac:dyDescent="0.25">
      <c r="A18">
        <v>130152</v>
      </c>
      <c r="B18" t="s">
        <v>51</v>
      </c>
      <c r="C18">
        <f>'[1]VENTAS CONSOLIDADA ANZOATEGUI'!C18</f>
        <v>2255</v>
      </c>
      <c r="D18" s="5">
        <f t="shared" ca="1" si="0"/>
        <v>150.33333333333334</v>
      </c>
      <c r="E18" s="5">
        <f t="shared" ca="1" si="1"/>
        <v>3307.3333333333335</v>
      </c>
    </row>
    <row r="19" spans="1:5" x14ac:dyDescent="0.25">
      <c r="A19">
        <v>130153</v>
      </c>
      <c r="B19" t="s">
        <v>52</v>
      </c>
      <c r="C19">
        <f>'[1]VENTAS CONSOLIDADA ANZOATEGUI'!C19</f>
        <v>1307</v>
      </c>
      <c r="D19" s="5">
        <f t="shared" ca="1" si="0"/>
        <v>87.13333333333334</v>
      </c>
      <c r="E19" s="5">
        <f t="shared" ca="1" si="1"/>
        <v>1916.9333333333334</v>
      </c>
    </row>
    <row r="20" spans="1:5" x14ac:dyDescent="0.25">
      <c r="A20">
        <v>130154</v>
      </c>
      <c r="B20" t="s">
        <v>53</v>
      </c>
      <c r="C20">
        <f>'[1]VENTAS CONSOLIDADA ANZOATEGUI'!C20</f>
        <v>1618</v>
      </c>
      <c r="D20" s="5">
        <f t="shared" ca="1" si="0"/>
        <v>107.86666666666666</v>
      </c>
      <c r="E20" s="5">
        <f t="shared" ca="1" si="1"/>
        <v>2373.0666666666666</v>
      </c>
    </row>
    <row r="21" spans="1:5" x14ac:dyDescent="0.25">
      <c r="A21">
        <v>130155</v>
      </c>
      <c r="B21" t="s">
        <v>16</v>
      </c>
      <c r="C21">
        <f>'[1]VENTAS CONSOLIDADA ANZOATEGUI'!C21</f>
        <v>1239</v>
      </c>
      <c r="D21" s="5">
        <f t="shared" ca="1" si="0"/>
        <v>82.6</v>
      </c>
      <c r="E21" s="5">
        <f t="shared" ca="1" si="1"/>
        <v>1817.1999999999998</v>
      </c>
    </row>
    <row r="22" spans="1:5" x14ac:dyDescent="0.25">
      <c r="A22">
        <v>130157</v>
      </c>
      <c r="B22" t="s">
        <v>43</v>
      </c>
      <c r="C22">
        <f>'[1]VENTAS CONSOLIDADA ANZOATEGUI'!C22</f>
        <v>419</v>
      </c>
      <c r="D22" s="5">
        <f t="shared" ca="1" si="0"/>
        <v>27.933333333333334</v>
      </c>
      <c r="E22" s="5">
        <f t="shared" ca="1" si="1"/>
        <v>614.5333333333333</v>
      </c>
    </row>
    <row r="23" spans="1:5" x14ac:dyDescent="0.25">
      <c r="A23">
        <v>130158</v>
      </c>
      <c r="B23" t="s">
        <v>44</v>
      </c>
      <c r="C23">
        <f>'[1]VENTAS CONSOLIDADA ANZOATEGUI'!C23</f>
        <v>578</v>
      </c>
      <c r="D23" s="5">
        <f t="shared" ca="1" si="0"/>
        <v>38.533333333333331</v>
      </c>
      <c r="E23" s="5">
        <f t="shared" ca="1" si="1"/>
        <v>847.73333333333335</v>
      </c>
    </row>
    <row r="24" spans="1:5" x14ac:dyDescent="0.25">
      <c r="A24">
        <v>130159</v>
      </c>
      <c r="B24" t="s">
        <v>45</v>
      </c>
      <c r="C24">
        <f>'[1]VENTAS CONSOLIDADA ANZOATEGUI'!C24</f>
        <v>592</v>
      </c>
      <c r="D24" s="5">
        <f t="shared" ca="1" si="0"/>
        <v>39.466666666666669</v>
      </c>
      <c r="E24" s="5">
        <f t="shared" ca="1" si="1"/>
        <v>868.26666666666665</v>
      </c>
    </row>
    <row r="25" spans="1:5" x14ac:dyDescent="0.25">
      <c r="A25">
        <v>130700</v>
      </c>
      <c r="B25" t="s">
        <v>3</v>
      </c>
      <c r="C25">
        <f>'[1]VENTAS CONSOLIDADA ANZOATEGUI'!C25</f>
        <v>90</v>
      </c>
      <c r="D25" s="5">
        <f t="shared" ca="1" si="0"/>
        <v>6</v>
      </c>
      <c r="E25" s="5">
        <f t="shared" ca="1" si="1"/>
        <v>132</v>
      </c>
    </row>
    <row r="26" spans="1:5" x14ac:dyDescent="0.25">
      <c r="A26">
        <v>130701</v>
      </c>
      <c r="B26" t="s">
        <v>30</v>
      </c>
      <c r="C26">
        <f>'[1]VENTAS CONSOLIDADA ANZOATEGUI'!C26</f>
        <v>10</v>
      </c>
      <c r="D26" s="5">
        <f t="shared" ca="1" si="0"/>
        <v>0.66666666666666663</v>
      </c>
      <c r="E26" s="5">
        <f t="shared" ca="1" si="1"/>
        <v>14.666666666666666</v>
      </c>
    </row>
    <row r="27" spans="1:5" x14ac:dyDescent="0.25">
      <c r="A27">
        <v>130702</v>
      </c>
      <c r="B27" t="s">
        <v>12</v>
      </c>
      <c r="C27">
        <f>'[1]VENTAS CONSOLIDADA ANZOATEGUI'!C27</f>
        <v>208</v>
      </c>
      <c r="D27" s="5">
        <f t="shared" ca="1" si="0"/>
        <v>13.866666666666667</v>
      </c>
      <c r="E27" s="5">
        <f t="shared" ca="1" si="1"/>
        <v>305.06666666666666</v>
      </c>
    </row>
    <row r="28" spans="1:5" x14ac:dyDescent="0.25">
      <c r="A28">
        <v>130703</v>
      </c>
      <c r="B28" t="s">
        <v>17</v>
      </c>
      <c r="C28">
        <f>'[1]VENTAS CONSOLIDADA ANZOATEGUI'!C28</f>
        <v>301</v>
      </c>
      <c r="D28" s="5">
        <f t="shared" ca="1" si="0"/>
        <v>20.066666666666666</v>
      </c>
      <c r="E28" s="5">
        <f t="shared" ca="1" si="1"/>
        <v>441.46666666666664</v>
      </c>
    </row>
    <row r="29" spans="1:5" x14ac:dyDescent="0.25">
      <c r="A29">
        <v>130707</v>
      </c>
      <c r="B29" t="s">
        <v>42</v>
      </c>
      <c r="C29">
        <f>'[1]VENTAS CONSOLIDADA ANZOATEGUI'!C29</f>
        <v>32</v>
      </c>
      <c r="D29" s="5">
        <f t="shared" ca="1" si="0"/>
        <v>2.1333333333333333</v>
      </c>
      <c r="E29" s="5">
        <f t="shared" ca="1" si="1"/>
        <v>46.93333333333333</v>
      </c>
    </row>
    <row r="30" spans="1:5" x14ac:dyDescent="0.25">
      <c r="A30">
        <v>131150</v>
      </c>
      <c r="B30" t="s">
        <v>22</v>
      </c>
      <c r="C30">
        <f>'[1]VENTAS CONSOLIDADA ANZOATEGUI'!C30</f>
        <v>551</v>
      </c>
      <c r="D30" s="5">
        <f t="shared" ca="1" si="0"/>
        <v>36.733333333333334</v>
      </c>
      <c r="E30" s="5">
        <f t="shared" ca="1" si="1"/>
        <v>808.13333333333333</v>
      </c>
    </row>
    <row r="31" spans="1:5" x14ac:dyDescent="0.25">
      <c r="A31">
        <v>131151</v>
      </c>
      <c r="B31" t="s">
        <v>19</v>
      </c>
      <c r="C31">
        <f>'[1]VENTAS CONSOLIDADA ANZOATEGUI'!C31</f>
        <v>1407</v>
      </c>
      <c r="D31" s="5">
        <f t="shared" ca="1" si="0"/>
        <v>93.8</v>
      </c>
      <c r="E31" s="5">
        <f t="shared" ca="1" si="1"/>
        <v>2063.6</v>
      </c>
    </row>
    <row r="32" spans="1:5" x14ac:dyDescent="0.25">
      <c r="A32">
        <v>131152</v>
      </c>
      <c r="B32" t="s">
        <v>32</v>
      </c>
      <c r="C32">
        <f>'[1]VENTAS CONSOLIDADA ANZOATEGUI'!C32</f>
        <v>869</v>
      </c>
      <c r="D32" s="5">
        <f t="shared" ca="1" si="0"/>
        <v>57.93333333333333</v>
      </c>
      <c r="E32" s="5">
        <f t="shared" ca="1" si="1"/>
        <v>1274.5333333333333</v>
      </c>
    </row>
    <row r="33" spans="1:5" x14ac:dyDescent="0.25">
      <c r="A33">
        <v>131153</v>
      </c>
      <c r="B33" t="s">
        <v>11</v>
      </c>
      <c r="C33">
        <f>'[1]VENTAS CONSOLIDADA ANZOATEGUI'!C33</f>
        <v>559</v>
      </c>
      <c r="D33" s="5">
        <f t="shared" ca="1" si="0"/>
        <v>37.266666666666666</v>
      </c>
      <c r="E33" s="5">
        <f t="shared" ca="1" si="1"/>
        <v>819.86666666666667</v>
      </c>
    </row>
    <row r="34" spans="1:5" x14ac:dyDescent="0.25">
      <c r="A34">
        <v>131154</v>
      </c>
      <c r="B34" t="s">
        <v>48</v>
      </c>
      <c r="C34">
        <f>'[1]VENTAS CONSOLIDADA ANZOATEGUI'!C34</f>
        <v>473</v>
      </c>
      <c r="D34" s="5">
        <f t="shared" ca="1" si="0"/>
        <v>31.533333333333335</v>
      </c>
      <c r="E34" s="5">
        <f t="shared" ca="1" si="1"/>
        <v>693.73333333333335</v>
      </c>
    </row>
    <row r="35" spans="1:5" x14ac:dyDescent="0.25">
      <c r="A35">
        <v>131155</v>
      </c>
      <c r="B35" t="s">
        <v>57</v>
      </c>
      <c r="C35">
        <f>'[1]VENTAS CONSOLIDADA ANZOATEGUI'!C35</f>
        <v>597</v>
      </c>
      <c r="D35" s="5">
        <f t="shared" ca="1" si="0"/>
        <v>39.799999999999997</v>
      </c>
      <c r="E35" s="5">
        <f t="shared" ca="1" si="1"/>
        <v>875.59999999999991</v>
      </c>
    </row>
    <row r="36" spans="1:5" x14ac:dyDescent="0.25">
      <c r="A36">
        <v>131700</v>
      </c>
      <c r="B36" t="s">
        <v>20</v>
      </c>
      <c r="C36">
        <f>'[1]VENTAS CONSOLIDADA ANZOATEGUI'!C36</f>
        <v>80</v>
      </c>
      <c r="D36" s="5">
        <f t="shared" ca="1" si="0"/>
        <v>5.333333333333333</v>
      </c>
      <c r="E36" s="5">
        <f t="shared" ca="1" si="1"/>
        <v>117.33333333333333</v>
      </c>
    </row>
    <row r="37" spans="1:5" x14ac:dyDescent="0.25">
      <c r="A37">
        <v>131701</v>
      </c>
      <c r="B37" t="s">
        <v>24</v>
      </c>
      <c r="C37">
        <f>'[1]VENTAS CONSOLIDADA ANZOATEGUI'!C37</f>
        <v>106</v>
      </c>
      <c r="D37" s="5">
        <f t="shared" ca="1" si="0"/>
        <v>7.0666666666666664</v>
      </c>
      <c r="E37" s="5">
        <f t="shared" ca="1" si="1"/>
        <v>155.46666666666667</v>
      </c>
    </row>
    <row r="38" spans="1:5" x14ac:dyDescent="0.25">
      <c r="A38">
        <v>132150</v>
      </c>
      <c r="B38" t="s">
        <v>25</v>
      </c>
      <c r="C38">
        <f>'[1]VENTAS CONSOLIDADA ANZOATEGUI'!C38</f>
        <v>700</v>
      </c>
      <c r="D38" s="5">
        <f t="shared" ca="1" si="0"/>
        <v>46.666666666666664</v>
      </c>
      <c r="E38" s="5">
        <f t="shared" ca="1" si="1"/>
        <v>1026.6666666666665</v>
      </c>
    </row>
    <row r="39" spans="1:5" x14ac:dyDescent="0.25">
      <c r="A39">
        <v>132151</v>
      </c>
      <c r="B39" t="s">
        <v>26</v>
      </c>
      <c r="C39">
        <f>'[1]VENTAS CONSOLIDADA ANZOATEGUI'!C39</f>
        <v>415</v>
      </c>
      <c r="D39" s="5">
        <f t="shared" ca="1" si="0"/>
        <v>27.666666666666668</v>
      </c>
      <c r="E39" s="5">
        <f t="shared" ca="1" si="1"/>
        <v>608.66666666666674</v>
      </c>
    </row>
    <row r="40" spans="1:5" x14ac:dyDescent="0.25">
      <c r="A40">
        <v>132152</v>
      </c>
      <c r="B40" t="s">
        <v>27</v>
      </c>
      <c r="C40">
        <f>'[1]VENTAS CONSOLIDADA ANZOATEGUI'!C40</f>
        <v>619</v>
      </c>
      <c r="D40" s="5">
        <f t="shared" ca="1" si="0"/>
        <v>41.266666666666666</v>
      </c>
      <c r="E40" s="5">
        <f t="shared" ca="1" si="1"/>
        <v>907.86666666666667</v>
      </c>
    </row>
    <row r="41" spans="1:5" x14ac:dyDescent="0.25">
      <c r="A41">
        <v>132153</v>
      </c>
      <c r="B41" t="s">
        <v>40</v>
      </c>
      <c r="C41">
        <f>'[1]VENTAS CONSOLIDADA ANZOATEGUI'!C41</f>
        <v>352</v>
      </c>
      <c r="D41" s="5">
        <f t="shared" ca="1" si="0"/>
        <v>23.466666666666665</v>
      </c>
      <c r="E41" s="5">
        <f t="shared" ca="1" si="1"/>
        <v>516.26666666666665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100</v>
      </c>
      <c r="D44" s="5">
        <f t="shared" ca="1" si="0"/>
        <v>6.666666666666667</v>
      </c>
      <c r="E44" s="5">
        <f t="shared" ca="1" si="1"/>
        <v>146.66666666666669</v>
      </c>
    </row>
    <row r="45" spans="1:5" x14ac:dyDescent="0.25">
      <c r="A45">
        <v>140231</v>
      </c>
      <c r="B45" t="s">
        <v>10</v>
      </c>
      <c r="C45">
        <f>'[1]VENTAS CONSOLIDADA ANZOATEGUI'!C45</f>
        <v>627</v>
      </c>
      <c r="D45" s="5">
        <f t="shared" ca="1" si="0"/>
        <v>41.8</v>
      </c>
      <c r="E45" s="5">
        <f t="shared" ca="1" si="1"/>
        <v>919.59999999999991</v>
      </c>
    </row>
    <row r="46" spans="1:5" x14ac:dyDescent="0.25">
      <c r="A46">
        <v>140232</v>
      </c>
      <c r="B46" t="s">
        <v>9</v>
      </c>
      <c r="C46">
        <f>'[1]VENTAS CONSOLIDADA ANZOATEGUI'!C46</f>
        <v>192</v>
      </c>
      <c r="D46" s="5">
        <f t="shared" ca="1" si="0"/>
        <v>12.8</v>
      </c>
      <c r="E46" s="5">
        <f t="shared" ca="1" si="1"/>
        <v>281.60000000000002</v>
      </c>
    </row>
    <row r="47" spans="1:5" x14ac:dyDescent="0.25">
      <c r="A47">
        <v>150360</v>
      </c>
      <c r="B47" t="s">
        <v>28</v>
      </c>
      <c r="C47">
        <f>'[1]VENTAS CONSOLIDADA ANZOATEGUI'!C47</f>
        <v>117</v>
      </c>
      <c r="D47" s="5">
        <f t="shared" ca="1" si="0"/>
        <v>7.8</v>
      </c>
      <c r="E47" s="5">
        <f t="shared" ca="1" si="1"/>
        <v>171.6</v>
      </c>
    </row>
    <row r="48" spans="1:5" x14ac:dyDescent="0.25">
      <c r="A48">
        <v>150361</v>
      </c>
      <c r="B48" t="s">
        <v>29</v>
      </c>
      <c r="C48">
        <f>'[1]VENTAS CONSOLIDADA ANZOATEGUI'!C48</f>
        <v>471</v>
      </c>
      <c r="D48" s="5">
        <f t="shared" ca="1" si="0"/>
        <v>31.4</v>
      </c>
      <c r="E48" s="5">
        <f t="shared" ca="1" si="1"/>
        <v>690.8</v>
      </c>
    </row>
    <row r="49" spans="1:5" x14ac:dyDescent="0.25">
      <c r="A49">
        <v>150362</v>
      </c>
      <c r="B49" t="s">
        <v>36</v>
      </c>
      <c r="C49">
        <f>'[1]VENTAS CONSOLIDADA ANZOATEGUI'!C49</f>
        <v>169</v>
      </c>
      <c r="D49" s="5">
        <f t="shared" ca="1" si="0"/>
        <v>11.266666666666667</v>
      </c>
      <c r="E49" s="5">
        <f t="shared" ca="1" si="1"/>
        <v>247.86666666666667</v>
      </c>
    </row>
    <row r="50" spans="1:5" x14ac:dyDescent="0.25">
      <c r="A50">
        <v>150363</v>
      </c>
      <c r="B50" t="s">
        <v>31</v>
      </c>
      <c r="C50">
        <f>'[1]VENTAS CONSOLIDADA ANZOATEGUI'!C50</f>
        <v>257</v>
      </c>
      <c r="D50" s="5">
        <f t="shared" ca="1" si="0"/>
        <v>17.133333333333333</v>
      </c>
      <c r="E50" s="5">
        <f t="shared" ca="1" si="1"/>
        <v>376.93333333333334</v>
      </c>
    </row>
    <row r="51" spans="1:5" x14ac:dyDescent="0.25">
      <c r="A51">
        <v>151500</v>
      </c>
      <c r="B51" t="s">
        <v>41</v>
      </c>
      <c r="C51">
        <f>'[1]VENTAS CONSOLIDADA ANZOATEGUI'!C51</f>
        <v>42</v>
      </c>
      <c r="D51" s="5">
        <f t="shared" ca="1" si="0"/>
        <v>2.8</v>
      </c>
      <c r="E51" s="5">
        <f t="shared" ca="1" si="1"/>
        <v>61.599999999999994</v>
      </c>
    </row>
    <row r="52" spans="1:5" x14ac:dyDescent="0.25">
      <c r="A52">
        <v>151501</v>
      </c>
      <c r="B52" t="s">
        <v>33</v>
      </c>
      <c r="C52">
        <f>'[1]VENTAS CONSOLIDADA ANZOATEGUI'!C52</f>
        <v>81</v>
      </c>
      <c r="D52" s="5">
        <f t="shared" ca="1" si="0"/>
        <v>5.4</v>
      </c>
      <c r="E52" s="5">
        <f t="shared" ca="1" si="1"/>
        <v>118.80000000000001</v>
      </c>
    </row>
    <row r="53" spans="1:5" x14ac:dyDescent="0.25">
      <c r="A53">
        <v>151502</v>
      </c>
      <c r="B53" t="s">
        <v>37</v>
      </c>
      <c r="C53">
        <f>'[1]VENTAS CONSOLIDADA ANZOATEGUI'!C53</f>
        <v>14</v>
      </c>
      <c r="D53" s="5">
        <f t="shared" ca="1" si="0"/>
        <v>0.93333333333333335</v>
      </c>
      <c r="E53" s="5">
        <f t="shared" ca="1" si="1"/>
        <v>20.533333333333335</v>
      </c>
    </row>
    <row r="54" spans="1:5" x14ac:dyDescent="0.25">
      <c r="A54">
        <v>151503</v>
      </c>
      <c r="B54" t="s">
        <v>34</v>
      </c>
      <c r="C54">
        <f>'[1]VENTAS CONSOLIDADA ANZOATEGUI'!C54</f>
        <v>29</v>
      </c>
      <c r="D54" s="5">
        <f t="shared" ca="1" si="0"/>
        <v>1.9333333333333333</v>
      </c>
      <c r="E54" s="5">
        <f t="shared" ca="1" si="1"/>
        <v>42.533333333333331</v>
      </c>
    </row>
    <row r="55" spans="1:5" x14ac:dyDescent="0.25">
      <c r="D55" s="7">
        <f ca="1">SUM(D8:D54)</f>
        <v>1340.4</v>
      </c>
      <c r="E55" s="7">
        <f ca="1">SUM(E8:E54)</f>
        <v>29488.799999999988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I19" sqref="I19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46287</v>
      </c>
      <c r="E2" s="4">
        <f ca="1">'[1]VENTAS CONSOLIDADA 1,0'!E2</f>
        <v>15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7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18070</v>
      </c>
      <c r="D8" s="5">
        <f t="shared" ref="D8:D54" ca="1" si="0">C8/$E$2</f>
        <v>1204.6666666666667</v>
      </c>
      <c r="E8" s="5">
        <f ca="1">D8*($E$2+$E$3)</f>
        <v>26502.666666666668</v>
      </c>
    </row>
    <row r="9" spans="1:5" x14ac:dyDescent="0.25">
      <c r="A9">
        <v>110151</v>
      </c>
      <c r="B9" t="s">
        <v>5</v>
      </c>
      <c r="C9">
        <f>'[1]VENTAS CONSOLIDADA 1,0'!C9</f>
        <v>886</v>
      </c>
      <c r="D9" s="5">
        <f t="shared" ca="1" si="0"/>
        <v>59.06666666666667</v>
      </c>
      <c r="E9" s="5">
        <f t="shared" ref="E9:E54" ca="1" si="1">D9*($E$2+$E$3)</f>
        <v>1299.4666666666667</v>
      </c>
    </row>
    <row r="10" spans="1:5" x14ac:dyDescent="0.25">
      <c r="A10">
        <v>110230</v>
      </c>
      <c r="B10" t="s">
        <v>1</v>
      </c>
      <c r="C10">
        <f>'[1]VENTAS CONSOLIDADA 1,0'!C10</f>
        <v>7427</v>
      </c>
      <c r="D10" s="5">
        <f t="shared" ca="1" si="0"/>
        <v>495.13333333333333</v>
      </c>
      <c r="E10" s="5">
        <f t="shared" ca="1" si="1"/>
        <v>10892.933333333332</v>
      </c>
    </row>
    <row r="11" spans="1:5" x14ac:dyDescent="0.25">
      <c r="A11">
        <v>110400</v>
      </c>
      <c r="B11" t="s">
        <v>13</v>
      </c>
      <c r="C11">
        <f>'[1]VENTAS CONSOLIDADA 1,0'!C11</f>
        <v>1581</v>
      </c>
      <c r="D11" s="5">
        <f t="shared" ca="1" si="0"/>
        <v>105.4</v>
      </c>
      <c r="E11" s="5">
        <f t="shared" ca="1" si="1"/>
        <v>2318.8000000000002</v>
      </c>
    </row>
    <row r="12" spans="1:5" x14ac:dyDescent="0.25">
      <c r="A12">
        <v>111000</v>
      </c>
      <c r="B12" t="s">
        <v>14</v>
      </c>
      <c r="C12">
        <f>'[1]VENTAS CONSOLIDADA 1,0'!C12</f>
        <v>198</v>
      </c>
      <c r="D12" s="5">
        <f t="shared" ca="1" si="0"/>
        <v>13.2</v>
      </c>
      <c r="E12" s="5">
        <f t="shared" ca="1" si="1"/>
        <v>290.39999999999998</v>
      </c>
    </row>
    <row r="13" spans="1:5" x14ac:dyDescent="0.25">
      <c r="A13">
        <v>120130</v>
      </c>
      <c r="B13" t="s">
        <v>15</v>
      </c>
      <c r="C13">
        <f>'[1]VENTAS CONSOLIDADA 1,0'!C13</f>
        <v>21334</v>
      </c>
      <c r="D13" s="5">
        <f t="shared" ca="1" si="0"/>
        <v>1422.2666666666667</v>
      </c>
      <c r="E13" s="5">
        <f t="shared" ca="1" si="1"/>
        <v>31289.866666666665</v>
      </c>
    </row>
    <row r="14" spans="1:5" x14ac:dyDescent="0.25">
      <c r="A14">
        <v>120131</v>
      </c>
      <c r="B14" t="s">
        <v>23</v>
      </c>
      <c r="C14">
        <f>'[1]VENTAS CONSOLIDADA 1,0'!C14</f>
        <v>2150</v>
      </c>
      <c r="D14" s="5">
        <f t="shared" ca="1" si="0"/>
        <v>143.33333333333334</v>
      </c>
      <c r="E14" s="5">
        <f t="shared" ca="1" si="1"/>
        <v>3153.3333333333335</v>
      </c>
    </row>
    <row r="15" spans="1:5" x14ac:dyDescent="0.25">
      <c r="A15">
        <v>120132</v>
      </c>
      <c r="B15" t="s">
        <v>21</v>
      </c>
      <c r="C15">
        <f>'[1]VENTAS CONSOLIDADA 1,0'!C15</f>
        <v>4435</v>
      </c>
      <c r="D15" s="5">
        <f t="shared" ca="1" si="0"/>
        <v>295.66666666666669</v>
      </c>
      <c r="E15" s="5">
        <f t="shared" ca="1" si="1"/>
        <v>6504.666666666667</v>
      </c>
    </row>
    <row r="16" spans="1:5" x14ac:dyDescent="0.25">
      <c r="A16">
        <v>130150</v>
      </c>
      <c r="B16" t="s">
        <v>0</v>
      </c>
      <c r="C16">
        <f>'[1]VENTAS CONSOLIDADA 1,0'!C16</f>
        <v>11094</v>
      </c>
      <c r="D16" s="5">
        <f t="shared" ca="1" si="0"/>
        <v>739.6</v>
      </c>
      <c r="E16" s="5">
        <f t="shared" ca="1" si="1"/>
        <v>16271.2</v>
      </c>
    </row>
    <row r="17" spans="1:5" x14ac:dyDescent="0.25">
      <c r="A17">
        <v>130151</v>
      </c>
      <c r="B17" t="s">
        <v>4</v>
      </c>
      <c r="C17">
        <f>'[1]VENTAS CONSOLIDADA 1,0'!C17</f>
        <v>5269</v>
      </c>
      <c r="D17" s="5">
        <f t="shared" ca="1" si="0"/>
        <v>351.26666666666665</v>
      </c>
      <c r="E17" s="5">
        <f t="shared" ca="1" si="1"/>
        <v>7727.8666666666668</v>
      </c>
    </row>
    <row r="18" spans="1:5" x14ac:dyDescent="0.25">
      <c r="A18">
        <v>130152</v>
      </c>
      <c r="B18" t="s">
        <v>51</v>
      </c>
      <c r="C18">
        <f>'[1]VENTAS CONSOLIDADA 1,0'!C18</f>
        <v>50379</v>
      </c>
      <c r="D18" s="5">
        <f t="shared" ca="1" si="0"/>
        <v>3358.6</v>
      </c>
      <c r="E18" s="5">
        <f t="shared" ca="1" si="1"/>
        <v>73889.2</v>
      </c>
    </row>
    <row r="19" spans="1:5" x14ac:dyDescent="0.25">
      <c r="A19">
        <v>130153</v>
      </c>
      <c r="B19" t="s">
        <v>52</v>
      </c>
      <c r="C19">
        <f>'[1]VENTAS CONSOLIDADA 1,0'!C19</f>
        <v>31208</v>
      </c>
      <c r="D19" s="5">
        <f t="shared" ca="1" si="0"/>
        <v>2080.5333333333333</v>
      </c>
      <c r="E19" s="5">
        <f t="shared" ca="1" si="1"/>
        <v>45771.73333333333</v>
      </c>
    </row>
    <row r="20" spans="1:5" x14ac:dyDescent="0.25">
      <c r="A20">
        <v>130154</v>
      </c>
      <c r="B20" t="s">
        <v>53</v>
      </c>
      <c r="C20">
        <f>'[1]VENTAS CONSOLIDADA 1,0'!C20</f>
        <v>31812</v>
      </c>
      <c r="D20" s="5">
        <f t="shared" ca="1" si="0"/>
        <v>2120.8000000000002</v>
      </c>
      <c r="E20" s="5">
        <f t="shared" ca="1" si="1"/>
        <v>46657.600000000006</v>
      </c>
    </row>
    <row r="21" spans="1:5" x14ac:dyDescent="0.25">
      <c r="A21">
        <v>130155</v>
      </c>
      <c r="B21" t="s">
        <v>16</v>
      </c>
      <c r="C21">
        <f>'[1]VENTAS CONSOLIDADA 1,0'!C21</f>
        <v>39028</v>
      </c>
      <c r="D21" s="5">
        <f t="shared" ca="1" si="0"/>
        <v>2601.8666666666668</v>
      </c>
      <c r="E21" s="5">
        <f t="shared" ca="1" si="1"/>
        <v>57241.066666666666</v>
      </c>
    </row>
    <row r="22" spans="1:5" x14ac:dyDescent="0.25">
      <c r="A22">
        <v>130157</v>
      </c>
      <c r="B22" t="s">
        <v>43</v>
      </c>
      <c r="C22">
        <f>'[1]VENTAS CONSOLIDADA 1,0'!C22</f>
        <v>10232</v>
      </c>
      <c r="D22" s="5">
        <f t="shared" ca="1" si="0"/>
        <v>682.13333333333333</v>
      </c>
      <c r="E22" s="5">
        <f t="shared" ca="1" si="1"/>
        <v>15006.933333333332</v>
      </c>
    </row>
    <row r="23" spans="1:5" x14ac:dyDescent="0.25">
      <c r="A23">
        <v>130158</v>
      </c>
      <c r="B23" t="s">
        <v>44</v>
      </c>
      <c r="C23">
        <f>'[1]VENTAS CONSOLIDADA 1,0'!C23</f>
        <v>11727</v>
      </c>
      <c r="D23" s="5">
        <f t="shared" ca="1" si="0"/>
        <v>781.8</v>
      </c>
      <c r="E23" s="5">
        <f t="shared" ca="1" si="1"/>
        <v>17199.599999999999</v>
      </c>
    </row>
    <row r="24" spans="1:5" x14ac:dyDescent="0.25">
      <c r="A24">
        <v>130159</v>
      </c>
      <c r="B24" t="s">
        <v>45</v>
      </c>
      <c r="C24">
        <f>'[1]VENTAS CONSOLIDADA 1,0'!C24</f>
        <v>12476</v>
      </c>
      <c r="D24" s="5">
        <f t="shared" ca="1" si="0"/>
        <v>831.73333333333335</v>
      </c>
      <c r="E24" s="5">
        <f t="shared" ca="1" si="1"/>
        <v>18298.133333333335</v>
      </c>
    </row>
    <row r="25" spans="1:5" x14ac:dyDescent="0.25">
      <c r="A25">
        <v>130700</v>
      </c>
      <c r="B25" t="s">
        <v>3</v>
      </c>
      <c r="C25">
        <f>'[1]VENTAS CONSOLIDADA 1,0'!C25</f>
        <v>3867</v>
      </c>
      <c r="D25" s="5">
        <f t="shared" ca="1" si="0"/>
        <v>257.8</v>
      </c>
      <c r="E25" s="5">
        <f t="shared" ca="1" si="1"/>
        <v>5671.6</v>
      </c>
    </row>
    <row r="26" spans="1:5" x14ac:dyDescent="0.25">
      <c r="A26">
        <v>130701</v>
      </c>
      <c r="B26" t="s">
        <v>30</v>
      </c>
      <c r="C26">
        <f>'[1]VENTAS CONSOLIDADA 1,0'!C26</f>
        <v>1813</v>
      </c>
      <c r="D26" s="5">
        <f t="shared" ca="1" si="0"/>
        <v>120.86666666666666</v>
      </c>
      <c r="E26" s="5">
        <f t="shared" ca="1" si="1"/>
        <v>2659.0666666666666</v>
      </c>
    </row>
    <row r="27" spans="1:5" x14ac:dyDescent="0.25">
      <c r="A27">
        <v>130702</v>
      </c>
      <c r="B27" t="s">
        <v>12</v>
      </c>
      <c r="C27">
        <f>'[1]VENTAS CONSOLIDADA 1,0'!C27</f>
        <v>7457</v>
      </c>
      <c r="D27" s="5">
        <f t="shared" ca="1" si="0"/>
        <v>497.13333333333333</v>
      </c>
      <c r="E27" s="5">
        <f t="shared" ca="1" si="1"/>
        <v>10936.933333333332</v>
      </c>
    </row>
    <row r="28" spans="1:5" x14ac:dyDescent="0.25">
      <c r="A28">
        <v>130703</v>
      </c>
      <c r="B28" t="s">
        <v>17</v>
      </c>
      <c r="C28">
        <f>'[1]VENTAS CONSOLIDADA 1,0'!C28</f>
        <v>12427</v>
      </c>
      <c r="D28" s="5">
        <f t="shared" ca="1" si="0"/>
        <v>828.4666666666667</v>
      </c>
      <c r="E28" s="5">
        <f t="shared" ca="1" si="1"/>
        <v>18226.266666666666</v>
      </c>
    </row>
    <row r="29" spans="1:5" x14ac:dyDescent="0.25">
      <c r="A29">
        <v>130707</v>
      </c>
      <c r="B29" t="s">
        <v>42</v>
      </c>
      <c r="C29">
        <f>'[1]VENTAS CONSOLIDADA 1,0'!C29</f>
        <v>1032</v>
      </c>
      <c r="D29" s="5">
        <f t="shared" ca="1" si="0"/>
        <v>68.8</v>
      </c>
      <c r="E29" s="5">
        <f t="shared" ca="1" si="1"/>
        <v>1513.6</v>
      </c>
    </row>
    <row r="30" spans="1:5" x14ac:dyDescent="0.25">
      <c r="A30">
        <v>131150</v>
      </c>
      <c r="B30" t="s">
        <v>22</v>
      </c>
      <c r="C30">
        <f>'[1]VENTAS CONSOLIDADA 1,0'!C30</f>
        <v>10450</v>
      </c>
      <c r="D30" s="5">
        <f t="shared" ca="1" si="0"/>
        <v>696.66666666666663</v>
      </c>
      <c r="E30" s="5">
        <f t="shared" ca="1" si="1"/>
        <v>15326.666666666666</v>
      </c>
    </row>
    <row r="31" spans="1:5" x14ac:dyDescent="0.25">
      <c r="A31">
        <v>131151</v>
      </c>
      <c r="B31" t="s">
        <v>19</v>
      </c>
      <c r="C31">
        <f>'[1]VENTAS CONSOLIDADA 1,0'!C31</f>
        <v>16272</v>
      </c>
      <c r="D31" s="5">
        <f t="shared" ca="1" si="0"/>
        <v>1084.8</v>
      </c>
      <c r="E31" s="5">
        <f t="shared" ca="1" si="1"/>
        <v>23865.599999999999</v>
      </c>
    </row>
    <row r="32" spans="1:5" x14ac:dyDescent="0.25">
      <c r="A32">
        <v>131152</v>
      </c>
      <c r="B32" t="s">
        <v>32</v>
      </c>
      <c r="C32">
        <f>'[1]VENTAS CONSOLIDADA 1,0'!C32</f>
        <v>8112</v>
      </c>
      <c r="D32" s="5">
        <f t="shared" ca="1" si="0"/>
        <v>540.79999999999995</v>
      </c>
      <c r="E32" s="5">
        <f t="shared" ca="1" si="1"/>
        <v>11897.599999999999</v>
      </c>
    </row>
    <row r="33" spans="1:5" x14ac:dyDescent="0.25">
      <c r="A33">
        <v>131153</v>
      </c>
      <c r="B33" t="s">
        <v>11</v>
      </c>
      <c r="C33">
        <f>'[1]VENTAS CONSOLIDADA 1,0'!C33</f>
        <v>6149</v>
      </c>
      <c r="D33" s="5">
        <f t="shared" ca="1" si="0"/>
        <v>409.93333333333334</v>
      </c>
      <c r="E33" s="5">
        <f t="shared" ca="1" si="1"/>
        <v>9018.5333333333328</v>
      </c>
    </row>
    <row r="34" spans="1:5" x14ac:dyDescent="0.25">
      <c r="A34">
        <v>131154</v>
      </c>
      <c r="B34" t="s">
        <v>48</v>
      </c>
      <c r="C34">
        <f>'[1]VENTAS CONSOLIDADA 1,0'!C34</f>
        <v>3650</v>
      </c>
      <c r="D34" s="5">
        <f t="shared" ca="1" si="0"/>
        <v>243.33333333333334</v>
      </c>
      <c r="E34" s="5">
        <f t="shared" ca="1" si="1"/>
        <v>5353.3333333333339</v>
      </c>
    </row>
    <row r="35" spans="1:5" x14ac:dyDescent="0.25">
      <c r="A35">
        <v>131155</v>
      </c>
      <c r="B35" t="s">
        <v>57</v>
      </c>
      <c r="C35">
        <f>'[1]VENTAS CONSOLIDADA 1,0'!C35</f>
        <v>4496</v>
      </c>
      <c r="D35" s="5">
        <f t="shared" ca="1" si="0"/>
        <v>299.73333333333335</v>
      </c>
      <c r="E35" s="5">
        <f t="shared" ca="1" si="1"/>
        <v>6594.1333333333332</v>
      </c>
    </row>
    <row r="36" spans="1:5" x14ac:dyDescent="0.25">
      <c r="A36">
        <v>131700</v>
      </c>
      <c r="B36" t="s">
        <v>20</v>
      </c>
      <c r="C36">
        <f>'[1]VENTAS CONSOLIDADA 1,0'!C36</f>
        <v>1861</v>
      </c>
      <c r="D36" s="5">
        <f t="shared" ca="1" si="0"/>
        <v>124.06666666666666</v>
      </c>
      <c r="E36" s="5">
        <f t="shared" ca="1" si="1"/>
        <v>2729.4666666666667</v>
      </c>
    </row>
    <row r="37" spans="1:5" x14ac:dyDescent="0.25">
      <c r="A37">
        <v>131701</v>
      </c>
      <c r="B37" t="s">
        <v>24</v>
      </c>
      <c r="C37">
        <f>'[1]VENTAS CONSOLIDADA 1,0'!C37</f>
        <v>2015</v>
      </c>
      <c r="D37" s="5">
        <f t="shared" ca="1" si="0"/>
        <v>134.33333333333334</v>
      </c>
      <c r="E37" s="5">
        <f t="shared" ca="1" si="1"/>
        <v>2955.3333333333335</v>
      </c>
    </row>
    <row r="38" spans="1:5" x14ac:dyDescent="0.25">
      <c r="A38">
        <v>132150</v>
      </c>
      <c r="B38" t="s">
        <v>25</v>
      </c>
      <c r="C38">
        <f>'[1]VENTAS CONSOLIDADA 1,0'!C38</f>
        <v>11075</v>
      </c>
      <c r="D38" s="5">
        <f t="shared" ca="1" si="0"/>
        <v>738.33333333333337</v>
      </c>
      <c r="E38" s="5">
        <f t="shared" ca="1" si="1"/>
        <v>16243.333333333334</v>
      </c>
    </row>
    <row r="39" spans="1:5" x14ac:dyDescent="0.25">
      <c r="A39">
        <v>132151</v>
      </c>
      <c r="B39" t="s">
        <v>26</v>
      </c>
      <c r="C39">
        <f>'[1]VENTAS CONSOLIDADA 1,0'!C39</f>
        <v>8749</v>
      </c>
      <c r="D39" s="5">
        <f t="shared" ca="1" si="0"/>
        <v>583.26666666666665</v>
      </c>
      <c r="E39" s="5">
        <f t="shared" ca="1" si="1"/>
        <v>12831.866666666667</v>
      </c>
    </row>
    <row r="40" spans="1:5" x14ac:dyDescent="0.25">
      <c r="A40">
        <v>132152</v>
      </c>
      <c r="B40" t="s">
        <v>27</v>
      </c>
      <c r="C40">
        <f>'[1]VENTAS CONSOLIDADA 1,0'!C40</f>
        <v>11595</v>
      </c>
      <c r="D40" s="5">
        <f t="shared" ca="1" si="0"/>
        <v>773</v>
      </c>
      <c r="E40" s="5">
        <f t="shared" ca="1" si="1"/>
        <v>17006</v>
      </c>
    </row>
    <row r="41" spans="1:5" x14ac:dyDescent="0.25">
      <c r="A41">
        <v>132153</v>
      </c>
      <c r="B41" t="s">
        <v>40</v>
      </c>
      <c r="C41">
        <f>'[1]VENTAS CONSOLIDADA 1,0'!C41</f>
        <v>7597</v>
      </c>
      <c r="D41" s="5">
        <f t="shared" ca="1" si="0"/>
        <v>506.46666666666664</v>
      </c>
      <c r="E41" s="5">
        <f t="shared" ca="1" si="1"/>
        <v>11142.266666666666</v>
      </c>
    </row>
    <row r="42" spans="1:5" x14ac:dyDescent="0.25">
      <c r="A42">
        <v>134000</v>
      </c>
      <c r="B42" t="s">
        <v>35</v>
      </c>
      <c r="C42">
        <f>'[1]VENTAS CONSOLIDADA 1,0'!C42</f>
        <v>55</v>
      </c>
      <c r="D42" s="5">
        <f t="shared" ca="1" si="0"/>
        <v>3.6666666666666665</v>
      </c>
      <c r="E42" s="5">
        <f t="shared" ca="1" si="1"/>
        <v>80.666666666666657</v>
      </c>
    </row>
    <row r="43" spans="1:5" x14ac:dyDescent="0.25">
      <c r="A43">
        <v>134001</v>
      </c>
      <c r="B43" t="s">
        <v>47</v>
      </c>
      <c r="C43">
        <f>'[1]VENTAS CONSOLIDADA 1,0'!C43</f>
        <v>7</v>
      </c>
      <c r="D43" s="5">
        <f t="shared" ca="1" si="0"/>
        <v>0.46666666666666667</v>
      </c>
      <c r="E43" s="5">
        <f t="shared" ca="1" si="1"/>
        <v>10.266666666666667</v>
      </c>
    </row>
    <row r="44" spans="1:5" x14ac:dyDescent="0.25">
      <c r="A44">
        <v>140230</v>
      </c>
      <c r="B44" t="s">
        <v>18</v>
      </c>
      <c r="C44">
        <f>'[1]VENTAS CONSOLIDADA 1,0'!C44</f>
        <v>2131</v>
      </c>
      <c r="D44" s="5">
        <f t="shared" ca="1" si="0"/>
        <v>142.06666666666666</v>
      </c>
      <c r="E44" s="5">
        <f t="shared" ca="1" si="1"/>
        <v>3125.4666666666667</v>
      </c>
    </row>
    <row r="45" spans="1:5" x14ac:dyDescent="0.25">
      <c r="A45">
        <v>140231</v>
      </c>
      <c r="B45" t="s">
        <v>10</v>
      </c>
      <c r="C45">
        <f>'[1]VENTAS CONSOLIDADA 1,0'!C45</f>
        <v>8098</v>
      </c>
      <c r="D45" s="5">
        <f t="shared" ca="1" si="0"/>
        <v>539.86666666666667</v>
      </c>
      <c r="E45" s="5">
        <f t="shared" ca="1" si="1"/>
        <v>11877.066666666668</v>
      </c>
    </row>
    <row r="46" spans="1:5" x14ac:dyDescent="0.25">
      <c r="A46">
        <v>140232</v>
      </c>
      <c r="B46" t="s">
        <v>9</v>
      </c>
      <c r="C46">
        <f>'[1]VENTAS CONSOLIDADA 1,0'!C46</f>
        <v>6157</v>
      </c>
      <c r="D46" s="5">
        <f t="shared" ca="1" si="0"/>
        <v>410.46666666666664</v>
      </c>
      <c r="E46" s="5">
        <f t="shared" ca="1" si="1"/>
        <v>9030.2666666666664</v>
      </c>
    </row>
    <row r="47" spans="1:5" x14ac:dyDescent="0.25">
      <c r="A47">
        <v>150360</v>
      </c>
      <c r="B47" t="s">
        <v>28</v>
      </c>
      <c r="C47">
        <f>'[1]VENTAS CONSOLIDADA 1,0'!C47</f>
        <v>3125</v>
      </c>
      <c r="D47" s="5">
        <f t="shared" ca="1" si="0"/>
        <v>208.33333333333334</v>
      </c>
      <c r="E47" s="5">
        <f t="shared" ca="1" si="1"/>
        <v>4583.3333333333339</v>
      </c>
    </row>
    <row r="48" spans="1:5" x14ac:dyDescent="0.25">
      <c r="A48">
        <v>150361</v>
      </c>
      <c r="B48" t="s">
        <v>29</v>
      </c>
      <c r="C48">
        <f>'[1]VENTAS CONSOLIDADA 1,0'!C48</f>
        <v>7083</v>
      </c>
      <c r="D48" s="5">
        <f t="shared" ca="1" si="0"/>
        <v>472.2</v>
      </c>
      <c r="E48" s="5">
        <f t="shared" ca="1" si="1"/>
        <v>10388.4</v>
      </c>
    </row>
    <row r="49" spans="1:5" x14ac:dyDescent="0.25">
      <c r="A49">
        <v>150362</v>
      </c>
      <c r="B49" t="s">
        <v>36</v>
      </c>
      <c r="C49">
        <f>'[1]VENTAS CONSOLIDADA 1,0'!C49</f>
        <v>4214</v>
      </c>
      <c r="D49" s="5">
        <f t="shared" ca="1" si="0"/>
        <v>280.93333333333334</v>
      </c>
      <c r="E49" s="5">
        <f t="shared" ca="1" si="1"/>
        <v>6180.5333333333338</v>
      </c>
    </row>
    <row r="50" spans="1:5" x14ac:dyDescent="0.25">
      <c r="A50">
        <v>150363</v>
      </c>
      <c r="B50" t="s">
        <v>31</v>
      </c>
      <c r="C50">
        <f>'[1]VENTAS CONSOLIDADA 1,0'!C50</f>
        <v>4258</v>
      </c>
      <c r="D50" s="5">
        <f t="shared" ca="1" si="0"/>
        <v>283.86666666666667</v>
      </c>
      <c r="E50" s="5">
        <f t="shared" ca="1" si="1"/>
        <v>6245.0666666666666</v>
      </c>
    </row>
    <row r="51" spans="1:5" x14ac:dyDescent="0.25">
      <c r="A51">
        <v>151500</v>
      </c>
      <c r="B51" t="s">
        <v>41</v>
      </c>
      <c r="C51">
        <f>'[1]VENTAS CONSOLIDADA 1,0'!C51</f>
        <v>867</v>
      </c>
      <c r="D51" s="5">
        <f t="shared" ca="1" si="0"/>
        <v>57.8</v>
      </c>
      <c r="E51" s="5">
        <f t="shared" ca="1" si="1"/>
        <v>1271.5999999999999</v>
      </c>
    </row>
    <row r="52" spans="1:5" x14ac:dyDescent="0.25">
      <c r="A52">
        <v>151501</v>
      </c>
      <c r="B52" t="s">
        <v>33</v>
      </c>
      <c r="C52">
        <f>'[1]VENTAS CONSOLIDADA 1,0'!C52</f>
        <v>1954</v>
      </c>
      <c r="D52" s="5">
        <f t="shared" ca="1" si="0"/>
        <v>130.26666666666668</v>
      </c>
      <c r="E52" s="5">
        <f t="shared" ca="1" si="1"/>
        <v>2865.8666666666668</v>
      </c>
    </row>
    <row r="53" spans="1:5" x14ac:dyDescent="0.25">
      <c r="A53">
        <v>151502</v>
      </c>
      <c r="B53" t="s">
        <v>37</v>
      </c>
      <c r="C53">
        <f>'[1]VENTAS CONSOLIDADA 1,0'!C53</f>
        <v>658</v>
      </c>
      <c r="D53" s="5">
        <f t="shared" ca="1" si="0"/>
        <v>43.866666666666667</v>
      </c>
      <c r="E53" s="5">
        <f t="shared" ca="1" si="1"/>
        <v>965.06666666666672</v>
      </c>
    </row>
    <row r="54" spans="1:5" x14ac:dyDescent="0.25">
      <c r="A54">
        <v>151503</v>
      </c>
      <c r="B54" t="s">
        <v>34</v>
      </c>
      <c r="C54">
        <f>'[1]VENTAS CONSOLIDADA 1,0'!C54</f>
        <v>791</v>
      </c>
      <c r="D54" s="5">
        <f t="shared" ca="1" si="0"/>
        <v>52.733333333333334</v>
      </c>
      <c r="E54" s="5">
        <f t="shared" ca="1" si="1"/>
        <v>1160.1333333333334</v>
      </c>
    </row>
    <row r="55" spans="1:5" x14ac:dyDescent="0.25">
      <c r="C55">
        <f>SUM(C8:C54)</f>
        <v>417321</v>
      </c>
      <c r="D55" s="5">
        <f ca="1">SUM(D8:D54)</f>
        <v>27821.399999999991</v>
      </c>
      <c r="E55" s="5">
        <f ca="1">SUM(E8:E54)</f>
        <v>612070.80000000005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B0CC2B14-7DD7-4033-8A48-822C26B12A45}">
  <ds:schemaRefs/>
</ds:datastoreItem>
</file>

<file path=customXml/itemProps2.xml><?xml version="1.0" encoding="utf-8"?>
<ds:datastoreItem xmlns:ds="http://schemas.openxmlformats.org/officeDocument/2006/customXml" ds:itemID="{7845B0CC-F2DA-4435-B3A8-0B67EEA59E3E}">
  <ds:schemaRefs/>
</ds:datastoreItem>
</file>

<file path=customXml/itemProps3.xml><?xml version="1.0" encoding="utf-8"?>
<ds:datastoreItem xmlns:ds="http://schemas.openxmlformats.org/officeDocument/2006/customXml" ds:itemID="{8E0207D3-36B0-4047-99FA-B78F3EBADFAC}">
  <ds:schemaRefs/>
</ds:datastoreItem>
</file>

<file path=customXml/itemProps4.xml><?xml version="1.0" encoding="utf-8"?>
<ds:datastoreItem xmlns:ds="http://schemas.openxmlformats.org/officeDocument/2006/customXml" ds:itemID="{38DB5A37-2218-4EAC-B67D-146D68E76E36}">
  <ds:schemaRefs/>
</ds:datastoreItem>
</file>

<file path=customXml/itemProps5.xml><?xml version="1.0" encoding="utf-8"?>
<ds:datastoreItem xmlns:ds="http://schemas.openxmlformats.org/officeDocument/2006/customXml" ds:itemID="{2FB7461A-5A6D-4ED3-B35C-48147355CFC0}">
  <ds:schemaRefs/>
</ds:datastoreItem>
</file>

<file path=customXml/itemProps6.xml><?xml version="1.0" encoding="utf-8"?>
<ds:datastoreItem xmlns:ds="http://schemas.openxmlformats.org/officeDocument/2006/customXml" ds:itemID="{4DF253BA-E348-4CD2-AA4E-97FB2A32A7F0}">
  <ds:schemaRefs/>
</ds:datastoreItem>
</file>

<file path=customXml/itemProps7.xml><?xml version="1.0" encoding="utf-8"?>
<ds:datastoreItem xmlns:ds="http://schemas.openxmlformats.org/officeDocument/2006/customXml" ds:itemID="{CFB06E3D-1317-4F60-85DB-890000D02217}">
  <ds:schemaRefs/>
</ds:datastoreItem>
</file>

<file path=customXml/itemProps8.xml><?xml version="1.0" encoding="utf-8"?>
<ds:datastoreItem xmlns:ds="http://schemas.openxmlformats.org/officeDocument/2006/customXml" ds:itemID="{CC2043D8-989E-412C-8862-ACDB973E448B}">
  <ds:schemaRefs/>
</ds:datastoreItem>
</file>

<file path=customXml/itemProps9.xml><?xml version="1.0" encoding="utf-8"?>
<ds:datastoreItem xmlns:ds="http://schemas.openxmlformats.org/officeDocument/2006/customXml" ds:itemID="{52FA8FE5-D878-4A8D-B664-9568032292DD}">
  <ds:schemaRefs/>
</ds:datastoreItem>
</file>

<file path=customXml/itemProps10.xml><?xml version="1.0" encoding="utf-8"?>
<ds:datastoreItem xmlns:ds="http://schemas.openxmlformats.org/officeDocument/2006/customXml" ds:itemID="{DB2ACCEB-6CC9-4D35-BDF4-AC9EF8C2F118}">
  <ds:schemaRefs/>
</ds:datastoreItem>
</file>

<file path=customXml/itemProps11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2.xml><?xml version="1.0" encoding="utf-8"?>
<ds:datastoreItem xmlns:ds="http://schemas.openxmlformats.org/officeDocument/2006/customXml" ds:itemID="{084C0BCB-4732-44D2-A228-50E994334BF1}">
  <ds:schemaRefs/>
</ds:datastoreItem>
</file>

<file path=customXml/itemProps13.xml><?xml version="1.0" encoding="utf-8"?>
<ds:datastoreItem xmlns:ds="http://schemas.openxmlformats.org/officeDocument/2006/customXml" ds:itemID="{1624F75C-FD6B-41DE-81B8-76266AB6E660}">
  <ds:schemaRefs/>
</ds:datastoreItem>
</file>

<file path=customXml/itemProps14.xml><?xml version="1.0" encoding="utf-8"?>
<ds:datastoreItem xmlns:ds="http://schemas.openxmlformats.org/officeDocument/2006/customXml" ds:itemID="{F5D7323A-644E-4D3D-8486-43C2FFAD8146}">
  <ds:schemaRefs/>
</ds:datastoreItem>
</file>

<file path=customXml/itemProps15.xml><?xml version="1.0" encoding="utf-8"?>
<ds:datastoreItem xmlns:ds="http://schemas.openxmlformats.org/officeDocument/2006/customXml" ds:itemID="{DEFC51E7-3E67-4621-B139-07F56E3C51B6}">
  <ds:schemaRefs/>
</ds:datastoreItem>
</file>

<file path=customXml/itemProps16.xml><?xml version="1.0" encoding="utf-8"?>
<ds:datastoreItem xmlns:ds="http://schemas.openxmlformats.org/officeDocument/2006/customXml" ds:itemID="{AF2AF42B-D484-4F26-B929-D7FB2E56F71D}">
  <ds:schemaRefs/>
</ds:datastoreItem>
</file>

<file path=customXml/itemProps17.xml><?xml version="1.0" encoding="utf-8"?>
<ds:datastoreItem xmlns:ds="http://schemas.openxmlformats.org/officeDocument/2006/customXml" ds:itemID="{65BE5737-5D13-4B92-9A1E-66AAD091BECC}">
  <ds:schemaRefs/>
</ds:datastoreItem>
</file>

<file path=customXml/itemProps18.xml><?xml version="1.0" encoding="utf-8"?>
<ds:datastoreItem xmlns:ds="http://schemas.openxmlformats.org/officeDocument/2006/customXml" ds:itemID="{0AD6CB95-564A-49A8-92C3-BDDCD21D69FF}">
  <ds:schemaRefs/>
</ds:datastoreItem>
</file>

<file path=customXml/itemProps19.xml><?xml version="1.0" encoding="utf-8"?>
<ds:datastoreItem xmlns:ds="http://schemas.openxmlformats.org/officeDocument/2006/customXml" ds:itemID="{CAB6C292-B853-467D-B711-6EBB7D36CC58}">
  <ds:schemaRefs/>
</ds:datastoreItem>
</file>

<file path=customXml/itemProps20.xml><?xml version="1.0" encoding="utf-8"?>
<ds:datastoreItem xmlns:ds="http://schemas.openxmlformats.org/officeDocument/2006/customXml" ds:itemID="{7AE93A93-CA27-4BDA-AA62-2C35967BA49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2026-09-22T12:20:43Z</dcterms:modified>
</cp:coreProperties>
</file>