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8E14984-EE68-421B-9390-289135AB6347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55" i="55" s="1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D2" i="55" l="1"/>
  <c r="E2" i="55"/>
  <c r="E3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<sst xmlns="http://schemas.openxmlformats.org/spreadsheetml/2006/main" count="320" uniqueCount="62">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</sst>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46273</v>
          </cell>
          <cell r="E2">
            <v>5</v>
          </cell>
        </row>
        <row r="3">
          <cell r="C3" t="str">
            <v>FINAL VENTAS</v>
          </cell>
          <cell r="D3">
            <v>46295</v>
          </cell>
          <cell r="E3">
            <v>17</v>
          </cell>
        </row>
        <row r="8">
          <cell r="C8">
            <v>212</v>
          </cell>
        </row>
        <row r="9">
          <cell r="C9">
            <v>24</v>
          </cell>
        </row>
        <row r="10">
          <cell r="C10">
            <v>69</v>
          </cell>
        </row>
        <row r="11">
          <cell r="C11">
            <v>4</v>
          </cell>
        </row>
        <row r="12">
          <cell r="C12">
            <v>5</v>
          </cell>
        </row>
        <row r="13">
          <cell r="C13">
            <v>327</v>
          </cell>
        </row>
        <row r="14">
          <cell r="C14">
            <v>18</v>
          </cell>
        </row>
        <row r="15">
          <cell r="C15">
            <v>41</v>
          </cell>
        </row>
        <row r="16">
          <cell r="C16">
            <v>92</v>
          </cell>
        </row>
        <row r="17">
          <cell r="C17">
            <v>35</v>
          </cell>
        </row>
        <row r="18">
          <cell r="C18">
            <v>777</v>
          </cell>
        </row>
        <row r="19">
          <cell r="C19">
            <v>448</v>
          </cell>
        </row>
        <row r="20">
          <cell r="C20">
            <v>621</v>
          </cell>
        </row>
        <row r="21">
          <cell r="C21">
            <v>431</v>
          </cell>
        </row>
        <row r="22">
          <cell r="C22">
            <v>114</v>
          </cell>
        </row>
        <row r="23">
          <cell r="C23">
            <v>112</v>
          </cell>
        </row>
        <row r="24">
          <cell r="C24">
            <v>94</v>
          </cell>
        </row>
        <row r="25">
          <cell r="C25">
            <v>17</v>
          </cell>
        </row>
        <row r="26">
          <cell r="C26">
            <v>3</v>
          </cell>
        </row>
        <row r="27">
          <cell r="C27">
            <v>53</v>
          </cell>
        </row>
        <row r="28">
          <cell r="C28">
            <v>71</v>
          </cell>
        </row>
        <row r="29">
          <cell r="C29">
            <v>0</v>
          </cell>
        </row>
        <row r="30">
          <cell r="C30">
            <v>182</v>
          </cell>
        </row>
        <row r="31">
          <cell r="C31">
            <v>497</v>
          </cell>
        </row>
        <row r="32">
          <cell r="C32">
            <v>377</v>
          </cell>
        </row>
        <row r="33">
          <cell r="C33">
            <v>37</v>
          </cell>
        </row>
        <row r="34">
          <cell r="C34">
            <v>132</v>
          </cell>
        </row>
        <row r="35">
          <cell r="C35">
            <v>174</v>
          </cell>
        </row>
        <row r="36">
          <cell r="C36">
            <v>7</v>
          </cell>
        </row>
        <row r="37">
          <cell r="C37">
            <v>41</v>
          </cell>
        </row>
        <row r="38">
          <cell r="C38">
            <v>140</v>
          </cell>
        </row>
        <row r="39">
          <cell r="C39">
            <v>111</v>
          </cell>
        </row>
        <row r="40">
          <cell r="C40">
            <v>94</v>
          </cell>
        </row>
        <row r="41">
          <cell r="C41">
            <v>13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50</v>
          </cell>
        </row>
        <row r="45">
          <cell r="C45">
            <v>256</v>
          </cell>
        </row>
        <row r="46">
          <cell r="C46">
            <v>0</v>
          </cell>
        </row>
        <row r="47">
          <cell r="C47">
            <v>57</v>
          </cell>
        </row>
        <row r="48">
          <cell r="C48">
            <v>33</v>
          </cell>
        </row>
        <row r="49">
          <cell r="C49">
            <v>17</v>
          </cell>
        </row>
        <row r="50">
          <cell r="C50">
            <v>17</v>
          </cell>
        </row>
        <row r="51">
          <cell r="C51">
            <v>4</v>
          </cell>
        </row>
        <row r="52">
          <cell r="C52">
            <v>8</v>
          </cell>
        </row>
        <row r="53">
          <cell r="C53">
            <v>0</v>
          </cell>
        </row>
        <row r="54">
          <cell r="C54">
            <v>1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46273</v>
          </cell>
          <cell r="E2">
            <v>5</v>
          </cell>
        </row>
        <row r="3">
          <cell r="C3" t="str">
            <v>FINAL VENTAS</v>
          </cell>
          <cell r="D3">
            <v>46295</v>
          </cell>
          <cell r="E3">
            <v>17</v>
          </cell>
        </row>
        <row r="8">
          <cell r="C8">
            <v>173</v>
          </cell>
        </row>
        <row r="9">
          <cell r="C9">
            <v>3</v>
          </cell>
        </row>
        <row r="10">
          <cell r="C10">
            <v>73</v>
          </cell>
        </row>
        <row r="11">
          <cell r="C11">
            <v>11</v>
          </cell>
        </row>
        <row r="12">
          <cell r="C12">
            <v>0</v>
          </cell>
        </row>
        <row r="13">
          <cell r="C13">
            <v>686</v>
          </cell>
        </row>
        <row r="14">
          <cell r="C14">
            <v>76</v>
          </cell>
        </row>
        <row r="15">
          <cell r="C15">
            <v>83</v>
          </cell>
        </row>
        <row r="16">
          <cell r="C16">
            <v>276</v>
          </cell>
        </row>
        <row r="17">
          <cell r="C17">
            <v>107</v>
          </cell>
        </row>
        <row r="18">
          <cell r="C18">
            <v>2428</v>
          </cell>
        </row>
        <row r="19">
          <cell r="C19">
            <v>1315</v>
          </cell>
        </row>
        <row r="20">
          <cell r="C20">
            <v>1338</v>
          </cell>
        </row>
        <row r="21">
          <cell r="C21">
            <v>1525</v>
          </cell>
        </row>
        <row r="22">
          <cell r="C22">
            <v>425</v>
          </cell>
        </row>
        <row r="23">
          <cell r="C23">
            <v>622</v>
          </cell>
        </row>
        <row r="24">
          <cell r="C24">
            <v>600</v>
          </cell>
        </row>
        <row r="25">
          <cell r="C25">
            <v>99</v>
          </cell>
        </row>
        <row r="26">
          <cell r="C26">
            <v>14</v>
          </cell>
        </row>
        <row r="27">
          <cell r="C27">
            <v>418</v>
          </cell>
        </row>
        <row r="28">
          <cell r="C28">
            <v>521</v>
          </cell>
        </row>
        <row r="29">
          <cell r="C29">
            <v>20</v>
          </cell>
        </row>
        <row r="30">
          <cell r="C30">
            <v>193</v>
          </cell>
        </row>
        <row r="31">
          <cell r="C31">
            <v>450</v>
          </cell>
        </row>
        <row r="32">
          <cell r="C32">
            <v>202</v>
          </cell>
        </row>
        <row r="33">
          <cell r="C33">
            <v>146</v>
          </cell>
        </row>
        <row r="34">
          <cell r="C34">
            <v>270</v>
          </cell>
        </row>
        <row r="35">
          <cell r="C35">
            <v>308</v>
          </cell>
        </row>
        <row r="36">
          <cell r="C36">
            <v>50</v>
          </cell>
        </row>
        <row r="37">
          <cell r="C37">
            <v>69</v>
          </cell>
        </row>
        <row r="38">
          <cell r="C38">
            <v>470</v>
          </cell>
        </row>
        <row r="39">
          <cell r="C39">
            <v>324</v>
          </cell>
        </row>
        <row r="40">
          <cell r="C40">
            <v>481</v>
          </cell>
        </row>
        <row r="41">
          <cell r="C41">
            <v>194</v>
          </cell>
        </row>
        <row r="42">
          <cell r="C42">
            <v>3</v>
          </cell>
        </row>
        <row r="43">
          <cell r="C43">
            <v>0</v>
          </cell>
        </row>
        <row r="44">
          <cell r="C44">
            <v>58</v>
          </cell>
        </row>
        <row r="45">
          <cell r="C45">
            <v>92</v>
          </cell>
        </row>
        <row r="46">
          <cell r="C46">
            <v>156</v>
          </cell>
        </row>
        <row r="47">
          <cell r="C47">
            <v>45</v>
          </cell>
        </row>
        <row r="48">
          <cell r="C48">
            <v>42</v>
          </cell>
        </row>
        <row r="49">
          <cell r="C49">
            <v>66</v>
          </cell>
        </row>
        <row r="50">
          <cell r="C50">
            <v>111</v>
          </cell>
        </row>
        <row r="51">
          <cell r="C51">
            <v>33</v>
          </cell>
        </row>
        <row r="52">
          <cell r="C52">
            <v>105</v>
          </cell>
        </row>
        <row r="53">
          <cell r="C53">
            <v>6</v>
          </cell>
        </row>
        <row r="54">
          <cell r="C54">
            <v>12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46273</v>
          </cell>
          <cell r="E2">
            <v>5</v>
          </cell>
        </row>
        <row r="3">
          <cell r="C3" t="str">
            <v>FINAL VENTAS</v>
          </cell>
          <cell r="D3">
            <v>46295</v>
          </cell>
          <cell r="E3">
            <v>17</v>
          </cell>
        </row>
        <row r="8">
          <cell r="C8">
            <v>3336</v>
          </cell>
        </row>
        <row r="9">
          <cell r="C9">
            <v>220</v>
          </cell>
        </row>
        <row r="10">
          <cell r="C10">
            <v>1776</v>
          </cell>
        </row>
        <row r="11">
          <cell r="C11">
            <v>210</v>
          </cell>
        </row>
        <row r="12">
          <cell r="C12">
            <v>16</v>
          </cell>
        </row>
        <row r="13">
          <cell r="C13">
            <v>4025</v>
          </cell>
        </row>
        <row r="14">
          <cell r="C14">
            <v>239</v>
          </cell>
        </row>
        <row r="15">
          <cell r="C15">
            <v>432</v>
          </cell>
        </row>
        <row r="16">
          <cell r="C16">
            <v>1373</v>
          </cell>
        </row>
        <row r="17">
          <cell r="C17">
            <v>737</v>
          </cell>
        </row>
        <row r="18">
          <cell r="C18">
            <v>7959</v>
          </cell>
        </row>
        <row r="19">
          <cell r="C19">
            <v>4819</v>
          </cell>
        </row>
        <row r="20">
          <cell r="C20">
            <v>5304</v>
          </cell>
        </row>
        <row r="21">
          <cell r="C21">
            <v>6369</v>
          </cell>
        </row>
        <row r="22">
          <cell r="C22">
            <v>1658</v>
          </cell>
        </row>
        <row r="23">
          <cell r="C23">
            <v>1723</v>
          </cell>
        </row>
        <row r="24">
          <cell r="C24">
            <v>1769</v>
          </cell>
        </row>
        <row r="25">
          <cell r="C25">
            <v>370</v>
          </cell>
        </row>
        <row r="26">
          <cell r="C26">
            <v>163</v>
          </cell>
        </row>
        <row r="27">
          <cell r="C27">
            <v>934</v>
          </cell>
        </row>
        <row r="28">
          <cell r="C28">
            <v>1746</v>
          </cell>
        </row>
        <row r="29">
          <cell r="C29">
            <v>300</v>
          </cell>
        </row>
        <row r="30">
          <cell r="C30">
            <v>1949</v>
          </cell>
        </row>
        <row r="31">
          <cell r="C31">
            <v>2398</v>
          </cell>
        </row>
        <row r="32">
          <cell r="C32">
            <v>1010</v>
          </cell>
        </row>
        <row r="33">
          <cell r="C33">
            <v>737</v>
          </cell>
        </row>
        <row r="34">
          <cell r="C34">
            <v>482</v>
          </cell>
        </row>
        <row r="35">
          <cell r="C35">
            <v>603</v>
          </cell>
        </row>
        <row r="36">
          <cell r="C36">
            <v>308</v>
          </cell>
        </row>
        <row r="37">
          <cell r="C37">
            <v>276</v>
          </cell>
        </row>
        <row r="38">
          <cell r="C38">
            <v>1255</v>
          </cell>
        </row>
        <row r="39">
          <cell r="C39">
            <v>1153</v>
          </cell>
        </row>
        <row r="40">
          <cell r="C40">
            <v>1413</v>
          </cell>
        </row>
        <row r="41">
          <cell r="C41">
            <v>942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34</v>
          </cell>
        </row>
        <row r="45">
          <cell r="C45">
            <v>1201</v>
          </cell>
        </row>
        <row r="46">
          <cell r="C46">
            <v>1021</v>
          </cell>
        </row>
        <row r="47">
          <cell r="C47">
            <v>542</v>
          </cell>
        </row>
        <row r="48">
          <cell r="C48">
            <v>846</v>
          </cell>
        </row>
        <row r="49">
          <cell r="C49">
            <v>642</v>
          </cell>
        </row>
        <row r="50">
          <cell r="C50">
            <v>614</v>
          </cell>
        </row>
        <row r="51">
          <cell r="C51">
            <v>53</v>
          </cell>
        </row>
        <row r="52">
          <cell r="C52">
            <v>126</v>
          </cell>
        </row>
        <row r="53">
          <cell r="C53">
            <v>74</v>
          </cell>
        </row>
        <row r="54">
          <cell r="C54">
            <v>80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46273</v>
          </cell>
          <cell r="E2">
            <v>5</v>
          </cell>
        </row>
        <row r="3">
          <cell r="C3" t="str">
            <v>FINAL VENTAS</v>
          </cell>
          <cell r="D3">
            <v>46295</v>
          </cell>
          <cell r="E3">
            <v>17</v>
          </cell>
        </row>
        <row r="8">
          <cell r="C8">
            <v>1108</v>
          </cell>
        </row>
        <row r="9">
          <cell r="C9">
            <v>164</v>
          </cell>
        </row>
        <row r="10">
          <cell r="C10">
            <v>506</v>
          </cell>
        </row>
        <row r="11">
          <cell r="C11">
            <v>148</v>
          </cell>
        </row>
        <row r="12">
          <cell r="C12">
            <v>7</v>
          </cell>
        </row>
        <row r="13">
          <cell r="C13">
            <v>1620</v>
          </cell>
        </row>
        <row r="14">
          <cell r="C14">
            <v>168</v>
          </cell>
        </row>
        <row r="15">
          <cell r="C15">
            <v>574</v>
          </cell>
        </row>
        <row r="16">
          <cell r="C16">
            <v>1473</v>
          </cell>
        </row>
        <row r="17">
          <cell r="C17">
            <v>574</v>
          </cell>
        </row>
        <row r="18">
          <cell r="C18">
            <v>4103</v>
          </cell>
        </row>
        <row r="19">
          <cell r="C19">
            <v>2659</v>
          </cell>
        </row>
        <row r="20">
          <cell r="C20">
            <v>2568</v>
          </cell>
        </row>
        <row r="21">
          <cell r="C21">
            <v>2945</v>
          </cell>
        </row>
        <row r="22">
          <cell r="C22">
            <v>637</v>
          </cell>
        </row>
        <row r="23">
          <cell r="C23">
            <v>1257</v>
          </cell>
        </row>
        <row r="24">
          <cell r="C24">
            <v>1180</v>
          </cell>
        </row>
        <row r="25">
          <cell r="C25">
            <v>491</v>
          </cell>
        </row>
        <row r="26">
          <cell r="C26">
            <v>243</v>
          </cell>
        </row>
        <row r="27">
          <cell r="C27">
            <v>750</v>
          </cell>
        </row>
        <row r="28">
          <cell r="C28">
            <v>1131</v>
          </cell>
        </row>
        <row r="29">
          <cell r="C29">
            <v>0</v>
          </cell>
        </row>
        <row r="30">
          <cell r="C30">
            <v>676</v>
          </cell>
        </row>
        <row r="31">
          <cell r="C31">
            <v>678</v>
          </cell>
        </row>
        <row r="32">
          <cell r="C32">
            <v>561</v>
          </cell>
        </row>
        <row r="33">
          <cell r="C33">
            <v>434</v>
          </cell>
        </row>
        <row r="34">
          <cell r="C34">
            <v>226</v>
          </cell>
        </row>
        <row r="35">
          <cell r="C35">
            <v>302</v>
          </cell>
        </row>
        <row r="36">
          <cell r="C36">
            <v>155</v>
          </cell>
        </row>
        <row r="37">
          <cell r="C37">
            <v>83</v>
          </cell>
        </row>
        <row r="38">
          <cell r="C38">
            <v>996</v>
          </cell>
        </row>
        <row r="39">
          <cell r="C39">
            <v>667</v>
          </cell>
        </row>
        <row r="40">
          <cell r="C40">
            <v>1043</v>
          </cell>
        </row>
        <row r="41">
          <cell r="C41">
            <v>565</v>
          </cell>
        </row>
        <row r="42">
          <cell r="C42">
            <v>17</v>
          </cell>
        </row>
        <row r="43">
          <cell r="C43">
            <v>6</v>
          </cell>
        </row>
        <row r="44">
          <cell r="C44">
            <v>315</v>
          </cell>
        </row>
        <row r="45">
          <cell r="C45">
            <v>429</v>
          </cell>
        </row>
        <row r="46">
          <cell r="C46">
            <v>787</v>
          </cell>
        </row>
        <row r="47">
          <cell r="C47">
            <v>36</v>
          </cell>
        </row>
        <row r="48">
          <cell r="C48">
            <v>304</v>
          </cell>
        </row>
        <row r="49">
          <cell r="C49">
            <v>194</v>
          </cell>
        </row>
        <row r="50">
          <cell r="C50">
            <v>265</v>
          </cell>
        </row>
        <row r="51">
          <cell r="C51">
            <v>42</v>
          </cell>
        </row>
        <row r="52">
          <cell r="C52">
            <v>95</v>
          </cell>
        </row>
        <row r="53">
          <cell r="C53">
            <v>21</v>
          </cell>
        </row>
        <row r="54">
          <cell r="C54">
            <v>44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46273</v>
          </cell>
          <cell r="E2">
            <v>5</v>
          </cell>
        </row>
        <row r="3">
          <cell r="C3" t="str">
            <v>FINAL VENTAS</v>
          </cell>
          <cell r="D3">
            <v>46295</v>
          </cell>
          <cell r="E3">
            <v>17</v>
          </cell>
        </row>
        <row r="8">
          <cell r="C8">
            <v>108</v>
          </cell>
        </row>
        <row r="9">
          <cell r="C9">
            <v>8</v>
          </cell>
        </row>
        <row r="10">
          <cell r="C10">
            <v>21</v>
          </cell>
        </row>
        <row r="11">
          <cell r="C11">
            <v>3</v>
          </cell>
        </row>
        <row r="12">
          <cell r="C12">
            <v>3</v>
          </cell>
        </row>
        <row r="13">
          <cell r="C13">
            <v>37</v>
          </cell>
        </row>
        <row r="14">
          <cell r="C14">
            <v>64</v>
          </cell>
        </row>
        <row r="15">
          <cell r="C15">
            <v>48</v>
          </cell>
        </row>
        <row r="16">
          <cell r="C16">
            <v>115</v>
          </cell>
        </row>
        <row r="17">
          <cell r="C17">
            <v>0</v>
          </cell>
        </row>
        <row r="18">
          <cell r="C18">
            <v>251</v>
          </cell>
        </row>
        <row r="19">
          <cell r="C19">
            <v>175</v>
          </cell>
        </row>
        <row r="20">
          <cell r="C20">
            <v>157</v>
          </cell>
        </row>
        <row r="21">
          <cell r="C21">
            <v>245</v>
          </cell>
        </row>
        <row r="22">
          <cell r="C22">
            <v>59</v>
          </cell>
        </row>
        <row r="23">
          <cell r="C23">
            <v>88</v>
          </cell>
        </row>
        <row r="24">
          <cell r="C24">
            <v>117</v>
          </cell>
        </row>
        <row r="25">
          <cell r="C25">
            <v>3</v>
          </cell>
        </row>
        <row r="26">
          <cell r="C26">
            <v>6</v>
          </cell>
        </row>
        <row r="27">
          <cell r="C27">
            <v>26</v>
          </cell>
        </row>
        <row r="28">
          <cell r="C28">
            <v>13</v>
          </cell>
        </row>
        <row r="29">
          <cell r="C29">
            <v>0</v>
          </cell>
        </row>
        <row r="30">
          <cell r="C30">
            <v>61</v>
          </cell>
        </row>
        <row r="31">
          <cell r="C31">
            <v>131</v>
          </cell>
        </row>
        <row r="32">
          <cell r="C32">
            <v>0</v>
          </cell>
        </row>
        <row r="33">
          <cell r="C33">
            <v>99</v>
          </cell>
        </row>
        <row r="34">
          <cell r="C34">
            <v>15</v>
          </cell>
        </row>
        <row r="35">
          <cell r="C35">
            <v>15</v>
          </cell>
        </row>
        <row r="36">
          <cell r="C36">
            <v>0</v>
          </cell>
        </row>
        <row r="37">
          <cell r="C37">
            <v>27</v>
          </cell>
        </row>
        <row r="38">
          <cell r="C38">
            <v>169</v>
          </cell>
        </row>
        <row r="39">
          <cell r="C39">
            <v>123</v>
          </cell>
        </row>
        <row r="40">
          <cell r="C40">
            <v>145</v>
          </cell>
        </row>
        <row r="41">
          <cell r="C41">
            <v>80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26</v>
          </cell>
        </row>
        <row r="45">
          <cell r="C45">
            <v>62</v>
          </cell>
        </row>
        <row r="46">
          <cell r="C46">
            <v>0</v>
          </cell>
        </row>
        <row r="47">
          <cell r="C47">
            <v>23</v>
          </cell>
        </row>
        <row r="48">
          <cell r="C48">
            <v>23</v>
          </cell>
        </row>
        <row r="49">
          <cell r="C49">
            <v>44</v>
          </cell>
        </row>
        <row r="50">
          <cell r="C50">
            <v>44</v>
          </cell>
        </row>
        <row r="51">
          <cell r="C51">
            <v>12</v>
          </cell>
        </row>
        <row r="52">
          <cell r="C52">
            <v>12</v>
          </cell>
        </row>
        <row r="53">
          <cell r="C53">
            <v>12</v>
          </cell>
        </row>
        <row r="54">
          <cell r="C54">
            <v>12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46273</v>
          </cell>
          <cell r="E2">
            <v>5</v>
          </cell>
        </row>
        <row r="3">
          <cell r="C3" t="str">
            <v>FINAL VENTAS</v>
          </cell>
          <cell r="D3">
            <v>46295</v>
          </cell>
          <cell r="E3">
            <v>17</v>
          </cell>
        </row>
        <row r="8">
          <cell r="C8">
            <v>4937</v>
          </cell>
        </row>
        <row r="9">
          <cell r="C9">
            <v>419</v>
          </cell>
        </row>
        <row r="10">
          <cell r="C10">
            <v>2445</v>
          </cell>
        </row>
        <row r="11">
          <cell r="C11">
            <v>376</v>
          </cell>
        </row>
        <row r="12">
          <cell r="C12">
            <v>31</v>
          </cell>
        </row>
        <row r="13">
          <cell r="C13">
            <v>6695</v>
          </cell>
        </row>
        <row r="14">
          <cell r="C14">
            <v>565</v>
          </cell>
        </row>
        <row r="15">
          <cell r="C15">
            <v>1178</v>
          </cell>
        </row>
        <row r="16">
          <cell r="C16">
            <v>3329</v>
          </cell>
        </row>
        <row r="17">
          <cell r="C17">
            <v>1453</v>
          </cell>
        </row>
        <row r="18">
          <cell r="C18">
            <v>15518</v>
          </cell>
        </row>
        <row r="19">
          <cell r="C19">
            <v>9416</v>
          </cell>
        </row>
        <row r="20">
          <cell r="C20">
            <v>9988</v>
          </cell>
        </row>
        <row r="21">
          <cell r="C21">
            <v>11515</v>
          </cell>
        </row>
        <row r="22">
          <cell r="C22">
            <v>2893</v>
          </cell>
        </row>
        <row r="23">
          <cell r="C23">
            <v>3802</v>
          </cell>
        </row>
        <row r="24">
          <cell r="C24">
            <v>3760</v>
          </cell>
        </row>
        <row r="25">
          <cell r="C25">
            <v>980</v>
          </cell>
        </row>
        <row r="26">
          <cell r="C26">
            <v>429</v>
          </cell>
        </row>
        <row r="27">
          <cell r="C27">
            <v>2181</v>
          </cell>
        </row>
        <row r="28">
          <cell r="C28">
            <v>3482</v>
          </cell>
        </row>
        <row r="29">
          <cell r="C29">
            <v>320</v>
          </cell>
        </row>
        <row r="30">
          <cell r="C30">
            <v>3061</v>
          </cell>
        </row>
        <row r="31">
          <cell r="C31">
            <v>4154</v>
          </cell>
        </row>
        <row r="32">
          <cell r="C32">
            <v>2150</v>
          </cell>
        </row>
        <row r="33">
          <cell r="C33">
            <v>1453</v>
          </cell>
        </row>
        <row r="34">
          <cell r="C34">
            <v>1125</v>
          </cell>
        </row>
        <row r="35">
          <cell r="C35">
            <v>1402</v>
          </cell>
        </row>
        <row r="36">
          <cell r="C36">
            <v>520</v>
          </cell>
        </row>
        <row r="37">
          <cell r="C37">
            <v>496</v>
          </cell>
        </row>
        <row r="38">
          <cell r="C38">
            <v>3030</v>
          </cell>
        </row>
        <row r="39">
          <cell r="C39">
            <v>2378</v>
          </cell>
        </row>
        <row r="40">
          <cell r="C40">
            <v>3176</v>
          </cell>
        </row>
        <row r="41">
          <cell r="C41">
            <v>1794</v>
          </cell>
        </row>
        <row r="42">
          <cell r="C42">
            <v>20</v>
          </cell>
        </row>
        <row r="43">
          <cell r="C43">
            <v>6</v>
          </cell>
        </row>
        <row r="44">
          <cell r="C44">
            <v>483</v>
          </cell>
        </row>
        <row r="45">
          <cell r="C45">
            <v>2040</v>
          </cell>
        </row>
        <row r="46">
          <cell r="C46">
            <v>1964</v>
          </cell>
        </row>
        <row r="47">
          <cell r="C47">
            <v>703</v>
          </cell>
        </row>
        <row r="48">
          <cell r="C48">
            <v>1248</v>
          </cell>
        </row>
        <row r="49">
          <cell r="C49">
            <v>963</v>
          </cell>
        </row>
        <row r="50">
          <cell r="C50">
            <v>1051</v>
          </cell>
        </row>
        <row r="51">
          <cell r="C51">
            <v>144</v>
          </cell>
        </row>
        <row r="52">
          <cell r="C52">
            <v>346</v>
          </cell>
        </row>
        <row r="53">
          <cell r="C53">
            <v>113</v>
          </cell>
        </row>
        <row r="54">
          <cell r="C54">
            <v>149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46273</v>
      </c>
      <c r="E2" s="4">
        <f ca="1">'[1]VENTAS CONSOLIDADA ZULIA'!E2</f>
        <v>5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17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108</v>
      </c>
      <c r="D8" s="5">
        <f t="shared" ref="D8:D54" ca="1" si="0">C8/$E$2</f>
        <v>21.6</v>
      </c>
      <c r="E8" s="5">
        <f ca="1">D8*($E$2+$E$3)</f>
        <v>475.20000000000005</v>
      </c>
    </row>
    <row r="9" spans="1:5" x14ac:dyDescent="0.25">
      <c r="A9">
        <v>110151</v>
      </c>
      <c r="B9" t="s">
        <v>5</v>
      </c>
      <c r="C9">
        <f>'[1]VENTAS CONSOLIDADA ZULIA'!C9</f>
        <v>8</v>
      </c>
      <c r="D9" s="5">
        <f t="shared" ca="1" si="0"/>
        <v>1.6</v>
      </c>
      <c r="E9" s="5">
        <f t="shared" ref="E9:E54" ca="1" si="1">D9*($E$2+$E$3)</f>
        <v>35.200000000000003</v>
      </c>
    </row>
    <row r="10" spans="1:5" x14ac:dyDescent="0.25">
      <c r="A10">
        <v>110230</v>
      </c>
      <c r="B10" t="s">
        <v>1</v>
      </c>
      <c r="C10">
        <f>'[1]VENTAS CONSOLIDADA ZULIA'!C10</f>
        <v>21</v>
      </c>
      <c r="D10" s="5">
        <f t="shared" ca="1" si="0"/>
        <v>4.2</v>
      </c>
      <c r="E10" s="5">
        <f t="shared" ca="1" si="1"/>
        <v>92.4</v>
      </c>
    </row>
    <row r="11" spans="1:5" x14ac:dyDescent="0.25">
      <c r="A11">
        <v>110400</v>
      </c>
      <c r="B11" t="s">
        <v>13</v>
      </c>
      <c r="C11">
        <f>'[1]VENTAS CONSOLIDADA ZULIA'!C11</f>
        <v>3</v>
      </c>
      <c r="D11" s="5">
        <f t="shared" ca="1" si="0"/>
        <v>0.6</v>
      </c>
      <c r="E11" s="5">
        <f t="shared" ca="1" si="1"/>
        <v>13.2</v>
      </c>
    </row>
    <row r="12" spans="1:5" x14ac:dyDescent="0.25">
      <c r="A12">
        <v>111000</v>
      </c>
      <c r="B12" t="s">
        <v>14</v>
      </c>
      <c r="C12">
        <f>'[1]VENTAS CONSOLIDADA ZULIA'!C12</f>
        <v>3</v>
      </c>
      <c r="D12" s="5">
        <f t="shared" ca="1" si="0"/>
        <v>0.6</v>
      </c>
      <c r="E12" s="5">
        <f t="shared" ca="1" si="1"/>
        <v>13.2</v>
      </c>
    </row>
    <row r="13" spans="1:5" x14ac:dyDescent="0.25">
      <c r="A13">
        <v>120130</v>
      </c>
      <c r="B13" t="s">
        <v>15</v>
      </c>
      <c r="C13">
        <f>'[1]VENTAS CONSOLIDADA ZULIA'!C13</f>
        <v>37</v>
      </c>
      <c r="D13" s="5">
        <f t="shared" ca="1" si="0"/>
        <v>7.4</v>
      </c>
      <c r="E13" s="5">
        <f t="shared" ca="1" si="1"/>
        <v>162.80000000000001</v>
      </c>
    </row>
    <row r="14" spans="1:5" x14ac:dyDescent="0.25">
      <c r="A14">
        <v>120131</v>
      </c>
      <c r="B14" t="s">
        <v>23</v>
      </c>
      <c r="C14">
        <f>'[1]VENTAS CONSOLIDADA ZULIA'!C14</f>
        <v>64</v>
      </c>
      <c r="D14" s="5">
        <f t="shared" ca="1" si="0"/>
        <v>12.8</v>
      </c>
      <c r="E14" s="5">
        <f t="shared" ca="1" si="1"/>
        <v>281.60000000000002</v>
      </c>
    </row>
    <row r="15" spans="1:5" x14ac:dyDescent="0.25">
      <c r="A15">
        <v>120132</v>
      </c>
      <c r="B15" t="s">
        <v>21</v>
      </c>
      <c r="C15">
        <f>'[1]VENTAS CONSOLIDADA ZULIA'!C15</f>
        <v>48</v>
      </c>
      <c r="D15" s="5">
        <f t="shared" ca="1" si="0"/>
        <v>9.6</v>
      </c>
      <c r="E15" s="5">
        <f t="shared" ca="1" si="1"/>
        <v>211.2</v>
      </c>
    </row>
    <row r="16" spans="1:5" x14ac:dyDescent="0.25">
      <c r="A16">
        <v>130150</v>
      </c>
      <c r="B16" t="s">
        <v>0</v>
      </c>
      <c r="C16">
        <f>'[1]VENTAS CONSOLIDADA ZULIA'!C16</f>
        <v>115</v>
      </c>
      <c r="D16" s="5">
        <f t="shared" ca="1" si="0"/>
        <v>23</v>
      </c>
      <c r="E16" s="5">
        <f t="shared" ca="1" si="1"/>
        <v>506</v>
      </c>
    </row>
    <row r="17" spans="1:5" x14ac:dyDescent="0.25">
      <c r="A17">
        <v>130151</v>
      </c>
      <c r="B17" t="s">
        <v>4</v>
      </c>
      <c r="C17">
        <f>'[1]VENTAS CONSOLIDADA ZULIA'!C17</f>
        <v>0</v>
      </c>
      <c r="D17" s="5">
        <f t="shared" ca="1" si="0"/>
        <v>0</v>
      </c>
      <c r="E17" s="5">
        <f t="shared" ca="1" si="1"/>
        <v>0</v>
      </c>
    </row>
    <row r="18" spans="1:5" x14ac:dyDescent="0.25">
      <c r="A18">
        <v>130152</v>
      </c>
      <c r="B18" t="s">
        <v>51</v>
      </c>
      <c r="C18">
        <f>'[1]VENTAS CONSOLIDADA ZULIA'!C18</f>
        <v>251</v>
      </c>
      <c r="D18" s="5">
        <f t="shared" ca="1" si="0"/>
        <v>50.2</v>
      </c>
      <c r="E18" s="5">
        <f t="shared" ca="1" si="1"/>
        <v>1104.4000000000001</v>
      </c>
    </row>
    <row r="19" spans="1:5" x14ac:dyDescent="0.25">
      <c r="A19">
        <v>130153</v>
      </c>
      <c r="B19" t="s">
        <v>52</v>
      </c>
      <c r="C19">
        <f>'[1]VENTAS CONSOLIDADA ZULIA'!C19</f>
        <v>175</v>
      </c>
      <c r="D19" s="5">
        <f t="shared" ca="1" si="0"/>
        <v>35</v>
      </c>
      <c r="E19" s="5">
        <f t="shared" ca="1" si="1"/>
        <v>770</v>
      </c>
    </row>
    <row r="20" spans="1:5" x14ac:dyDescent="0.25">
      <c r="A20">
        <v>130154</v>
      </c>
      <c r="B20" t="s">
        <v>53</v>
      </c>
      <c r="C20">
        <f>'[1]VENTAS CONSOLIDADA ZULIA'!C20</f>
        <v>157</v>
      </c>
      <c r="D20" s="5">
        <f t="shared" ca="1" si="0"/>
        <v>31.4</v>
      </c>
      <c r="E20" s="5">
        <f t="shared" ca="1" si="1"/>
        <v>690.8</v>
      </c>
    </row>
    <row r="21" spans="1:5" x14ac:dyDescent="0.25">
      <c r="A21">
        <v>130155</v>
      </c>
      <c r="B21" t="s">
        <v>16</v>
      </c>
      <c r="C21">
        <f>'[1]VENTAS CONSOLIDADA ZULIA'!C21</f>
        <v>245</v>
      </c>
      <c r="D21" s="5">
        <f t="shared" ca="1" si="0"/>
        <v>49</v>
      </c>
      <c r="E21" s="5">
        <f t="shared" ca="1" si="1"/>
        <v>1078</v>
      </c>
    </row>
    <row r="22" spans="1:5" x14ac:dyDescent="0.25">
      <c r="A22">
        <v>130157</v>
      </c>
      <c r="B22" t="s">
        <v>43</v>
      </c>
      <c r="C22">
        <f>'[1]VENTAS CONSOLIDADA ZULIA'!C22</f>
        <v>59</v>
      </c>
      <c r="D22" s="5">
        <f t="shared" ca="1" si="0"/>
        <v>11.8</v>
      </c>
      <c r="E22" s="5">
        <f t="shared" ca="1" si="1"/>
        <v>259.60000000000002</v>
      </c>
    </row>
    <row r="23" spans="1:5" x14ac:dyDescent="0.25">
      <c r="A23">
        <v>130158</v>
      </c>
      <c r="B23" t="s">
        <v>44</v>
      </c>
      <c r="C23">
        <f>'[1]VENTAS CONSOLIDADA ZULIA'!C23</f>
        <v>88</v>
      </c>
      <c r="D23" s="5">
        <f t="shared" ca="1" si="0"/>
        <v>17.600000000000001</v>
      </c>
      <c r="E23" s="5">
        <f t="shared" ca="1" si="1"/>
        <v>387.20000000000005</v>
      </c>
    </row>
    <row r="24" spans="1:5" x14ac:dyDescent="0.25">
      <c r="A24">
        <v>130159</v>
      </c>
      <c r="B24" t="s">
        <v>45</v>
      </c>
      <c r="C24">
        <f>'[1]VENTAS CONSOLIDADA ZULIA'!C24</f>
        <v>117</v>
      </c>
      <c r="D24" s="5">
        <f t="shared" ca="1" si="0"/>
        <v>23.4</v>
      </c>
      <c r="E24" s="5">
        <f t="shared" ca="1" si="1"/>
        <v>514.79999999999995</v>
      </c>
    </row>
    <row r="25" spans="1:5" x14ac:dyDescent="0.25">
      <c r="A25">
        <v>130700</v>
      </c>
      <c r="B25" t="s">
        <v>3</v>
      </c>
      <c r="C25">
        <f>'[1]VENTAS CONSOLIDADA ZULIA'!C25</f>
        <v>3</v>
      </c>
      <c r="D25" s="5">
        <f t="shared" ca="1" si="0"/>
        <v>0.6</v>
      </c>
      <c r="E25" s="5">
        <f t="shared" ca="1" si="1"/>
        <v>13.2</v>
      </c>
    </row>
    <row r="26" spans="1:5" x14ac:dyDescent="0.25">
      <c r="A26">
        <v>130701</v>
      </c>
      <c r="B26" t="s">
        <v>30</v>
      </c>
      <c r="C26">
        <f>'[1]VENTAS CONSOLIDADA ZULIA'!C26</f>
        <v>6</v>
      </c>
      <c r="D26" s="5">
        <f t="shared" ca="1" si="0"/>
        <v>1.2</v>
      </c>
      <c r="E26" s="5">
        <f t="shared" ca="1" si="1"/>
        <v>26.4</v>
      </c>
    </row>
    <row r="27" spans="1:5" x14ac:dyDescent="0.25">
      <c r="A27">
        <v>130702</v>
      </c>
      <c r="B27" t="s">
        <v>12</v>
      </c>
      <c r="C27">
        <f>'[1]VENTAS CONSOLIDADA ZULIA'!C27</f>
        <v>26</v>
      </c>
      <c r="D27" s="5">
        <f t="shared" ca="1" si="0"/>
        <v>5.2</v>
      </c>
      <c r="E27" s="5">
        <f t="shared" ca="1" si="1"/>
        <v>114.4</v>
      </c>
    </row>
    <row r="28" spans="1:5" x14ac:dyDescent="0.25">
      <c r="A28">
        <v>130703</v>
      </c>
      <c r="B28" t="s">
        <v>17</v>
      </c>
      <c r="C28">
        <f>'[1]VENTAS CONSOLIDADA ZULIA'!C28</f>
        <v>13</v>
      </c>
      <c r="D28" s="5">
        <f t="shared" ca="1" si="0"/>
        <v>2.6</v>
      </c>
      <c r="E28" s="5">
        <f t="shared" ca="1" si="1"/>
        <v>57.2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61</v>
      </c>
      <c r="D30" s="5">
        <f t="shared" ca="1" si="0"/>
        <v>12.2</v>
      </c>
      <c r="E30" s="5">
        <f t="shared" ca="1" si="1"/>
        <v>268.39999999999998</v>
      </c>
    </row>
    <row r="31" spans="1:5" x14ac:dyDescent="0.25">
      <c r="A31">
        <v>131151</v>
      </c>
      <c r="B31" t="s">
        <v>19</v>
      </c>
      <c r="C31">
        <f>'[1]VENTAS CONSOLIDADA ZULIA'!C31</f>
        <v>131</v>
      </c>
      <c r="D31" s="5">
        <f t="shared" ca="1" si="0"/>
        <v>26.2</v>
      </c>
      <c r="E31" s="5">
        <f t="shared" ca="1" si="1"/>
        <v>576.4</v>
      </c>
    </row>
    <row r="32" spans="1:5" x14ac:dyDescent="0.25">
      <c r="A32">
        <v>131152</v>
      </c>
      <c r="B32" t="s">
        <v>32</v>
      </c>
      <c r="C32">
        <f>'[1]VENTAS CONSOLIDADA ZULIA'!C32</f>
        <v>0</v>
      </c>
      <c r="D32" s="5">
        <f t="shared" ca="1" si="0"/>
        <v>0</v>
      </c>
      <c r="E32" s="5">
        <f t="shared" ca="1" si="1"/>
        <v>0</v>
      </c>
    </row>
    <row r="33" spans="1:5" x14ac:dyDescent="0.25">
      <c r="A33">
        <v>131153</v>
      </c>
      <c r="B33" t="s">
        <v>11</v>
      </c>
      <c r="C33">
        <f>'[1]VENTAS CONSOLIDADA ZULIA'!C33</f>
        <v>99</v>
      </c>
      <c r="D33" s="5">
        <f t="shared" ca="1" si="0"/>
        <v>19.8</v>
      </c>
      <c r="E33" s="5">
        <f t="shared" ca="1" si="1"/>
        <v>435.6</v>
      </c>
    </row>
    <row r="34" spans="1:5" x14ac:dyDescent="0.25">
      <c r="A34">
        <v>131154</v>
      </c>
      <c r="B34" t="s">
        <v>48</v>
      </c>
      <c r="C34">
        <f>'[1]VENTAS CONSOLIDADA ZULIA'!C34</f>
        <v>15</v>
      </c>
      <c r="D34" s="5">
        <f t="shared" ca="1" si="0"/>
        <v>3</v>
      </c>
      <c r="E34" s="5">
        <f t="shared" ca="1" si="1"/>
        <v>66</v>
      </c>
    </row>
    <row r="35" spans="1:5" x14ac:dyDescent="0.25">
      <c r="A35">
        <v>131155</v>
      </c>
      <c r="B35" t="s">
        <v>57</v>
      </c>
      <c r="C35">
        <f>'[1]VENTAS CONSOLIDADA ZULIA'!C35</f>
        <v>15</v>
      </c>
      <c r="D35" s="5">
        <f t="shared" ca="1" si="0"/>
        <v>3</v>
      </c>
      <c r="E35" s="5">
        <f t="shared" ca="1" si="1"/>
        <v>66</v>
      </c>
    </row>
    <row r="36" spans="1:5" x14ac:dyDescent="0.25">
      <c r="A36">
        <v>131700</v>
      </c>
      <c r="B36" t="s">
        <v>20</v>
      </c>
      <c r="C36">
        <f>'[1]VENTAS CONSOLIDADA ZULIA'!C36</f>
        <v>0</v>
      </c>
      <c r="D36" s="5">
        <f t="shared" ca="1" si="0"/>
        <v>0</v>
      </c>
      <c r="E36" s="5">
        <f t="shared" ca="1" si="1"/>
        <v>0</v>
      </c>
    </row>
    <row r="37" spans="1:5" x14ac:dyDescent="0.25">
      <c r="A37">
        <v>131701</v>
      </c>
      <c r="B37" t="s">
        <v>24</v>
      </c>
      <c r="C37">
        <f>'[1]VENTAS CONSOLIDADA ZULIA'!C37</f>
        <v>27</v>
      </c>
      <c r="D37" s="5">
        <f t="shared" ca="1" si="0"/>
        <v>5.4</v>
      </c>
      <c r="E37" s="5">
        <f t="shared" ca="1" si="1"/>
        <v>118.80000000000001</v>
      </c>
    </row>
    <row r="38" spans="1:5" x14ac:dyDescent="0.25">
      <c r="A38">
        <v>132150</v>
      </c>
      <c r="B38" t="s">
        <v>25</v>
      </c>
      <c r="C38">
        <f>'[1]VENTAS CONSOLIDADA ZULIA'!C38</f>
        <v>169</v>
      </c>
      <c r="D38" s="5">
        <f t="shared" ca="1" si="0"/>
        <v>33.799999999999997</v>
      </c>
      <c r="E38" s="5">
        <f t="shared" ca="1" si="1"/>
        <v>743.59999999999991</v>
      </c>
    </row>
    <row r="39" spans="1:5" x14ac:dyDescent="0.25">
      <c r="A39">
        <v>132151</v>
      </c>
      <c r="B39" t="s">
        <v>26</v>
      </c>
      <c r="C39">
        <f>'[1]VENTAS CONSOLIDADA ZULIA'!C39</f>
        <v>123</v>
      </c>
      <c r="D39" s="5">
        <f t="shared" ca="1" si="0"/>
        <v>24.6</v>
      </c>
      <c r="E39" s="5">
        <f t="shared" ca="1" si="1"/>
        <v>541.20000000000005</v>
      </c>
    </row>
    <row r="40" spans="1:5" x14ac:dyDescent="0.25">
      <c r="A40">
        <v>132152</v>
      </c>
      <c r="B40" t="s">
        <v>27</v>
      </c>
      <c r="C40">
        <f>'[1]VENTAS CONSOLIDADA ZULIA'!C40</f>
        <v>145</v>
      </c>
      <c r="D40" s="5">
        <f t="shared" ca="1" si="0"/>
        <v>29</v>
      </c>
      <c r="E40" s="5">
        <f t="shared" ca="1" si="1"/>
        <v>638</v>
      </c>
    </row>
    <row r="41" spans="1:5" x14ac:dyDescent="0.25">
      <c r="A41">
        <v>132153</v>
      </c>
      <c r="B41" t="s">
        <v>40</v>
      </c>
      <c r="C41">
        <f>'[1]VENTAS CONSOLIDADA ZULIA'!C41</f>
        <v>80</v>
      </c>
      <c r="D41" s="5">
        <f t="shared" ca="1" si="0"/>
        <v>16</v>
      </c>
      <c r="E41" s="5">
        <f t="shared" ca="1" si="1"/>
        <v>352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26</v>
      </c>
      <c r="D44" s="5">
        <f t="shared" ca="1" si="0"/>
        <v>5.2</v>
      </c>
      <c r="E44" s="5">
        <f t="shared" ca="1" si="1"/>
        <v>114.4</v>
      </c>
    </row>
    <row r="45" spans="1:5" x14ac:dyDescent="0.25">
      <c r="A45">
        <v>140231</v>
      </c>
      <c r="B45" t="s">
        <v>10</v>
      </c>
      <c r="C45">
        <f>'[1]VENTAS CONSOLIDADA ZULIA'!C45</f>
        <v>62</v>
      </c>
      <c r="D45" s="5">
        <f t="shared" ca="1" si="0"/>
        <v>12.4</v>
      </c>
      <c r="E45" s="5">
        <f t="shared" ca="1" si="1"/>
        <v>272.8</v>
      </c>
    </row>
    <row r="46" spans="1:5" x14ac:dyDescent="0.25">
      <c r="A46">
        <v>140232</v>
      </c>
      <c r="B46" t="s">
        <v>9</v>
      </c>
      <c r="C46">
        <f>'[1]VENTAS CONSOLIDADA ZULIA'!C46</f>
        <v>0</v>
      </c>
      <c r="D46" s="5">
        <f t="shared" ca="1" si="0"/>
        <v>0</v>
      </c>
      <c r="E46" s="5">
        <f t="shared" ca="1" si="1"/>
        <v>0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4.5999999999999996</v>
      </c>
      <c r="E47" s="5">
        <f t="shared" ca="1" si="1"/>
        <v>101.19999999999999</v>
      </c>
    </row>
    <row r="48" spans="1:5" x14ac:dyDescent="0.25">
      <c r="A48">
        <v>150361</v>
      </c>
      <c r="B48" t="s">
        <v>29</v>
      </c>
      <c r="C48">
        <f>'[1]VENTAS CONSOLIDADA ZULIA'!C48</f>
        <v>23</v>
      </c>
      <c r="D48" s="5">
        <f t="shared" ca="1" si="0"/>
        <v>4.5999999999999996</v>
      </c>
      <c r="E48" s="5">
        <f t="shared" ca="1" si="1"/>
        <v>101.19999999999999</v>
      </c>
    </row>
    <row r="49" spans="1:5" x14ac:dyDescent="0.25">
      <c r="A49">
        <v>150362</v>
      </c>
      <c r="B49" t="s">
        <v>36</v>
      </c>
      <c r="C49">
        <f>'[1]VENTAS CONSOLIDADA ZULIA'!C49</f>
        <v>44</v>
      </c>
      <c r="D49" s="5">
        <f t="shared" ca="1" si="0"/>
        <v>8.8000000000000007</v>
      </c>
      <c r="E49" s="5">
        <f t="shared" ca="1" si="1"/>
        <v>193.60000000000002</v>
      </c>
    </row>
    <row r="50" spans="1:5" x14ac:dyDescent="0.25">
      <c r="A50">
        <v>150363</v>
      </c>
      <c r="B50" t="s">
        <v>31</v>
      </c>
      <c r="C50">
        <f>'[1]VENTAS CONSOLIDADA ZULIA'!C50</f>
        <v>44</v>
      </c>
      <c r="D50" s="5">
        <f t="shared" ca="1" si="0"/>
        <v>8.8000000000000007</v>
      </c>
      <c r="E50" s="5">
        <f t="shared" ca="1" si="1"/>
        <v>193.60000000000002</v>
      </c>
    </row>
    <row r="51" spans="1:5" x14ac:dyDescent="0.25">
      <c r="A51">
        <v>151500</v>
      </c>
      <c r="B51" t="s">
        <v>41</v>
      </c>
      <c r="C51">
        <f>'[1]VENTAS CONSOLIDADA ZULIA'!C51</f>
        <v>12</v>
      </c>
      <c r="D51" s="5">
        <f t="shared" ca="1" si="0"/>
        <v>2.4</v>
      </c>
      <c r="E51" s="5">
        <f t="shared" ca="1" si="1"/>
        <v>52.8</v>
      </c>
    </row>
    <row r="52" spans="1:5" x14ac:dyDescent="0.25">
      <c r="A52">
        <v>151501</v>
      </c>
      <c r="B52" t="s">
        <v>33</v>
      </c>
      <c r="C52">
        <f>'[1]VENTAS CONSOLIDADA ZULIA'!C52</f>
        <v>12</v>
      </c>
      <c r="D52" s="5">
        <f t="shared" ca="1" si="0"/>
        <v>2.4</v>
      </c>
      <c r="E52" s="5">
        <f t="shared" ca="1" si="1"/>
        <v>52.8</v>
      </c>
    </row>
    <row r="53" spans="1:5" x14ac:dyDescent="0.25">
      <c r="A53">
        <v>151502</v>
      </c>
      <c r="B53" t="s">
        <v>37</v>
      </c>
      <c r="C53">
        <f>'[1]VENTAS CONSOLIDADA ZULIA'!C53</f>
        <v>12</v>
      </c>
      <c r="D53" s="5">
        <f t="shared" ca="1" si="0"/>
        <v>2.4</v>
      </c>
      <c r="E53" s="5">
        <f t="shared" ca="1" si="1"/>
        <v>52.8</v>
      </c>
    </row>
    <row r="54" spans="1:5" x14ac:dyDescent="0.25">
      <c r="A54">
        <v>151503</v>
      </c>
      <c r="B54" t="s">
        <v>34</v>
      </c>
      <c r="C54">
        <f>'[1]VENTAS CONSOLIDADA ZULIA'!C54</f>
        <v>12</v>
      </c>
      <c r="D54" s="5">
        <f t="shared" ca="1" si="0"/>
        <v>2.4</v>
      </c>
      <c r="E54" s="5">
        <f t="shared" ca="1" si="1"/>
        <v>52.8</v>
      </c>
    </row>
    <row r="55" spans="1:5" x14ac:dyDescent="0.25">
      <c r="D55" s="5">
        <f ca="1">SUM(D8:D54)</f>
        <v>536.39999999999986</v>
      </c>
      <c r="E55" s="5">
        <f ca="1">SUM(E8:E54)</f>
        <v>11800.8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46273</v>
      </c>
      <c r="E2" s="4">
        <f ca="1">'[1]VENTAS CONSOLIDADA VALENCIA'!E2</f>
        <v>5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17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1108</v>
      </c>
      <c r="D8" s="5">
        <f t="shared" ref="D8:D54" ca="1" si="0">C8/$E$2</f>
        <v>221.6</v>
      </c>
      <c r="E8" s="5">
        <f ca="1">D8*($E$2+$E$3)</f>
        <v>4875.2</v>
      </c>
    </row>
    <row r="9" spans="1:5" x14ac:dyDescent="0.25">
      <c r="A9">
        <v>110151</v>
      </c>
      <c r="B9" t="s">
        <v>5</v>
      </c>
      <c r="C9">
        <f>'[1]VENTAS CONSOLIDADA VALENCIA'!C9</f>
        <v>164</v>
      </c>
      <c r="D9" s="5">
        <f t="shared" ca="1" si="0"/>
        <v>32.799999999999997</v>
      </c>
      <c r="E9" s="5">
        <f t="shared" ref="E9:E54" ca="1" si="1">D9*($E$2+$E$3)</f>
        <v>721.59999999999991</v>
      </c>
    </row>
    <row r="10" spans="1:5" x14ac:dyDescent="0.25">
      <c r="A10">
        <v>110230</v>
      </c>
      <c r="B10" t="s">
        <v>1</v>
      </c>
      <c r="C10">
        <f>'[1]VENTAS CONSOLIDADA VALENCIA'!C10</f>
        <v>506</v>
      </c>
      <c r="D10" s="5">
        <f t="shared" ca="1" si="0"/>
        <v>101.2</v>
      </c>
      <c r="E10" s="5">
        <f t="shared" ca="1" si="1"/>
        <v>2226.4</v>
      </c>
    </row>
    <row r="11" spans="1:5" x14ac:dyDescent="0.25">
      <c r="A11">
        <v>110400</v>
      </c>
      <c r="B11" t="s">
        <v>13</v>
      </c>
      <c r="C11">
        <f>'[1]VENTAS CONSOLIDADA VALENCIA'!C11</f>
        <v>148</v>
      </c>
      <c r="D11" s="5">
        <f t="shared" ca="1" si="0"/>
        <v>29.6</v>
      </c>
      <c r="E11" s="5">
        <f t="shared" ca="1" si="1"/>
        <v>651.20000000000005</v>
      </c>
    </row>
    <row r="12" spans="1:5" x14ac:dyDescent="0.25">
      <c r="A12">
        <v>111000</v>
      </c>
      <c r="B12" t="s">
        <v>14</v>
      </c>
      <c r="C12">
        <f>'[1]VENTAS CONSOLIDADA VALENCIA'!C12</f>
        <v>7</v>
      </c>
      <c r="D12" s="5">
        <f t="shared" ca="1" si="0"/>
        <v>1.4</v>
      </c>
      <c r="E12" s="5">
        <f t="shared" ca="1" si="1"/>
        <v>30.799999999999997</v>
      </c>
    </row>
    <row r="13" spans="1:5" x14ac:dyDescent="0.25">
      <c r="A13">
        <v>120130</v>
      </c>
      <c r="B13" t="s">
        <v>15</v>
      </c>
      <c r="C13">
        <f>'[1]VENTAS CONSOLIDADA VALENCIA'!C13</f>
        <v>1620</v>
      </c>
      <c r="D13" s="5">
        <f t="shared" ca="1" si="0"/>
        <v>324</v>
      </c>
      <c r="E13" s="5">
        <f t="shared" ca="1" si="1"/>
        <v>7128</v>
      </c>
    </row>
    <row r="14" spans="1:5" x14ac:dyDescent="0.25">
      <c r="A14">
        <v>120131</v>
      </c>
      <c r="B14" t="s">
        <v>23</v>
      </c>
      <c r="C14">
        <f>'[1]VENTAS CONSOLIDADA VALENCIA'!C14</f>
        <v>168</v>
      </c>
      <c r="D14" s="5">
        <f t="shared" ca="1" si="0"/>
        <v>33.6</v>
      </c>
      <c r="E14" s="5">
        <f t="shared" ca="1" si="1"/>
        <v>739.2</v>
      </c>
    </row>
    <row r="15" spans="1:5" x14ac:dyDescent="0.25">
      <c r="A15">
        <v>120132</v>
      </c>
      <c r="B15" t="s">
        <v>21</v>
      </c>
      <c r="C15">
        <f>'[1]VENTAS CONSOLIDADA VALENCIA'!C15</f>
        <v>574</v>
      </c>
      <c r="D15" s="5">
        <f t="shared" ca="1" si="0"/>
        <v>114.8</v>
      </c>
      <c r="E15" s="5">
        <f t="shared" ca="1" si="1"/>
        <v>2525.6</v>
      </c>
    </row>
    <row r="16" spans="1:5" x14ac:dyDescent="0.25">
      <c r="A16">
        <v>130150</v>
      </c>
      <c r="B16" t="s">
        <v>0</v>
      </c>
      <c r="C16">
        <f>'[1]VENTAS CONSOLIDADA VALENCIA'!C16</f>
        <v>1473</v>
      </c>
      <c r="D16" s="5">
        <f t="shared" ca="1" si="0"/>
        <v>294.60000000000002</v>
      </c>
      <c r="E16" s="5">
        <f t="shared" ca="1" si="1"/>
        <v>6481.2000000000007</v>
      </c>
    </row>
    <row r="17" spans="1:5" x14ac:dyDescent="0.25">
      <c r="A17">
        <v>130151</v>
      </c>
      <c r="B17" t="s">
        <v>4</v>
      </c>
      <c r="C17">
        <f>'[1]VENTAS CONSOLIDADA VALENCIA'!C17</f>
        <v>574</v>
      </c>
      <c r="D17" s="5">
        <f t="shared" ca="1" si="0"/>
        <v>114.8</v>
      </c>
      <c r="E17" s="5">
        <f t="shared" ca="1" si="1"/>
        <v>2525.6</v>
      </c>
    </row>
    <row r="18" spans="1:5" x14ac:dyDescent="0.25">
      <c r="A18">
        <v>130152</v>
      </c>
      <c r="B18" t="s">
        <v>51</v>
      </c>
      <c r="C18">
        <f>'[1]VENTAS CONSOLIDADA VALENCIA'!C18</f>
        <v>4103</v>
      </c>
      <c r="D18" s="5">
        <f t="shared" ca="1" si="0"/>
        <v>820.6</v>
      </c>
      <c r="E18" s="5">
        <f t="shared" ca="1" si="1"/>
        <v>18053.2</v>
      </c>
    </row>
    <row r="19" spans="1:5" x14ac:dyDescent="0.25">
      <c r="A19">
        <v>130153</v>
      </c>
      <c r="B19" t="s">
        <v>52</v>
      </c>
      <c r="C19">
        <f>'[1]VENTAS CONSOLIDADA VALENCIA'!C19</f>
        <v>2659</v>
      </c>
      <c r="D19" s="5">
        <f t="shared" ca="1" si="0"/>
        <v>531.79999999999995</v>
      </c>
      <c r="E19" s="5">
        <f t="shared" ca="1" si="1"/>
        <v>11699.599999999999</v>
      </c>
    </row>
    <row r="20" spans="1:5" x14ac:dyDescent="0.25">
      <c r="A20">
        <v>130154</v>
      </c>
      <c r="B20" t="s">
        <v>53</v>
      </c>
      <c r="C20">
        <f>'[1]VENTAS CONSOLIDADA VALENCIA'!C20</f>
        <v>2568</v>
      </c>
      <c r="D20" s="5">
        <f t="shared" ca="1" si="0"/>
        <v>513.6</v>
      </c>
      <c r="E20" s="5">
        <f t="shared" ca="1" si="1"/>
        <v>11299.2</v>
      </c>
    </row>
    <row r="21" spans="1:5" x14ac:dyDescent="0.25">
      <c r="A21">
        <v>130155</v>
      </c>
      <c r="B21" t="s">
        <v>16</v>
      </c>
      <c r="C21">
        <f>'[1]VENTAS CONSOLIDADA VALENCIA'!C21</f>
        <v>2945</v>
      </c>
      <c r="D21" s="5">
        <f t="shared" ca="1" si="0"/>
        <v>589</v>
      </c>
      <c r="E21" s="5">
        <f t="shared" ca="1" si="1"/>
        <v>12958</v>
      </c>
    </row>
    <row r="22" spans="1:5" x14ac:dyDescent="0.25">
      <c r="A22">
        <v>130157</v>
      </c>
      <c r="B22" t="s">
        <v>43</v>
      </c>
      <c r="C22">
        <f>'[1]VENTAS CONSOLIDADA VALENCIA'!C22</f>
        <v>637</v>
      </c>
      <c r="D22" s="5">
        <f t="shared" ca="1" si="0"/>
        <v>127.4</v>
      </c>
      <c r="E22" s="5">
        <f t="shared" ca="1" si="1"/>
        <v>2802.8</v>
      </c>
    </row>
    <row r="23" spans="1:5" x14ac:dyDescent="0.25">
      <c r="A23">
        <v>130158</v>
      </c>
      <c r="B23" t="s">
        <v>44</v>
      </c>
      <c r="C23">
        <f>'[1]VENTAS CONSOLIDADA VALENCIA'!C23</f>
        <v>1257</v>
      </c>
      <c r="D23" s="5">
        <f t="shared" ca="1" si="0"/>
        <v>251.4</v>
      </c>
      <c r="E23" s="5">
        <f t="shared" ca="1" si="1"/>
        <v>5530.8</v>
      </c>
    </row>
    <row r="24" spans="1:5" x14ac:dyDescent="0.25">
      <c r="A24">
        <v>130159</v>
      </c>
      <c r="B24" t="s">
        <v>45</v>
      </c>
      <c r="C24">
        <f>'[1]VENTAS CONSOLIDADA VALENCIA'!C24</f>
        <v>1180</v>
      </c>
      <c r="D24" s="5">
        <f t="shared" ca="1" si="0"/>
        <v>236</v>
      </c>
      <c r="E24" s="5">
        <f t="shared" ca="1" si="1"/>
        <v>5192</v>
      </c>
    </row>
    <row r="25" spans="1:5" x14ac:dyDescent="0.25">
      <c r="A25">
        <v>130700</v>
      </c>
      <c r="B25" t="s">
        <v>3</v>
      </c>
      <c r="C25">
        <f>'[1]VENTAS CONSOLIDADA VALENCIA'!C25</f>
        <v>491</v>
      </c>
      <c r="D25" s="5">
        <f t="shared" ca="1" si="0"/>
        <v>98.2</v>
      </c>
      <c r="E25" s="5">
        <f t="shared" ca="1" si="1"/>
        <v>2160.4</v>
      </c>
    </row>
    <row r="26" spans="1:5" x14ac:dyDescent="0.25">
      <c r="A26">
        <v>130701</v>
      </c>
      <c r="B26" t="s">
        <v>30</v>
      </c>
      <c r="C26">
        <f>'[1]VENTAS CONSOLIDADA VALENCIA'!C26</f>
        <v>243</v>
      </c>
      <c r="D26" s="5">
        <f t="shared" ca="1" si="0"/>
        <v>48.6</v>
      </c>
      <c r="E26" s="5">
        <f t="shared" ca="1" si="1"/>
        <v>1069.2</v>
      </c>
    </row>
    <row r="27" spans="1:5" x14ac:dyDescent="0.25">
      <c r="A27">
        <v>130702</v>
      </c>
      <c r="B27" t="s">
        <v>12</v>
      </c>
      <c r="C27">
        <f>'[1]VENTAS CONSOLIDADA VALENCIA'!C27</f>
        <v>750</v>
      </c>
      <c r="D27" s="5">
        <f t="shared" ca="1" si="0"/>
        <v>150</v>
      </c>
      <c r="E27" s="5">
        <f t="shared" ca="1" si="1"/>
        <v>3300</v>
      </c>
    </row>
    <row r="28" spans="1:5" x14ac:dyDescent="0.25">
      <c r="A28">
        <v>130703</v>
      </c>
      <c r="B28" t="s">
        <v>17</v>
      </c>
      <c r="C28">
        <f>'[1]VENTAS CONSOLIDADA VALENCIA'!C28</f>
        <v>1131</v>
      </c>
      <c r="D28" s="5">
        <f t="shared" ca="1" si="0"/>
        <v>226.2</v>
      </c>
      <c r="E28" s="5">
        <f t="shared" ca="1" si="1"/>
        <v>4976.3999999999996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676</v>
      </c>
      <c r="D30" s="5">
        <f t="shared" ca="1" si="0"/>
        <v>135.19999999999999</v>
      </c>
      <c r="E30" s="5">
        <f t="shared" ca="1" si="1"/>
        <v>2974.3999999999996</v>
      </c>
    </row>
    <row r="31" spans="1:5" x14ac:dyDescent="0.25">
      <c r="A31">
        <v>131151</v>
      </c>
      <c r="B31" t="s">
        <v>19</v>
      </c>
      <c r="C31">
        <f>'[1]VENTAS CONSOLIDADA VALENCIA'!C31</f>
        <v>678</v>
      </c>
      <c r="D31" s="5">
        <f t="shared" ca="1" si="0"/>
        <v>135.6</v>
      </c>
      <c r="E31" s="5">
        <f t="shared" ca="1" si="1"/>
        <v>2983.2</v>
      </c>
    </row>
    <row r="32" spans="1:5" x14ac:dyDescent="0.25">
      <c r="A32">
        <v>131152</v>
      </c>
      <c r="B32" t="s">
        <v>32</v>
      </c>
      <c r="C32">
        <f>'[1]VENTAS CONSOLIDADA VALENCIA'!C32</f>
        <v>561</v>
      </c>
      <c r="D32" s="5">
        <f t="shared" ca="1" si="0"/>
        <v>112.2</v>
      </c>
      <c r="E32" s="5">
        <f t="shared" ca="1" si="1"/>
        <v>2468.4</v>
      </c>
    </row>
    <row r="33" spans="1:5" x14ac:dyDescent="0.25">
      <c r="A33">
        <v>131153</v>
      </c>
      <c r="B33" t="s">
        <v>11</v>
      </c>
      <c r="C33">
        <f>'[1]VENTAS CONSOLIDADA VALENCIA'!C33</f>
        <v>434</v>
      </c>
      <c r="D33" s="5">
        <f t="shared" ca="1" si="0"/>
        <v>86.8</v>
      </c>
      <c r="E33" s="5">
        <f t="shared" ca="1" si="1"/>
        <v>1909.6</v>
      </c>
    </row>
    <row r="34" spans="1:5" x14ac:dyDescent="0.25">
      <c r="A34">
        <v>131154</v>
      </c>
      <c r="B34" t="s">
        <v>48</v>
      </c>
      <c r="C34">
        <f>'[1]VENTAS CONSOLIDADA VALENCIA'!C34</f>
        <v>226</v>
      </c>
      <c r="D34" s="5">
        <f t="shared" ca="1" si="0"/>
        <v>45.2</v>
      </c>
      <c r="E34" s="5">
        <f t="shared" ca="1" si="1"/>
        <v>994.40000000000009</v>
      </c>
    </row>
    <row r="35" spans="1:5" x14ac:dyDescent="0.25">
      <c r="A35">
        <v>131155</v>
      </c>
      <c r="B35" t="s">
        <v>57</v>
      </c>
      <c r="C35">
        <f>'[1]VENTAS CONSOLIDADA VALENCIA'!C35</f>
        <v>302</v>
      </c>
      <c r="D35" s="5">
        <f t="shared" ca="1" si="0"/>
        <v>60.4</v>
      </c>
      <c r="E35" s="5">
        <f t="shared" ca="1" si="1"/>
        <v>1328.8</v>
      </c>
    </row>
    <row r="36" spans="1:5" x14ac:dyDescent="0.25">
      <c r="A36">
        <v>131700</v>
      </c>
      <c r="B36" t="s">
        <v>20</v>
      </c>
      <c r="C36">
        <f>'[1]VENTAS CONSOLIDADA VALENCIA'!C36</f>
        <v>155</v>
      </c>
      <c r="D36" s="5">
        <f t="shared" ca="1" si="0"/>
        <v>31</v>
      </c>
      <c r="E36" s="5">
        <f t="shared" ca="1" si="1"/>
        <v>682</v>
      </c>
    </row>
    <row r="37" spans="1:5" x14ac:dyDescent="0.25">
      <c r="A37">
        <v>131701</v>
      </c>
      <c r="B37" t="s">
        <v>24</v>
      </c>
      <c r="C37">
        <f>'[1]VENTAS CONSOLIDADA VALENCIA'!C37</f>
        <v>83</v>
      </c>
      <c r="D37" s="5">
        <f t="shared" ca="1" si="0"/>
        <v>16.600000000000001</v>
      </c>
      <c r="E37" s="5">
        <f t="shared" ca="1" si="1"/>
        <v>365.20000000000005</v>
      </c>
    </row>
    <row r="38" spans="1:5" x14ac:dyDescent="0.25">
      <c r="A38">
        <v>132150</v>
      </c>
      <c r="B38" t="s">
        <v>25</v>
      </c>
      <c r="C38">
        <f>'[1]VENTAS CONSOLIDADA VALENCIA'!C38</f>
        <v>996</v>
      </c>
      <c r="D38" s="5">
        <f t="shared" ca="1" si="0"/>
        <v>199.2</v>
      </c>
      <c r="E38" s="5">
        <f t="shared" ca="1" si="1"/>
        <v>4382.3999999999996</v>
      </c>
    </row>
    <row r="39" spans="1:5" x14ac:dyDescent="0.25">
      <c r="A39">
        <v>132151</v>
      </c>
      <c r="B39" t="s">
        <v>26</v>
      </c>
      <c r="C39">
        <f>'[1]VENTAS CONSOLIDADA VALENCIA'!C39</f>
        <v>667</v>
      </c>
      <c r="D39" s="5">
        <f t="shared" ca="1" si="0"/>
        <v>133.4</v>
      </c>
      <c r="E39" s="5">
        <f t="shared" ca="1" si="1"/>
        <v>2934.8</v>
      </c>
    </row>
    <row r="40" spans="1:5" x14ac:dyDescent="0.25">
      <c r="A40">
        <v>132152</v>
      </c>
      <c r="B40" t="s">
        <v>27</v>
      </c>
      <c r="C40">
        <f>'[1]VENTAS CONSOLIDADA VALENCIA'!C40</f>
        <v>1043</v>
      </c>
      <c r="D40" s="5">
        <f t="shared" ca="1" si="0"/>
        <v>208.6</v>
      </c>
      <c r="E40" s="5">
        <f t="shared" ca="1" si="1"/>
        <v>4589.2</v>
      </c>
    </row>
    <row r="41" spans="1:5" x14ac:dyDescent="0.25">
      <c r="A41">
        <v>132153</v>
      </c>
      <c r="B41" t="s">
        <v>40</v>
      </c>
      <c r="C41">
        <f>'[1]VENTAS CONSOLIDADA VALENCIA'!C41</f>
        <v>565</v>
      </c>
      <c r="D41" s="5">
        <f t="shared" ca="1" si="0"/>
        <v>113</v>
      </c>
      <c r="E41" s="5">
        <f t="shared" ca="1" si="1"/>
        <v>2486</v>
      </c>
    </row>
    <row r="42" spans="1:5" x14ac:dyDescent="0.25">
      <c r="A42">
        <v>134000</v>
      </c>
      <c r="B42" t="s">
        <v>35</v>
      </c>
      <c r="C42">
        <f>'[1]VENTAS CONSOLIDADA VALENCIA'!C42</f>
        <v>17</v>
      </c>
      <c r="D42" s="5">
        <f t="shared" ca="1" si="0"/>
        <v>3.4</v>
      </c>
      <c r="E42" s="5">
        <f t="shared" ca="1" si="1"/>
        <v>74.8</v>
      </c>
    </row>
    <row r="43" spans="1:5" x14ac:dyDescent="0.25">
      <c r="A43">
        <v>134001</v>
      </c>
      <c r="B43" t="s">
        <v>47</v>
      </c>
      <c r="C43">
        <f>'[1]VENTAS CONSOLIDADA VALENCIA'!C43</f>
        <v>6</v>
      </c>
      <c r="D43" s="5">
        <f t="shared" ca="1" si="0"/>
        <v>1.2</v>
      </c>
      <c r="E43" s="5">
        <f t="shared" ca="1" si="1"/>
        <v>26.4</v>
      </c>
    </row>
    <row r="44" spans="1:5" x14ac:dyDescent="0.25">
      <c r="A44">
        <v>140230</v>
      </c>
      <c r="B44" t="s">
        <v>18</v>
      </c>
      <c r="C44">
        <f>'[1]VENTAS CONSOLIDADA VALENCIA'!C44</f>
        <v>315</v>
      </c>
      <c r="D44" s="5">
        <f t="shared" ca="1" si="0"/>
        <v>63</v>
      </c>
      <c r="E44" s="5">
        <f t="shared" ca="1" si="1"/>
        <v>1386</v>
      </c>
    </row>
    <row r="45" spans="1:5" x14ac:dyDescent="0.25">
      <c r="A45">
        <v>140231</v>
      </c>
      <c r="B45" t="s">
        <v>10</v>
      </c>
      <c r="C45">
        <f>'[1]VENTAS CONSOLIDADA VALENCIA'!C45</f>
        <v>429</v>
      </c>
      <c r="D45" s="5">
        <f t="shared" ca="1" si="0"/>
        <v>85.8</v>
      </c>
      <c r="E45" s="5">
        <f t="shared" ca="1" si="1"/>
        <v>1887.6</v>
      </c>
    </row>
    <row r="46" spans="1:5" x14ac:dyDescent="0.25">
      <c r="A46">
        <v>140232</v>
      </c>
      <c r="B46" t="s">
        <v>9</v>
      </c>
      <c r="C46">
        <f>'[1]VENTAS CONSOLIDADA VALENCIA'!C46</f>
        <v>787</v>
      </c>
      <c r="D46" s="5">
        <f t="shared" ca="1" si="0"/>
        <v>157.4</v>
      </c>
      <c r="E46" s="5">
        <f t="shared" ca="1" si="1"/>
        <v>3462.8</v>
      </c>
    </row>
    <row r="47" spans="1:5" x14ac:dyDescent="0.25">
      <c r="A47">
        <v>150360</v>
      </c>
      <c r="B47" t="s">
        <v>28</v>
      </c>
      <c r="C47">
        <f>'[1]VENTAS CONSOLIDADA VALENCIA'!C47</f>
        <v>36</v>
      </c>
      <c r="D47" s="5">
        <f t="shared" ca="1" si="0"/>
        <v>7.2</v>
      </c>
      <c r="E47" s="5">
        <f t="shared" ca="1" si="1"/>
        <v>158.4</v>
      </c>
    </row>
    <row r="48" spans="1:5" x14ac:dyDescent="0.25">
      <c r="A48">
        <v>150361</v>
      </c>
      <c r="B48" t="s">
        <v>29</v>
      </c>
      <c r="C48">
        <f>'[1]VENTAS CONSOLIDADA VALENCIA'!C48</f>
        <v>304</v>
      </c>
      <c r="D48" s="5">
        <f t="shared" ca="1" si="0"/>
        <v>60.8</v>
      </c>
      <c r="E48" s="5">
        <f t="shared" ca="1" si="1"/>
        <v>1337.6</v>
      </c>
    </row>
    <row r="49" spans="1:5" x14ac:dyDescent="0.25">
      <c r="A49">
        <v>150362</v>
      </c>
      <c r="B49" t="s">
        <v>36</v>
      </c>
      <c r="C49">
        <f>'[1]VENTAS CONSOLIDADA VALENCIA'!C49</f>
        <v>194</v>
      </c>
      <c r="D49" s="5">
        <f t="shared" ca="1" si="0"/>
        <v>38.799999999999997</v>
      </c>
      <c r="E49" s="5">
        <f t="shared" ca="1" si="1"/>
        <v>853.59999999999991</v>
      </c>
    </row>
    <row r="50" spans="1:5" x14ac:dyDescent="0.25">
      <c r="A50">
        <v>150363</v>
      </c>
      <c r="B50" t="s">
        <v>31</v>
      </c>
      <c r="C50">
        <f>'[1]VENTAS CONSOLIDADA VALENCIA'!C50</f>
        <v>265</v>
      </c>
      <c r="D50" s="5">
        <f t="shared" ca="1" si="0"/>
        <v>53</v>
      </c>
      <c r="E50" s="5">
        <f t="shared" ca="1" si="1"/>
        <v>1166</v>
      </c>
    </row>
    <row r="51" spans="1:5" x14ac:dyDescent="0.25">
      <c r="A51">
        <v>151500</v>
      </c>
      <c r="B51" t="s">
        <v>41</v>
      </c>
      <c r="C51">
        <f>'[1]VENTAS CONSOLIDADA VALENCIA'!C51</f>
        <v>42</v>
      </c>
      <c r="D51" s="5">
        <f t="shared" ca="1" si="0"/>
        <v>8.4</v>
      </c>
      <c r="E51" s="5">
        <f t="shared" ca="1" si="1"/>
        <v>184.8</v>
      </c>
    </row>
    <row r="52" spans="1:5" x14ac:dyDescent="0.25">
      <c r="A52">
        <v>151501</v>
      </c>
      <c r="B52" t="s">
        <v>33</v>
      </c>
      <c r="C52">
        <f>'[1]VENTAS CONSOLIDADA VALENCIA'!C52</f>
        <v>95</v>
      </c>
      <c r="D52" s="5">
        <f t="shared" ca="1" si="0"/>
        <v>19</v>
      </c>
      <c r="E52" s="5">
        <f t="shared" ca="1" si="1"/>
        <v>418</v>
      </c>
    </row>
    <row r="53" spans="1:5" x14ac:dyDescent="0.25">
      <c r="A53">
        <v>151502</v>
      </c>
      <c r="B53" t="s">
        <v>37</v>
      </c>
      <c r="C53">
        <f>'[1]VENTAS CONSOLIDADA VALENCIA'!C53</f>
        <v>21</v>
      </c>
      <c r="D53" s="5">
        <f t="shared" ca="1" si="0"/>
        <v>4.2</v>
      </c>
      <c r="E53" s="5">
        <f t="shared" ca="1" si="1"/>
        <v>92.4</v>
      </c>
    </row>
    <row r="54" spans="1:5" x14ac:dyDescent="0.25">
      <c r="A54">
        <v>151503</v>
      </c>
      <c r="B54" t="s">
        <v>34</v>
      </c>
      <c r="C54">
        <f>'[1]VENTAS CONSOLIDADA VALENCIA'!C54</f>
        <v>44</v>
      </c>
      <c r="D54" s="5">
        <f t="shared" ca="1" si="0"/>
        <v>8.8000000000000007</v>
      </c>
      <c r="E54" s="5">
        <f t="shared" ca="1" si="1"/>
        <v>193.60000000000002</v>
      </c>
    </row>
    <row r="55" spans="1:5" x14ac:dyDescent="0.25">
      <c r="D55" s="5">
        <f ca="1">SUM(D8:D54)</f>
        <v>6649.3999999999987</v>
      </c>
      <c r="E55" s="5">
        <f ca="1">SUM(E8:E54)</f>
        <v>146286.79999999996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46273</v>
      </c>
      <c r="E2" s="4">
        <f ca="1">'[1]VENTAS CONSOLIDADA CARACAS'!E2</f>
        <v>5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17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3336</v>
      </c>
      <c r="D8" s="5">
        <f t="shared" ref="D8:D54" ca="1" si="0">C8/$E$2</f>
        <v>667.2</v>
      </c>
      <c r="E8" s="5">
        <f ca="1">D8*($E$2+$E$3)</f>
        <v>14678.400000000001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220</v>
      </c>
      <c r="D9" s="5">
        <f t="shared" ca="1" si="0"/>
        <v>44</v>
      </c>
      <c r="E9" s="5">
        <f t="shared" ref="E9:E54" ca="1" si="1">D9*($E$2+$E$3)</f>
        <v>968</v>
      </c>
    </row>
    <row r="10" spans="1:6" x14ac:dyDescent="0.25">
      <c r="A10">
        <v>110230</v>
      </c>
      <c r="B10" t="s">
        <v>1</v>
      </c>
      <c r="C10">
        <f>'[1]VENTAS CONSOLIDADA CARACAS'!C10</f>
        <v>1776</v>
      </c>
      <c r="D10" s="5">
        <f t="shared" ca="1" si="0"/>
        <v>355.2</v>
      </c>
      <c r="E10" s="5">
        <f t="shared" ca="1" si="1"/>
        <v>7814.4</v>
      </c>
    </row>
    <row r="11" spans="1:6" x14ac:dyDescent="0.25">
      <c r="A11">
        <v>110400</v>
      </c>
      <c r="B11" t="s">
        <v>13</v>
      </c>
      <c r="C11">
        <f>'[1]VENTAS CONSOLIDADA CARACAS'!C11</f>
        <v>210</v>
      </c>
      <c r="D11" s="5">
        <f t="shared" ca="1" si="0"/>
        <v>42</v>
      </c>
      <c r="E11" s="5">
        <f t="shared" ca="1" si="1"/>
        <v>924</v>
      </c>
    </row>
    <row r="12" spans="1:6" x14ac:dyDescent="0.25">
      <c r="A12">
        <v>111000</v>
      </c>
      <c r="B12" t="s">
        <v>14</v>
      </c>
      <c r="C12">
        <f>'[1]VENTAS CONSOLIDADA CARACAS'!C12</f>
        <v>16</v>
      </c>
      <c r="D12" s="5">
        <f t="shared" ca="1" si="0"/>
        <v>3.2</v>
      </c>
      <c r="E12" s="5">
        <f t="shared" ca="1" si="1"/>
        <v>70.400000000000006</v>
      </c>
    </row>
    <row r="13" spans="1:6" x14ac:dyDescent="0.25">
      <c r="A13">
        <v>120130</v>
      </c>
      <c r="B13" t="s">
        <v>15</v>
      </c>
      <c r="C13">
        <f>'[1]VENTAS CONSOLIDADA CARACAS'!C13</f>
        <v>4025</v>
      </c>
      <c r="D13" s="5">
        <f t="shared" ca="1" si="0"/>
        <v>805</v>
      </c>
      <c r="E13" s="5">
        <f t="shared" ca="1" si="1"/>
        <v>17710</v>
      </c>
    </row>
    <row r="14" spans="1:6" x14ac:dyDescent="0.25">
      <c r="A14">
        <v>120131</v>
      </c>
      <c r="B14" t="s">
        <v>23</v>
      </c>
      <c r="C14">
        <f>'[1]VENTAS CONSOLIDADA CARACAS'!C14</f>
        <v>239</v>
      </c>
      <c r="D14" s="5">
        <f t="shared" ca="1" si="0"/>
        <v>47.8</v>
      </c>
      <c r="E14" s="5">
        <f t="shared" ca="1" si="1"/>
        <v>1051.5999999999999</v>
      </c>
    </row>
    <row r="15" spans="1:6" x14ac:dyDescent="0.25">
      <c r="A15">
        <v>120132</v>
      </c>
      <c r="B15" t="s">
        <v>21</v>
      </c>
      <c r="C15">
        <f>'[1]VENTAS CONSOLIDADA CARACAS'!C15</f>
        <v>432</v>
      </c>
      <c r="D15" s="5">
        <f t="shared" ca="1" si="0"/>
        <v>86.4</v>
      </c>
      <c r="E15" s="5">
        <f t="shared" ca="1" si="1"/>
        <v>1900.8000000000002</v>
      </c>
    </row>
    <row r="16" spans="1:6" x14ac:dyDescent="0.25">
      <c r="A16">
        <v>130150</v>
      </c>
      <c r="B16" t="s">
        <v>0</v>
      </c>
      <c r="C16">
        <f>'[1]VENTAS CONSOLIDADA CARACAS'!C16</f>
        <v>1373</v>
      </c>
      <c r="D16" s="5">
        <f t="shared" ca="1" si="0"/>
        <v>274.60000000000002</v>
      </c>
      <c r="E16" s="5">
        <f t="shared" ca="1" si="1"/>
        <v>6041.2000000000007</v>
      </c>
    </row>
    <row r="17" spans="1:5" x14ac:dyDescent="0.25">
      <c r="A17">
        <v>130151</v>
      </c>
      <c r="B17" t="s">
        <v>4</v>
      </c>
      <c r="C17">
        <f>'[1]VENTAS CONSOLIDADA CARACAS'!C17</f>
        <v>737</v>
      </c>
      <c r="D17" s="5">
        <f t="shared" ca="1" si="0"/>
        <v>147.4</v>
      </c>
      <c r="E17" s="5">
        <f t="shared" ca="1" si="1"/>
        <v>3242.8</v>
      </c>
    </row>
    <row r="18" spans="1:5" x14ac:dyDescent="0.25">
      <c r="A18">
        <v>130152</v>
      </c>
      <c r="B18" t="s">
        <v>51</v>
      </c>
      <c r="C18">
        <f>'[1]VENTAS CONSOLIDADA CARACAS'!C18</f>
        <v>7959</v>
      </c>
      <c r="D18" s="5">
        <f t="shared" ca="1" si="0"/>
        <v>1591.8</v>
      </c>
      <c r="E18" s="5">
        <f t="shared" ca="1" si="1"/>
        <v>35019.599999999999</v>
      </c>
    </row>
    <row r="19" spans="1:5" x14ac:dyDescent="0.25">
      <c r="A19">
        <v>130153</v>
      </c>
      <c r="B19" t="s">
        <v>52</v>
      </c>
      <c r="C19">
        <f>'[1]VENTAS CONSOLIDADA CARACAS'!C19</f>
        <v>4819</v>
      </c>
      <c r="D19" s="5">
        <f t="shared" ca="1" si="0"/>
        <v>963.8</v>
      </c>
      <c r="E19" s="5">
        <f t="shared" ca="1" si="1"/>
        <v>21203.599999999999</v>
      </c>
    </row>
    <row r="20" spans="1:5" x14ac:dyDescent="0.25">
      <c r="A20">
        <v>130154</v>
      </c>
      <c r="B20" t="s">
        <v>53</v>
      </c>
      <c r="C20">
        <f>'[1]VENTAS CONSOLIDADA CARACAS'!C20</f>
        <v>5304</v>
      </c>
      <c r="D20" s="5">
        <f t="shared" ca="1" si="0"/>
        <v>1060.8</v>
      </c>
      <c r="E20" s="5">
        <f t="shared" ca="1" si="1"/>
        <v>23337.599999999999</v>
      </c>
    </row>
    <row r="21" spans="1:5" x14ac:dyDescent="0.25">
      <c r="A21">
        <v>130155</v>
      </c>
      <c r="B21" t="s">
        <v>16</v>
      </c>
      <c r="C21">
        <f>'[1]VENTAS CONSOLIDADA CARACAS'!C21</f>
        <v>6369</v>
      </c>
      <c r="D21" s="5">
        <f t="shared" ca="1" si="0"/>
        <v>1273.8</v>
      </c>
      <c r="E21" s="5">
        <f t="shared" ca="1" si="1"/>
        <v>28023.599999999999</v>
      </c>
    </row>
    <row r="22" spans="1:5" x14ac:dyDescent="0.25">
      <c r="A22">
        <v>130157</v>
      </c>
      <c r="B22" t="s">
        <v>43</v>
      </c>
      <c r="C22">
        <f>'[1]VENTAS CONSOLIDADA CARACAS'!C22</f>
        <v>1658</v>
      </c>
      <c r="D22" s="5">
        <f t="shared" ca="1" si="0"/>
        <v>331.6</v>
      </c>
      <c r="E22" s="5">
        <f t="shared" ca="1" si="1"/>
        <v>7295.2000000000007</v>
      </c>
    </row>
    <row r="23" spans="1:5" x14ac:dyDescent="0.25">
      <c r="A23">
        <v>130158</v>
      </c>
      <c r="B23" t="s">
        <v>44</v>
      </c>
      <c r="C23">
        <f>'[1]VENTAS CONSOLIDADA CARACAS'!C23</f>
        <v>1723</v>
      </c>
      <c r="D23" s="5">
        <f t="shared" ca="1" si="0"/>
        <v>344.6</v>
      </c>
      <c r="E23" s="5">
        <f t="shared" ca="1" si="1"/>
        <v>7581.2000000000007</v>
      </c>
    </row>
    <row r="24" spans="1:5" x14ac:dyDescent="0.25">
      <c r="A24">
        <v>130159</v>
      </c>
      <c r="B24" t="s">
        <v>45</v>
      </c>
      <c r="C24">
        <f>'[1]VENTAS CONSOLIDADA CARACAS'!C24</f>
        <v>1769</v>
      </c>
      <c r="D24" s="5">
        <f t="shared" ca="1" si="0"/>
        <v>353.8</v>
      </c>
      <c r="E24" s="5">
        <f t="shared" ca="1" si="1"/>
        <v>7783.6</v>
      </c>
    </row>
    <row r="25" spans="1:5" x14ac:dyDescent="0.25">
      <c r="A25">
        <v>130700</v>
      </c>
      <c r="B25" t="s">
        <v>3</v>
      </c>
      <c r="C25">
        <f>'[1]VENTAS CONSOLIDADA CARACAS'!C25</f>
        <v>370</v>
      </c>
      <c r="D25" s="5">
        <f t="shared" ca="1" si="0"/>
        <v>74</v>
      </c>
      <c r="E25" s="5">
        <f t="shared" ca="1" si="1"/>
        <v>1628</v>
      </c>
    </row>
    <row r="26" spans="1:5" x14ac:dyDescent="0.25">
      <c r="A26">
        <v>130701</v>
      </c>
      <c r="B26" t="s">
        <v>30</v>
      </c>
      <c r="C26">
        <f>'[1]VENTAS CONSOLIDADA CARACAS'!C26</f>
        <v>163</v>
      </c>
      <c r="D26" s="5">
        <f t="shared" ca="1" si="0"/>
        <v>32.6</v>
      </c>
      <c r="E26" s="5">
        <f t="shared" ca="1" si="1"/>
        <v>717.2</v>
      </c>
    </row>
    <row r="27" spans="1:5" x14ac:dyDescent="0.25">
      <c r="A27">
        <v>130702</v>
      </c>
      <c r="B27" t="s">
        <v>12</v>
      </c>
      <c r="C27">
        <f>'[1]VENTAS CONSOLIDADA CARACAS'!C27</f>
        <v>934</v>
      </c>
      <c r="D27" s="5">
        <f t="shared" ca="1" si="0"/>
        <v>186.8</v>
      </c>
      <c r="E27" s="5">
        <f t="shared" ca="1" si="1"/>
        <v>4109.6000000000004</v>
      </c>
    </row>
    <row r="28" spans="1:5" x14ac:dyDescent="0.25">
      <c r="A28">
        <v>130703</v>
      </c>
      <c r="B28" t="s">
        <v>17</v>
      </c>
      <c r="C28">
        <f>'[1]VENTAS CONSOLIDADA CARACAS'!C28</f>
        <v>1746</v>
      </c>
      <c r="D28" s="5">
        <f t="shared" ca="1" si="0"/>
        <v>349.2</v>
      </c>
      <c r="E28" s="5">
        <f t="shared" ca="1" si="1"/>
        <v>7682.4</v>
      </c>
    </row>
    <row r="29" spans="1:5" x14ac:dyDescent="0.25">
      <c r="A29">
        <v>130707</v>
      </c>
      <c r="B29" t="s">
        <v>42</v>
      </c>
      <c r="C29">
        <f>'[1]VENTAS CONSOLIDADA CARACAS'!C29</f>
        <v>300</v>
      </c>
      <c r="D29" s="5">
        <f t="shared" ca="1" si="0"/>
        <v>60</v>
      </c>
      <c r="E29" s="5">
        <f t="shared" ca="1" si="1"/>
        <v>1320</v>
      </c>
    </row>
    <row r="30" spans="1:5" x14ac:dyDescent="0.25">
      <c r="A30">
        <v>131150</v>
      </c>
      <c r="B30" t="s">
        <v>22</v>
      </c>
      <c r="C30">
        <f>'[1]VENTAS CONSOLIDADA CARACAS'!C30</f>
        <v>1949</v>
      </c>
      <c r="D30" s="5">
        <f t="shared" ca="1" si="0"/>
        <v>389.8</v>
      </c>
      <c r="E30" s="5">
        <f t="shared" ca="1" si="1"/>
        <v>8575.6</v>
      </c>
    </row>
    <row r="31" spans="1:5" x14ac:dyDescent="0.25">
      <c r="A31">
        <v>131151</v>
      </c>
      <c r="B31" t="s">
        <v>19</v>
      </c>
      <c r="C31">
        <f>'[1]VENTAS CONSOLIDADA CARACAS'!C31</f>
        <v>2398</v>
      </c>
      <c r="D31" s="5">
        <f t="shared" ca="1" si="0"/>
        <v>479.6</v>
      </c>
      <c r="E31" s="5">
        <f t="shared" ca="1" si="1"/>
        <v>10551.2</v>
      </c>
    </row>
    <row r="32" spans="1:5" x14ac:dyDescent="0.25">
      <c r="A32">
        <v>131152</v>
      </c>
      <c r="B32" t="s">
        <v>32</v>
      </c>
      <c r="C32">
        <f>'[1]VENTAS CONSOLIDADA CARACAS'!C32</f>
        <v>1010</v>
      </c>
      <c r="D32" s="5">
        <f t="shared" ca="1" si="0"/>
        <v>202</v>
      </c>
      <c r="E32" s="5">
        <f t="shared" ca="1" si="1"/>
        <v>4444</v>
      </c>
    </row>
    <row r="33" spans="1:5" x14ac:dyDescent="0.25">
      <c r="A33">
        <v>131153</v>
      </c>
      <c r="B33" t="s">
        <v>11</v>
      </c>
      <c r="C33">
        <f>'[1]VENTAS CONSOLIDADA CARACAS'!C33</f>
        <v>737</v>
      </c>
      <c r="D33" s="5">
        <f t="shared" ca="1" si="0"/>
        <v>147.4</v>
      </c>
      <c r="E33" s="5">
        <f t="shared" ca="1" si="1"/>
        <v>3242.8</v>
      </c>
    </row>
    <row r="34" spans="1:5" x14ac:dyDescent="0.25">
      <c r="A34">
        <v>131154</v>
      </c>
      <c r="B34" t="s">
        <v>48</v>
      </c>
      <c r="C34">
        <f>'[1]VENTAS CONSOLIDADA CARACAS'!C34</f>
        <v>482</v>
      </c>
      <c r="D34" s="5">
        <f t="shared" ca="1" si="0"/>
        <v>96.4</v>
      </c>
      <c r="E34" s="5">
        <f t="shared" ca="1" si="1"/>
        <v>2120.8000000000002</v>
      </c>
    </row>
    <row r="35" spans="1:5" x14ac:dyDescent="0.25">
      <c r="A35">
        <v>131155</v>
      </c>
      <c r="B35" t="s">
        <v>57</v>
      </c>
      <c r="C35">
        <f>'[1]VENTAS CONSOLIDADA CARACAS'!C35</f>
        <v>603</v>
      </c>
      <c r="D35" s="5">
        <f t="shared" ca="1" si="0"/>
        <v>120.6</v>
      </c>
      <c r="E35" s="5">
        <f t="shared" ca="1" si="1"/>
        <v>2653.2</v>
      </c>
    </row>
    <row r="36" spans="1:5" x14ac:dyDescent="0.25">
      <c r="A36">
        <v>131700</v>
      </c>
      <c r="B36" t="s">
        <v>20</v>
      </c>
      <c r="C36">
        <f>'[1]VENTAS CONSOLIDADA CARACAS'!C36</f>
        <v>308</v>
      </c>
      <c r="D36" s="5">
        <f t="shared" ca="1" si="0"/>
        <v>61.6</v>
      </c>
      <c r="E36" s="5">
        <f t="shared" ca="1" si="1"/>
        <v>1355.2</v>
      </c>
    </row>
    <row r="37" spans="1:5" x14ac:dyDescent="0.25">
      <c r="A37">
        <v>131701</v>
      </c>
      <c r="B37" t="s">
        <v>24</v>
      </c>
      <c r="C37">
        <f>'[1]VENTAS CONSOLIDADA CARACAS'!C37</f>
        <v>276</v>
      </c>
      <c r="D37" s="5">
        <f t="shared" ca="1" si="0"/>
        <v>55.2</v>
      </c>
      <c r="E37" s="5">
        <f t="shared" ca="1" si="1"/>
        <v>1214.4000000000001</v>
      </c>
    </row>
    <row r="38" spans="1:5" x14ac:dyDescent="0.25">
      <c r="A38">
        <v>132150</v>
      </c>
      <c r="B38" t="s">
        <v>25</v>
      </c>
      <c r="C38">
        <f>'[1]VENTAS CONSOLIDADA CARACAS'!C38</f>
        <v>1255</v>
      </c>
      <c r="D38" s="5">
        <f t="shared" ca="1" si="0"/>
        <v>251</v>
      </c>
      <c r="E38" s="5">
        <f t="shared" ca="1" si="1"/>
        <v>5522</v>
      </c>
    </row>
    <row r="39" spans="1:5" x14ac:dyDescent="0.25">
      <c r="A39">
        <v>132151</v>
      </c>
      <c r="B39" t="s">
        <v>26</v>
      </c>
      <c r="C39">
        <f>'[1]VENTAS CONSOLIDADA CARACAS'!C39</f>
        <v>1153</v>
      </c>
      <c r="D39" s="5">
        <f t="shared" ca="1" si="0"/>
        <v>230.6</v>
      </c>
      <c r="E39" s="5">
        <f t="shared" ca="1" si="1"/>
        <v>5073.2</v>
      </c>
    </row>
    <row r="40" spans="1:5" x14ac:dyDescent="0.25">
      <c r="A40">
        <v>132152</v>
      </c>
      <c r="B40" t="s">
        <v>27</v>
      </c>
      <c r="C40">
        <f>'[1]VENTAS CONSOLIDADA CARACAS'!C40</f>
        <v>1413</v>
      </c>
      <c r="D40" s="5">
        <f t="shared" ca="1" si="0"/>
        <v>282.60000000000002</v>
      </c>
      <c r="E40" s="5">
        <f t="shared" ca="1" si="1"/>
        <v>6217.2000000000007</v>
      </c>
    </row>
    <row r="41" spans="1:5" x14ac:dyDescent="0.25">
      <c r="A41">
        <v>132153</v>
      </c>
      <c r="B41" t="s">
        <v>40</v>
      </c>
      <c r="C41">
        <f>'[1]VENTAS CONSOLIDADA CARACAS'!C41</f>
        <v>942</v>
      </c>
      <c r="D41" s="5">
        <f t="shared" ca="1" si="0"/>
        <v>188.4</v>
      </c>
      <c r="E41" s="5">
        <f t="shared" ca="1" si="1"/>
        <v>4144.8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34</v>
      </c>
      <c r="D44" s="5">
        <f t="shared" ca="1" si="0"/>
        <v>6.8</v>
      </c>
      <c r="E44" s="5">
        <f t="shared" ca="1" si="1"/>
        <v>149.6</v>
      </c>
    </row>
    <row r="45" spans="1:5" x14ac:dyDescent="0.25">
      <c r="A45">
        <v>140231</v>
      </c>
      <c r="B45" t="s">
        <v>10</v>
      </c>
      <c r="C45">
        <f>'[1]VENTAS CONSOLIDADA CARACAS'!C45</f>
        <v>1201</v>
      </c>
      <c r="D45" s="5">
        <f t="shared" ca="1" si="0"/>
        <v>240.2</v>
      </c>
      <c r="E45" s="5">
        <f t="shared" ca="1" si="1"/>
        <v>5284.4</v>
      </c>
    </row>
    <row r="46" spans="1:5" x14ac:dyDescent="0.25">
      <c r="A46">
        <v>140232</v>
      </c>
      <c r="B46" t="s">
        <v>9</v>
      </c>
      <c r="C46">
        <f>'[1]VENTAS CONSOLIDADA CARACAS'!C46</f>
        <v>1021</v>
      </c>
      <c r="D46" s="5">
        <f t="shared" ca="1" si="0"/>
        <v>204.2</v>
      </c>
      <c r="E46" s="5">
        <f t="shared" ca="1" si="1"/>
        <v>4492.3999999999996</v>
      </c>
    </row>
    <row r="47" spans="1:5" x14ac:dyDescent="0.25">
      <c r="A47">
        <v>150360</v>
      </c>
      <c r="B47" t="s">
        <v>28</v>
      </c>
      <c r="C47">
        <f>'[1]VENTAS CONSOLIDADA CARACAS'!C47</f>
        <v>542</v>
      </c>
      <c r="D47" s="5">
        <f t="shared" ca="1" si="0"/>
        <v>108.4</v>
      </c>
      <c r="E47" s="5">
        <f t="shared" ca="1" si="1"/>
        <v>2384.8000000000002</v>
      </c>
    </row>
    <row r="48" spans="1:5" x14ac:dyDescent="0.25">
      <c r="A48">
        <v>150361</v>
      </c>
      <c r="B48" t="s">
        <v>29</v>
      </c>
      <c r="C48">
        <f>'[1]VENTAS CONSOLIDADA CARACAS'!C48</f>
        <v>846</v>
      </c>
      <c r="D48" s="5">
        <f t="shared" ca="1" si="0"/>
        <v>169.2</v>
      </c>
      <c r="E48" s="5">
        <f t="shared" ca="1" si="1"/>
        <v>3722.3999999999996</v>
      </c>
    </row>
    <row r="49" spans="1:5" x14ac:dyDescent="0.25">
      <c r="A49">
        <v>150362</v>
      </c>
      <c r="B49" t="s">
        <v>36</v>
      </c>
      <c r="C49">
        <f>'[1]VENTAS CONSOLIDADA CARACAS'!C49</f>
        <v>642</v>
      </c>
      <c r="D49" s="5">
        <f t="shared" ca="1" si="0"/>
        <v>128.4</v>
      </c>
      <c r="E49" s="5">
        <f t="shared" ca="1" si="1"/>
        <v>2824.8</v>
      </c>
    </row>
    <row r="50" spans="1:5" x14ac:dyDescent="0.25">
      <c r="A50">
        <v>150363</v>
      </c>
      <c r="B50" t="s">
        <v>31</v>
      </c>
      <c r="C50">
        <f>'[1]VENTAS CONSOLIDADA CARACAS'!C50</f>
        <v>614</v>
      </c>
      <c r="D50" s="5">
        <f t="shared" ca="1" si="0"/>
        <v>122.8</v>
      </c>
      <c r="E50" s="5">
        <f t="shared" ca="1" si="1"/>
        <v>2701.6</v>
      </c>
    </row>
    <row r="51" spans="1:5" x14ac:dyDescent="0.25">
      <c r="A51">
        <v>151500</v>
      </c>
      <c r="B51" t="s">
        <v>41</v>
      </c>
      <c r="C51">
        <f>'[1]VENTAS CONSOLIDADA CARACAS'!C51</f>
        <v>53</v>
      </c>
      <c r="D51" s="5">
        <f t="shared" ca="1" si="0"/>
        <v>10.6</v>
      </c>
      <c r="E51" s="5">
        <f t="shared" ca="1" si="1"/>
        <v>233.2</v>
      </c>
    </row>
    <row r="52" spans="1:5" x14ac:dyDescent="0.25">
      <c r="A52">
        <v>151501</v>
      </c>
      <c r="B52" t="s">
        <v>33</v>
      </c>
      <c r="C52">
        <f>'[1]VENTAS CONSOLIDADA CARACAS'!C52</f>
        <v>126</v>
      </c>
      <c r="D52" s="5">
        <f t="shared" ca="1" si="0"/>
        <v>25.2</v>
      </c>
      <c r="E52" s="5">
        <f t="shared" ca="1" si="1"/>
        <v>554.4</v>
      </c>
    </row>
    <row r="53" spans="1:5" x14ac:dyDescent="0.25">
      <c r="A53">
        <v>151502</v>
      </c>
      <c r="B53" t="s">
        <v>37</v>
      </c>
      <c r="C53">
        <f>'[1]VENTAS CONSOLIDADA CARACAS'!C53</f>
        <v>74</v>
      </c>
      <c r="D53" s="5">
        <f t="shared" ca="1" si="0"/>
        <v>14.8</v>
      </c>
      <c r="E53" s="5">
        <f t="shared" ca="1" si="1"/>
        <v>325.60000000000002</v>
      </c>
    </row>
    <row r="54" spans="1:5" x14ac:dyDescent="0.25">
      <c r="A54">
        <v>151503</v>
      </c>
      <c r="B54" t="s">
        <v>34</v>
      </c>
      <c r="C54">
        <f>'[1]VENTAS CONSOLIDADA CARACAS'!C54</f>
        <v>80</v>
      </c>
      <c r="D54" s="5">
        <f t="shared" ca="1" si="0"/>
        <v>16</v>
      </c>
      <c r="E54" s="5">
        <f t="shared" ca="1" si="1"/>
        <v>352</v>
      </c>
    </row>
    <row r="55" spans="1:5" x14ac:dyDescent="0.25">
      <c r="D55" s="5">
        <f ca="1">SUM(D8:D54)</f>
        <v>12647.400000000003</v>
      </c>
      <c r="E55" s="5">
        <f ca="1">SUM(E8:E54)</f>
        <v>278242.8000000001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46273</v>
      </c>
      <c r="E2" s="4">
        <f ca="1">'[1]VENTAS CONSOLIDADA LARA'!E2</f>
        <v>5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17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173</v>
      </c>
      <c r="D8" s="5">
        <f t="shared" ref="D8:D54" ca="1" si="0">C8/$E$2</f>
        <v>34.6</v>
      </c>
      <c r="E8" s="5">
        <f ca="1">D8*($E$2+$E$3)</f>
        <v>761.2</v>
      </c>
    </row>
    <row r="9" spans="1:5" x14ac:dyDescent="0.25">
      <c r="A9">
        <v>110151</v>
      </c>
      <c r="B9" t="s">
        <v>5</v>
      </c>
      <c r="C9">
        <f>'[1]VENTAS CONSOLIDADA LARA'!C9</f>
        <v>3</v>
      </c>
      <c r="D9" s="5">
        <f t="shared" ca="1" si="0"/>
        <v>0.6</v>
      </c>
      <c r="E9" s="5">
        <f t="shared" ref="E9:E54" ca="1" si="1">D9*($E$2+$E$3)</f>
        <v>13.2</v>
      </c>
    </row>
    <row r="10" spans="1:5" x14ac:dyDescent="0.25">
      <c r="A10">
        <v>110230</v>
      </c>
      <c r="B10" t="s">
        <v>1</v>
      </c>
      <c r="C10">
        <f>'[1]VENTAS CONSOLIDADA LARA'!C10</f>
        <v>73</v>
      </c>
      <c r="D10" s="5">
        <f t="shared" ca="1" si="0"/>
        <v>14.6</v>
      </c>
      <c r="E10" s="5">
        <f t="shared" ca="1" si="1"/>
        <v>321.2</v>
      </c>
    </row>
    <row r="11" spans="1:5" x14ac:dyDescent="0.25">
      <c r="A11">
        <v>110400</v>
      </c>
      <c r="B11" t="s">
        <v>13</v>
      </c>
      <c r="C11">
        <f>'[1]VENTAS CONSOLIDADA LARA'!C11</f>
        <v>11</v>
      </c>
      <c r="D11" s="5">
        <f t="shared" ca="1" si="0"/>
        <v>2.2000000000000002</v>
      </c>
      <c r="E11" s="5">
        <f t="shared" ca="1" si="1"/>
        <v>48.400000000000006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686</v>
      </c>
      <c r="D13" s="5">
        <f t="shared" ca="1" si="0"/>
        <v>137.19999999999999</v>
      </c>
      <c r="E13" s="5">
        <f t="shared" ca="1" si="1"/>
        <v>3018.3999999999996</v>
      </c>
    </row>
    <row r="14" spans="1:5" x14ac:dyDescent="0.25">
      <c r="A14">
        <v>120131</v>
      </c>
      <c r="B14" t="s">
        <v>23</v>
      </c>
      <c r="C14">
        <f>'[1]VENTAS CONSOLIDADA LARA'!C14</f>
        <v>76</v>
      </c>
      <c r="D14" s="5">
        <f t="shared" ca="1" si="0"/>
        <v>15.2</v>
      </c>
      <c r="E14" s="5">
        <f t="shared" ca="1" si="1"/>
        <v>334.4</v>
      </c>
    </row>
    <row r="15" spans="1:5" x14ac:dyDescent="0.25">
      <c r="A15">
        <v>120132</v>
      </c>
      <c r="B15" t="s">
        <v>21</v>
      </c>
      <c r="C15">
        <f>'[1]VENTAS CONSOLIDADA LARA'!C15</f>
        <v>83</v>
      </c>
      <c r="D15" s="5">
        <f t="shared" ca="1" si="0"/>
        <v>16.600000000000001</v>
      </c>
      <c r="E15" s="5">
        <f t="shared" ca="1" si="1"/>
        <v>365.20000000000005</v>
      </c>
    </row>
    <row r="16" spans="1:5" x14ac:dyDescent="0.25">
      <c r="A16">
        <v>130150</v>
      </c>
      <c r="B16" t="s">
        <v>0</v>
      </c>
      <c r="C16">
        <f>'[1]VENTAS CONSOLIDADA LARA'!C16</f>
        <v>276</v>
      </c>
      <c r="D16" s="5">
        <f t="shared" ca="1" si="0"/>
        <v>55.2</v>
      </c>
      <c r="E16" s="5">
        <f t="shared" ca="1" si="1"/>
        <v>1214.4000000000001</v>
      </c>
    </row>
    <row r="17" spans="1:5" x14ac:dyDescent="0.25">
      <c r="A17">
        <v>130151</v>
      </c>
      <c r="B17" t="s">
        <v>4</v>
      </c>
      <c r="C17">
        <f>'[1]VENTAS CONSOLIDADA LARA'!C17</f>
        <v>107</v>
      </c>
      <c r="D17" s="5">
        <f t="shared" ca="1" si="0"/>
        <v>21.4</v>
      </c>
      <c r="E17" s="5">
        <f t="shared" ca="1" si="1"/>
        <v>470.79999999999995</v>
      </c>
    </row>
    <row r="18" spans="1:5" x14ac:dyDescent="0.25">
      <c r="A18">
        <v>130152</v>
      </c>
      <c r="B18" t="s">
        <v>51</v>
      </c>
      <c r="C18">
        <f>'[1]VENTAS CONSOLIDADA LARA'!C18</f>
        <v>2428</v>
      </c>
      <c r="D18" s="5">
        <f t="shared" ca="1" si="0"/>
        <v>485.6</v>
      </c>
      <c r="E18" s="5">
        <f t="shared" ca="1" si="1"/>
        <v>10683.2</v>
      </c>
    </row>
    <row r="19" spans="1:5" x14ac:dyDescent="0.25">
      <c r="A19">
        <v>130153</v>
      </c>
      <c r="B19" t="s">
        <v>52</v>
      </c>
      <c r="C19">
        <f>'[1]VENTAS CONSOLIDADA LARA'!C19</f>
        <v>1315</v>
      </c>
      <c r="D19" s="5">
        <f t="shared" ca="1" si="0"/>
        <v>263</v>
      </c>
      <c r="E19" s="5">
        <f t="shared" ca="1" si="1"/>
        <v>5786</v>
      </c>
    </row>
    <row r="20" spans="1:5" x14ac:dyDescent="0.25">
      <c r="A20">
        <v>130154</v>
      </c>
      <c r="B20" t="s">
        <v>53</v>
      </c>
      <c r="C20">
        <f>'[1]VENTAS CONSOLIDADA LARA'!C20</f>
        <v>1338</v>
      </c>
      <c r="D20" s="5">
        <f t="shared" ca="1" si="0"/>
        <v>267.60000000000002</v>
      </c>
      <c r="E20" s="5">
        <f t="shared" ca="1" si="1"/>
        <v>5887.2000000000007</v>
      </c>
    </row>
    <row r="21" spans="1:5" x14ac:dyDescent="0.25">
      <c r="A21">
        <v>130155</v>
      </c>
      <c r="B21" t="s">
        <v>16</v>
      </c>
      <c r="C21">
        <f>'[1]VENTAS CONSOLIDADA LARA'!C21</f>
        <v>1525</v>
      </c>
      <c r="D21" s="5">
        <f t="shared" ca="1" si="0"/>
        <v>305</v>
      </c>
      <c r="E21" s="5">
        <f t="shared" ca="1" si="1"/>
        <v>6710</v>
      </c>
    </row>
    <row r="22" spans="1:5" x14ac:dyDescent="0.25">
      <c r="A22">
        <v>130157</v>
      </c>
      <c r="B22" t="s">
        <v>43</v>
      </c>
      <c r="C22">
        <f>'[1]VENTAS CONSOLIDADA LARA'!C22</f>
        <v>425</v>
      </c>
      <c r="D22" s="5">
        <f t="shared" ca="1" si="0"/>
        <v>85</v>
      </c>
      <c r="E22" s="5">
        <f t="shared" ca="1" si="1"/>
        <v>1870</v>
      </c>
    </row>
    <row r="23" spans="1:5" x14ac:dyDescent="0.25">
      <c r="A23">
        <v>130158</v>
      </c>
      <c r="B23" t="s">
        <v>44</v>
      </c>
      <c r="C23">
        <f>'[1]VENTAS CONSOLIDADA LARA'!C23</f>
        <v>622</v>
      </c>
      <c r="D23" s="5">
        <f t="shared" ca="1" si="0"/>
        <v>124.4</v>
      </c>
      <c r="E23" s="5">
        <f t="shared" ca="1" si="1"/>
        <v>2736.8</v>
      </c>
    </row>
    <row r="24" spans="1:5" x14ac:dyDescent="0.25">
      <c r="A24">
        <v>130159</v>
      </c>
      <c r="B24" t="s">
        <v>45</v>
      </c>
      <c r="C24">
        <f>'[1]VENTAS CONSOLIDADA LARA'!C24</f>
        <v>600</v>
      </c>
      <c r="D24" s="5">
        <f t="shared" ca="1" si="0"/>
        <v>120</v>
      </c>
      <c r="E24" s="5">
        <f t="shared" ca="1" si="1"/>
        <v>2640</v>
      </c>
    </row>
    <row r="25" spans="1:5" x14ac:dyDescent="0.25">
      <c r="A25">
        <v>130700</v>
      </c>
      <c r="B25" t="s">
        <v>3</v>
      </c>
      <c r="C25">
        <f>'[1]VENTAS CONSOLIDADA LARA'!C25</f>
        <v>99</v>
      </c>
      <c r="D25" s="5">
        <f t="shared" ca="1" si="0"/>
        <v>19.8</v>
      </c>
      <c r="E25" s="5">
        <f t="shared" ca="1" si="1"/>
        <v>435.6</v>
      </c>
    </row>
    <row r="26" spans="1:5" x14ac:dyDescent="0.25">
      <c r="A26">
        <v>130701</v>
      </c>
      <c r="B26" t="s">
        <v>30</v>
      </c>
      <c r="C26">
        <f>'[1]VENTAS CONSOLIDADA LARA'!C26</f>
        <v>14</v>
      </c>
      <c r="D26" s="5">
        <f t="shared" ca="1" si="0"/>
        <v>2.8</v>
      </c>
      <c r="E26" s="5">
        <f t="shared" ca="1" si="1"/>
        <v>61.599999999999994</v>
      </c>
    </row>
    <row r="27" spans="1:5" x14ac:dyDescent="0.25">
      <c r="A27">
        <v>130702</v>
      </c>
      <c r="B27" t="s">
        <v>12</v>
      </c>
      <c r="C27">
        <f>'[1]VENTAS CONSOLIDADA LARA'!C27</f>
        <v>418</v>
      </c>
      <c r="D27" s="5">
        <f t="shared" ca="1" si="0"/>
        <v>83.6</v>
      </c>
      <c r="E27" s="5">
        <f t="shared" ca="1" si="1"/>
        <v>1839.1999999999998</v>
      </c>
    </row>
    <row r="28" spans="1:5" x14ac:dyDescent="0.25">
      <c r="A28">
        <v>130703</v>
      </c>
      <c r="B28" t="s">
        <v>17</v>
      </c>
      <c r="C28">
        <f>'[1]VENTAS CONSOLIDADA LARA'!C28</f>
        <v>521</v>
      </c>
      <c r="D28" s="5">
        <f t="shared" ca="1" si="0"/>
        <v>104.2</v>
      </c>
      <c r="E28" s="5">
        <f t="shared" ca="1" si="1"/>
        <v>2292.4</v>
      </c>
    </row>
    <row r="29" spans="1:5" x14ac:dyDescent="0.25">
      <c r="A29">
        <v>130707</v>
      </c>
      <c r="B29" t="s">
        <v>42</v>
      </c>
      <c r="C29">
        <f>'[1]VENTAS CONSOLIDADA LARA'!C29</f>
        <v>20</v>
      </c>
      <c r="D29" s="5">
        <f t="shared" ca="1" si="0"/>
        <v>4</v>
      </c>
      <c r="E29" s="5">
        <f t="shared" ca="1" si="1"/>
        <v>88</v>
      </c>
    </row>
    <row r="30" spans="1:5" x14ac:dyDescent="0.25">
      <c r="A30">
        <v>131150</v>
      </c>
      <c r="B30" t="s">
        <v>22</v>
      </c>
      <c r="C30">
        <f>'[1]VENTAS CONSOLIDADA LARA'!C30</f>
        <v>193</v>
      </c>
      <c r="D30" s="5">
        <f t="shared" ca="1" si="0"/>
        <v>38.6</v>
      </c>
      <c r="E30" s="5">
        <f t="shared" ca="1" si="1"/>
        <v>849.2</v>
      </c>
    </row>
    <row r="31" spans="1:5" x14ac:dyDescent="0.25">
      <c r="A31">
        <v>131151</v>
      </c>
      <c r="B31" t="s">
        <v>19</v>
      </c>
      <c r="C31">
        <f>'[1]VENTAS CONSOLIDADA LARA'!C31</f>
        <v>450</v>
      </c>
      <c r="D31" s="5">
        <f t="shared" ca="1" si="0"/>
        <v>90</v>
      </c>
      <c r="E31" s="5">
        <f t="shared" ca="1" si="1"/>
        <v>1980</v>
      </c>
    </row>
    <row r="32" spans="1:5" x14ac:dyDescent="0.25">
      <c r="A32">
        <v>131152</v>
      </c>
      <c r="B32" t="s">
        <v>32</v>
      </c>
      <c r="C32">
        <f>'[1]VENTAS CONSOLIDADA LARA'!C32</f>
        <v>202</v>
      </c>
      <c r="D32" s="5">
        <f t="shared" ca="1" si="0"/>
        <v>40.4</v>
      </c>
      <c r="E32" s="5">
        <f t="shared" ca="1" si="1"/>
        <v>888.8</v>
      </c>
    </row>
    <row r="33" spans="1:5" x14ac:dyDescent="0.25">
      <c r="A33">
        <v>131153</v>
      </c>
      <c r="B33" t="s">
        <v>11</v>
      </c>
      <c r="C33">
        <f>'[1]VENTAS CONSOLIDADA LARA'!C33</f>
        <v>146</v>
      </c>
      <c r="D33" s="5">
        <f t="shared" ca="1" si="0"/>
        <v>29.2</v>
      </c>
      <c r="E33" s="5">
        <f t="shared" ca="1" si="1"/>
        <v>642.4</v>
      </c>
    </row>
    <row r="34" spans="1:5" x14ac:dyDescent="0.25">
      <c r="A34">
        <v>131154</v>
      </c>
      <c r="B34" t="s">
        <v>48</v>
      </c>
      <c r="C34">
        <f>'[1]VENTAS CONSOLIDADA LARA'!C34</f>
        <v>270</v>
      </c>
      <c r="D34" s="5">
        <f t="shared" ca="1" si="0"/>
        <v>54</v>
      </c>
      <c r="E34" s="5">
        <f t="shared" ca="1" si="1"/>
        <v>1188</v>
      </c>
    </row>
    <row r="35" spans="1:5" x14ac:dyDescent="0.25">
      <c r="A35">
        <v>131155</v>
      </c>
      <c r="B35" t="s">
        <v>57</v>
      </c>
      <c r="C35">
        <f>'[1]VENTAS CONSOLIDADA LARA'!C35</f>
        <v>308</v>
      </c>
      <c r="D35" s="5">
        <f t="shared" ca="1" si="0"/>
        <v>61.6</v>
      </c>
      <c r="E35" s="5">
        <f t="shared" ca="1" si="1"/>
        <v>1355.2</v>
      </c>
    </row>
    <row r="36" spans="1:5" x14ac:dyDescent="0.25">
      <c r="A36">
        <v>131700</v>
      </c>
      <c r="B36" t="s">
        <v>20</v>
      </c>
      <c r="C36">
        <f>'[1]VENTAS CONSOLIDADA LARA'!C36</f>
        <v>50</v>
      </c>
      <c r="D36" s="5">
        <f t="shared" ca="1" si="0"/>
        <v>10</v>
      </c>
      <c r="E36" s="5">
        <f t="shared" ca="1" si="1"/>
        <v>220</v>
      </c>
    </row>
    <row r="37" spans="1:5" x14ac:dyDescent="0.25">
      <c r="A37">
        <v>131701</v>
      </c>
      <c r="B37" t="s">
        <v>24</v>
      </c>
      <c r="C37">
        <f>'[1]VENTAS CONSOLIDADA LARA'!C37</f>
        <v>69</v>
      </c>
      <c r="D37" s="5">
        <f t="shared" ca="1" si="0"/>
        <v>13.8</v>
      </c>
      <c r="E37" s="5">
        <f t="shared" ca="1" si="1"/>
        <v>303.60000000000002</v>
      </c>
    </row>
    <row r="38" spans="1:5" x14ac:dyDescent="0.25">
      <c r="A38">
        <v>132150</v>
      </c>
      <c r="B38" t="s">
        <v>25</v>
      </c>
      <c r="C38">
        <f>'[1]VENTAS CONSOLIDADA LARA'!C38</f>
        <v>470</v>
      </c>
      <c r="D38" s="5">
        <f t="shared" ca="1" si="0"/>
        <v>94</v>
      </c>
      <c r="E38" s="5">
        <f t="shared" ca="1" si="1"/>
        <v>2068</v>
      </c>
    </row>
    <row r="39" spans="1:5" x14ac:dyDescent="0.25">
      <c r="A39">
        <v>132151</v>
      </c>
      <c r="B39" t="s">
        <v>26</v>
      </c>
      <c r="C39">
        <f>'[1]VENTAS CONSOLIDADA LARA'!C39</f>
        <v>324</v>
      </c>
      <c r="D39" s="5">
        <f t="shared" ca="1" si="0"/>
        <v>64.8</v>
      </c>
      <c r="E39" s="5">
        <f t="shared" ca="1" si="1"/>
        <v>1425.6</v>
      </c>
    </row>
    <row r="40" spans="1:5" x14ac:dyDescent="0.25">
      <c r="A40">
        <v>132152</v>
      </c>
      <c r="B40" t="s">
        <v>27</v>
      </c>
      <c r="C40">
        <f>'[1]VENTAS CONSOLIDADA LARA'!C40</f>
        <v>481</v>
      </c>
      <c r="D40" s="5">
        <f t="shared" ca="1" si="0"/>
        <v>96.2</v>
      </c>
      <c r="E40" s="5">
        <f t="shared" ca="1" si="1"/>
        <v>2116.4</v>
      </c>
    </row>
    <row r="41" spans="1:5" x14ac:dyDescent="0.25">
      <c r="A41">
        <v>132153</v>
      </c>
      <c r="B41" t="s">
        <v>40</v>
      </c>
      <c r="C41">
        <f>'[1]VENTAS CONSOLIDADA LARA'!C41</f>
        <v>194</v>
      </c>
      <c r="D41" s="5">
        <f t="shared" ca="1" si="0"/>
        <v>38.799999999999997</v>
      </c>
      <c r="E41" s="5">
        <f t="shared" ca="1" si="1"/>
        <v>853.59999999999991</v>
      </c>
    </row>
    <row r="42" spans="1:5" x14ac:dyDescent="0.25">
      <c r="A42">
        <v>134000</v>
      </c>
      <c r="B42" t="s">
        <v>35</v>
      </c>
      <c r="C42">
        <f>'[1]VENTAS CONSOLIDADA LARA'!C42</f>
        <v>3</v>
      </c>
      <c r="D42" s="5">
        <f t="shared" ca="1" si="0"/>
        <v>0.6</v>
      </c>
      <c r="E42" s="5">
        <f t="shared" ca="1" si="1"/>
        <v>13.2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58</v>
      </c>
      <c r="D44" s="5">
        <f t="shared" ca="1" si="0"/>
        <v>11.6</v>
      </c>
      <c r="E44" s="5">
        <f t="shared" ca="1" si="1"/>
        <v>255.2</v>
      </c>
    </row>
    <row r="45" spans="1:5" x14ac:dyDescent="0.25">
      <c r="A45">
        <v>140231</v>
      </c>
      <c r="B45" t="s">
        <v>10</v>
      </c>
      <c r="C45">
        <f>'[1]VENTAS CONSOLIDADA LARA'!C45</f>
        <v>92</v>
      </c>
      <c r="D45" s="5">
        <f t="shared" ca="1" si="0"/>
        <v>18.399999999999999</v>
      </c>
      <c r="E45" s="5">
        <f t="shared" ca="1" si="1"/>
        <v>404.79999999999995</v>
      </c>
    </row>
    <row r="46" spans="1:5" x14ac:dyDescent="0.25">
      <c r="A46">
        <v>140232</v>
      </c>
      <c r="B46" t="s">
        <v>9</v>
      </c>
      <c r="C46">
        <f>'[1]VENTAS CONSOLIDADA LARA'!C46</f>
        <v>156</v>
      </c>
      <c r="D46" s="5">
        <f t="shared" ca="1" si="0"/>
        <v>31.2</v>
      </c>
      <c r="E46" s="5">
        <f t="shared" ca="1" si="1"/>
        <v>686.4</v>
      </c>
    </row>
    <row r="47" spans="1:5" x14ac:dyDescent="0.25">
      <c r="A47">
        <v>150360</v>
      </c>
      <c r="B47" t="s">
        <v>28</v>
      </c>
      <c r="C47">
        <f>'[1]VENTAS CONSOLIDADA LARA'!C47</f>
        <v>45</v>
      </c>
      <c r="D47" s="5">
        <f t="shared" ca="1" si="0"/>
        <v>9</v>
      </c>
      <c r="E47" s="5">
        <f t="shared" ca="1" si="1"/>
        <v>198</v>
      </c>
    </row>
    <row r="48" spans="1:5" x14ac:dyDescent="0.25">
      <c r="A48">
        <v>150361</v>
      </c>
      <c r="B48" t="s">
        <v>29</v>
      </c>
      <c r="C48">
        <f>'[1]VENTAS CONSOLIDADA LARA'!C48</f>
        <v>42</v>
      </c>
      <c r="D48" s="5">
        <f t="shared" ca="1" si="0"/>
        <v>8.4</v>
      </c>
      <c r="E48" s="5">
        <f t="shared" ca="1" si="1"/>
        <v>184.8</v>
      </c>
    </row>
    <row r="49" spans="1:5" x14ac:dyDescent="0.25">
      <c r="A49">
        <v>150362</v>
      </c>
      <c r="B49" t="s">
        <v>36</v>
      </c>
      <c r="C49">
        <f>'[1]VENTAS CONSOLIDADA LARA'!C49</f>
        <v>66</v>
      </c>
      <c r="D49" s="5">
        <f t="shared" ca="1" si="0"/>
        <v>13.2</v>
      </c>
      <c r="E49" s="5">
        <f t="shared" ca="1" si="1"/>
        <v>290.39999999999998</v>
      </c>
    </row>
    <row r="50" spans="1:5" x14ac:dyDescent="0.25">
      <c r="A50">
        <v>150363</v>
      </c>
      <c r="B50" t="s">
        <v>31</v>
      </c>
      <c r="C50">
        <f>'[1]VENTAS CONSOLIDADA LARA'!C50</f>
        <v>111</v>
      </c>
      <c r="D50" s="5">
        <f t="shared" ca="1" si="0"/>
        <v>22.2</v>
      </c>
      <c r="E50" s="5">
        <f t="shared" ca="1" si="1"/>
        <v>488.4</v>
      </c>
    </row>
    <row r="51" spans="1:5" x14ac:dyDescent="0.25">
      <c r="A51">
        <v>151500</v>
      </c>
      <c r="B51" t="s">
        <v>41</v>
      </c>
      <c r="C51">
        <f>'[1]VENTAS CONSOLIDADA LARA'!C51</f>
        <v>33</v>
      </c>
      <c r="D51" s="5">
        <f t="shared" ca="1" si="0"/>
        <v>6.6</v>
      </c>
      <c r="E51" s="5">
        <f t="shared" ca="1" si="1"/>
        <v>145.19999999999999</v>
      </c>
    </row>
    <row r="52" spans="1:5" x14ac:dyDescent="0.25">
      <c r="A52">
        <v>151501</v>
      </c>
      <c r="B52" t="s">
        <v>33</v>
      </c>
      <c r="C52">
        <f>'[1]VENTAS CONSOLIDADA LARA'!C52</f>
        <v>105</v>
      </c>
      <c r="D52" s="5">
        <f t="shared" ca="1" si="0"/>
        <v>21</v>
      </c>
      <c r="E52" s="5">
        <f t="shared" ca="1" si="1"/>
        <v>462</v>
      </c>
    </row>
    <row r="53" spans="1:5" x14ac:dyDescent="0.25">
      <c r="A53">
        <v>151502</v>
      </c>
      <c r="B53" t="s">
        <v>37</v>
      </c>
      <c r="C53">
        <f>'[1]VENTAS CONSOLIDADA LARA'!C53</f>
        <v>6</v>
      </c>
      <c r="D53" s="5">
        <f t="shared" ca="1" si="0"/>
        <v>1.2</v>
      </c>
      <c r="E53" s="5">
        <f t="shared" ca="1" si="1"/>
        <v>26.4</v>
      </c>
    </row>
    <row r="54" spans="1:5" x14ac:dyDescent="0.25">
      <c r="A54">
        <v>151503</v>
      </c>
      <c r="B54" t="s">
        <v>34</v>
      </c>
      <c r="C54">
        <f>'[1]VENTAS CONSOLIDADA LARA'!C54</f>
        <v>12</v>
      </c>
      <c r="D54" s="5">
        <f t="shared" ca="1" si="0"/>
        <v>2.4</v>
      </c>
      <c r="E54" s="5">
        <f t="shared" ca="1" si="1"/>
        <v>52.8</v>
      </c>
    </row>
    <row r="55" spans="1:5" x14ac:dyDescent="0.25">
      <c r="D55" s="5">
        <f ca="1">SUM(D8:D54)</f>
        <v>2939.7999999999993</v>
      </c>
      <c r="E55" s="5">
        <f ca="1">SUM(E8:E54)</f>
        <v>64675.600000000006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46273</v>
      </c>
      <c r="E2" s="4">
        <f ca="1">'[1]VENTAS CONSOLIDADA ANZOATEGUI'!E2</f>
        <v>5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17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212</v>
      </c>
      <c r="D8" s="5">
        <f t="shared" ref="D8:D54" ca="1" si="0">C8/$E$2</f>
        <v>42.4</v>
      </c>
      <c r="E8" s="5">
        <f t="shared" ref="E8:E54" ca="1" si="1">D8*($E$2+$E$3)</f>
        <v>932.8</v>
      </c>
    </row>
    <row r="9" spans="1:5" x14ac:dyDescent="0.25">
      <c r="A9">
        <v>110151</v>
      </c>
      <c r="B9" t="s">
        <v>5</v>
      </c>
      <c r="C9">
        <f>'[1]VENTAS CONSOLIDADA ANZOATEGUI'!C9</f>
        <v>24</v>
      </c>
      <c r="D9" s="5">
        <f t="shared" ca="1" si="0"/>
        <v>4.8</v>
      </c>
      <c r="E9" s="5">
        <f t="shared" ca="1" si="1"/>
        <v>105.6</v>
      </c>
    </row>
    <row r="10" spans="1:5" x14ac:dyDescent="0.25">
      <c r="A10">
        <v>110230</v>
      </c>
      <c r="B10" t="s">
        <v>1</v>
      </c>
      <c r="C10">
        <f>'[1]VENTAS CONSOLIDADA ANZOATEGUI'!C10</f>
        <v>69</v>
      </c>
      <c r="D10" s="5">
        <f t="shared" ca="1" si="0"/>
        <v>13.8</v>
      </c>
      <c r="E10" s="5">
        <f t="shared" ca="1" si="1"/>
        <v>303.60000000000002</v>
      </c>
    </row>
    <row r="11" spans="1:5" x14ac:dyDescent="0.25">
      <c r="A11">
        <v>110400</v>
      </c>
      <c r="B11" t="s">
        <v>13</v>
      </c>
      <c r="C11">
        <f>'[1]VENTAS CONSOLIDADA ANZOATEGUI'!C11</f>
        <v>4</v>
      </c>
      <c r="D11" s="5">
        <f t="shared" ca="1" si="0"/>
        <v>0.8</v>
      </c>
      <c r="E11" s="5">
        <f t="shared" ca="1" si="1"/>
        <v>17.600000000000001</v>
      </c>
    </row>
    <row r="12" spans="1:5" x14ac:dyDescent="0.25">
      <c r="A12">
        <v>111000</v>
      </c>
      <c r="B12" t="s">
        <v>14</v>
      </c>
      <c r="C12">
        <f>'[1]VENTAS CONSOLIDADA ANZOATEGUI'!C12</f>
        <v>5</v>
      </c>
      <c r="D12" s="5">
        <f t="shared" ca="1" si="0"/>
        <v>1</v>
      </c>
      <c r="E12" s="5">
        <f t="shared" ca="1" si="1"/>
        <v>22</v>
      </c>
    </row>
    <row r="13" spans="1:5" x14ac:dyDescent="0.25">
      <c r="A13">
        <v>120130</v>
      </c>
      <c r="B13" t="s">
        <v>15</v>
      </c>
      <c r="C13">
        <f>'[1]VENTAS CONSOLIDADA ANZOATEGUI'!C13</f>
        <v>327</v>
      </c>
      <c r="D13" s="5">
        <f t="shared" ca="1" si="0"/>
        <v>65.400000000000006</v>
      </c>
      <c r="E13" s="5">
        <f t="shared" ca="1" si="1"/>
        <v>1438.8000000000002</v>
      </c>
    </row>
    <row r="14" spans="1:5" x14ac:dyDescent="0.25">
      <c r="A14">
        <v>120131</v>
      </c>
      <c r="B14" t="s">
        <v>23</v>
      </c>
      <c r="C14">
        <f>'[1]VENTAS CONSOLIDADA ANZOATEGUI'!C14</f>
        <v>18</v>
      </c>
      <c r="D14" s="5">
        <f t="shared" ca="1" si="0"/>
        <v>3.6</v>
      </c>
      <c r="E14" s="5">
        <f t="shared" ca="1" si="1"/>
        <v>79.2</v>
      </c>
    </row>
    <row r="15" spans="1:5" x14ac:dyDescent="0.25">
      <c r="A15">
        <v>120132</v>
      </c>
      <c r="B15" t="s">
        <v>21</v>
      </c>
      <c r="C15">
        <f>'[1]VENTAS CONSOLIDADA ANZOATEGUI'!C15</f>
        <v>41</v>
      </c>
      <c r="D15" s="5">
        <f t="shared" ca="1" si="0"/>
        <v>8.1999999999999993</v>
      </c>
      <c r="E15" s="5">
        <f t="shared" ca="1" si="1"/>
        <v>180.39999999999998</v>
      </c>
    </row>
    <row r="16" spans="1:5" x14ac:dyDescent="0.25">
      <c r="A16">
        <v>130150</v>
      </c>
      <c r="B16" t="s">
        <v>0</v>
      </c>
      <c r="C16">
        <f>'[1]VENTAS CONSOLIDADA ANZOATEGUI'!C16</f>
        <v>92</v>
      </c>
      <c r="D16" s="5">
        <f t="shared" ca="1" si="0"/>
        <v>18.399999999999999</v>
      </c>
      <c r="E16" s="5">
        <f t="shared" ca="1" si="1"/>
        <v>404.79999999999995</v>
      </c>
    </row>
    <row r="17" spans="1:5" x14ac:dyDescent="0.25">
      <c r="A17">
        <v>130151</v>
      </c>
      <c r="B17" t="s">
        <v>4</v>
      </c>
      <c r="C17">
        <f>'[1]VENTAS CONSOLIDADA ANZOATEGUI'!C17</f>
        <v>35</v>
      </c>
      <c r="D17" s="5">
        <f t="shared" ca="1" si="0"/>
        <v>7</v>
      </c>
      <c r="E17" s="5">
        <f t="shared" ca="1" si="1"/>
        <v>154</v>
      </c>
    </row>
    <row r="18" spans="1:5" x14ac:dyDescent="0.25">
      <c r="A18">
        <v>130152</v>
      </c>
      <c r="B18" t="s">
        <v>51</v>
      </c>
      <c r="C18">
        <f>'[1]VENTAS CONSOLIDADA ANZOATEGUI'!C18</f>
        <v>777</v>
      </c>
      <c r="D18" s="5">
        <f t="shared" ca="1" si="0"/>
        <v>155.4</v>
      </c>
      <c r="E18" s="5">
        <f t="shared" ca="1" si="1"/>
        <v>3418.8</v>
      </c>
    </row>
    <row r="19" spans="1:5" x14ac:dyDescent="0.25">
      <c r="A19">
        <v>130153</v>
      </c>
      <c r="B19" t="s">
        <v>52</v>
      </c>
      <c r="C19">
        <f>'[1]VENTAS CONSOLIDADA ANZOATEGUI'!C19</f>
        <v>448</v>
      </c>
      <c r="D19" s="5">
        <f t="shared" ca="1" si="0"/>
        <v>89.6</v>
      </c>
      <c r="E19" s="5">
        <f t="shared" ca="1" si="1"/>
        <v>1971.1999999999998</v>
      </c>
    </row>
    <row r="20" spans="1:5" x14ac:dyDescent="0.25">
      <c r="A20">
        <v>130154</v>
      </c>
      <c r="B20" t="s">
        <v>53</v>
      </c>
      <c r="C20">
        <f>'[1]VENTAS CONSOLIDADA ANZOATEGUI'!C20</f>
        <v>621</v>
      </c>
      <c r="D20" s="5">
        <f t="shared" ca="1" si="0"/>
        <v>124.2</v>
      </c>
      <c r="E20" s="5">
        <f t="shared" ca="1" si="1"/>
        <v>2732.4</v>
      </c>
    </row>
    <row r="21" spans="1:5" x14ac:dyDescent="0.25">
      <c r="A21">
        <v>130155</v>
      </c>
      <c r="B21" t="s">
        <v>16</v>
      </c>
      <c r="C21">
        <f>'[1]VENTAS CONSOLIDADA ANZOATEGUI'!C21</f>
        <v>431</v>
      </c>
      <c r="D21" s="5">
        <f t="shared" ca="1" si="0"/>
        <v>86.2</v>
      </c>
      <c r="E21" s="5">
        <f t="shared" ca="1" si="1"/>
        <v>1896.4</v>
      </c>
    </row>
    <row r="22" spans="1:5" x14ac:dyDescent="0.25">
      <c r="A22">
        <v>130157</v>
      </c>
      <c r="B22" t="s">
        <v>43</v>
      </c>
      <c r="C22">
        <f>'[1]VENTAS CONSOLIDADA ANZOATEGUI'!C22</f>
        <v>114</v>
      </c>
      <c r="D22" s="5">
        <f t="shared" ca="1" si="0"/>
        <v>22.8</v>
      </c>
      <c r="E22" s="5">
        <f t="shared" ca="1" si="1"/>
        <v>501.6</v>
      </c>
    </row>
    <row r="23" spans="1:5" x14ac:dyDescent="0.25">
      <c r="A23">
        <v>130158</v>
      </c>
      <c r="B23" t="s">
        <v>44</v>
      </c>
      <c r="C23">
        <f>'[1]VENTAS CONSOLIDADA ANZOATEGUI'!C23</f>
        <v>112</v>
      </c>
      <c r="D23" s="5">
        <f t="shared" ca="1" si="0"/>
        <v>22.4</v>
      </c>
      <c r="E23" s="5">
        <f t="shared" ca="1" si="1"/>
        <v>492.79999999999995</v>
      </c>
    </row>
    <row r="24" spans="1:5" x14ac:dyDescent="0.25">
      <c r="A24">
        <v>130159</v>
      </c>
      <c r="B24" t="s">
        <v>45</v>
      </c>
      <c r="C24">
        <f>'[1]VENTAS CONSOLIDADA ANZOATEGUI'!C24</f>
        <v>94</v>
      </c>
      <c r="D24" s="5">
        <f t="shared" ca="1" si="0"/>
        <v>18.8</v>
      </c>
      <c r="E24" s="5">
        <f t="shared" ca="1" si="1"/>
        <v>413.6</v>
      </c>
    </row>
    <row r="25" spans="1:5" x14ac:dyDescent="0.25">
      <c r="A25">
        <v>130700</v>
      </c>
      <c r="B25" t="s">
        <v>3</v>
      </c>
      <c r="C25">
        <f>'[1]VENTAS CONSOLIDADA ANZOATEGUI'!C25</f>
        <v>17</v>
      </c>
      <c r="D25" s="5">
        <f t="shared" ca="1" si="0"/>
        <v>3.4</v>
      </c>
      <c r="E25" s="5">
        <f t="shared" ca="1" si="1"/>
        <v>74.8</v>
      </c>
    </row>
    <row r="26" spans="1:5" x14ac:dyDescent="0.25">
      <c r="A26">
        <v>130701</v>
      </c>
      <c r="B26" t="s">
        <v>30</v>
      </c>
      <c r="C26">
        <f>'[1]VENTAS CONSOLIDADA ANZOATEGUI'!C26</f>
        <v>3</v>
      </c>
      <c r="D26" s="5">
        <f t="shared" ca="1" si="0"/>
        <v>0.6</v>
      </c>
      <c r="E26" s="5">
        <f t="shared" ca="1" si="1"/>
        <v>13.2</v>
      </c>
    </row>
    <row r="27" spans="1:5" x14ac:dyDescent="0.25">
      <c r="A27">
        <v>130702</v>
      </c>
      <c r="B27" t="s">
        <v>12</v>
      </c>
      <c r="C27">
        <f>'[1]VENTAS CONSOLIDADA ANZOATEGUI'!C27</f>
        <v>53</v>
      </c>
      <c r="D27" s="5">
        <f t="shared" ca="1" si="0"/>
        <v>10.6</v>
      </c>
      <c r="E27" s="5">
        <f t="shared" ca="1" si="1"/>
        <v>233.2</v>
      </c>
    </row>
    <row r="28" spans="1:5" x14ac:dyDescent="0.25">
      <c r="A28">
        <v>130703</v>
      </c>
      <c r="B28" t="s">
        <v>17</v>
      </c>
      <c r="C28">
        <f>'[1]VENTAS CONSOLIDADA ANZOATEGUI'!C28</f>
        <v>71</v>
      </c>
      <c r="D28" s="5">
        <f t="shared" ca="1" si="0"/>
        <v>14.2</v>
      </c>
      <c r="E28" s="5">
        <f t="shared" ca="1" si="1"/>
        <v>312.39999999999998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182</v>
      </c>
      <c r="D30" s="5">
        <f t="shared" ca="1" si="0"/>
        <v>36.4</v>
      </c>
      <c r="E30" s="5">
        <f t="shared" ca="1" si="1"/>
        <v>800.8</v>
      </c>
    </row>
    <row r="31" spans="1:5" x14ac:dyDescent="0.25">
      <c r="A31">
        <v>131151</v>
      </c>
      <c r="B31" t="s">
        <v>19</v>
      </c>
      <c r="C31">
        <f>'[1]VENTAS CONSOLIDADA ANZOATEGUI'!C31</f>
        <v>497</v>
      </c>
      <c r="D31" s="5">
        <f t="shared" ca="1" si="0"/>
        <v>99.4</v>
      </c>
      <c r="E31" s="5">
        <f t="shared" ca="1" si="1"/>
        <v>2186.8000000000002</v>
      </c>
    </row>
    <row r="32" spans="1:5" x14ac:dyDescent="0.25">
      <c r="A32">
        <v>131152</v>
      </c>
      <c r="B32" t="s">
        <v>32</v>
      </c>
      <c r="C32">
        <f>'[1]VENTAS CONSOLIDADA ANZOATEGUI'!C32</f>
        <v>377</v>
      </c>
      <c r="D32" s="5">
        <f t="shared" ca="1" si="0"/>
        <v>75.400000000000006</v>
      </c>
      <c r="E32" s="5">
        <f t="shared" ca="1" si="1"/>
        <v>1658.8000000000002</v>
      </c>
    </row>
    <row r="33" spans="1:5" x14ac:dyDescent="0.25">
      <c r="A33">
        <v>131153</v>
      </c>
      <c r="B33" t="s">
        <v>11</v>
      </c>
      <c r="C33">
        <f>'[1]VENTAS CONSOLIDADA ANZOATEGUI'!C33</f>
        <v>37</v>
      </c>
      <c r="D33" s="5">
        <f t="shared" ca="1" si="0"/>
        <v>7.4</v>
      </c>
      <c r="E33" s="5">
        <f t="shared" ca="1" si="1"/>
        <v>162.80000000000001</v>
      </c>
    </row>
    <row r="34" spans="1:5" x14ac:dyDescent="0.25">
      <c r="A34">
        <v>131154</v>
      </c>
      <c r="B34" t="s">
        <v>48</v>
      </c>
      <c r="C34">
        <f>'[1]VENTAS CONSOLIDADA ANZOATEGUI'!C34</f>
        <v>132</v>
      </c>
      <c r="D34" s="5">
        <f t="shared" ca="1" si="0"/>
        <v>26.4</v>
      </c>
      <c r="E34" s="5">
        <f t="shared" ca="1" si="1"/>
        <v>580.79999999999995</v>
      </c>
    </row>
    <row r="35" spans="1:5" x14ac:dyDescent="0.25">
      <c r="A35">
        <v>131155</v>
      </c>
      <c r="B35" t="s">
        <v>57</v>
      </c>
      <c r="C35">
        <f>'[1]VENTAS CONSOLIDADA ANZOATEGUI'!C35</f>
        <v>174</v>
      </c>
      <c r="D35" s="5">
        <f t="shared" ca="1" si="0"/>
        <v>34.799999999999997</v>
      </c>
      <c r="E35" s="5">
        <f t="shared" ca="1" si="1"/>
        <v>765.59999999999991</v>
      </c>
    </row>
    <row r="36" spans="1:5" x14ac:dyDescent="0.25">
      <c r="A36">
        <v>131700</v>
      </c>
      <c r="B36" t="s">
        <v>20</v>
      </c>
      <c r="C36">
        <f>'[1]VENTAS CONSOLIDADA ANZOATEGUI'!C36</f>
        <v>7</v>
      </c>
      <c r="D36" s="5">
        <f t="shared" ca="1" si="0"/>
        <v>1.4</v>
      </c>
      <c r="E36" s="5">
        <f t="shared" ca="1" si="1"/>
        <v>30.799999999999997</v>
      </c>
    </row>
    <row r="37" spans="1:5" x14ac:dyDescent="0.25">
      <c r="A37">
        <v>131701</v>
      </c>
      <c r="B37" t="s">
        <v>24</v>
      </c>
      <c r="C37">
        <f>'[1]VENTAS CONSOLIDADA ANZOATEGUI'!C37</f>
        <v>41</v>
      </c>
      <c r="D37" s="5">
        <f t="shared" ca="1" si="0"/>
        <v>8.1999999999999993</v>
      </c>
      <c r="E37" s="5">
        <f t="shared" ca="1" si="1"/>
        <v>180.39999999999998</v>
      </c>
    </row>
    <row r="38" spans="1:5" x14ac:dyDescent="0.25">
      <c r="A38">
        <v>132150</v>
      </c>
      <c r="B38" t="s">
        <v>25</v>
      </c>
      <c r="C38">
        <f>'[1]VENTAS CONSOLIDADA ANZOATEGUI'!C38</f>
        <v>140</v>
      </c>
      <c r="D38" s="5">
        <f t="shared" ca="1" si="0"/>
        <v>28</v>
      </c>
      <c r="E38" s="5">
        <f t="shared" ca="1" si="1"/>
        <v>616</v>
      </c>
    </row>
    <row r="39" spans="1:5" x14ac:dyDescent="0.25">
      <c r="A39">
        <v>132151</v>
      </c>
      <c r="B39" t="s">
        <v>26</v>
      </c>
      <c r="C39">
        <f>'[1]VENTAS CONSOLIDADA ANZOATEGUI'!C39</f>
        <v>111</v>
      </c>
      <c r="D39" s="5">
        <f t="shared" ca="1" si="0"/>
        <v>22.2</v>
      </c>
      <c r="E39" s="5">
        <f t="shared" ca="1" si="1"/>
        <v>488.4</v>
      </c>
    </row>
    <row r="40" spans="1:5" x14ac:dyDescent="0.25">
      <c r="A40">
        <v>132152</v>
      </c>
      <c r="B40" t="s">
        <v>27</v>
      </c>
      <c r="C40">
        <f>'[1]VENTAS CONSOLIDADA ANZOATEGUI'!C40</f>
        <v>94</v>
      </c>
      <c r="D40" s="5">
        <f t="shared" ca="1" si="0"/>
        <v>18.8</v>
      </c>
      <c r="E40" s="5">
        <f t="shared" ca="1" si="1"/>
        <v>413.6</v>
      </c>
    </row>
    <row r="41" spans="1:5" x14ac:dyDescent="0.25">
      <c r="A41">
        <v>132153</v>
      </c>
      <c r="B41" t="s">
        <v>40</v>
      </c>
      <c r="C41">
        <f>'[1]VENTAS CONSOLIDADA ANZOATEGUI'!C41</f>
        <v>13</v>
      </c>
      <c r="D41" s="5">
        <f t="shared" ca="1" si="0"/>
        <v>2.6</v>
      </c>
      <c r="E41" s="5">
        <f t="shared" ca="1" si="1"/>
        <v>57.2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50</v>
      </c>
      <c r="D44" s="5">
        <f t="shared" ca="1" si="0"/>
        <v>10</v>
      </c>
      <c r="E44" s="5">
        <f t="shared" ca="1" si="1"/>
        <v>220</v>
      </c>
    </row>
    <row r="45" spans="1:5" x14ac:dyDescent="0.25">
      <c r="A45">
        <v>140231</v>
      </c>
      <c r="B45" t="s">
        <v>10</v>
      </c>
      <c r="C45">
        <f>'[1]VENTAS CONSOLIDADA ANZOATEGUI'!C45</f>
        <v>256</v>
      </c>
      <c r="D45" s="5">
        <f t="shared" ca="1" si="0"/>
        <v>51.2</v>
      </c>
      <c r="E45" s="5">
        <f t="shared" ca="1" si="1"/>
        <v>1126.4000000000001</v>
      </c>
    </row>
    <row r="46" spans="1:5" x14ac:dyDescent="0.25">
      <c r="A46">
        <v>140232</v>
      </c>
      <c r="B46" t="s">
        <v>9</v>
      </c>
      <c r="C46">
        <f>'[1]VENTAS CONSOLIDADA ANZOATEGUI'!C46</f>
        <v>0</v>
      </c>
      <c r="D46" s="5">
        <f t="shared" ca="1" si="0"/>
        <v>0</v>
      </c>
      <c r="E46" s="5">
        <f t="shared" ca="1" si="1"/>
        <v>0</v>
      </c>
    </row>
    <row r="47" spans="1:5" x14ac:dyDescent="0.25">
      <c r="A47">
        <v>150360</v>
      </c>
      <c r="B47" t="s">
        <v>28</v>
      </c>
      <c r="C47">
        <f>'[1]VENTAS CONSOLIDADA ANZOATEGUI'!C47</f>
        <v>57</v>
      </c>
      <c r="D47" s="5">
        <f t="shared" ca="1" si="0"/>
        <v>11.4</v>
      </c>
      <c r="E47" s="5">
        <f t="shared" ca="1" si="1"/>
        <v>250.8</v>
      </c>
    </row>
    <row r="48" spans="1:5" x14ac:dyDescent="0.25">
      <c r="A48">
        <v>150361</v>
      </c>
      <c r="B48" t="s">
        <v>29</v>
      </c>
      <c r="C48">
        <f>'[1]VENTAS CONSOLIDADA ANZOATEGUI'!C48</f>
        <v>33</v>
      </c>
      <c r="D48" s="5">
        <f t="shared" ca="1" si="0"/>
        <v>6.6</v>
      </c>
      <c r="E48" s="5">
        <f t="shared" ca="1" si="1"/>
        <v>145.19999999999999</v>
      </c>
    </row>
    <row r="49" spans="1:5" x14ac:dyDescent="0.25">
      <c r="A49">
        <v>150362</v>
      </c>
      <c r="B49" t="s">
        <v>36</v>
      </c>
      <c r="C49">
        <f>'[1]VENTAS CONSOLIDADA ANZOATEGUI'!C49</f>
        <v>17</v>
      </c>
      <c r="D49" s="5">
        <f t="shared" ca="1" si="0"/>
        <v>3.4</v>
      </c>
      <c r="E49" s="5">
        <f t="shared" ca="1" si="1"/>
        <v>74.8</v>
      </c>
    </row>
    <row r="50" spans="1:5" x14ac:dyDescent="0.25">
      <c r="A50">
        <v>150363</v>
      </c>
      <c r="B50" t="s">
        <v>31</v>
      </c>
      <c r="C50">
        <f>'[1]VENTAS CONSOLIDADA ANZOATEGUI'!C50</f>
        <v>17</v>
      </c>
      <c r="D50" s="5">
        <f t="shared" ca="1" si="0"/>
        <v>3.4</v>
      </c>
      <c r="E50" s="5">
        <f t="shared" ca="1" si="1"/>
        <v>74.8</v>
      </c>
    </row>
    <row r="51" spans="1:5" x14ac:dyDescent="0.25">
      <c r="A51">
        <v>151500</v>
      </c>
      <c r="B51" t="s">
        <v>41</v>
      </c>
      <c r="C51">
        <f>'[1]VENTAS CONSOLIDADA ANZOATEGUI'!C51</f>
        <v>4</v>
      </c>
      <c r="D51" s="5">
        <f t="shared" ca="1" si="0"/>
        <v>0.8</v>
      </c>
      <c r="E51" s="5">
        <f t="shared" ca="1" si="1"/>
        <v>17.600000000000001</v>
      </c>
    </row>
    <row r="52" spans="1:5" x14ac:dyDescent="0.25">
      <c r="A52">
        <v>151501</v>
      </c>
      <c r="B52" t="s">
        <v>33</v>
      </c>
      <c r="C52">
        <f>'[1]VENTAS CONSOLIDADA ANZOATEGUI'!C52</f>
        <v>8</v>
      </c>
      <c r="D52" s="5">
        <f t="shared" ca="1" si="0"/>
        <v>1.6</v>
      </c>
      <c r="E52" s="5">
        <f t="shared" ca="1" si="1"/>
        <v>35.200000000000003</v>
      </c>
    </row>
    <row r="53" spans="1:5" x14ac:dyDescent="0.25">
      <c r="A53">
        <v>151502</v>
      </c>
      <c r="B53" t="s">
        <v>37</v>
      </c>
      <c r="C53">
        <f>'[1]VENTAS CONSOLIDADA ANZOATEGUI'!C53</f>
        <v>0</v>
      </c>
      <c r="D53" s="5">
        <f t="shared" ca="1" si="0"/>
        <v>0</v>
      </c>
      <c r="E53" s="5">
        <f t="shared" ca="1" si="1"/>
        <v>0</v>
      </c>
    </row>
    <row r="54" spans="1:5" x14ac:dyDescent="0.25">
      <c r="A54">
        <v>151503</v>
      </c>
      <c r="B54" t="s">
        <v>34</v>
      </c>
      <c r="C54">
        <f>'[1]VENTAS CONSOLIDADA ANZOATEGUI'!C54</f>
        <v>1</v>
      </c>
      <c r="D54" s="5">
        <f t="shared" ca="1" si="0"/>
        <v>0.2</v>
      </c>
      <c r="E54" s="5">
        <f t="shared" ca="1" si="1"/>
        <v>4.4000000000000004</v>
      </c>
    </row>
    <row r="55" spans="1:5" x14ac:dyDescent="0.25">
      <c r="D55" s="7">
        <f ca="1">SUM(D8:D54)</f>
        <v>1163.2</v>
      </c>
      <c r="E55" s="7">
        <f ca="1">SUM(E8:E54)</f>
        <v>25590.399999999998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H15" sqref="H1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46273</v>
      </c>
      <c r="E2" s="4">
        <f ca="1">'[1]VENTAS CONSOLIDADA 1,0'!E2</f>
        <v>5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17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4937</v>
      </c>
      <c r="D8" s="5">
        <f t="shared" ref="D8:D54" ca="1" si="0">C8/$E$2</f>
        <v>987.4</v>
      </c>
      <c r="E8" s="5">
        <f ca="1">D8*($E$2+$E$3)</f>
        <v>21722.799999999999</v>
      </c>
    </row>
    <row r="9" spans="1:5" x14ac:dyDescent="0.25">
      <c r="A9">
        <v>110151</v>
      </c>
      <c r="B9" t="s">
        <v>5</v>
      </c>
      <c r="C9">
        <f>'[1]VENTAS CONSOLIDADA 1,0'!C9</f>
        <v>419</v>
      </c>
      <c r="D9" s="5">
        <f t="shared" ca="1" si="0"/>
        <v>83.8</v>
      </c>
      <c r="E9" s="5">
        <f t="shared" ref="E9:E54" ca="1" si="1">D9*($E$2+$E$3)</f>
        <v>1843.6</v>
      </c>
    </row>
    <row r="10" spans="1:5" x14ac:dyDescent="0.25">
      <c r="A10">
        <v>110230</v>
      </c>
      <c r="B10" t="s">
        <v>1</v>
      </c>
      <c r="C10">
        <f>'[1]VENTAS CONSOLIDADA 1,0'!C10</f>
        <v>2445</v>
      </c>
      <c r="D10" s="5">
        <f t="shared" ca="1" si="0"/>
        <v>489</v>
      </c>
      <c r="E10" s="5">
        <f t="shared" ca="1" si="1"/>
        <v>10758</v>
      </c>
    </row>
    <row r="11" spans="1:5" x14ac:dyDescent="0.25">
      <c r="A11">
        <v>110400</v>
      </c>
      <c r="B11" t="s">
        <v>13</v>
      </c>
      <c r="C11">
        <f>'[1]VENTAS CONSOLIDADA 1,0'!C11</f>
        <v>376</v>
      </c>
      <c r="D11" s="5">
        <f t="shared" ca="1" si="0"/>
        <v>75.2</v>
      </c>
      <c r="E11" s="5">
        <f t="shared" ca="1" si="1"/>
        <v>1654.4</v>
      </c>
    </row>
    <row r="12" spans="1:5" x14ac:dyDescent="0.25">
      <c r="A12">
        <v>111000</v>
      </c>
      <c r="B12" t="s">
        <v>14</v>
      </c>
      <c r="C12">
        <f>'[1]VENTAS CONSOLIDADA 1,0'!C12</f>
        <v>31</v>
      </c>
      <c r="D12" s="5">
        <f t="shared" ca="1" si="0"/>
        <v>6.2</v>
      </c>
      <c r="E12" s="5">
        <f t="shared" ca="1" si="1"/>
        <v>136.4</v>
      </c>
    </row>
    <row r="13" spans="1:5" x14ac:dyDescent="0.25">
      <c r="A13">
        <v>120130</v>
      </c>
      <c r="B13" t="s">
        <v>15</v>
      </c>
      <c r="C13">
        <f>'[1]VENTAS CONSOLIDADA 1,0'!C13</f>
        <v>6695</v>
      </c>
      <c r="D13" s="5">
        <f t="shared" ca="1" si="0"/>
        <v>1339</v>
      </c>
      <c r="E13" s="5">
        <f t="shared" ca="1" si="1"/>
        <v>29458</v>
      </c>
    </row>
    <row r="14" spans="1:5" x14ac:dyDescent="0.25">
      <c r="A14">
        <v>120131</v>
      </c>
      <c r="B14" t="s">
        <v>23</v>
      </c>
      <c r="C14">
        <f>'[1]VENTAS CONSOLIDADA 1,0'!C14</f>
        <v>565</v>
      </c>
      <c r="D14" s="5">
        <f t="shared" ca="1" si="0"/>
        <v>113</v>
      </c>
      <c r="E14" s="5">
        <f t="shared" ca="1" si="1"/>
        <v>2486</v>
      </c>
    </row>
    <row r="15" spans="1:5" x14ac:dyDescent="0.25">
      <c r="A15">
        <v>120132</v>
      </c>
      <c r="B15" t="s">
        <v>21</v>
      </c>
      <c r="C15">
        <f>'[1]VENTAS CONSOLIDADA 1,0'!C15</f>
        <v>1178</v>
      </c>
      <c r="D15" s="5">
        <f t="shared" ca="1" si="0"/>
        <v>235.6</v>
      </c>
      <c r="E15" s="5">
        <f t="shared" ca="1" si="1"/>
        <v>5183.2</v>
      </c>
    </row>
    <row r="16" spans="1:5" x14ac:dyDescent="0.25">
      <c r="A16">
        <v>130150</v>
      </c>
      <c r="B16" t="s">
        <v>0</v>
      </c>
      <c r="C16">
        <f>'[1]VENTAS CONSOLIDADA 1,0'!C16</f>
        <v>3329</v>
      </c>
      <c r="D16" s="5">
        <f t="shared" ca="1" si="0"/>
        <v>665.8</v>
      </c>
      <c r="E16" s="5">
        <f t="shared" ca="1" si="1"/>
        <v>14647.599999999999</v>
      </c>
    </row>
    <row r="17" spans="1:5" x14ac:dyDescent="0.25">
      <c r="A17">
        <v>130151</v>
      </c>
      <c r="B17" t="s">
        <v>4</v>
      </c>
      <c r="C17">
        <f>'[1]VENTAS CONSOLIDADA 1,0'!C17</f>
        <v>1453</v>
      </c>
      <c r="D17" s="5">
        <f t="shared" ca="1" si="0"/>
        <v>290.60000000000002</v>
      </c>
      <c r="E17" s="5">
        <f t="shared" ca="1" si="1"/>
        <v>6393.2000000000007</v>
      </c>
    </row>
    <row r="18" spans="1:5" x14ac:dyDescent="0.25">
      <c r="A18">
        <v>130152</v>
      </c>
      <c r="B18" t="s">
        <v>51</v>
      </c>
      <c r="C18">
        <f>'[1]VENTAS CONSOLIDADA 1,0'!C18</f>
        <v>15518</v>
      </c>
      <c r="D18" s="5">
        <f t="shared" ca="1" si="0"/>
        <v>3103.6</v>
      </c>
      <c r="E18" s="5">
        <f t="shared" ca="1" si="1"/>
        <v>68279.199999999997</v>
      </c>
    </row>
    <row r="19" spans="1:5" x14ac:dyDescent="0.25">
      <c r="A19">
        <v>130153</v>
      </c>
      <c r="B19" t="s">
        <v>52</v>
      </c>
      <c r="C19">
        <f>'[1]VENTAS CONSOLIDADA 1,0'!C19</f>
        <v>9416</v>
      </c>
      <c r="D19" s="5">
        <f t="shared" ca="1" si="0"/>
        <v>1883.2</v>
      </c>
      <c r="E19" s="5">
        <f t="shared" ca="1" si="1"/>
        <v>41430.400000000001</v>
      </c>
    </row>
    <row r="20" spans="1:5" x14ac:dyDescent="0.25">
      <c r="A20">
        <v>130154</v>
      </c>
      <c r="B20" t="s">
        <v>53</v>
      </c>
      <c r="C20">
        <f>'[1]VENTAS CONSOLIDADA 1,0'!C20</f>
        <v>9988</v>
      </c>
      <c r="D20" s="5">
        <f t="shared" ca="1" si="0"/>
        <v>1997.6</v>
      </c>
      <c r="E20" s="5">
        <f t="shared" ca="1" si="1"/>
        <v>43947.199999999997</v>
      </c>
    </row>
    <row r="21" spans="1:5" x14ac:dyDescent="0.25">
      <c r="A21">
        <v>130155</v>
      </c>
      <c r="B21" t="s">
        <v>16</v>
      </c>
      <c r="C21">
        <f>'[1]VENTAS CONSOLIDADA 1,0'!C21</f>
        <v>11515</v>
      </c>
      <c r="D21" s="5">
        <f t="shared" ca="1" si="0"/>
        <v>2303</v>
      </c>
      <c r="E21" s="5">
        <f t="shared" ca="1" si="1"/>
        <v>50666</v>
      </c>
    </row>
    <row r="22" spans="1:5" x14ac:dyDescent="0.25">
      <c r="A22">
        <v>130157</v>
      </c>
      <c r="B22" t="s">
        <v>43</v>
      </c>
      <c r="C22">
        <f>'[1]VENTAS CONSOLIDADA 1,0'!C22</f>
        <v>2893</v>
      </c>
      <c r="D22" s="5">
        <f t="shared" ca="1" si="0"/>
        <v>578.6</v>
      </c>
      <c r="E22" s="5">
        <f t="shared" ca="1" si="1"/>
        <v>12729.2</v>
      </c>
    </row>
    <row r="23" spans="1:5" x14ac:dyDescent="0.25">
      <c r="A23">
        <v>130158</v>
      </c>
      <c r="B23" t="s">
        <v>44</v>
      </c>
      <c r="C23">
        <f>'[1]VENTAS CONSOLIDADA 1,0'!C23</f>
        <v>3802</v>
      </c>
      <c r="D23" s="5">
        <f t="shared" ca="1" si="0"/>
        <v>760.4</v>
      </c>
      <c r="E23" s="5">
        <f t="shared" ca="1" si="1"/>
        <v>16728.8</v>
      </c>
    </row>
    <row r="24" spans="1:5" x14ac:dyDescent="0.25">
      <c r="A24">
        <v>130159</v>
      </c>
      <c r="B24" t="s">
        <v>45</v>
      </c>
      <c r="C24">
        <f>'[1]VENTAS CONSOLIDADA 1,0'!C24</f>
        <v>3760</v>
      </c>
      <c r="D24" s="5">
        <f t="shared" ca="1" si="0"/>
        <v>752</v>
      </c>
      <c r="E24" s="5">
        <f t="shared" ca="1" si="1"/>
        <v>16544</v>
      </c>
    </row>
    <row r="25" spans="1:5" x14ac:dyDescent="0.25">
      <c r="A25">
        <v>130700</v>
      </c>
      <c r="B25" t="s">
        <v>3</v>
      </c>
      <c r="C25">
        <f>'[1]VENTAS CONSOLIDADA 1,0'!C25</f>
        <v>980</v>
      </c>
      <c r="D25" s="5">
        <f t="shared" ca="1" si="0"/>
        <v>196</v>
      </c>
      <c r="E25" s="5">
        <f t="shared" ca="1" si="1"/>
        <v>4312</v>
      </c>
    </row>
    <row r="26" spans="1:5" x14ac:dyDescent="0.25">
      <c r="A26">
        <v>130701</v>
      </c>
      <c r="B26" t="s">
        <v>30</v>
      </c>
      <c r="C26">
        <f>'[1]VENTAS CONSOLIDADA 1,0'!C26</f>
        <v>429</v>
      </c>
      <c r="D26" s="5">
        <f t="shared" ca="1" si="0"/>
        <v>85.8</v>
      </c>
      <c r="E26" s="5">
        <f t="shared" ca="1" si="1"/>
        <v>1887.6</v>
      </c>
    </row>
    <row r="27" spans="1:5" x14ac:dyDescent="0.25">
      <c r="A27">
        <v>130702</v>
      </c>
      <c r="B27" t="s">
        <v>12</v>
      </c>
      <c r="C27">
        <f>'[1]VENTAS CONSOLIDADA 1,0'!C27</f>
        <v>2181</v>
      </c>
      <c r="D27" s="5">
        <f t="shared" ca="1" si="0"/>
        <v>436.2</v>
      </c>
      <c r="E27" s="5">
        <f t="shared" ca="1" si="1"/>
        <v>9596.4</v>
      </c>
    </row>
    <row r="28" spans="1:5" x14ac:dyDescent="0.25">
      <c r="A28">
        <v>130703</v>
      </c>
      <c r="B28" t="s">
        <v>17</v>
      </c>
      <c r="C28">
        <f>'[1]VENTAS CONSOLIDADA 1,0'!C28</f>
        <v>3482</v>
      </c>
      <c r="D28" s="5">
        <f t="shared" ca="1" si="0"/>
        <v>696.4</v>
      </c>
      <c r="E28" s="5">
        <f t="shared" ca="1" si="1"/>
        <v>15320.8</v>
      </c>
    </row>
    <row r="29" spans="1:5" x14ac:dyDescent="0.25">
      <c r="A29">
        <v>130707</v>
      </c>
      <c r="B29" t="s">
        <v>42</v>
      </c>
      <c r="C29">
        <f>'[1]VENTAS CONSOLIDADA 1,0'!C29</f>
        <v>320</v>
      </c>
      <c r="D29" s="5">
        <f t="shared" ca="1" si="0"/>
        <v>64</v>
      </c>
      <c r="E29" s="5">
        <f t="shared" ca="1" si="1"/>
        <v>1408</v>
      </c>
    </row>
    <row r="30" spans="1:5" x14ac:dyDescent="0.25">
      <c r="A30">
        <v>131150</v>
      </c>
      <c r="B30" t="s">
        <v>22</v>
      </c>
      <c r="C30">
        <f>'[1]VENTAS CONSOLIDADA 1,0'!C30</f>
        <v>3061</v>
      </c>
      <c r="D30" s="5">
        <f t="shared" ca="1" si="0"/>
        <v>612.20000000000005</v>
      </c>
      <c r="E30" s="5">
        <f t="shared" ca="1" si="1"/>
        <v>13468.400000000001</v>
      </c>
    </row>
    <row r="31" spans="1:5" x14ac:dyDescent="0.25">
      <c r="A31">
        <v>131151</v>
      </c>
      <c r="B31" t="s">
        <v>19</v>
      </c>
      <c r="C31">
        <f>'[1]VENTAS CONSOLIDADA 1,0'!C31</f>
        <v>4154</v>
      </c>
      <c r="D31" s="5">
        <f t="shared" ca="1" si="0"/>
        <v>830.8</v>
      </c>
      <c r="E31" s="5">
        <f t="shared" ca="1" si="1"/>
        <v>18277.599999999999</v>
      </c>
    </row>
    <row r="32" spans="1:5" x14ac:dyDescent="0.25">
      <c r="A32">
        <v>131152</v>
      </c>
      <c r="B32" t="s">
        <v>32</v>
      </c>
      <c r="C32">
        <f>'[1]VENTAS CONSOLIDADA 1,0'!C32</f>
        <v>2150</v>
      </c>
      <c r="D32" s="5">
        <f t="shared" ca="1" si="0"/>
        <v>430</v>
      </c>
      <c r="E32" s="5">
        <f t="shared" ca="1" si="1"/>
        <v>9460</v>
      </c>
    </row>
    <row r="33" spans="1:5" x14ac:dyDescent="0.25">
      <c r="A33">
        <v>131153</v>
      </c>
      <c r="B33" t="s">
        <v>11</v>
      </c>
      <c r="C33">
        <f>'[1]VENTAS CONSOLIDADA 1,0'!C33</f>
        <v>1453</v>
      </c>
      <c r="D33" s="5">
        <f t="shared" ca="1" si="0"/>
        <v>290.60000000000002</v>
      </c>
      <c r="E33" s="5">
        <f t="shared" ca="1" si="1"/>
        <v>6393.2000000000007</v>
      </c>
    </row>
    <row r="34" spans="1:5" x14ac:dyDescent="0.25">
      <c r="A34">
        <v>131154</v>
      </c>
      <c r="B34" t="s">
        <v>48</v>
      </c>
      <c r="C34">
        <f>'[1]VENTAS CONSOLIDADA 1,0'!C34</f>
        <v>1125</v>
      </c>
      <c r="D34" s="5">
        <f t="shared" ca="1" si="0"/>
        <v>225</v>
      </c>
      <c r="E34" s="5">
        <f t="shared" ca="1" si="1"/>
        <v>4950</v>
      </c>
    </row>
    <row r="35" spans="1:5" x14ac:dyDescent="0.25">
      <c r="A35">
        <v>131155</v>
      </c>
      <c r="B35" t="s">
        <v>57</v>
      </c>
      <c r="C35">
        <f>'[1]VENTAS CONSOLIDADA 1,0'!C35</f>
        <v>1402</v>
      </c>
      <c r="D35" s="5">
        <f t="shared" ca="1" si="0"/>
        <v>280.39999999999998</v>
      </c>
      <c r="E35" s="5">
        <f t="shared" ca="1" si="1"/>
        <v>6168.7999999999993</v>
      </c>
    </row>
    <row r="36" spans="1:5" x14ac:dyDescent="0.25">
      <c r="A36">
        <v>131700</v>
      </c>
      <c r="B36" t="s">
        <v>20</v>
      </c>
      <c r="C36">
        <f>'[1]VENTAS CONSOLIDADA 1,0'!C36</f>
        <v>520</v>
      </c>
      <c r="D36" s="5">
        <f t="shared" ca="1" si="0"/>
        <v>104</v>
      </c>
      <c r="E36" s="5">
        <f t="shared" ca="1" si="1"/>
        <v>2288</v>
      </c>
    </row>
    <row r="37" spans="1:5" x14ac:dyDescent="0.25">
      <c r="A37">
        <v>131701</v>
      </c>
      <c r="B37" t="s">
        <v>24</v>
      </c>
      <c r="C37">
        <f>'[1]VENTAS CONSOLIDADA 1,0'!C37</f>
        <v>496</v>
      </c>
      <c r="D37" s="5">
        <f t="shared" ca="1" si="0"/>
        <v>99.2</v>
      </c>
      <c r="E37" s="5">
        <f t="shared" ca="1" si="1"/>
        <v>2182.4</v>
      </c>
    </row>
    <row r="38" spans="1:5" x14ac:dyDescent="0.25">
      <c r="A38">
        <v>132150</v>
      </c>
      <c r="B38" t="s">
        <v>25</v>
      </c>
      <c r="C38">
        <f>'[1]VENTAS CONSOLIDADA 1,0'!C38</f>
        <v>3030</v>
      </c>
      <c r="D38" s="5">
        <f t="shared" ca="1" si="0"/>
        <v>606</v>
      </c>
      <c r="E38" s="5">
        <f t="shared" ca="1" si="1"/>
        <v>13332</v>
      </c>
    </row>
    <row r="39" spans="1:5" x14ac:dyDescent="0.25">
      <c r="A39">
        <v>132151</v>
      </c>
      <c r="B39" t="s">
        <v>26</v>
      </c>
      <c r="C39">
        <f>'[1]VENTAS CONSOLIDADA 1,0'!C39</f>
        <v>2378</v>
      </c>
      <c r="D39" s="5">
        <f t="shared" ca="1" si="0"/>
        <v>475.6</v>
      </c>
      <c r="E39" s="5">
        <f t="shared" ca="1" si="1"/>
        <v>10463.200000000001</v>
      </c>
    </row>
    <row r="40" spans="1:5" x14ac:dyDescent="0.25">
      <c r="A40">
        <v>132152</v>
      </c>
      <c r="B40" t="s">
        <v>27</v>
      </c>
      <c r="C40">
        <f>'[1]VENTAS CONSOLIDADA 1,0'!C40</f>
        <v>3176</v>
      </c>
      <c r="D40" s="5">
        <f t="shared" ca="1" si="0"/>
        <v>635.20000000000005</v>
      </c>
      <c r="E40" s="5">
        <f t="shared" ca="1" si="1"/>
        <v>13974.400000000001</v>
      </c>
    </row>
    <row r="41" spans="1:5" x14ac:dyDescent="0.25">
      <c r="A41">
        <v>132153</v>
      </c>
      <c r="B41" t="s">
        <v>40</v>
      </c>
      <c r="C41">
        <f>'[1]VENTAS CONSOLIDADA 1,0'!C41</f>
        <v>1794</v>
      </c>
      <c r="D41" s="5">
        <f t="shared" ca="1" si="0"/>
        <v>358.8</v>
      </c>
      <c r="E41" s="5">
        <f t="shared" ca="1" si="1"/>
        <v>7893.6</v>
      </c>
    </row>
    <row r="42" spans="1:5" x14ac:dyDescent="0.25">
      <c r="A42">
        <v>134000</v>
      </c>
      <c r="B42" t="s">
        <v>35</v>
      </c>
      <c r="C42">
        <f>'[1]VENTAS CONSOLIDADA 1,0'!C42</f>
        <v>20</v>
      </c>
      <c r="D42" s="5">
        <f t="shared" ca="1" si="0"/>
        <v>4</v>
      </c>
      <c r="E42" s="5">
        <f t="shared" ca="1" si="1"/>
        <v>88</v>
      </c>
    </row>
    <row r="43" spans="1:5" x14ac:dyDescent="0.25">
      <c r="A43">
        <v>134001</v>
      </c>
      <c r="B43" t="s">
        <v>47</v>
      </c>
      <c r="C43">
        <f>'[1]VENTAS CONSOLIDADA 1,0'!C43</f>
        <v>6</v>
      </c>
      <c r="D43" s="5">
        <f t="shared" ca="1" si="0"/>
        <v>1.2</v>
      </c>
      <c r="E43" s="5">
        <f t="shared" ca="1" si="1"/>
        <v>26.4</v>
      </c>
    </row>
    <row r="44" spans="1:5" x14ac:dyDescent="0.25">
      <c r="A44">
        <v>140230</v>
      </c>
      <c r="B44" t="s">
        <v>18</v>
      </c>
      <c r="C44">
        <f>'[1]VENTAS CONSOLIDADA 1,0'!C44</f>
        <v>483</v>
      </c>
      <c r="D44" s="5">
        <f t="shared" ca="1" si="0"/>
        <v>96.6</v>
      </c>
      <c r="E44" s="5">
        <f t="shared" ca="1" si="1"/>
        <v>2125.1999999999998</v>
      </c>
    </row>
    <row r="45" spans="1:5" x14ac:dyDescent="0.25">
      <c r="A45">
        <v>140231</v>
      </c>
      <c r="B45" t="s">
        <v>10</v>
      </c>
      <c r="C45">
        <f>'[1]VENTAS CONSOLIDADA 1,0'!C45</f>
        <v>2040</v>
      </c>
      <c r="D45" s="5">
        <f t="shared" ca="1" si="0"/>
        <v>408</v>
      </c>
      <c r="E45" s="5">
        <f t="shared" ca="1" si="1"/>
        <v>8976</v>
      </c>
    </row>
    <row r="46" spans="1:5" x14ac:dyDescent="0.25">
      <c r="A46">
        <v>140232</v>
      </c>
      <c r="B46" t="s">
        <v>9</v>
      </c>
      <c r="C46">
        <f>'[1]VENTAS CONSOLIDADA 1,0'!C46</f>
        <v>1964</v>
      </c>
      <c r="D46" s="5">
        <f t="shared" ca="1" si="0"/>
        <v>392.8</v>
      </c>
      <c r="E46" s="5">
        <f t="shared" ca="1" si="1"/>
        <v>8641.6</v>
      </c>
    </row>
    <row r="47" spans="1:5" x14ac:dyDescent="0.25">
      <c r="A47">
        <v>150360</v>
      </c>
      <c r="B47" t="s">
        <v>28</v>
      </c>
      <c r="C47">
        <f>'[1]VENTAS CONSOLIDADA 1,0'!C47</f>
        <v>703</v>
      </c>
      <c r="D47" s="5">
        <f t="shared" ca="1" si="0"/>
        <v>140.6</v>
      </c>
      <c r="E47" s="5">
        <f t="shared" ca="1" si="1"/>
        <v>3093.2</v>
      </c>
    </row>
    <row r="48" spans="1:5" x14ac:dyDescent="0.25">
      <c r="A48">
        <v>150361</v>
      </c>
      <c r="B48" t="s">
        <v>29</v>
      </c>
      <c r="C48">
        <f>'[1]VENTAS CONSOLIDADA 1,0'!C48</f>
        <v>1248</v>
      </c>
      <c r="D48" s="5">
        <f t="shared" ca="1" si="0"/>
        <v>249.6</v>
      </c>
      <c r="E48" s="5">
        <f t="shared" ca="1" si="1"/>
        <v>5491.2</v>
      </c>
    </row>
    <row r="49" spans="1:5" x14ac:dyDescent="0.25">
      <c r="A49">
        <v>150362</v>
      </c>
      <c r="B49" t="s">
        <v>36</v>
      </c>
      <c r="C49">
        <f>'[1]VENTAS CONSOLIDADA 1,0'!C49</f>
        <v>963</v>
      </c>
      <c r="D49" s="5">
        <f t="shared" ca="1" si="0"/>
        <v>192.6</v>
      </c>
      <c r="E49" s="5">
        <f t="shared" ca="1" si="1"/>
        <v>4237.2</v>
      </c>
    </row>
    <row r="50" spans="1:5" x14ac:dyDescent="0.25">
      <c r="A50">
        <v>150363</v>
      </c>
      <c r="B50" t="s">
        <v>31</v>
      </c>
      <c r="C50">
        <f>'[1]VENTAS CONSOLIDADA 1,0'!C50</f>
        <v>1051</v>
      </c>
      <c r="D50" s="5">
        <f t="shared" ca="1" si="0"/>
        <v>210.2</v>
      </c>
      <c r="E50" s="5">
        <f t="shared" ca="1" si="1"/>
        <v>4624.3999999999996</v>
      </c>
    </row>
    <row r="51" spans="1:5" x14ac:dyDescent="0.25">
      <c r="A51">
        <v>151500</v>
      </c>
      <c r="B51" t="s">
        <v>41</v>
      </c>
      <c r="C51">
        <f>'[1]VENTAS CONSOLIDADA 1,0'!C51</f>
        <v>144</v>
      </c>
      <c r="D51" s="5">
        <f t="shared" ca="1" si="0"/>
        <v>28.8</v>
      </c>
      <c r="E51" s="5">
        <f t="shared" ca="1" si="1"/>
        <v>633.6</v>
      </c>
    </row>
    <row r="52" spans="1:5" x14ac:dyDescent="0.25">
      <c r="A52">
        <v>151501</v>
      </c>
      <c r="B52" t="s">
        <v>33</v>
      </c>
      <c r="C52">
        <f>'[1]VENTAS CONSOLIDADA 1,0'!C52</f>
        <v>346</v>
      </c>
      <c r="D52" s="5">
        <f t="shared" ca="1" si="0"/>
        <v>69.2</v>
      </c>
      <c r="E52" s="5">
        <f t="shared" ca="1" si="1"/>
        <v>1522.4</v>
      </c>
    </row>
    <row r="53" spans="1:5" x14ac:dyDescent="0.25">
      <c r="A53">
        <v>151502</v>
      </c>
      <c r="B53" t="s">
        <v>37</v>
      </c>
      <c r="C53">
        <f>'[1]VENTAS CONSOLIDADA 1,0'!C53</f>
        <v>113</v>
      </c>
      <c r="D53" s="5">
        <f t="shared" ca="1" si="0"/>
        <v>22.6</v>
      </c>
      <c r="E53" s="5">
        <f t="shared" ca="1" si="1"/>
        <v>497.20000000000005</v>
      </c>
    </row>
    <row r="54" spans="1:5" x14ac:dyDescent="0.25">
      <c r="A54">
        <v>151503</v>
      </c>
      <c r="B54" t="s">
        <v>34</v>
      </c>
      <c r="C54">
        <f>'[1]VENTAS CONSOLIDADA 1,0'!C54</f>
        <v>149</v>
      </c>
      <c r="D54" s="5">
        <f t="shared" ca="1" si="0"/>
        <v>29.8</v>
      </c>
      <c r="E54" s="5">
        <f t="shared" ca="1" si="1"/>
        <v>655.6</v>
      </c>
    </row>
    <row r="55" spans="1:5" x14ac:dyDescent="0.25">
      <c r="C55">
        <f>SUM(C8:C54)</f>
        <v>119681</v>
      </c>
      <c r="D55" s="5">
        <f ca="1">SUM(D8:D54)</f>
        <v>23936.199999999993</v>
      </c>
      <c r="E55" s="5">
        <f ca="1">SUM(E8:E54)</f>
        <v>526596.4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7845B0CC-F2DA-4435-B3A8-0B67EEA59E3E}">
  <ds:schemaRefs/>
</ds:datastoreItem>
</file>

<file path=customXml/itemProps2.xml><?xml version="1.0" encoding="utf-8"?>
<ds:datastoreItem xmlns:ds="http://schemas.openxmlformats.org/officeDocument/2006/customXml" ds:itemID="{CAB6C292-B853-467D-B711-6EBB7D36CC58}">
  <ds:schemaRefs/>
</ds:datastoreItem>
</file>

<file path=customXml/itemProps3.xml><?xml version="1.0" encoding="utf-8"?>
<ds:datastoreItem xmlns:ds="http://schemas.openxmlformats.org/officeDocument/2006/customXml" ds:itemID="{52FA8FE5-D878-4A8D-B664-9568032292DD}">
  <ds:schemaRefs/>
</ds:datastoreItem>
</file>

<file path=customXml/itemProps4.xml><?xml version="1.0" encoding="utf-8"?>
<ds:datastoreItem xmlns:ds="http://schemas.openxmlformats.org/officeDocument/2006/customXml" ds:itemID="{B0CC2B14-7DD7-4033-8A48-822C26B12A45}">
  <ds:schemaRefs/>
</ds:datastoreItem>
</file>

<file path=customXml/itemProps5.xml><?xml version="1.0" encoding="utf-8"?>
<ds:datastoreItem xmlns:ds="http://schemas.openxmlformats.org/officeDocument/2006/customXml" ds:itemID="{CFB06E3D-1317-4F60-85DB-890000D02217}">
  <ds:schemaRefs/>
</ds:datastoreItem>
</file>

<file path=customXml/itemProps6.xml><?xml version="1.0" encoding="utf-8"?>
<ds:datastoreItem xmlns:ds="http://schemas.openxmlformats.org/officeDocument/2006/customXml" ds:itemID="{38DB5A37-2218-4EAC-B67D-146D68E76E36}">
  <ds:schemaRefs/>
</ds:datastoreItem>
</file>

<file path=customXml/itemProps7.xml><?xml version="1.0" encoding="utf-8"?>
<ds:datastoreItem xmlns:ds="http://schemas.openxmlformats.org/officeDocument/2006/customXml" ds:itemID="{DB2ACCEB-6CC9-4D35-BDF4-AC9EF8C2F118}">
  <ds:schemaRefs/>
</ds:datastoreItem>
</file>

<file path=customXml/itemProps8.xml><?xml version="1.0" encoding="utf-8"?>
<ds:datastoreItem xmlns:ds="http://schemas.openxmlformats.org/officeDocument/2006/customXml" ds:itemID="{65BE5737-5D13-4B92-9A1E-66AAD091BECC}">
  <ds:schemaRefs/>
</ds:datastoreItem>
</file>

<file path=customXml/itemProps9.xml><?xml version="1.0" encoding="utf-8"?>
<ds:datastoreItem xmlns:ds="http://schemas.openxmlformats.org/officeDocument/2006/customXml" ds:itemID="{AF2AF42B-D484-4F26-B929-D7FB2E56F71D}">
  <ds:schemaRefs/>
</ds:datastoreItem>
</file>

<file path=customXml/itemProps10.xml><?xml version="1.0" encoding="utf-8"?>
<ds:datastoreItem xmlns:ds="http://schemas.openxmlformats.org/officeDocument/2006/customXml" ds:itemID="{7AE93A93-CA27-4BDA-AA62-2C35967BA493}">
  <ds:schemaRefs/>
</ds:datastoreItem>
</file>

<file path=customXml/itemProps11.xml><?xml version="1.0" encoding="utf-8"?>
<ds:datastoreItem xmlns:ds="http://schemas.openxmlformats.org/officeDocument/2006/customXml" ds:itemID="{0AD6CB95-564A-49A8-92C3-BDDCD21D69FF}">
  <ds:schemaRefs/>
</ds:datastoreItem>
</file>

<file path=customXml/itemProps12.xml><?xml version="1.0" encoding="utf-8"?>
<ds:datastoreItem xmlns:ds="http://schemas.openxmlformats.org/officeDocument/2006/customXml" ds:itemID="{2FB7461A-5A6D-4ED3-B35C-48147355CFC0}">
  <ds:schemaRefs/>
</ds:datastoreItem>
</file>

<file path=customXml/itemProps13.xml><?xml version="1.0" encoding="utf-8"?>
<ds:datastoreItem xmlns:ds="http://schemas.openxmlformats.org/officeDocument/2006/customXml" ds:itemID="{8E0207D3-36B0-4047-99FA-B78F3EBADFAC}">
  <ds:schemaRefs/>
</ds:datastoreItem>
</file>

<file path=customXml/itemProps14.xml><?xml version="1.0" encoding="utf-8"?>
<ds:datastoreItem xmlns:ds="http://schemas.openxmlformats.org/officeDocument/2006/customXml" ds:itemID="{CC2043D8-989E-412C-8862-ACDB973E448B}">
  <ds:schemaRefs/>
</ds:datastoreItem>
</file>

<file path=customXml/itemProps15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084C0BCB-4732-44D2-A228-50E994334BF1}">
  <ds:schemaRefs/>
</ds:datastoreItem>
</file>

<file path=customXml/itemProps17.xml><?xml version="1.0" encoding="utf-8"?>
<ds:datastoreItem xmlns:ds="http://schemas.openxmlformats.org/officeDocument/2006/customXml" ds:itemID="{4DF253BA-E348-4CD2-AA4E-97FB2A32A7F0}">
  <ds:schemaRefs/>
</ds:datastoreItem>
</file>

<file path=customXml/itemProps18.xml><?xml version="1.0" encoding="utf-8"?>
<ds:datastoreItem xmlns:ds="http://schemas.openxmlformats.org/officeDocument/2006/customXml" ds:itemID="{DEFC51E7-3E67-4621-B139-07F56E3C51B6}">
  <ds:schemaRefs/>
</ds:datastoreItem>
</file>

<file path=customXml/itemProps19.xml><?xml version="1.0" encoding="utf-8"?>
<ds:datastoreItem xmlns:ds="http://schemas.openxmlformats.org/officeDocument/2006/customXml" ds:itemID="{1624F75C-FD6B-41DE-81B8-76266AB6E660}">
  <ds:schemaRefs/>
</ds:datastoreItem>
</file>

<file path=customXml/itemProps20.xml><?xml version="1.0" encoding="utf-8"?>
<ds:datastoreItem xmlns:ds="http://schemas.openxmlformats.org/officeDocument/2006/customXml" ds:itemID="{F5D7323A-644E-4D3D-8486-43C2FFAD814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2026-09-08T12:01:10Z</dcterms:modified>
</cp:coreProperties>
</file>