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4F8D8141-E7CE-40D9-9CA2-24AF61F342AE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7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3"/>
  <c r="D2" i="50"/>
  <c r="D2" i="54"/>
  <c r="D2" i="52"/>
  <c r="D2" i="51"/>
  <c r="C55" i="55" l="1"/>
  <c r="D2" i="55"/>
  <c r="E3" i="55"/>
  <c r="E3" i="50"/>
  <c r="E2" i="50"/>
  <c r="D46" i="50" s="1"/>
  <c r="E3" i="51"/>
  <c r="E2" i="51"/>
  <c r="E3" i="52"/>
  <c r="E2" i="52"/>
  <c r="E2" i="54"/>
  <c r="E3" i="54"/>
  <c r="E3" i="53"/>
  <c r="E2" i="55" l="1"/>
  <c r="E2" i="53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<sst xmlns="http://schemas.openxmlformats.org/spreadsheetml/2006/main" count="320" uniqueCount="62">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</sst>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46288</v>
          </cell>
          <cell r="E2">
            <v>16</v>
          </cell>
        </row>
        <row r="3">
          <cell r="C3" t="str">
            <v>FINAL VENTAS</v>
          </cell>
          <cell r="D3">
            <v>46295</v>
          </cell>
          <cell r="E3">
            <v>6</v>
          </cell>
        </row>
        <row r="8">
          <cell r="C8">
            <v>751</v>
          </cell>
        </row>
        <row r="9">
          <cell r="C9">
            <v>75</v>
          </cell>
        </row>
        <row r="10">
          <cell r="C10">
            <v>180</v>
          </cell>
        </row>
        <row r="11">
          <cell r="C11">
            <v>34</v>
          </cell>
        </row>
        <row r="12">
          <cell r="C12">
            <v>8</v>
          </cell>
        </row>
        <row r="13">
          <cell r="C13">
            <v>936</v>
          </cell>
        </row>
        <row r="14">
          <cell r="C14">
            <v>79</v>
          </cell>
        </row>
        <row r="15">
          <cell r="C15">
            <v>156</v>
          </cell>
        </row>
        <row r="16">
          <cell r="C16">
            <v>437</v>
          </cell>
        </row>
        <row r="17">
          <cell r="C17">
            <v>92</v>
          </cell>
        </row>
        <row r="18">
          <cell r="C18">
            <v>2396</v>
          </cell>
        </row>
        <row r="19">
          <cell r="C19">
            <v>1385</v>
          </cell>
        </row>
        <row r="20">
          <cell r="C20">
            <v>1700</v>
          </cell>
        </row>
        <row r="21">
          <cell r="C21">
            <v>1319</v>
          </cell>
        </row>
        <row r="22">
          <cell r="C22">
            <v>465</v>
          </cell>
        </row>
        <row r="23">
          <cell r="C23">
            <v>626</v>
          </cell>
        </row>
        <row r="24">
          <cell r="C24">
            <v>644</v>
          </cell>
        </row>
        <row r="25">
          <cell r="C25">
            <v>101</v>
          </cell>
        </row>
        <row r="26">
          <cell r="C26">
            <v>10</v>
          </cell>
        </row>
        <row r="27">
          <cell r="C27">
            <v>227</v>
          </cell>
        </row>
        <row r="28">
          <cell r="C28">
            <v>317</v>
          </cell>
        </row>
        <row r="29">
          <cell r="C29">
            <v>32</v>
          </cell>
        </row>
        <row r="30">
          <cell r="C30">
            <v>583</v>
          </cell>
        </row>
        <row r="31">
          <cell r="C31">
            <v>1486</v>
          </cell>
        </row>
        <row r="32">
          <cell r="C32">
            <v>923</v>
          </cell>
        </row>
        <row r="33">
          <cell r="C33">
            <v>610</v>
          </cell>
        </row>
        <row r="34">
          <cell r="C34">
            <v>491</v>
          </cell>
        </row>
        <row r="35">
          <cell r="C35">
            <v>611</v>
          </cell>
        </row>
        <row r="36">
          <cell r="C36">
            <v>80</v>
          </cell>
        </row>
        <row r="37">
          <cell r="C37">
            <v>106</v>
          </cell>
        </row>
        <row r="38">
          <cell r="C38">
            <v>735</v>
          </cell>
        </row>
        <row r="39">
          <cell r="C39">
            <v>432</v>
          </cell>
        </row>
        <row r="40">
          <cell r="C40">
            <v>667</v>
          </cell>
        </row>
        <row r="41">
          <cell r="C41">
            <v>371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116</v>
          </cell>
        </row>
        <row r="45">
          <cell r="C45">
            <v>686</v>
          </cell>
        </row>
        <row r="46">
          <cell r="C46">
            <v>219</v>
          </cell>
        </row>
        <row r="47">
          <cell r="C47">
            <v>117</v>
          </cell>
        </row>
        <row r="48">
          <cell r="C48">
            <v>471</v>
          </cell>
        </row>
        <row r="49">
          <cell r="C49">
            <v>197</v>
          </cell>
        </row>
        <row r="50">
          <cell r="C50">
            <v>285</v>
          </cell>
        </row>
        <row r="51">
          <cell r="C51">
            <v>42</v>
          </cell>
        </row>
        <row r="52">
          <cell r="C52">
            <v>81</v>
          </cell>
        </row>
        <row r="53">
          <cell r="C53">
            <v>14</v>
          </cell>
        </row>
        <row r="54">
          <cell r="C54">
            <v>29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46288</v>
          </cell>
          <cell r="E2">
            <v>16</v>
          </cell>
        </row>
        <row r="3">
          <cell r="C3" t="str">
            <v>FINAL VENTAS</v>
          </cell>
          <cell r="D3">
            <v>46295</v>
          </cell>
          <cell r="E3">
            <v>6</v>
          </cell>
        </row>
        <row r="8">
          <cell r="C8">
            <v>735</v>
          </cell>
        </row>
        <row r="9">
          <cell r="C9">
            <v>27</v>
          </cell>
        </row>
        <row r="10">
          <cell r="C10">
            <v>226</v>
          </cell>
        </row>
        <row r="11">
          <cell r="C11">
            <v>14</v>
          </cell>
        </row>
        <row r="12">
          <cell r="C12">
            <v>0</v>
          </cell>
        </row>
        <row r="13">
          <cell r="C13">
            <v>2401</v>
          </cell>
        </row>
        <row r="14">
          <cell r="C14">
            <v>194</v>
          </cell>
        </row>
        <row r="15">
          <cell r="C15">
            <v>333</v>
          </cell>
        </row>
        <row r="16">
          <cell r="C16">
            <v>1225</v>
          </cell>
        </row>
        <row r="17">
          <cell r="C17">
            <v>374</v>
          </cell>
        </row>
        <row r="18">
          <cell r="C18">
            <v>8609</v>
          </cell>
        </row>
        <row r="19">
          <cell r="C19">
            <v>4576</v>
          </cell>
        </row>
        <row r="20">
          <cell r="C20">
            <v>4673</v>
          </cell>
        </row>
        <row r="21">
          <cell r="C21">
            <v>5731</v>
          </cell>
        </row>
        <row r="22">
          <cell r="C22">
            <v>1866</v>
          </cell>
        </row>
        <row r="23">
          <cell r="C23">
            <v>2187</v>
          </cell>
        </row>
        <row r="24">
          <cell r="C24">
            <v>2322</v>
          </cell>
        </row>
        <row r="25">
          <cell r="C25">
            <v>475</v>
          </cell>
        </row>
        <row r="26">
          <cell r="C26">
            <v>137</v>
          </cell>
        </row>
        <row r="27">
          <cell r="C27">
            <v>1286</v>
          </cell>
        </row>
        <row r="28">
          <cell r="C28">
            <v>1682</v>
          </cell>
        </row>
        <row r="29">
          <cell r="C29">
            <v>110</v>
          </cell>
        </row>
        <row r="30">
          <cell r="C30">
            <v>676</v>
          </cell>
        </row>
        <row r="31">
          <cell r="C31">
            <v>1638</v>
          </cell>
        </row>
        <row r="32">
          <cell r="C32">
            <v>883</v>
          </cell>
        </row>
        <row r="33">
          <cell r="C33">
            <v>548</v>
          </cell>
        </row>
        <row r="34">
          <cell r="C34">
            <v>803</v>
          </cell>
        </row>
        <row r="35">
          <cell r="C35">
            <v>962</v>
          </cell>
        </row>
        <row r="36">
          <cell r="C36">
            <v>166</v>
          </cell>
        </row>
        <row r="37">
          <cell r="C37">
            <v>264</v>
          </cell>
        </row>
        <row r="38">
          <cell r="C38">
            <v>1861</v>
          </cell>
        </row>
        <row r="39">
          <cell r="C39">
            <v>1023</v>
          </cell>
        </row>
        <row r="40">
          <cell r="C40">
            <v>1497</v>
          </cell>
        </row>
        <row r="41">
          <cell r="C41">
            <v>647</v>
          </cell>
        </row>
        <row r="42">
          <cell r="C42">
            <v>18</v>
          </cell>
        </row>
        <row r="43">
          <cell r="C43">
            <v>0</v>
          </cell>
        </row>
        <row r="44">
          <cell r="C44">
            <v>203</v>
          </cell>
        </row>
        <row r="45">
          <cell r="C45">
            <v>453</v>
          </cell>
        </row>
        <row r="46">
          <cell r="C46">
            <v>521</v>
          </cell>
        </row>
        <row r="47">
          <cell r="C47">
            <v>321</v>
          </cell>
        </row>
        <row r="48">
          <cell r="C48">
            <v>823</v>
          </cell>
        </row>
        <row r="49">
          <cell r="C49">
            <v>403</v>
          </cell>
        </row>
        <row r="50">
          <cell r="C50">
            <v>445</v>
          </cell>
        </row>
        <row r="51">
          <cell r="C51">
            <v>117</v>
          </cell>
        </row>
        <row r="52">
          <cell r="C52">
            <v>332</v>
          </cell>
        </row>
        <row r="53">
          <cell r="C53">
            <v>93</v>
          </cell>
        </row>
        <row r="54">
          <cell r="C54">
            <v>102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46288</v>
          </cell>
          <cell r="E2">
            <v>16</v>
          </cell>
        </row>
        <row r="3">
          <cell r="C3" t="str">
            <v>FINAL VENTAS</v>
          </cell>
          <cell r="D3">
            <v>46295</v>
          </cell>
          <cell r="E3">
            <v>6</v>
          </cell>
        </row>
        <row r="8">
          <cell r="C8">
            <v>12811</v>
          </cell>
        </row>
        <row r="9">
          <cell r="C9">
            <v>466</v>
          </cell>
        </row>
        <row r="10">
          <cell r="C10">
            <v>5478</v>
          </cell>
        </row>
        <row r="11">
          <cell r="C11">
            <v>1164</v>
          </cell>
        </row>
        <row r="12">
          <cell r="C12">
            <v>153</v>
          </cell>
        </row>
        <row r="13">
          <cell r="C13">
            <v>13673</v>
          </cell>
        </row>
        <row r="14">
          <cell r="C14">
            <v>988</v>
          </cell>
        </row>
        <row r="15">
          <cell r="C15">
            <v>2098</v>
          </cell>
        </row>
        <row r="16">
          <cell r="C16">
            <v>4874</v>
          </cell>
        </row>
        <row r="17">
          <cell r="C17">
            <v>2831</v>
          </cell>
        </row>
        <row r="18">
          <cell r="C18">
            <v>26283</v>
          </cell>
        </row>
        <row r="19">
          <cell r="C19">
            <v>17554</v>
          </cell>
        </row>
        <row r="20">
          <cell r="C20">
            <v>17224</v>
          </cell>
        </row>
        <row r="21">
          <cell r="C21">
            <v>22147</v>
          </cell>
        </row>
        <row r="22">
          <cell r="C22">
            <v>5612</v>
          </cell>
        </row>
        <row r="23">
          <cell r="C23">
            <v>5502</v>
          </cell>
        </row>
        <row r="24">
          <cell r="C24">
            <v>5998</v>
          </cell>
        </row>
        <row r="25">
          <cell r="C25">
            <v>1592</v>
          </cell>
        </row>
        <row r="26">
          <cell r="C26">
            <v>752</v>
          </cell>
        </row>
        <row r="27">
          <cell r="C27">
            <v>3540</v>
          </cell>
        </row>
        <row r="28">
          <cell r="C28">
            <v>6921</v>
          </cell>
        </row>
        <row r="29">
          <cell r="C29">
            <v>890</v>
          </cell>
        </row>
        <row r="30">
          <cell r="C30">
            <v>6802</v>
          </cell>
        </row>
        <row r="31">
          <cell r="C31">
            <v>10010</v>
          </cell>
        </row>
        <row r="32">
          <cell r="C32">
            <v>4583</v>
          </cell>
        </row>
        <row r="33">
          <cell r="C33">
            <v>3026</v>
          </cell>
        </row>
        <row r="34">
          <cell r="C34">
            <v>1457</v>
          </cell>
        </row>
        <row r="35">
          <cell r="C35">
            <v>1855</v>
          </cell>
        </row>
        <row r="36">
          <cell r="C36">
            <v>1103</v>
          </cell>
        </row>
        <row r="37">
          <cell r="C37">
            <v>1077</v>
          </cell>
        </row>
        <row r="38">
          <cell r="C38">
            <v>5091</v>
          </cell>
        </row>
        <row r="39">
          <cell r="C39">
            <v>4496</v>
          </cell>
        </row>
        <row r="40">
          <cell r="C40">
            <v>5951</v>
          </cell>
        </row>
        <row r="41">
          <cell r="C41">
            <v>4334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864</v>
          </cell>
        </row>
        <row r="45">
          <cell r="C45">
            <v>4518</v>
          </cell>
        </row>
        <row r="46">
          <cell r="C46">
            <v>3027</v>
          </cell>
        </row>
        <row r="47">
          <cell r="C47">
            <v>2287</v>
          </cell>
        </row>
        <row r="48">
          <cell r="C48">
            <v>4301</v>
          </cell>
        </row>
        <row r="49">
          <cell r="C49">
            <v>2773</v>
          </cell>
        </row>
        <row r="50">
          <cell r="C50">
            <v>2493</v>
          </cell>
        </row>
        <row r="51">
          <cell r="C51">
            <v>546</v>
          </cell>
        </row>
        <row r="52">
          <cell r="C52">
            <v>1081</v>
          </cell>
        </row>
        <row r="53">
          <cell r="C53">
            <v>404</v>
          </cell>
        </row>
        <row r="54">
          <cell r="C54">
            <v>544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46288</v>
          </cell>
          <cell r="E2">
            <v>16</v>
          </cell>
        </row>
        <row r="3">
          <cell r="C3" t="str">
            <v>FINAL VENTAS</v>
          </cell>
          <cell r="D3">
            <v>46295</v>
          </cell>
          <cell r="E3">
            <v>6</v>
          </cell>
        </row>
        <row r="8">
          <cell r="C8">
            <v>4262</v>
          </cell>
        </row>
        <row r="9">
          <cell r="C9">
            <v>249</v>
          </cell>
        </row>
        <row r="10">
          <cell r="C10">
            <v>1772</v>
          </cell>
        </row>
        <row r="11">
          <cell r="C11">
            <v>438</v>
          </cell>
        </row>
        <row r="12">
          <cell r="C12">
            <v>35</v>
          </cell>
        </row>
        <row r="13">
          <cell r="C13">
            <v>5323</v>
          </cell>
        </row>
        <row r="14">
          <cell r="C14">
            <v>908</v>
          </cell>
        </row>
        <row r="15">
          <cell r="C15">
            <v>2063</v>
          </cell>
        </row>
        <row r="16">
          <cell r="C16">
            <v>5268</v>
          </cell>
        </row>
        <row r="17">
          <cell r="C17">
            <v>2391</v>
          </cell>
        </row>
        <row r="18">
          <cell r="C18">
            <v>15147</v>
          </cell>
        </row>
        <row r="19">
          <cell r="C19">
            <v>9248</v>
          </cell>
        </row>
        <row r="20">
          <cell r="C20">
            <v>9938</v>
          </cell>
        </row>
        <row r="21">
          <cell r="C21">
            <v>11542</v>
          </cell>
        </row>
        <row r="22">
          <cell r="C22">
            <v>3176</v>
          </cell>
        </row>
        <row r="23">
          <cell r="C23">
            <v>4368</v>
          </cell>
        </row>
        <row r="24">
          <cell r="C24">
            <v>4431</v>
          </cell>
        </row>
        <row r="25">
          <cell r="C25">
            <v>1985</v>
          </cell>
        </row>
        <row r="26">
          <cell r="C26">
            <v>1091</v>
          </cell>
        </row>
        <row r="27">
          <cell r="C27">
            <v>2898</v>
          </cell>
        </row>
        <row r="28">
          <cell r="C28">
            <v>4270</v>
          </cell>
        </row>
        <row r="29">
          <cell r="C29">
            <v>0</v>
          </cell>
        </row>
        <row r="30">
          <cell r="C30">
            <v>2773</v>
          </cell>
        </row>
        <row r="31">
          <cell r="C31">
            <v>3842</v>
          </cell>
        </row>
        <row r="32">
          <cell r="C32">
            <v>2258</v>
          </cell>
        </row>
        <row r="33">
          <cell r="C33">
            <v>1805</v>
          </cell>
        </row>
        <row r="34">
          <cell r="C34">
            <v>963</v>
          </cell>
        </row>
        <row r="35">
          <cell r="C35">
            <v>1128</v>
          </cell>
        </row>
        <row r="36">
          <cell r="C36">
            <v>643</v>
          </cell>
        </row>
        <row r="37">
          <cell r="C37">
            <v>655</v>
          </cell>
        </row>
        <row r="38">
          <cell r="C38">
            <v>3801</v>
          </cell>
        </row>
        <row r="39">
          <cell r="C39">
            <v>3040</v>
          </cell>
        </row>
        <row r="40">
          <cell r="C40">
            <v>4051</v>
          </cell>
        </row>
        <row r="41">
          <cell r="C41">
            <v>2459</v>
          </cell>
        </row>
        <row r="42">
          <cell r="C42">
            <v>40</v>
          </cell>
        </row>
        <row r="43">
          <cell r="C43">
            <v>7</v>
          </cell>
        </row>
        <row r="44">
          <cell r="C44">
            <v>1040</v>
          </cell>
        </row>
        <row r="45">
          <cell r="C45">
            <v>3173</v>
          </cell>
        </row>
        <row r="46">
          <cell r="C46">
            <v>2657</v>
          </cell>
        </row>
        <row r="47">
          <cell r="C47">
            <v>584</v>
          </cell>
        </row>
        <row r="48">
          <cell r="C48">
            <v>1868</v>
          </cell>
        </row>
        <row r="49">
          <cell r="C49">
            <v>967</v>
          </cell>
        </row>
        <row r="50">
          <cell r="C50">
            <v>1233</v>
          </cell>
        </row>
        <row r="51">
          <cell r="C51">
            <v>230</v>
          </cell>
        </row>
        <row r="52">
          <cell r="C52">
            <v>492</v>
          </cell>
        </row>
        <row r="53">
          <cell r="C53">
            <v>160</v>
          </cell>
        </row>
        <row r="54">
          <cell r="C54">
            <v>190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46288</v>
          </cell>
          <cell r="E2">
            <v>16</v>
          </cell>
        </row>
        <row r="3">
          <cell r="C3" t="str">
            <v>FINAL VENTAS</v>
          </cell>
          <cell r="D3">
            <v>46295</v>
          </cell>
          <cell r="E3">
            <v>6</v>
          </cell>
        </row>
        <row r="8">
          <cell r="C8">
            <v>470</v>
          </cell>
        </row>
        <row r="9">
          <cell r="C9">
            <v>66</v>
          </cell>
        </row>
        <row r="10">
          <cell r="C10">
            <v>146</v>
          </cell>
        </row>
        <row r="11">
          <cell r="C11">
            <v>57</v>
          </cell>
        </row>
        <row r="12">
          <cell r="C12">
            <v>9</v>
          </cell>
        </row>
        <row r="13">
          <cell r="C13">
            <v>226</v>
          </cell>
        </row>
        <row r="14">
          <cell r="C14">
            <v>170</v>
          </cell>
        </row>
        <row r="15">
          <cell r="C15">
            <v>215</v>
          </cell>
        </row>
        <row r="16">
          <cell r="C16">
            <v>304</v>
          </cell>
        </row>
        <row r="17">
          <cell r="C17">
            <v>84</v>
          </cell>
        </row>
        <row r="18">
          <cell r="C18">
            <v>902</v>
          </cell>
        </row>
        <row r="19">
          <cell r="C19">
            <v>594</v>
          </cell>
        </row>
        <row r="20">
          <cell r="C20">
            <v>450</v>
          </cell>
        </row>
        <row r="21">
          <cell r="C21">
            <v>683</v>
          </cell>
        </row>
        <row r="22">
          <cell r="C22">
            <v>204</v>
          </cell>
        </row>
        <row r="23">
          <cell r="C23">
            <v>291</v>
          </cell>
        </row>
        <row r="24">
          <cell r="C24">
            <v>279</v>
          </cell>
        </row>
        <row r="25">
          <cell r="C25">
            <v>91</v>
          </cell>
        </row>
        <row r="26">
          <cell r="C26">
            <v>24</v>
          </cell>
        </row>
        <row r="27">
          <cell r="C27">
            <v>67</v>
          </cell>
        </row>
        <row r="28">
          <cell r="C28">
            <v>183</v>
          </cell>
        </row>
        <row r="29">
          <cell r="C29">
            <v>0</v>
          </cell>
        </row>
        <row r="30">
          <cell r="C30">
            <v>211</v>
          </cell>
        </row>
        <row r="31">
          <cell r="C31">
            <v>395</v>
          </cell>
        </row>
        <row r="32">
          <cell r="C32">
            <v>246</v>
          </cell>
        </row>
        <row r="33">
          <cell r="C33">
            <v>407</v>
          </cell>
        </row>
        <row r="34">
          <cell r="C34">
            <v>71</v>
          </cell>
        </row>
        <row r="35">
          <cell r="C35">
            <v>69</v>
          </cell>
        </row>
        <row r="36">
          <cell r="C36">
            <v>68</v>
          </cell>
        </row>
        <row r="37">
          <cell r="C37">
            <v>59</v>
          </cell>
        </row>
        <row r="38">
          <cell r="C38">
            <v>457</v>
          </cell>
        </row>
        <row r="39">
          <cell r="C39">
            <v>409</v>
          </cell>
        </row>
        <row r="40">
          <cell r="C40">
            <v>408</v>
          </cell>
        </row>
        <row r="41">
          <cell r="C41">
            <v>392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85</v>
          </cell>
        </row>
        <row r="45">
          <cell r="C45">
            <v>187</v>
          </cell>
        </row>
        <row r="46">
          <cell r="C46">
            <v>66</v>
          </cell>
        </row>
        <row r="47">
          <cell r="C47">
            <v>23</v>
          </cell>
        </row>
        <row r="48">
          <cell r="C48">
            <v>110</v>
          </cell>
        </row>
        <row r="49">
          <cell r="C49">
            <v>130</v>
          </cell>
        </row>
        <row r="50">
          <cell r="C50">
            <v>136</v>
          </cell>
        </row>
        <row r="51">
          <cell r="C51">
            <v>31</v>
          </cell>
        </row>
        <row r="52">
          <cell r="C52">
            <v>32</v>
          </cell>
        </row>
        <row r="53">
          <cell r="C53">
            <v>27</v>
          </cell>
        </row>
        <row r="54">
          <cell r="C54">
            <v>15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46288</v>
          </cell>
          <cell r="E2">
            <v>16</v>
          </cell>
        </row>
        <row r="3">
          <cell r="C3" t="str">
            <v>FINAL VENTAS</v>
          </cell>
          <cell r="D3">
            <v>46295</v>
          </cell>
          <cell r="E3">
            <v>6</v>
          </cell>
        </row>
        <row r="8">
          <cell r="C8">
            <v>19299</v>
          </cell>
        </row>
        <row r="9">
          <cell r="C9">
            <v>886</v>
          </cell>
        </row>
        <row r="10">
          <cell r="C10">
            <v>7890</v>
          </cell>
        </row>
        <row r="11">
          <cell r="C11">
            <v>1720</v>
          </cell>
        </row>
        <row r="12">
          <cell r="C12">
            <v>211</v>
          </cell>
        </row>
        <row r="13">
          <cell r="C13">
            <v>22733</v>
          </cell>
        </row>
        <row r="14">
          <cell r="C14">
            <v>2360</v>
          </cell>
        </row>
        <row r="15">
          <cell r="C15">
            <v>4908</v>
          </cell>
        </row>
        <row r="16">
          <cell r="C16">
            <v>12273</v>
          </cell>
        </row>
        <row r="17">
          <cell r="C17">
            <v>5896</v>
          </cell>
        </row>
        <row r="18">
          <cell r="C18">
            <v>53757</v>
          </cell>
        </row>
        <row r="19">
          <cell r="C19">
            <v>33632</v>
          </cell>
        </row>
        <row r="20">
          <cell r="C20">
            <v>34271</v>
          </cell>
        </row>
        <row r="21">
          <cell r="C21">
            <v>41780</v>
          </cell>
        </row>
        <row r="22">
          <cell r="C22">
            <v>11351</v>
          </cell>
        </row>
        <row r="23">
          <cell r="C23">
            <v>13015</v>
          </cell>
        </row>
        <row r="24">
          <cell r="C24">
            <v>13714</v>
          </cell>
        </row>
        <row r="25">
          <cell r="C25">
            <v>4348</v>
          </cell>
        </row>
        <row r="26">
          <cell r="C26">
            <v>2044</v>
          </cell>
        </row>
        <row r="27">
          <cell r="C27">
            <v>8083</v>
          </cell>
        </row>
        <row r="28">
          <cell r="C28">
            <v>13592</v>
          </cell>
        </row>
        <row r="29">
          <cell r="C29">
            <v>1032</v>
          </cell>
        </row>
        <row r="30">
          <cell r="C30">
            <v>11229</v>
          </cell>
        </row>
        <row r="31">
          <cell r="C31">
            <v>17504</v>
          </cell>
        </row>
        <row r="32">
          <cell r="C32">
            <v>9032</v>
          </cell>
        </row>
        <row r="33">
          <cell r="C33">
            <v>6754</v>
          </cell>
        </row>
        <row r="34">
          <cell r="C34">
            <v>3852</v>
          </cell>
        </row>
        <row r="35">
          <cell r="C35">
            <v>4653</v>
          </cell>
        </row>
        <row r="36">
          <cell r="C36">
            <v>2103</v>
          </cell>
        </row>
        <row r="37">
          <cell r="C37">
            <v>2199</v>
          </cell>
        </row>
        <row r="38">
          <cell r="C38">
            <v>12158</v>
          </cell>
        </row>
        <row r="39">
          <cell r="C39">
            <v>9573</v>
          </cell>
        </row>
        <row r="40">
          <cell r="C40">
            <v>12666</v>
          </cell>
        </row>
        <row r="41">
          <cell r="C41">
            <v>8317</v>
          </cell>
        </row>
        <row r="42">
          <cell r="C42">
            <v>58</v>
          </cell>
        </row>
        <row r="43">
          <cell r="C43">
            <v>7</v>
          </cell>
        </row>
        <row r="44">
          <cell r="C44">
            <v>2345</v>
          </cell>
        </row>
        <row r="45">
          <cell r="C45">
            <v>9088</v>
          </cell>
        </row>
        <row r="46">
          <cell r="C46">
            <v>6538</v>
          </cell>
        </row>
        <row r="47">
          <cell r="C47">
            <v>3409</v>
          </cell>
        </row>
        <row r="48">
          <cell r="C48">
            <v>7651</v>
          </cell>
        </row>
        <row r="49">
          <cell r="C49">
            <v>4500</v>
          </cell>
        </row>
        <row r="50">
          <cell r="C50">
            <v>4578</v>
          </cell>
        </row>
        <row r="51">
          <cell r="C51">
            <v>944</v>
          </cell>
        </row>
        <row r="52">
          <cell r="C52">
            <v>2062</v>
          </cell>
        </row>
        <row r="53">
          <cell r="C53">
            <v>702</v>
          </cell>
        </row>
        <row r="54">
          <cell r="C54">
            <v>884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'[1]VENTAS CONSOLIDADA ZULIA'!D2</f>
        <v>46288</v>
      </c>
      <c r="E2" s="4">
        <f ca="1">'[1]VENTAS CONSOLIDADA ZULIA'!E2</f>
        <v>16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 ca="1">'[1]VENTAS CONSOLIDADA ZULIA'!E3</f>
        <v>6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470</v>
      </c>
      <c r="D8" s="5">
        <f t="shared" ref="D8:D54" ca="1" si="0">C8/$E$2</f>
        <v>29.375</v>
      </c>
      <c r="E8" s="5">
        <f ca="1">D8*($E$2+$E$3)</f>
        <v>646.25</v>
      </c>
    </row>
    <row r="9" spans="1:5" x14ac:dyDescent="0.25">
      <c r="A9">
        <v>110151</v>
      </c>
      <c r="B9" t="s">
        <v>5</v>
      </c>
      <c r="C9">
        <f>'[1]VENTAS CONSOLIDADA ZULIA'!C9</f>
        <v>66</v>
      </c>
      <c r="D9" s="5">
        <f t="shared" ca="1" si="0"/>
        <v>4.125</v>
      </c>
      <c r="E9" s="5">
        <f t="shared" ref="E9:E54" ca="1" si="1">D9*($E$2+$E$3)</f>
        <v>90.75</v>
      </c>
    </row>
    <row r="10" spans="1:5" x14ac:dyDescent="0.25">
      <c r="A10">
        <v>110230</v>
      </c>
      <c r="B10" t="s">
        <v>1</v>
      </c>
      <c r="C10">
        <f>'[1]VENTAS CONSOLIDADA ZULIA'!C10</f>
        <v>146</v>
      </c>
      <c r="D10" s="5">
        <f t="shared" ca="1" si="0"/>
        <v>9.125</v>
      </c>
      <c r="E10" s="5">
        <f t="shared" ca="1" si="1"/>
        <v>200.75</v>
      </c>
    </row>
    <row r="11" spans="1:5" x14ac:dyDescent="0.25">
      <c r="A11">
        <v>110400</v>
      </c>
      <c r="B11" t="s">
        <v>13</v>
      </c>
      <c r="C11">
        <f>'[1]VENTAS CONSOLIDADA ZULIA'!C11</f>
        <v>57</v>
      </c>
      <c r="D11" s="5">
        <f t="shared" ca="1" si="0"/>
        <v>3.5625</v>
      </c>
      <c r="E11" s="5">
        <f t="shared" ca="1" si="1"/>
        <v>78.375</v>
      </c>
    </row>
    <row r="12" spans="1:5" x14ac:dyDescent="0.25">
      <c r="A12">
        <v>111000</v>
      </c>
      <c r="B12" t="s">
        <v>14</v>
      </c>
      <c r="C12">
        <f>'[1]VENTAS CONSOLIDADA ZULIA'!C12</f>
        <v>9</v>
      </c>
      <c r="D12" s="5">
        <f t="shared" ca="1" si="0"/>
        <v>0.5625</v>
      </c>
      <c r="E12" s="5">
        <f t="shared" ca="1" si="1"/>
        <v>12.375</v>
      </c>
    </row>
    <row r="13" spans="1:5" x14ac:dyDescent="0.25">
      <c r="A13">
        <v>120130</v>
      </c>
      <c r="B13" t="s">
        <v>15</v>
      </c>
      <c r="C13">
        <f>'[1]VENTAS CONSOLIDADA ZULIA'!C13</f>
        <v>226</v>
      </c>
      <c r="D13" s="5">
        <f t="shared" ca="1" si="0"/>
        <v>14.125</v>
      </c>
      <c r="E13" s="5">
        <f t="shared" ca="1" si="1"/>
        <v>310.75</v>
      </c>
    </row>
    <row r="14" spans="1:5" x14ac:dyDescent="0.25">
      <c r="A14">
        <v>120131</v>
      </c>
      <c r="B14" t="s">
        <v>23</v>
      </c>
      <c r="C14">
        <f>'[1]VENTAS CONSOLIDADA ZULIA'!C14</f>
        <v>170</v>
      </c>
      <c r="D14" s="5">
        <f t="shared" ca="1" si="0"/>
        <v>10.625</v>
      </c>
      <c r="E14" s="5">
        <f t="shared" ca="1" si="1"/>
        <v>233.75</v>
      </c>
    </row>
    <row r="15" spans="1:5" x14ac:dyDescent="0.25">
      <c r="A15">
        <v>120132</v>
      </c>
      <c r="B15" t="s">
        <v>21</v>
      </c>
      <c r="C15">
        <f>'[1]VENTAS CONSOLIDADA ZULIA'!C15</f>
        <v>215</v>
      </c>
      <c r="D15" s="5">
        <f t="shared" ca="1" si="0"/>
        <v>13.4375</v>
      </c>
      <c r="E15" s="5">
        <f t="shared" ca="1" si="1"/>
        <v>295.625</v>
      </c>
    </row>
    <row r="16" spans="1:5" x14ac:dyDescent="0.25">
      <c r="A16">
        <v>130150</v>
      </c>
      <c r="B16" t="s">
        <v>0</v>
      </c>
      <c r="C16">
        <f>'[1]VENTAS CONSOLIDADA ZULIA'!C16</f>
        <v>304</v>
      </c>
      <c r="D16" s="5">
        <f t="shared" ca="1" si="0"/>
        <v>19</v>
      </c>
      <c r="E16" s="5">
        <f t="shared" ca="1" si="1"/>
        <v>418</v>
      </c>
    </row>
    <row r="17" spans="1:5" x14ac:dyDescent="0.25">
      <c r="A17">
        <v>130151</v>
      </c>
      <c r="B17" t="s">
        <v>4</v>
      </c>
      <c r="C17">
        <f>'[1]VENTAS CONSOLIDADA ZULIA'!C17</f>
        <v>84</v>
      </c>
      <c r="D17" s="5">
        <f t="shared" ca="1" si="0"/>
        <v>5.25</v>
      </c>
      <c r="E17" s="5">
        <f t="shared" ca="1" si="1"/>
        <v>115.5</v>
      </c>
    </row>
    <row r="18" spans="1:5" x14ac:dyDescent="0.25">
      <c r="A18">
        <v>130152</v>
      </c>
      <c r="B18" t="s">
        <v>51</v>
      </c>
      <c r="C18">
        <f>'[1]VENTAS CONSOLIDADA ZULIA'!C18</f>
        <v>902</v>
      </c>
      <c r="D18" s="5">
        <f t="shared" ca="1" si="0"/>
        <v>56.375</v>
      </c>
      <c r="E18" s="5">
        <f t="shared" ca="1" si="1"/>
        <v>1240.25</v>
      </c>
    </row>
    <row r="19" spans="1:5" x14ac:dyDescent="0.25">
      <c r="A19">
        <v>130153</v>
      </c>
      <c r="B19" t="s">
        <v>52</v>
      </c>
      <c r="C19">
        <f>'[1]VENTAS CONSOLIDADA ZULIA'!C19</f>
        <v>594</v>
      </c>
      <c r="D19" s="5">
        <f t="shared" ca="1" si="0"/>
        <v>37.125</v>
      </c>
      <c r="E19" s="5">
        <f t="shared" ca="1" si="1"/>
        <v>816.75</v>
      </c>
    </row>
    <row r="20" spans="1:5" x14ac:dyDescent="0.25">
      <c r="A20">
        <v>130154</v>
      </c>
      <c r="B20" t="s">
        <v>53</v>
      </c>
      <c r="C20">
        <f>'[1]VENTAS CONSOLIDADA ZULIA'!C20</f>
        <v>450</v>
      </c>
      <c r="D20" s="5">
        <f t="shared" ca="1" si="0"/>
        <v>28.125</v>
      </c>
      <c r="E20" s="5">
        <f t="shared" ca="1" si="1"/>
        <v>618.75</v>
      </c>
    </row>
    <row r="21" spans="1:5" x14ac:dyDescent="0.25">
      <c r="A21">
        <v>130155</v>
      </c>
      <c r="B21" t="s">
        <v>16</v>
      </c>
      <c r="C21">
        <f>'[1]VENTAS CONSOLIDADA ZULIA'!C21</f>
        <v>683</v>
      </c>
      <c r="D21" s="5">
        <f t="shared" ca="1" si="0"/>
        <v>42.6875</v>
      </c>
      <c r="E21" s="5">
        <f t="shared" ca="1" si="1"/>
        <v>939.125</v>
      </c>
    </row>
    <row r="22" spans="1:5" x14ac:dyDescent="0.25">
      <c r="A22">
        <v>130157</v>
      </c>
      <c r="B22" t="s">
        <v>43</v>
      </c>
      <c r="C22">
        <f>'[1]VENTAS CONSOLIDADA ZULIA'!C22</f>
        <v>204</v>
      </c>
      <c r="D22" s="5">
        <f t="shared" ca="1" si="0"/>
        <v>12.75</v>
      </c>
      <c r="E22" s="5">
        <f t="shared" ca="1" si="1"/>
        <v>280.5</v>
      </c>
    </row>
    <row r="23" spans="1:5" x14ac:dyDescent="0.25">
      <c r="A23">
        <v>130158</v>
      </c>
      <c r="B23" t="s">
        <v>44</v>
      </c>
      <c r="C23">
        <f>'[1]VENTAS CONSOLIDADA ZULIA'!C23</f>
        <v>291</v>
      </c>
      <c r="D23" s="5">
        <f t="shared" ca="1" si="0"/>
        <v>18.1875</v>
      </c>
      <c r="E23" s="5">
        <f t="shared" ca="1" si="1"/>
        <v>400.125</v>
      </c>
    </row>
    <row r="24" spans="1:5" x14ac:dyDescent="0.25">
      <c r="A24">
        <v>130159</v>
      </c>
      <c r="B24" t="s">
        <v>45</v>
      </c>
      <c r="C24">
        <f>'[1]VENTAS CONSOLIDADA ZULIA'!C24</f>
        <v>279</v>
      </c>
      <c r="D24" s="5">
        <f t="shared" ca="1" si="0"/>
        <v>17.4375</v>
      </c>
      <c r="E24" s="5">
        <f t="shared" ca="1" si="1"/>
        <v>383.625</v>
      </c>
    </row>
    <row r="25" spans="1:5" x14ac:dyDescent="0.25">
      <c r="A25">
        <v>130700</v>
      </c>
      <c r="B25" t="s">
        <v>3</v>
      </c>
      <c r="C25">
        <f>'[1]VENTAS CONSOLIDADA ZULIA'!C25</f>
        <v>91</v>
      </c>
      <c r="D25" s="5">
        <f t="shared" ca="1" si="0"/>
        <v>5.6875</v>
      </c>
      <c r="E25" s="5">
        <f t="shared" ca="1" si="1"/>
        <v>125.125</v>
      </c>
    </row>
    <row r="26" spans="1:5" x14ac:dyDescent="0.25">
      <c r="A26">
        <v>130701</v>
      </c>
      <c r="B26" t="s">
        <v>30</v>
      </c>
      <c r="C26">
        <f>'[1]VENTAS CONSOLIDADA ZULIA'!C26</f>
        <v>24</v>
      </c>
      <c r="D26" s="5">
        <f t="shared" ca="1" si="0"/>
        <v>1.5</v>
      </c>
      <c r="E26" s="5">
        <f t="shared" ca="1" si="1"/>
        <v>33</v>
      </c>
    </row>
    <row r="27" spans="1:5" x14ac:dyDescent="0.25">
      <c r="A27">
        <v>130702</v>
      </c>
      <c r="B27" t="s">
        <v>12</v>
      </c>
      <c r="C27">
        <f>'[1]VENTAS CONSOLIDADA ZULIA'!C27</f>
        <v>67</v>
      </c>
      <c r="D27" s="5">
        <f t="shared" ca="1" si="0"/>
        <v>4.1875</v>
      </c>
      <c r="E27" s="5">
        <f t="shared" ca="1" si="1"/>
        <v>92.125</v>
      </c>
    </row>
    <row r="28" spans="1:5" x14ac:dyDescent="0.25">
      <c r="A28">
        <v>130703</v>
      </c>
      <c r="B28" t="s">
        <v>17</v>
      </c>
      <c r="C28">
        <f>'[1]VENTAS CONSOLIDADA ZULIA'!C28</f>
        <v>183</v>
      </c>
      <c r="D28" s="5">
        <f t="shared" ca="1" si="0"/>
        <v>11.4375</v>
      </c>
      <c r="E28" s="5">
        <f t="shared" ca="1" si="1"/>
        <v>251.625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ZULIA'!C30</f>
        <v>211</v>
      </c>
      <c r="D30" s="5">
        <f t="shared" ca="1" si="0"/>
        <v>13.1875</v>
      </c>
      <c r="E30" s="5">
        <f t="shared" ca="1" si="1"/>
        <v>290.125</v>
      </c>
    </row>
    <row r="31" spans="1:5" x14ac:dyDescent="0.25">
      <c r="A31">
        <v>131151</v>
      </c>
      <c r="B31" t="s">
        <v>19</v>
      </c>
      <c r="C31">
        <f>'[1]VENTAS CONSOLIDADA ZULIA'!C31</f>
        <v>395</v>
      </c>
      <c r="D31" s="5">
        <f t="shared" ca="1" si="0"/>
        <v>24.6875</v>
      </c>
      <c r="E31" s="5">
        <f t="shared" ca="1" si="1"/>
        <v>543.125</v>
      </c>
    </row>
    <row r="32" spans="1:5" x14ac:dyDescent="0.25">
      <c r="A32">
        <v>131152</v>
      </c>
      <c r="B32" t="s">
        <v>32</v>
      </c>
      <c r="C32">
        <f>'[1]VENTAS CONSOLIDADA ZULIA'!C32</f>
        <v>246</v>
      </c>
      <c r="D32" s="5">
        <f t="shared" ca="1" si="0"/>
        <v>15.375</v>
      </c>
      <c r="E32" s="5">
        <f t="shared" ca="1" si="1"/>
        <v>338.25</v>
      </c>
    </row>
    <row r="33" spans="1:5" x14ac:dyDescent="0.25">
      <c r="A33">
        <v>131153</v>
      </c>
      <c r="B33" t="s">
        <v>11</v>
      </c>
      <c r="C33">
        <f>'[1]VENTAS CONSOLIDADA ZULIA'!C33</f>
        <v>407</v>
      </c>
      <c r="D33" s="5">
        <f t="shared" ca="1" si="0"/>
        <v>25.4375</v>
      </c>
      <c r="E33" s="5">
        <f t="shared" ca="1" si="1"/>
        <v>559.625</v>
      </c>
    </row>
    <row r="34" spans="1:5" x14ac:dyDescent="0.25">
      <c r="A34">
        <v>131154</v>
      </c>
      <c r="B34" t="s">
        <v>48</v>
      </c>
      <c r="C34">
        <f>'[1]VENTAS CONSOLIDADA ZULIA'!C34</f>
        <v>71</v>
      </c>
      <c r="D34" s="5">
        <f t="shared" ca="1" si="0"/>
        <v>4.4375</v>
      </c>
      <c r="E34" s="5">
        <f t="shared" ca="1" si="1"/>
        <v>97.625</v>
      </c>
    </row>
    <row r="35" spans="1:5" x14ac:dyDescent="0.25">
      <c r="A35">
        <v>131155</v>
      </c>
      <c r="B35" t="s">
        <v>57</v>
      </c>
      <c r="C35">
        <f>'[1]VENTAS CONSOLIDADA ZULIA'!C35</f>
        <v>69</v>
      </c>
      <c r="D35" s="5">
        <f t="shared" ca="1" si="0"/>
        <v>4.3125</v>
      </c>
      <c r="E35" s="5">
        <f t="shared" ca="1" si="1"/>
        <v>94.875</v>
      </c>
    </row>
    <row r="36" spans="1:5" x14ac:dyDescent="0.25">
      <c r="A36">
        <v>131700</v>
      </c>
      <c r="B36" t="s">
        <v>20</v>
      </c>
      <c r="C36">
        <f>'[1]VENTAS CONSOLIDADA ZULIA'!C36</f>
        <v>68</v>
      </c>
      <c r="D36" s="5">
        <f t="shared" ca="1" si="0"/>
        <v>4.25</v>
      </c>
      <c r="E36" s="5">
        <f t="shared" ca="1" si="1"/>
        <v>93.5</v>
      </c>
    </row>
    <row r="37" spans="1:5" x14ac:dyDescent="0.25">
      <c r="A37">
        <v>131701</v>
      </c>
      <c r="B37" t="s">
        <v>24</v>
      </c>
      <c r="C37">
        <f>'[1]VENTAS CONSOLIDADA ZULIA'!C37</f>
        <v>59</v>
      </c>
      <c r="D37" s="5">
        <f t="shared" ca="1" si="0"/>
        <v>3.6875</v>
      </c>
      <c r="E37" s="5">
        <f t="shared" ca="1" si="1"/>
        <v>81.125</v>
      </c>
    </row>
    <row r="38" spans="1:5" x14ac:dyDescent="0.25">
      <c r="A38">
        <v>132150</v>
      </c>
      <c r="B38" t="s">
        <v>25</v>
      </c>
      <c r="C38">
        <f>'[1]VENTAS CONSOLIDADA ZULIA'!C38</f>
        <v>457</v>
      </c>
      <c r="D38" s="5">
        <f t="shared" ca="1" si="0"/>
        <v>28.5625</v>
      </c>
      <c r="E38" s="5">
        <f t="shared" ca="1" si="1"/>
        <v>628.375</v>
      </c>
    </row>
    <row r="39" spans="1:5" x14ac:dyDescent="0.25">
      <c r="A39">
        <v>132151</v>
      </c>
      <c r="B39" t="s">
        <v>26</v>
      </c>
      <c r="C39">
        <f>'[1]VENTAS CONSOLIDADA ZULIA'!C39</f>
        <v>409</v>
      </c>
      <c r="D39" s="5">
        <f t="shared" ca="1" si="0"/>
        <v>25.5625</v>
      </c>
      <c r="E39" s="5">
        <f t="shared" ca="1" si="1"/>
        <v>562.375</v>
      </c>
    </row>
    <row r="40" spans="1:5" x14ac:dyDescent="0.25">
      <c r="A40">
        <v>132152</v>
      </c>
      <c r="B40" t="s">
        <v>27</v>
      </c>
      <c r="C40">
        <f>'[1]VENTAS CONSOLIDADA ZULIA'!C40</f>
        <v>408</v>
      </c>
      <c r="D40" s="5">
        <f t="shared" ca="1" si="0"/>
        <v>25.5</v>
      </c>
      <c r="E40" s="5">
        <f t="shared" ca="1" si="1"/>
        <v>561</v>
      </c>
    </row>
    <row r="41" spans="1:5" x14ac:dyDescent="0.25">
      <c r="A41">
        <v>132153</v>
      </c>
      <c r="B41" t="s">
        <v>40</v>
      </c>
      <c r="C41">
        <f>'[1]VENTAS CONSOLIDADA ZULIA'!C41</f>
        <v>392</v>
      </c>
      <c r="D41" s="5">
        <f t="shared" ca="1" si="0"/>
        <v>24.5</v>
      </c>
      <c r="E41" s="5">
        <f t="shared" ca="1" si="1"/>
        <v>539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ZULIA'!C44</f>
        <v>85</v>
      </c>
      <c r="D44" s="5">
        <f t="shared" ca="1" si="0"/>
        <v>5.3125</v>
      </c>
      <c r="E44" s="5">
        <f t="shared" ca="1" si="1"/>
        <v>116.875</v>
      </c>
    </row>
    <row r="45" spans="1:5" x14ac:dyDescent="0.25">
      <c r="A45">
        <v>140231</v>
      </c>
      <c r="B45" t="s">
        <v>10</v>
      </c>
      <c r="C45">
        <f>'[1]VENTAS CONSOLIDADA ZULIA'!C45</f>
        <v>187</v>
      </c>
      <c r="D45" s="5">
        <f t="shared" ca="1" si="0"/>
        <v>11.6875</v>
      </c>
      <c r="E45" s="5">
        <f t="shared" ca="1" si="1"/>
        <v>257.125</v>
      </c>
    </row>
    <row r="46" spans="1:5" x14ac:dyDescent="0.25">
      <c r="A46">
        <v>140232</v>
      </c>
      <c r="B46" t="s">
        <v>9</v>
      </c>
      <c r="C46">
        <f>'[1]VENTAS CONSOLIDADA ZULIA'!C46</f>
        <v>66</v>
      </c>
      <c r="D46" s="5">
        <f t="shared" ca="1" si="0"/>
        <v>4.125</v>
      </c>
      <c r="E46" s="5">
        <f t="shared" ca="1" si="1"/>
        <v>90.75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t="shared" ca="1" si="0"/>
        <v>1.4375</v>
      </c>
      <c r="E47" s="5">
        <f t="shared" ca="1" si="1"/>
        <v>31.625</v>
      </c>
    </row>
    <row r="48" spans="1:5" x14ac:dyDescent="0.25">
      <c r="A48">
        <v>150361</v>
      </c>
      <c r="B48" t="s">
        <v>29</v>
      </c>
      <c r="C48">
        <f>'[1]VENTAS CONSOLIDADA ZULIA'!C48</f>
        <v>110</v>
      </c>
      <c r="D48" s="5">
        <f t="shared" ca="1" si="0"/>
        <v>6.875</v>
      </c>
      <c r="E48" s="5">
        <f t="shared" ca="1" si="1"/>
        <v>151.25</v>
      </c>
    </row>
    <row r="49" spans="1:5" x14ac:dyDescent="0.25">
      <c r="A49">
        <v>150362</v>
      </c>
      <c r="B49" t="s">
        <v>36</v>
      </c>
      <c r="C49">
        <f>'[1]VENTAS CONSOLIDADA ZULIA'!C49</f>
        <v>130</v>
      </c>
      <c r="D49" s="5">
        <f t="shared" ca="1" si="0"/>
        <v>8.125</v>
      </c>
      <c r="E49" s="5">
        <f t="shared" ca="1" si="1"/>
        <v>178.75</v>
      </c>
    </row>
    <row r="50" spans="1:5" x14ac:dyDescent="0.25">
      <c r="A50">
        <v>150363</v>
      </c>
      <c r="B50" t="s">
        <v>31</v>
      </c>
      <c r="C50">
        <f>'[1]VENTAS CONSOLIDADA ZULIA'!C50</f>
        <v>136</v>
      </c>
      <c r="D50" s="5">
        <f t="shared" ca="1" si="0"/>
        <v>8.5</v>
      </c>
      <c r="E50" s="5">
        <f t="shared" ca="1" si="1"/>
        <v>187</v>
      </c>
    </row>
    <row r="51" spans="1:5" x14ac:dyDescent="0.25">
      <c r="A51">
        <v>151500</v>
      </c>
      <c r="B51" t="s">
        <v>41</v>
      </c>
      <c r="C51">
        <f>'[1]VENTAS CONSOLIDADA ZULIA'!C51</f>
        <v>31</v>
      </c>
      <c r="D51" s="5">
        <f t="shared" ca="1" si="0"/>
        <v>1.9375</v>
      </c>
      <c r="E51" s="5">
        <f t="shared" ca="1" si="1"/>
        <v>42.625</v>
      </c>
    </row>
    <row r="52" spans="1:5" x14ac:dyDescent="0.25">
      <c r="A52">
        <v>151501</v>
      </c>
      <c r="B52" t="s">
        <v>33</v>
      </c>
      <c r="C52">
        <f>'[1]VENTAS CONSOLIDADA ZULIA'!C52</f>
        <v>32</v>
      </c>
      <c r="D52" s="5">
        <f t="shared" ca="1" si="0"/>
        <v>2</v>
      </c>
      <c r="E52" s="5">
        <f t="shared" ca="1" si="1"/>
        <v>44</v>
      </c>
    </row>
    <row r="53" spans="1:5" x14ac:dyDescent="0.25">
      <c r="A53">
        <v>151502</v>
      </c>
      <c r="B53" t="s">
        <v>37</v>
      </c>
      <c r="C53">
        <f>'[1]VENTAS CONSOLIDADA ZULIA'!C53</f>
        <v>27</v>
      </c>
      <c r="D53" s="5">
        <f t="shared" ca="1" si="0"/>
        <v>1.6875</v>
      </c>
      <c r="E53" s="5">
        <f t="shared" ca="1" si="1"/>
        <v>37.125</v>
      </c>
    </row>
    <row r="54" spans="1:5" x14ac:dyDescent="0.25">
      <c r="A54">
        <v>151503</v>
      </c>
      <c r="B54" t="s">
        <v>34</v>
      </c>
      <c r="C54">
        <f>'[1]VENTAS CONSOLIDADA ZULIA'!C54</f>
        <v>15</v>
      </c>
      <c r="D54" s="5">
        <f t="shared" ca="1" si="0"/>
        <v>0.9375</v>
      </c>
      <c r="E54" s="5">
        <f t="shared" ca="1" si="1"/>
        <v>20.625</v>
      </c>
    </row>
    <row r="55" spans="1:5" x14ac:dyDescent="0.25">
      <c r="D55" s="5">
        <f ca="1">SUM(D8:D54)</f>
        <v>596.8125</v>
      </c>
      <c r="E55" s="5">
        <f ca="1">SUM(E8:E54)</f>
        <v>13129.875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'[1]VENTAS CONSOLIDADA VALENCIA'!D2</f>
        <v>46288</v>
      </c>
      <c r="E2" s="4">
        <f ca="1">'[1]VENTAS CONSOLIDADA VALENCIA'!E2</f>
        <v>16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 ca="1">'[1]VENTAS CONSOLIDADA VALENCIA'!E3</f>
        <v>6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4262</v>
      </c>
      <c r="D8" s="5">
        <f t="shared" ref="D8:D54" ca="1" si="0">C8/$E$2</f>
        <v>266.375</v>
      </c>
      <c r="E8" s="5">
        <f ca="1">D8*($E$2+$E$3)</f>
        <v>5860.25</v>
      </c>
    </row>
    <row r="9" spans="1:5" x14ac:dyDescent="0.25">
      <c r="A9">
        <v>110151</v>
      </c>
      <c r="B9" t="s">
        <v>5</v>
      </c>
      <c r="C9">
        <f>'[1]VENTAS CONSOLIDADA VALENCIA'!C9</f>
        <v>249</v>
      </c>
      <c r="D9" s="5">
        <f t="shared" ca="1" si="0"/>
        <v>15.5625</v>
      </c>
      <c r="E9" s="5">
        <f t="shared" ref="E9:E54" ca="1" si="1">D9*($E$2+$E$3)</f>
        <v>342.375</v>
      </c>
    </row>
    <row r="10" spans="1:5" x14ac:dyDescent="0.25">
      <c r="A10">
        <v>110230</v>
      </c>
      <c r="B10" t="s">
        <v>1</v>
      </c>
      <c r="C10">
        <f>'[1]VENTAS CONSOLIDADA VALENCIA'!C10</f>
        <v>1772</v>
      </c>
      <c r="D10" s="5">
        <f t="shared" ca="1" si="0"/>
        <v>110.75</v>
      </c>
      <c r="E10" s="5">
        <f t="shared" ca="1" si="1"/>
        <v>2436.5</v>
      </c>
    </row>
    <row r="11" spans="1:5" x14ac:dyDescent="0.25">
      <c r="A11">
        <v>110400</v>
      </c>
      <c r="B11" t="s">
        <v>13</v>
      </c>
      <c r="C11">
        <f>'[1]VENTAS CONSOLIDADA VALENCIA'!C11</f>
        <v>438</v>
      </c>
      <c r="D11" s="5">
        <f t="shared" ca="1" si="0"/>
        <v>27.375</v>
      </c>
      <c r="E11" s="5">
        <f t="shared" ca="1" si="1"/>
        <v>602.25</v>
      </c>
    </row>
    <row r="12" spans="1:5" x14ac:dyDescent="0.25">
      <c r="A12">
        <v>111000</v>
      </c>
      <c r="B12" t="s">
        <v>14</v>
      </c>
      <c r="C12">
        <f>'[1]VENTAS CONSOLIDADA VALENCIA'!C12</f>
        <v>35</v>
      </c>
      <c r="D12" s="5">
        <f t="shared" ca="1" si="0"/>
        <v>2.1875</v>
      </c>
      <c r="E12" s="5">
        <f t="shared" ca="1" si="1"/>
        <v>48.125</v>
      </c>
    </row>
    <row r="13" spans="1:5" x14ac:dyDescent="0.25">
      <c r="A13">
        <v>120130</v>
      </c>
      <c r="B13" t="s">
        <v>15</v>
      </c>
      <c r="C13">
        <f>'[1]VENTAS CONSOLIDADA VALENCIA'!C13</f>
        <v>5323</v>
      </c>
      <c r="D13" s="5">
        <f t="shared" ca="1" si="0"/>
        <v>332.6875</v>
      </c>
      <c r="E13" s="5">
        <f t="shared" ca="1" si="1"/>
        <v>7319.125</v>
      </c>
    </row>
    <row r="14" spans="1:5" x14ac:dyDescent="0.25">
      <c r="A14">
        <v>120131</v>
      </c>
      <c r="B14" t="s">
        <v>23</v>
      </c>
      <c r="C14">
        <f>'[1]VENTAS CONSOLIDADA VALENCIA'!C14</f>
        <v>908</v>
      </c>
      <c r="D14" s="5">
        <f t="shared" ca="1" si="0"/>
        <v>56.75</v>
      </c>
      <c r="E14" s="5">
        <f t="shared" ca="1" si="1"/>
        <v>1248.5</v>
      </c>
    </row>
    <row r="15" spans="1:5" x14ac:dyDescent="0.25">
      <c r="A15">
        <v>120132</v>
      </c>
      <c r="B15" t="s">
        <v>21</v>
      </c>
      <c r="C15">
        <f>'[1]VENTAS CONSOLIDADA VALENCIA'!C15</f>
        <v>2063</v>
      </c>
      <c r="D15" s="5">
        <f t="shared" ca="1" si="0"/>
        <v>128.9375</v>
      </c>
      <c r="E15" s="5">
        <f t="shared" ca="1" si="1"/>
        <v>2836.625</v>
      </c>
    </row>
    <row r="16" spans="1:5" x14ac:dyDescent="0.25">
      <c r="A16">
        <v>130150</v>
      </c>
      <c r="B16" t="s">
        <v>0</v>
      </c>
      <c r="C16">
        <f>'[1]VENTAS CONSOLIDADA VALENCIA'!C16</f>
        <v>5268</v>
      </c>
      <c r="D16" s="5">
        <f t="shared" ca="1" si="0"/>
        <v>329.25</v>
      </c>
      <c r="E16" s="5">
        <f t="shared" ca="1" si="1"/>
        <v>7243.5</v>
      </c>
    </row>
    <row r="17" spans="1:5" x14ac:dyDescent="0.25">
      <c r="A17">
        <v>130151</v>
      </c>
      <c r="B17" t="s">
        <v>4</v>
      </c>
      <c r="C17">
        <f>'[1]VENTAS CONSOLIDADA VALENCIA'!C17</f>
        <v>2391</v>
      </c>
      <c r="D17" s="5">
        <f t="shared" ca="1" si="0"/>
        <v>149.4375</v>
      </c>
      <c r="E17" s="5">
        <f t="shared" ca="1" si="1"/>
        <v>3287.625</v>
      </c>
    </row>
    <row r="18" spans="1:5" x14ac:dyDescent="0.25">
      <c r="A18">
        <v>130152</v>
      </c>
      <c r="B18" t="s">
        <v>51</v>
      </c>
      <c r="C18">
        <f>'[1]VENTAS CONSOLIDADA VALENCIA'!C18</f>
        <v>15147</v>
      </c>
      <c r="D18" s="5">
        <f t="shared" ca="1" si="0"/>
        <v>946.6875</v>
      </c>
      <c r="E18" s="5">
        <f t="shared" ca="1" si="1"/>
        <v>20827.125</v>
      </c>
    </row>
    <row r="19" spans="1:5" x14ac:dyDescent="0.25">
      <c r="A19">
        <v>130153</v>
      </c>
      <c r="B19" t="s">
        <v>52</v>
      </c>
      <c r="C19">
        <f>'[1]VENTAS CONSOLIDADA VALENCIA'!C19</f>
        <v>9248</v>
      </c>
      <c r="D19" s="5">
        <f t="shared" ca="1" si="0"/>
        <v>578</v>
      </c>
      <c r="E19" s="5">
        <f t="shared" ca="1" si="1"/>
        <v>12716</v>
      </c>
    </row>
    <row r="20" spans="1:5" x14ac:dyDescent="0.25">
      <c r="A20">
        <v>130154</v>
      </c>
      <c r="B20" t="s">
        <v>53</v>
      </c>
      <c r="C20">
        <f>'[1]VENTAS CONSOLIDADA VALENCIA'!C20</f>
        <v>9938</v>
      </c>
      <c r="D20" s="5">
        <f t="shared" ca="1" si="0"/>
        <v>621.125</v>
      </c>
      <c r="E20" s="5">
        <f t="shared" ca="1" si="1"/>
        <v>13664.75</v>
      </c>
    </row>
    <row r="21" spans="1:5" x14ac:dyDescent="0.25">
      <c r="A21">
        <v>130155</v>
      </c>
      <c r="B21" t="s">
        <v>16</v>
      </c>
      <c r="C21">
        <f>'[1]VENTAS CONSOLIDADA VALENCIA'!C21</f>
        <v>11542</v>
      </c>
      <c r="D21" s="5">
        <f t="shared" ca="1" si="0"/>
        <v>721.375</v>
      </c>
      <c r="E21" s="5">
        <f t="shared" ca="1" si="1"/>
        <v>15870.25</v>
      </c>
    </row>
    <row r="22" spans="1:5" x14ac:dyDescent="0.25">
      <c r="A22">
        <v>130157</v>
      </c>
      <c r="B22" t="s">
        <v>43</v>
      </c>
      <c r="C22">
        <f>'[1]VENTAS CONSOLIDADA VALENCIA'!C22</f>
        <v>3176</v>
      </c>
      <c r="D22" s="5">
        <f t="shared" ca="1" si="0"/>
        <v>198.5</v>
      </c>
      <c r="E22" s="5">
        <f t="shared" ca="1" si="1"/>
        <v>4367</v>
      </c>
    </row>
    <row r="23" spans="1:5" x14ac:dyDescent="0.25">
      <c r="A23">
        <v>130158</v>
      </c>
      <c r="B23" t="s">
        <v>44</v>
      </c>
      <c r="C23">
        <f>'[1]VENTAS CONSOLIDADA VALENCIA'!C23</f>
        <v>4368</v>
      </c>
      <c r="D23" s="5">
        <f t="shared" ca="1" si="0"/>
        <v>273</v>
      </c>
      <c r="E23" s="5">
        <f t="shared" ca="1" si="1"/>
        <v>6006</v>
      </c>
    </row>
    <row r="24" spans="1:5" x14ac:dyDescent="0.25">
      <c r="A24">
        <v>130159</v>
      </c>
      <c r="B24" t="s">
        <v>45</v>
      </c>
      <c r="C24">
        <f>'[1]VENTAS CONSOLIDADA VALENCIA'!C24</f>
        <v>4431</v>
      </c>
      <c r="D24" s="5">
        <f t="shared" ca="1" si="0"/>
        <v>276.9375</v>
      </c>
      <c r="E24" s="5">
        <f t="shared" ca="1" si="1"/>
        <v>6092.625</v>
      </c>
    </row>
    <row r="25" spans="1:5" x14ac:dyDescent="0.25">
      <c r="A25">
        <v>130700</v>
      </c>
      <c r="B25" t="s">
        <v>3</v>
      </c>
      <c r="C25">
        <f>'[1]VENTAS CONSOLIDADA VALENCIA'!C25</f>
        <v>1985</v>
      </c>
      <c r="D25" s="5">
        <f t="shared" ca="1" si="0"/>
        <v>124.0625</v>
      </c>
      <c r="E25" s="5">
        <f t="shared" ca="1" si="1"/>
        <v>2729.375</v>
      </c>
    </row>
    <row r="26" spans="1:5" x14ac:dyDescent="0.25">
      <c r="A26">
        <v>130701</v>
      </c>
      <c r="B26" t="s">
        <v>30</v>
      </c>
      <c r="C26">
        <f>'[1]VENTAS CONSOLIDADA VALENCIA'!C26</f>
        <v>1091</v>
      </c>
      <c r="D26" s="5">
        <f t="shared" ca="1" si="0"/>
        <v>68.1875</v>
      </c>
      <c r="E26" s="5">
        <f t="shared" ca="1" si="1"/>
        <v>1500.125</v>
      </c>
    </row>
    <row r="27" spans="1:5" x14ac:dyDescent="0.25">
      <c r="A27">
        <v>130702</v>
      </c>
      <c r="B27" t="s">
        <v>12</v>
      </c>
      <c r="C27">
        <f>'[1]VENTAS CONSOLIDADA VALENCIA'!C27</f>
        <v>2898</v>
      </c>
      <c r="D27" s="5">
        <f t="shared" ca="1" si="0"/>
        <v>181.125</v>
      </c>
      <c r="E27" s="5">
        <f t="shared" ca="1" si="1"/>
        <v>3984.75</v>
      </c>
    </row>
    <row r="28" spans="1:5" x14ac:dyDescent="0.25">
      <c r="A28">
        <v>130703</v>
      </c>
      <c r="B28" t="s">
        <v>17</v>
      </c>
      <c r="C28">
        <f>'[1]VENTAS CONSOLIDADA VALENCIA'!C28</f>
        <v>4270</v>
      </c>
      <c r="D28" s="5">
        <f t="shared" ca="1" si="0"/>
        <v>266.875</v>
      </c>
      <c r="E28" s="5">
        <f t="shared" ca="1" si="1"/>
        <v>5871.25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2773</v>
      </c>
      <c r="D30" s="5">
        <f t="shared" ca="1" si="0"/>
        <v>173.3125</v>
      </c>
      <c r="E30" s="5">
        <f t="shared" ca="1" si="1"/>
        <v>3812.875</v>
      </c>
    </row>
    <row r="31" spans="1:5" x14ac:dyDescent="0.25">
      <c r="A31">
        <v>131151</v>
      </c>
      <c r="B31" t="s">
        <v>19</v>
      </c>
      <c r="C31">
        <f>'[1]VENTAS CONSOLIDADA VALENCIA'!C31</f>
        <v>3842</v>
      </c>
      <c r="D31" s="5">
        <f t="shared" ca="1" si="0"/>
        <v>240.125</v>
      </c>
      <c r="E31" s="5">
        <f t="shared" ca="1" si="1"/>
        <v>5282.75</v>
      </c>
    </row>
    <row r="32" spans="1:5" x14ac:dyDescent="0.25">
      <c r="A32">
        <v>131152</v>
      </c>
      <c r="B32" t="s">
        <v>32</v>
      </c>
      <c r="C32">
        <f>'[1]VENTAS CONSOLIDADA VALENCIA'!C32</f>
        <v>2258</v>
      </c>
      <c r="D32" s="5">
        <f t="shared" ca="1" si="0"/>
        <v>141.125</v>
      </c>
      <c r="E32" s="5">
        <f t="shared" ca="1" si="1"/>
        <v>3104.75</v>
      </c>
    </row>
    <row r="33" spans="1:5" x14ac:dyDescent="0.25">
      <c r="A33">
        <v>131153</v>
      </c>
      <c r="B33" t="s">
        <v>11</v>
      </c>
      <c r="C33">
        <f>'[1]VENTAS CONSOLIDADA VALENCIA'!C33</f>
        <v>1805</v>
      </c>
      <c r="D33" s="5">
        <f t="shared" ca="1" si="0"/>
        <v>112.8125</v>
      </c>
      <c r="E33" s="5">
        <f t="shared" ca="1" si="1"/>
        <v>2481.875</v>
      </c>
    </row>
    <row r="34" spans="1:5" x14ac:dyDescent="0.25">
      <c r="A34">
        <v>131154</v>
      </c>
      <c r="B34" t="s">
        <v>48</v>
      </c>
      <c r="C34">
        <f>'[1]VENTAS CONSOLIDADA VALENCIA'!C34</f>
        <v>963</v>
      </c>
      <c r="D34" s="5">
        <f t="shared" ca="1" si="0"/>
        <v>60.1875</v>
      </c>
      <c r="E34" s="5">
        <f t="shared" ca="1" si="1"/>
        <v>1324.125</v>
      </c>
    </row>
    <row r="35" spans="1:5" x14ac:dyDescent="0.25">
      <c r="A35">
        <v>131155</v>
      </c>
      <c r="B35" t="s">
        <v>57</v>
      </c>
      <c r="C35">
        <f>'[1]VENTAS CONSOLIDADA VALENCIA'!C35</f>
        <v>1128</v>
      </c>
      <c r="D35" s="5">
        <f t="shared" ca="1" si="0"/>
        <v>70.5</v>
      </c>
      <c r="E35" s="5">
        <f t="shared" ca="1" si="1"/>
        <v>1551</v>
      </c>
    </row>
    <row r="36" spans="1:5" x14ac:dyDescent="0.25">
      <c r="A36">
        <v>131700</v>
      </c>
      <c r="B36" t="s">
        <v>20</v>
      </c>
      <c r="C36">
        <f>'[1]VENTAS CONSOLIDADA VALENCIA'!C36</f>
        <v>643</v>
      </c>
      <c r="D36" s="5">
        <f t="shared" ca="1" si="0"/>
        <v>40.1875</v>
      </c>
      <c r="E36" s="5">
        <f t="shared" ca="1" si="1"/>
        <v>884.125</v>
      </c>
    </row>
    <row r="37" spans="1:5" x14ac:dyDescent="0.25">
      <c r="A37">
        <v>131701</v>
      </c>
      <c r="B37" t="s">
        <v>24</v>
      </c>
      <c r="C37">
        <f>'[1]VENTAS CONSOLIDADA VALENCIA'!C37</f>
        <v>655</v>
      </c>
      <c r="D37" s="5">
        <f t="shared" ca="1" si="0"/>
        <v>40.9375</v>
      </c>
      <c r="E37" s="5">
        <f t="shared" ca="1" si="1"/>
        <v>900.625</v>
      </c>
    </row>
    <row r="38" spans="1:5" x14ac:dyDescent="0.25">
      <c r="A38">
        <v>132150</v>
      </c>
      <c r="B38" t="s">
        <v>25</v>
      </c>
      <c r="C38">
        <f>'[1]VENTAS CONSOLIDADA VALENCIA'!C38</f>
        <v>3801</v>
      </c>
      <c r="D38" s="5">
        <f t="shared" ca="1" si="0"/>
        <v>237.5625</v>
      </c>
      <c r="E38" s="5">
        <f t="shared" ca="1" si="1"/>
        <v>5226.375</v>
      </c>
    </row>
    <row r="39" spans="1:5" x14ac:dyDescent="0.25">
      <c r="A39">
        <v>132151</v>
      </c>
      <c r="B39" t="s">
        <v>26</v>
      </c>
      <c r="C39">
        <f>'[1]VENTAS CONSOLIDADA VALENCIA'!C39</f>
        <v>3040</v>
      </c>
      <c r="D39" s="5">
        <f t="shared" ca="1" si="0"/>
        <v>190</v>
      </c>
      <c r="E39" s="5">
        <f t="shared" ca="1" si="1"/>
        <v>4180</v>
      </c>
    </row>
    <row r="40" spans="1:5" x14ac:dyDescent="0.25">
      <c r="A40">
        <v>132152</v>
      </c>
      <c r="B40" t="s">
        <v>27</v>
      </c>
      <c r="C40">
        <f>'[1]VENTAS CONSOLIDADA VALENCIA'!C40</f>
        <v>4051</v>
      </c>
      <c r="D40" s="5">
        <f t="shared" ca="1" si="0"/>
        <v>253.1875</v>
      </c>
      <c r="E40" s="5">
        <f t="shared" ca="1" si="1"/>
        <v>5570.125</v>
      </c>
    </row>
    <row r="41" spans="1:5" x14ac:dyDescent="0.25">
      <c r="A41">
        <v>132153</v>
      </c>
      <c r="B41" t="s">
        <v>40</v>
      </c>
      <c r="C41">
        <f>'[1]VENTAS CONSOLIDADA VALENCIA'!C41</f>
        <v>2459</v>
      </c>
      <c r="D41" s="5">
        <f t="shared" ca="1" si="0"/>
        <v>153.6875</v>
      </c>
      <c r="E41" s="5">
        <f t="shared" ca="1" si="1"/>
        <v>3381.125</v>
      </c>
    </row>
    <row r="42" spans="1:5" x14ac:dyDescent="0.25">
      <c r="A42">
        <v>134000</v>
      </c>
      <c r="B42" t="s">
        <v>35</v>
      </c>
      <c r="C42">
        <f>'[1]VENTAS CONSOLIDADA VALENCIA'!C42</f>
        <v>40</v>
      </c>
      <c r="D42" s="5">
        <f t="shared" ca="1" si="0"/>
        <v>2.5</v>
      </c>
      <c r="E42" s="5">
        <f t="shared" ca="1" si="1"/>
        <v>55</v>
      </c>
    </row>
    <row r="43" spans="1:5" x14ac:dyDescent="0.25">
      <c r="A43">
        <v>134001</v>
      </c>
      <c r="B43" t="s">
        <v>47</v>
      </c>
      <c r="C43">
        <f>'[1]VENTAS CONSOLIDADA VALENCIA'!C43</f>
        <v>7</v>
      </c>
      <c r="D43" s="5">
        <f t="shared" ca="1" si="0"/>
        <v>0.4375</v>
      </c>
      <c r="E43" s="5">
        <f t="shared" ca="1" si="1"/>
        <v>9.625</v>
      </c>
    </row>
    <row r="44" spans="1:5" x14ac:dyDescent="0.25">
      <c r="A44">
        <v>140230</v>
      </c>
      <c r="B44" t="s">
        <v>18</v>
      </c>
      <c r="C44">
        <f>'[1]VENTAS CONSOLIDADA VALENCIA'!C44</f>
        <v>1040</v>
      </c>
      <c r="D44" s="5">
        <f t="shared" ca="1" si="0"/>
        <v>65</v>
      </c>
      <c r="E44" s="5">
        <f t="shared" ca="1" si="1"/>
        <v>1430</v>
      </c>
    </row>
    <row r="45" spans="1:5" x14ac:dyDescent="0.25">
      <c r="A45">
        <v>140231</v>
      </c>
      <c r="B45" t="s">
        <v>10</v>
      </c>
      <c r="C45">
        <f>'[1]VENTAS CONSOLIDADA VALENCIA'!C45</f>
        <v>3173</v>
      </c>
      <c r="D45" s="5">
        <f t="shared" ca="1" si="0"/>
        <v>198.3125</v>
      </c>
      <c r="E45" s="5">
        <f t="shared" ca="1" si="1"/>
        <v>4362.875</v>
      </c>
    </row>
    <row r="46" spans="1:5" x14ac:dyDescent="0.25">
      <c r="A46">
        <v>140232</v>
      </c>
      <c r="B46" t="s">
        <v>9</v>
      </c>
      <c r="C46">
        <f>'[1]VENTAS CONSOLIDADA VALENCIA'!C46</f>
        <v>2657</v>
      </c>
      <c r="D46" s="5">
        <f t="shared" ca="1" si="0"/>
        <v>166.0625</v>
      </c>
      <c r="E46" s="5">
        <f t="shared" ca="1" si="1"/>
        <v>3653.375</v>
      </c>
    </row>
    <row r="47" spans="1:5" x14ac:dyDescent="0.25">
      <c r="A47">
        <v>150360</v>
      </c>
      <c r="B47" t="s">
        <v>28</v>
      </c>
      <c r="C47">
        <f>'[1]VENTAS CONSOLIDADA VALENCIA'!C47</f>
        <v>584</v>
      </c>
      <c r="D47" s="5">
        <f t="shared" ca="1" si="0"/>
        <v>36.5</v>
      </c>
      <c r="E47" s="5">
        <f t="shared" ca="1" si="1"/>
        <v>803</v>
      </c>
    </row>
    <row r="48" spans="1:5" x14ac:dyDescent="0.25">
      <c r="A48">
        <v>150361</v>
      </c>
      <c r="B48" t="s">
        <v>29</v>
      </c>
      <c r="C48">
        <f>'[1]VENTAS CONSOLIDADA VALENCIA'!C48</f>
        <v>1868</v>
      </c>
      <c r="D48" s="5">
        <f t="shared" ca="1" si="0"/>
        <v>116.75</v>
      </c>
      <c r="E48" s="5">
        <f t="shared" ca="1" si="1"/>
        <v>2568.5</v>
      </c>
    </row>
    <row r="49" spans="1:5" x14ac:dyDescent="0.25">
      <c r="A49">
        <v>150362</v>
      </c>
      <c r="B49" t="s">
        <v>36</v>
      </c>
      <c r="C49">
        <f>'[1]VENTAS CONSOLIDADA VALENCIA'!C49</f>
        <v>967</v>
      </c>
      <c r="D49" s="5">
        <f t="shared" ca="1" si="0"/>
        <v>60.4375</v>
      </c>
      <c r="E49" s="5">
        <f t="shared" ca="1" si="1"/>
        <v>1329.625</v>
      </c>
    </row>
    <row r="50" spans="1:5" x14ac:dyDescent="0.25">
      <c r="A50">
        <v>150363</v>
      </c>
      <c r="B50" t="s">
        <v>31</v>
      </c>
      <c r="C50">
        <f>'[1]VENTAS CONSOLIDADA VALENCIA'!C50</f>
        <v>1233</v>
      </c>
      <c r="D50" s="5">
        <f t="shared" ca="1" si="0"/>
        <v>77.0625</v>
      </c>
      <c r="E50" s="5">
        <f t="shared" ca="1" si="1"/>
        <v>1695.375</v>
      </c>
    </row>
    <row r="51" spans="1:5" x14ac:dyDescent="0.25">
      <c r="A51">
        <v>151500</v>
      </c>
      <c r="B51" t="s">
        <v>41</v>
      </c>
      <c r="C51">
        <f>'[1]VENTAS CONSOLIDADA VALENCIA'!C51</f>
        <v>230</v>
      </c>
      <c r="D51" s="5">
        <f t="shared" ca="1" si="0"/>
        <v>14.375</v>
      </c>
      <c r="E51" s="5">
        <f t="shared" ca="1" si="1"/>
        <v>316.25</v>
      </c>
    </row>
    <row r="52" spans="1:5" x14ac:dyDescent="0.25">
      <c r="A52">
        <v>151501</v>
      </c>
      <c r="B52" t="s">
        <v>33</v>
      </c>
      <c r="C52">
        <f>'[1]VENTAS CONSOLIDADA VALENCIA'!C52</f>
        <v>492</v>
      </c>
      <c r="D52" s="5">
        <f t="shared" ca="1" si="0"/>
        <v>30.75</v>
      </c>
      <c r="E52" s="5">
        <f t="shared" ca="1" si="1"/>
        <v>676.5</v>
      </c>
    </row>
    <row r="53" spans="1:5" x14ac:dyDescent="0.25">
      <c r="A53">
        <v>151502</v>
      </c>
      <c r="B53" t="s">
        <v>37</v>
      </c>
      <c r="C53">
        <f>'[1]VENTAS CONSOLIDADA VALENCIA'!C53</f>
        <v>160</v>
      </c>
      <c r="D53" s="5">
        <f t="shared" ca="1" si="0"/>
        <v>10</v>
      </c>
      <c r="E53" s="5">
        <f t="shared" ca="1" si="1"/>
        <v>220</v>
      </c>
    </row>
    <row r="54" spans="1:5" x14ac:dyDescent="0.25">
      <c r="A54">
        <v>151503</v>
      </c>
      <c r="B54" t="s">
        <v>34</v>
      </c>
      <c r="C54">
        <f>'[1]VENTAS CONSOLIDADA VALENCIA'!C54</f>
        <v>190</v>
      </c>
      <c r="D54" s="5">
        <f t="shared" ca="1" si="0"/>
        <v>11.875</v>
      </c>
      <c r="E54" s="5">
        <f t="shared" ca="1" si="1"/>
        <v>261.25</v>
      </c>
    </row>
    <row r="55" spans="1:5" x14ac:dyDescent="0.25">
      <c r="D55" s="5">
        <f ca="1">SUM(D8:D54)</f>
        <v>8178.875</v>
      </c>
      <c r="E55" s="5">
        <f ca="1">SUM(E8:E54)</f>
        <v>179935.25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'[1]VENTAS CONSOLIDADA CARACAS'!D2</f>
        <v>46288</v>
      </c>
      <c r="E2" s="4">
        <f ca="1">'[1]VENTAS CONSOLIDADA CARACAS'!E2</f>
        <v>16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 ca="1">'[1]VENTAS CONSOLIDADA CARACAS'!E3</f>
        <v>6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12811</v>
      </c>
      <c r="D8" s="5">
        <f t="shared" ref="D8:D54" ca="1" si="0">C8/$E$2</f>
        <v>800.6875</v>
      </c>
      <c r="E8" s="5">
        <f ca="1">D8*($E$2+$E$3)</f>
        <v>17615.125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466</v>
      </c>
      <c r="D9" s="5">
        <f t="shared" ca="1" si="0"/>
        <v>29.125</v>
      </c>
      <c r="E9" s="5">
        <f t="shared" ref="E9:E54" ca="1" si="1">D9*($E$2+$E$3)</f>
        <v>640.75</v>
      </c>
    </row>
    <row r="10" spans="1:6" x14ac:dyDescent="0.25">
      <c r="A10">
        <v>110230</v>
      </c>
      <c r="B10" t="s">
        <v>1</v>
      </c>
      <c r="C10">
        <f>'[1]VENTAS CONSOLIDADA CARACAS'!C10</f>
        <v>5478</v>
      </c>
      <c r="D10" s="5">
        <f t="shared" ca="1" si="0"/>
        <v>342.375</v>
      </c>
      <c r="E10" s="5">
        <f t="shared" ca="1" si="1"/>
        <v>7532.25</v>
      </c>
    </row>
    <row r="11" spans="1:6" x14ac:dyDescent="0.25">
      <c r="A11">
        <v>110400</v>
      </c>
      <c r="B11" t="s">
        <v>13</v>
      </c>
      <c r="C11">
        <f>'[1]VENTAS CONSOLIDADA CARACAS'!C11</f>
        <v>1164</v>
      </c>
      <c r="D11" s="5">
        <f t="shared" ca="1" si="0"/>
        <v>72.75</v>
      </c>
      <c r="E11" s="5">
        <f t="shared" ca="1" si="1"/>
        <v>1600.5</v>
      </c>
    </row>
    <row r="12" spans="1:6" x14ac:dyDescent="0.25">
      <c r="A12">
        <v>111000</v>
      </c>
      <c r="B12" t="s">
        <v>14</v>
      </c>
      <c r="C12">
        <f>'[1]VENTAS CONSOLIDADA CARACAS'!C12</f>
        <v>153</v>
      </c>
      <c r="D12" s="5">
        <f t="shared" ca="1" si="0"/>
        <v>9.5625</v>
      </c>
      <c r="E12" s="5">
        <f t="shared" ca="1" si="1"/>
        <v>210.375</v>
      </c>
    </row>
    <row r="13" spans="1:6" x14ac:dyDescent="0.25">
      <c r="A13">
        <v>120130</v>
      </c>
      <c r="B13" t="s">
        <v>15</v>
      </c>
      <c r="C13">
        <f>'[1]VENTAS CONSOLIDADA CARACAS'!C13</f>
        <v>13673</v>
      </c>
      <c r="D13" s="5">
        <f t="shared" ca="1" si="0"/>
        <v>854.5625</v>
      </c>
      <c r="E13" s="5">
        <f t="shared" ca="1" si="1"/>
        <v>18800.375</v>
      </c>
    </row>
    <row r="14" spans="1:6" x14ac:dyDescent="0.25">
      <c r="A14">
        <v>120131</v>
      </c>
      <c r="B14" t="s">
        <v>23</v>
      </c>
      <c r="C14">
        <f>'[1]VENTAS CONSOLIDADA CARACAS'!C14</f>
        <v>988</v>
      </c>
      <c r="D14" s="5">
        <f t="shared" ca="1" si="0"/>
        <v>61.75</v>
      </c>
      <c r="E14" s="5">
        <f t="shared" ca="1" si="1"/>
        <v>1358.5</v>
      </c>
    </row>
    <row r="15" spans="1:6" x14ac:dyDescent="0.25">
      <c r="A15">
        <v>120132</v>
      </c>
      <c r="B15" t="s">
        <v>21</v>
      </c>
      <c r="C15">
        <f>'[1]VENTAS CONSOLIDADA CARACAS'!C15</f>
        <v>2098</v>
      </c>
      <c r="D15" s="5">
        <f t="shared" ca="1" si="0"/>
        <v>131.125</v>
      </c>
      <c r="E15" s="5">
        <f t="shared" ca="1" si="1"/>
        <v>2884.75</v>
      </c>
    </row>
    <row r="16" spans="1:6" x14ac:dyDescent="0.25">
      <c r="A16">
        <v>130150</v>
      </c>
      <c r="B16" t="s">
        <v>0</v>
      </c>
      <c r="C16">
        <f>'[1]VENTAS CONSOLIDADA CARACAS'!C16</f>
        <v>4874</v>
      </c>
      <c r="D16" s="5">
        <f t="shared" ca="1" si="0"/>
        <v>304.625</v>
      </c>
      <c r="E16" s="5">
        <f t="shared" ca="1" si="1"/>
        <v>6701.75</v>
      </c>
    </row>
    <row r="17" spans="1:5" x14ac:dyDescent="0.25">
      <c r="A17">
        <v>130151</v>
      </c>
      <c r="B17" t="s">
        <v>4</v>
      </c>
      <c r="C17">
        <f>'[1]VENTAS CONSOLIDADA CARACAS'!C17</f>
        <v>2831</v>
      </c>
      <c r="D17" s="5">
        <f t="shared" ca="1" si="0"/>
        <v>176.9375</v>
      </c>
      <c r="E17" s="5">
        <f t="shared" ca="1" si="1"/>
        <v>3892.625</v>
      </c>
    </row>
    <row r="18" spans="1:5" x14ac:dyDescent="0.25">
      <c r="A18">
        <v>130152</v>
      </c>
      <c r="B18" t="s">
        <v>51</v>
      </c>
      <c r="C18">
        <f>'[1]VENTAS CONSOLIDADA CARACAS'!C18</f>
        <v>26283</v>
      </c>
      <c r="D18" s="5">
        <f t="shared" ca="1" si="0"/>
        <v>1642.6875</v>
      </c>
      <c r="E18" s="5">
        <f t="shared" ca="1" si="1"/>
        <v>36139.125</v>
      </c>
    </row>
    <row r="19" spans="1:5" x14ac:dyDescent="0.25">
      <c r="A19">
        <v>130153</v>
      </c>
      <c r="B19" t="s">
        <v>52</v>
      </c>
      <c r="C19">
        <f>'[1]VENTAS CONSOLIDADA CARACAS'!C19</f>
        <v>17554</v>
      </c>
      <c r="D19" s="5">
        <f t="shared" ca="1" si="0"/>
        <v>1097.125</v>
      </c>
      <c r="E19" s="5">
        <f t="shared" ca="1" si="1"/>
        <v>24136.75</v>
      </c>
    </row>
    <row r="20" spans="1:5" x14ac:dyDescent="0.25">
      <c r="A20">
        <v>130154</v>
      </c>
      <c r="B20" t="s">
        <v>53</v>
      </c>
      <c r="C20">
        <f>'[1]VENTAS CONSOLIDADA CARACAS'!C20</f>
        <v>17224</v>
      </c>
      <c r="D20" s="5">
        <f t="shared" ca="1" si="0"/>
        <v>1076.5</v>
      </c>
      <c r="E20" s="5">
        <f t="shared" ca="1" si="1"/>
        <v>23683</v>
      </c>
    </row>
    <row r="21" spans="1:5" x14ac:dyDescent="0.25">
      <c r="A21">
        <v>130155</v>
      </c>
      <c r="B21" t="s">
        <v>16</v>
      </c>
      <c r="C21">
        <f>'[1]VENTAS CONSOLIDADA CARACAS'!C21</f>
        <v>22147</v>
      </c>
      <c r="D21" s="5">
        <f t="shared" ca="1" si="0"/>
        <v>1384.1875</v>
      </c>
      <c r="E21" s="5">
        <f t="shared" ca="1" si="1"/>
        <v>30452.125</v>
      </c>
    </row>
    <row r="22" spans="1:5" x14ac:dyDescent="0.25">
      <c r="A22">
        <v>130157</v>
      </c>
      <c r="B22" t="s">
        <v>43</v>
      </c>
      <c r="C22">
        <f>'[1]VENTAS CONSOLIDADA CARACAS'!C22</f>
        <v>5612</v>
      </c>
      <c r="D22" s="5">
        <f t="shared" ca="1" si="0"/>
        <v>350.75</v>
      </c>
      <c r="E22" s="5">
        <f t="shared" ca="1" si="1"/>
        <v>7716.5</v>
      </c>
    </row>
    <row r="23" spans="1:5" x14ac:dyDescent="0.25">
      <c r="A23">
        <v>130158</v>
      </c>
      <c r="B23" t="s">
        <v>44</v>
      </c>
      <c r="C23">
        <f>'[1]VENTAS CONSOLIDADA CARACAS'!C23</f>
        <v>5502</v>
      </c>
      <c r="D23" s="5">
        <f t="shared" ca="1" si="0"/>
        <v>343.875</v>
      </c>
      <c r="E23" s="5">
        <f t="shared" ca="1" si="1"/>
        <v>7565.25</v>
      </c>
    </row>
    <row r="24" spans="1:5" x14ac:dyDescent="0.25">
      <c r="A24">
        <v>130159</v>
      </c>
      <c r="B24" t="s">
        <v>45</v>
      </c>
      <c r="C24">
        <f>'[1]VENTAS CONSOLIDADA CARACAS'!C24</f>
        <v>5998</v>
      </c>
      <c r="D24" s="5">
        <f t="shared" ca="1" si="0"/>
        <v>374.875</v>
      </c>
      <c r="E24" s="5">
        <f t="shared" ca="1" si="1"/>
        <v>8247.25</v>
      </c>
    </row>
    <row r="25" spans="1:5" x14ac:dyDescent="0.25">
      <c r="A25">
        <v>130700</v>
      </c>
      <c r="B25" t="s">
        <v>3</v>
      </c>
      <c r="C25">
        <f>'[1]VENTAS CONSOLIDADA CARACAS'!C25</f>
        <v>1592</v>
      </c>
      <c r="D25" s="5">
        <f t="shared" ca="1" si="0"/>
        <v>99.5</v>
      </c>
      <c r="E25" s="5">
        <f t="shared" ca="1" si="1"/>
        <v>2189</v>
      </c>
    </row>
    <row r="26" spans="1:5" x14ac:dyDescent="0.25">
      <c r="A26">
        <v>130701</v>
      </c>
      <c r="B26" t="s">
        <v>30</v>
      </c>
      <c r="C26">
        <f>'[1]VENTAS CONSOLIDADA CARACAS'!C26</f>
        <v>752</v>
      </c>
      <c r="D26" s="5">
        <f t="shared" ca="1" si="0"/>
        <v>47</v>
      </c>
      <c r="E26" s="5">
        <f t="shared" ca="1" si="1"/>
        <v>1034</v>
      </c>
    </row>
    <row r="27" spans="1:5" x14ac:dyDescent="0.25">
      <c r="A27">
        <v>130702</v>
      </c>
      <c r="B27" t="s">
        <v>12</v>
      </c>
      <c r="C27">
        <f>'[1]VENTAS CONSOLIDADA CARACAS'!C27</f>
        <v>3540</v>
      </c>
      <c r="D27" s="5">
        <f t="shared" ca="1" si="0"/>
        <v>221.25</v>
      </c>
      <c r="E27" s="5">
        <f t="shared" ca="1" si="1"/>
        <v>4867.5</v>
      </c>
    </row>
    <row r="28" spans="1:5" x14ac:dyDescent="0.25">
      <c r="A28">
        <v>130703</v>
      </c>
      <c r="B28" t="s">
        <v>17</v>
      </c>
      <c r="C28">
        <f>'[1]VENTAS CONSOLIDADA CARACAS'!C28</f>
        <v>6921</v>
      </c>
      <c r="D28" s="5">
        <f t="shared" ca="1" si="0"/>
        <v>432.5625</v>
      </c>
      <c r="E28" s="5">
        <f t="shared" ca="1" si="1"/>
        <v>9516.375</v>
      </c>
    </row>
    <row r="29" spans="1:5" x14ac:dyDescent="0.25">
      <c r="A29">
        <v>130707</v>
      </c>
      <c r="B29" t="s">
        <v>42</v>
      </c>
      <c r="C29">
        <f>'[1]VENTAS CONSOLIDADA CARACAS'!C29</f>
        <v>890</v>
      </c>
      <c r="D29" s="5">
        <f t="shared" ca="1" si="0"/>
        <v>55.625</v>
      </c>
      <c r="E29" s="5">
        <f t="shared" ca="1" si="1"/>
        <v>1223.75</v>
      </c>
    </row>
    <row r="30" spans="1:5" x14ac:dyDescent="0.25">
      <c r="A30">
        <v>131150</v>
      </c>
      <c r="B30" t="s">
        <v>22</v>
      </c>
      <c r="C30">
        <f>'[1]VENTAS CONSOLIDADA CARACAS'!C30</f>
        <v>6802</v>
      </c>
      <c r="D30" s="5">
        <f t="shared" ca="1" si="0"/>
        <v>425.125</v>
      </c>
      <c r="E30" s="5">
        <f t="shared" ca="1" si="1"/>
        <v>9352.75</v>
      </c>
    </row>
    <row r="31" spans="1:5" x14ac:dyDescent="0.25">
      <c r="A31">
        <v>131151</v>
      </c>
      <c r="B31" t="s">
        <v>19</v>
      </c>
      <c r="C31">
        <f>'[1]VENTAS CONSOLIDADA CARACAS'!C31</f>
        <v>10010</v>
      </c>
      <c r="D31" s="5">
        <f t="shared" ca="1" si="0"/>
        <v>625.625</v>
      </c>
      <c r="E31" s="5">
        <f t="shared" ca="1" si="1"/>
        <v>13763.75</v>
      </c>
    </row>
    <row r="32" spans="1:5" x14ac:dyDescent="0.25">
      <c r="A32">
        <v>131152</v>
      </c>
      <c r="B32" t="s">
        <v>32</v>
      </c>
      <c r="C32">
        <f>'[1]VENTAS CONSOLIDADA CARACAS'!C32</f>
        <v>4583</v>
      </c>
      <c r="D32" s="5">
        <f t="shared" ca="1" si="0"/>
        <v>286.4375</v>
      </c>
      <c r="E32" s="5">
        <f t="shared" ca="1" si="1"/>
        <v>6301.625</v>
      </c>
    </row>
    <row r="33" spans="1:5" x14ac:dyDescent="0.25">
      <c r="A33">
        <v>131153</v>
      </c>
      <c r="B33" t="s">
        <v>11</v>
      </c>
      <c r="C33">
        <f>'[1]VENTAS CONSOLIDADA CARACAS'!C33</f>
        <v>3026</v>
      </c>
      <c r="D33" s="5">
        <f t="shared" ca="1" si="0"/>
        <v>189.125</v>
      </c>
      <c r="E33" s="5">
        <f t="shared" ca="1" si="1"/>
        <v>4160.75</v>
      </c>
    </row>
    <row r="34" spans="1:5" x14ac:dyDescent="0.25">
      <c r="A34">
        <v>131154</v>
      </c>
      <c r="B34" t="s">
        <v>48</v>
      </c>
      <c r="C34">
        <f>'[1]VENTAS CONSOLIDADA CARACAS'!C34</f>
        <v>1457</v>
      </c>
      <c r="D34" s="5">
        <f t="shared" ca="1" si="0"/>
        <v>91.0625</v>
      </c>
      <c r="E34" s="5">
        <f t="shared" ca="1" si="1"/>
        <v>2003.375</v>
      </c>
    </row>
    <row r="35" spans="1:5" x14ac:dyDescent="0.25">
      <c r="A35">
        <v>131155</v>
      </c>
      <c r="B35" t="s">
        <v>57</v>
      </c>
      <c r="C35">
        <f>'[1]VENTAS CONSOLIDADA CARACAS'!C35</f>
        <v>1855</v>
      </c>
      <c r="D35" s="5">
        <f t="shared" ca="1" si="0"/>
        <v>115.9375</v>
      </c>
      <c r="E35" s="5">
        <f t="shared" ca="1" si="1"/>
        <v>2550.625</v>
      </c>
    </row>
    <row r="36" spans="1:5" x14ac:dyDescent="0.25">
      <c r="A36">
        <v>131700</v>
      </c>
      <c r="B36" t="s">
        <v>20</v>
      </c>
      <c r="C36">
        <f>'[1]VENTAS CONSOLIDADA CARACAS'!C36</f>
        <v>1103</v>
      </c>
      <c r="D36" s="5">
        <f t="shared" ca="1" si="0"/>
        <v>68.9375</v>
      </c>
      <c r="E36" s="5">
        <f t="shared" ca="1" si="1"/>
        <v>1516.625</v>
      </c>
    </row>
    <row r="37" spans="1:5" x14ac:dyDescent="0.25">
      <c r="A37">
        <v>131701</v>
      </c>
      <c r="B37" t="s">
        <v>24</v>
      </c>
      <c r="C37">
        <f>'[1]VENTAS CONSOLIDADA CARACAS'!C37</f>
        <v>1077</v>
      </c>
      <c r="D37" s="5">
        <f t="shared" ca="1" si="0"/>
        <v>67.3125</v>
      </c>
      <c r="E37" s="5">
        <f t="shared" ca="1" si="1"/>
        <v>1480.875</v>
      </c>
    </row>
    <row r="38" spans="1:5" x14ac:dyDescent="0.25">
      <c r="A38">
        <v>132150</v>
      </c>
      <c r="B38" t="s">
        <v>25</v>
      </c>
      <c r="C38">
        <f>'[1]VENTAS CONSOLIDADA CARACAS'!C38</f>
        <v>5091</v>
      </c>
      <c r="D38" s="5">
        <f t="shared" ca="1" si="0"/>
        <v>318.1875</v>
      </c>
      <c r="E38" s="5">
        <f t="shared" ca="1" si="1"/>
        <v>7000.125</v>
      </c>
    </row>
    <row r="39" spans="1:5" x14ac:dyDescent="0.25">
      <c r="A39">
        <v>132151</v>
      </c>
      <c r="B39" t="s">
        <v>26</v>
      </c>
      <c r="C39">
        <f>'[1]VENTAS CONSOLIDADA CARACAS'!C39</f>
        <v>4496</v>
      </c>
      <c r="D39" s="5">
        <f t="shared" ca="1" si="0"/>
        <v>281</v>
      </c>
      <c r="E39" s="5">
        <f t="shared" ca="1" si="1"/>
        <v>6182</v>
      </c>
    </row>
    <row r="40" spans="1:5" x14ac:dyDescent="0.25">
      <c r="A40">
        <v>132152</v>
      </c>
      <c r="B40" t="s">
        <v>27</v>
      </c>
      <c r="C40">
        <f>'[1]VENTAS CONSOLIDADA CARACAS'!C40</f>
        <v>5951</v>
      </c>
      <c r="D40" s="5">
        <f t="shared" ca="1" si="0"/>
        <v>371.9375</v>
      </c>
      <c r="E40" s="5">
        <f t="shared" ca="1" si="1"/>
        <v>8182.625</v>
      </c>
    </row>
    <row r="41" spans="1:5" x14ac:dyDescent="0.25">
      <c r="A41">
        <v>132153</v>
      </c>
      <c r="B41" t="s">
        <v>40</v>
      </c>
      <c r="C41">
        <f>'[1]VENTAS CONSOLIDADA CARACAS'!C41</f>
        <v>4334</v>
      </c>
      <c r="D41" s="5">
        <f t="shared" ca="1" si="0"/>
        <v>270.875</v>
      </c>
      <c r="E41" s="5">
        <f t="shared" ca="1" si="1"/>
        <v>5959.25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CARACAS'!C44</f>
        <v>864</v>
      </c>
      <c r="D44" s="5">
        <f t="shared" ca="1" si="0"/>
        <v>54</v>
      </c>
      <c r="E44" s="5">
        <f t="shared" ca="1" si="1"/>
        <v>1188</v>
      </c>
    </row>
    <row r="45" spans="1:5" x14ac:dyDescent="0.25">
      <c r="A45">
        <v>140231</v>
      </c>
      <c r="B45" t="s">
        <v>10</v>
      </c>
      <c r="C45">
        <f>'[1]VENTAS CONSOLIDADA CARACAS'!C45</f>
        <v>4518</v>
      </c>
      <c r="D45" s="5">
        <f t="shared" ca="1" si="0"/>
        <v>282.375</v>
      </c>
      <c r="E45" s="5">
        <f t="shared" ca="1" si="1"/>
        <v>6212.25</v>
      </c>
    </row>
    <row r="46" spans="1:5" x14ac:dyDescent="0.25">
      <c r="A46">
        <v>140232</v>
      </c>
      <c r="B46" t="s">
        <v>9</v>
      </c>
      <c r="C46">
        <f>'[1]VENTAS CONSOLIDADA CARACAS'!C46</f>
        <v>3027</v>
      </c>
      <c r="D46" s="5">
        <f t="shared" ca="1" si="0"/>
        <v>189.1875</v>
      </c>
      <c r="E46" s="5">
        <f t="shared" ca="1" si="1"/>
        <v>4162.125</v>
      </c>
    </row>
    <row r="47" spans="1:5" x14ac:dyDescent="0.25">
      <c r="A47">
        <v>150360</v>
      </c>
      <c r="B47" t="s">
        <v>28</v>
      </c>
      <c r="C47">
        <f>'[1]VENTAS CONSOLIDADA CARACAS'!C47</f>
        <v>2287</v>
      </c>
      <c r="D47" s="5">
        <f t="shared" ca="1" si="0"/>
        <v>142.9375</v>
      </c>
      <c r="E47" s="5">
        <f t="shared" ca="1" si="1"/>
        <v>3144.625</v>
      </c>
    </row>
    <row r="48" spans="1:5" x14ac:dyDescent="0.25">
      <c r="A48">
        <v>150361</v>
      </c>
      <c r="B48" t="s">
        <v>29</v>
      </c>
      <c r="C48">
        <f>'[1]VENTAS CONSOLIDADA CARACAS'!C48</f>
        <v>4301</v>
      </c>
      <c r="D48" s="5">
        <f t="shared" ca="1" si="0"/>
        <v>268.8125</v>
      </c>
      <c r="E48" s="5">
        <f t="shared" ca="1" si="1"/>
        <v>5913.875</v>
      </c>
    </row>
    <row r="49" spans="1:5" x14ac:dyDescent="0.25">
      <c r="A49">
        <v>150362</v>
      </c>
      <c r="B49" t="s">
        <v>36</v>
      </c>
      <c r="C49">
        <f>'[1]VENTAS CONSOLIDADA CARACAS'!C49</f>
        <v>2773</v>
      </c>
      <c r="D49" s="5">
        <f t="shared" ca="1" si="0"/>
        <v>173.3125</v>
      </c>
      <c r="E49" s="5">
        <f t="shared" ca="1" si="1"/>
        <v>3812.875</v>
      </c>
    </row>
    <row r="50" spans="1:5" x14ac:dyDescent="0.25">
      <c r="A50">
        <v>150363</v>
      </c>
      <c r="B50" t="s">
        <v>31</v>
      </c>
      <c r="C50">
        <f>'[1]VENTAS CONSOLIDADA CARACAS'!C50</f>
        <v>2493</v>
      </c>
      <c r="D50" s="5">
        <f t="shared" ca="1" si="0"/>
        <v>155.8125</v>
      </c>
      <c r="E50" s="5">
        <f t="shared" ca="1" si="1"/>
        <v>3427.875</v>
      </c>
    </row>
    <row r="51" spans="1:5" x14ac:dyDescent="0.25">
      <c r="A51">
        <v>151500</v>
      </c>
      <c r="B51" t="s">
        <v>41</v>
      </c>
      <c r="C51">
        <f>'[1]VENTAS CONSOLIDADA CARACAS'!C51</f>
        <v>546</v>
      </c>
      <c r="D51" s="5">
        <f t="shared" ca="1" si="0"/>
        <v>34.125</v>
      </c>
      <c r="E51" s="5">
        <f t="shared" ca="1" si="1"/>
        <v>750.75</v>
      </c>
    </row>
    <row r="52" spans="1:5" x14ac:dyDescent="0.25">
      <c r="A52">
        <v>151501</v>
      </c>
      <c r="B52" t="s">
        <v>33</v>
      </c>
      <c r="C52">
        <f>'[1]VENTAS CONSOLIDADA CARACAS'!C52</f>
        <v>1081</v>
      </c>
      <c r="D52" s="5">
        <f t="shared" ca="1" si="0"/>
        <v>67.5625</v>
      </c>
      <c r="E52" s="5">
        <f t="shared" ca="1" si="1"/>
        <v>1486.375</v>
      </c>
    </row>
    <row r="53" spans="1:5" x14ac:dyDescent="0.25">
      <c r="A53">
        <v>151502</v>
      </c>
      <c r="B53" t="s">
        <v>37</v>
      </c>
      <c r="C53">
        <f>'[1]VENTAS CONSOLIDADA CARACAS'!C53</f>
        <v>404</v>
      </c>
      <c r="D53" s="5">
        <f t="shared" ca="1" si="0"/>
        <v>25.25</v>
      </c>
      <c r="E53" s="5">
        <f t="shared" ca="1" si="1"/>
        <v>555.5</v>
      </c>
    </row>
    <row r="54" spans="1:5" x14ac:dyDescent="0.25">
      <c r="A54">
        <v>151503</v>
      </c>
      <c r="B54" t="s">
        <v>34</v>
      </c>
      <c r="C54">
        <f>'[1]VENTAS CONSOLIDADA CARACAS'!C54</f>
        <v>544</v>
      </c>
      <c r="D54" s="5">
        <f t="shared" ca="1" si="0"/>
        <v>34</v>
      </c>
      <c r="E54" s="5">
        <f t="shared" ca="1" si="1"/>
        <v>748</v>
      </c>
    </row>
    <row r="55" spans="1:5" x14ac:dyDescent="0.25">
      <c r="D55" s="5">
        <f ca="1">SUM(D8:D54)</f>
        <v>14448.375</v>
      </c>
      <c r="E55" s="5">
        <f ca="1">SUM(E8:E54)</f>
        <v>317864.25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H21" sqref="H21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'[1]VENTAS CONSOLIDADA LARA'!D2</f>
        <v>46288</v>
      </c>
      <c r="E2" s="4">
        <f ca="1">'[1]VENTAS CONSOLIDADA LARA'!E2</f>
        <v>16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 ca="1">'[1]VENTAS CONSOLIDADA LARA'!E3</f>
        <v>6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735</v>
      </c>
      <c r="D8" s="5">
        <f t="shared" ref="D8:D54" ca="1" si="0">C8/$E$2</f>
        <v>45.9375</v>
      </c>
      <c r="E8" s="5">
        <f ca="1">D8*($E$2+$E$3)</f>
        <v>1010.625</v>
      </c>
    </row>
    <row r="9" spans="1:5" x14ac:dyDescent="0.25">
      <c r="A9">
        <v>110151</v>
      </c>
      <c r="B9" t="s">
        <v>5</v>
      </c>
      <c r="C9">
        <f>'[1]VENTAS CONSOLIDADA LARA'!C9</f>
        <v>27</v>
      </c>
      <c r="D9" s="5">
        <f t="shared" ca="1" si="0"/>
        <v>1.6875</v>
      </c>
      <c r="E9" s="5">
        <f t="shared" ref="E9:E54" ca="1" si="1">D9*($E$2+$E$3)</f>
        <v>37.125</v>
      </c>
    </row>
    <row r="10" spans="1:5" x14ac:dyDescent="0.25">
      <c r="A10">
        <v>110230</v>
      </c>
      <c r="B10" t="s">
        <v>1</v>
      </c>
      <c r="C10">
        <f>'[1]VENTAS CONSOLIDADA LARA'!C10</f>
        <v>226</v>
      </c>
      <c r="D10" s="5">
        <f t="shared" ca="1" si="0"/>
        <v>14.125</v>
      </c>
      <c r="E10" s="5">
        <f t="shared" ca="1" si="1"/>
        <v>310.75</v>
      </c>
    </row>
    <row r="11" spans="1:5" x14ac:dyDescent="0.25">
      <c r="A11">
        <v>110400</v>
      </c>
      <c r="B11" t="s">
        <v>13</v>
      </c>
      <c r="C11">
        <f>'[1]VENTAS CONSOLIDADA LARA'!C11</f>
        <v>14</v>
      </c>
      <c r="D11" s="5">
        <f t="shared" ca="1" si="0"/>
        <v>0.875</v>
      </c>
      <c r="E11" s="5">
        <f t="shared" ca="1" si="1"/>
        <v>19.25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t="shared" ca="1" si="0"/>
        <v>0</v>
      </c>
      <c r="E12" s="5">
        <f t="shared" ca="1" si="1"/>
        <v>0</v>
      </c>
    </row>
    <row r="13" spans="1:5" x14ac:dyDescent="0.25">
      <c r="A13">
        <v>120130</v>
      </c>
      <c r="B13" t="s">
        <v>15</v>
      </c>
      <c r="C13">
        <f>'[1]VENTAS CONSOLIDADA LARA'!C13</f>
        <v>2401</v>
      </c>
      <c r="D13" s="5">
        <f t="shared" ca="1" si="0"/>
        <v>150.0625</v>
      </c>
      <c r="E13" s="5">
        <f t="shared" ca="1" si="1"/>
        <v>3301.375</v>
      </c>
    </row>
    <row r="14" spans="1:5" x14ac:dyDescent="0.25">
      <c r="A14">
        <v>120131</v>
      </c>
      <c r="B14" t="s">
        <v>23</v>
      </c>
      <c r="C14">
        <f>'[1]VENTAS CONSOLIDADA LARA'!C14</f>
        <v>194</v>
      </c>
      <c r="D14" s="5">
        <f t="shared" ca="1" si="0"/>
        <v>12.125</v>
      </c>
      <c r="E14" s="5">
        <f t="shared" ca="1" si="1"/>
        <v>266.75</v>
      </c>
    </row>
    <row r="15" spans="1:5" x14ac:dyDescent="0.25">
      <c r="A15">
        <v>120132</v>
      </c>
      <c r="B15" t="s">
        <v>21</v>
      </c>
      <c r="C15">
        <f>'[1]VENTAS CONSOLIDADA LARA'!C15</f>
        <v>333</v>
      </c>
      <c r="D15" s="5">
        <f t="shared" ca="1" si="0"/>
        <v>20.8125</v>
      </c>
      <c r="E15" s="5">
        <f t="shared" ca="1" si="1"/>
        <v>457.875</v>
      </c>
    </row>
    <row r="16" spans="1:5" x14ac:dyDescent="0.25">
      <c r="A16">
        <v>130150</v>
      </c>
      <c r="B16" t="s">
        <v>0</v>
      </c>
      <c r="C16">
        <f>'[1]VENTAS CONSOLIDADA LARA'!C16</f>
        <v>1225</v>
      </c>
      <c r="D16" s="5">
        <f t="shared" ca="1" si="0"/>
        <v>76.5625</v>
      </c>
      <c r="E16" s="5">
        <f t="shared" ca="1" si="1"/>
        <v>1684.375</v>
      </c>
    </row>
    <row r="17" spans="1:5" x14ac:dyDescent="0.25">
      <c r="A17">
        <v>130151</v>
      </c>
      <c r="B17" t="s">
        <v>4</v>
      </c>
      <c r="C17">
        <f>'[1]VENTAS CONSOLIDADA LARA'!C17</f>
        <v>374</v>
      </c>
      <c r="D17" s="5">
        <f t="shared" ca="1" si="0"/>
        <v>23.375</v>
      </c>
      <c r="E17" s="5">
        <f t="shared" ca="1" si="1"/>
        <v>514.25</v>
      </c>
    </row>
    <row r="18" spans="1:5" x14ac:dyDescent="0.25">
      <c r="A18">
        <v>130152</v>
      </c>
      <c r="B18" t="s">
        <v>51</v>
      </c>
      <c r="C18">
        <f>'[1]VENTAS CONSOLIDADA LARA'!C18</f>
        <v>8609</v>
      </c>
      <c r="D18" s="5">
        <f t="shared" ca="1" si="0"/>
        <v>538.0625</v>
      </c>
      <c r="E18" s="5">
        <f t="shared" ca="1" si="1"/>
        <v>11837.375</v>
      </c>
    </row>
    <row r="19" spans="1:5" x14ac:dyDescent="0.25">
      <c r="A19">
        <v>130153</v>
      </c>
      <c r="B19" t="s">
        <v>52</v>
      </c>
      <c r="C19">
        <f>'[1]VENTAS CONSOLIDADA LARA'!C19</f>
        <v>4576</v>
      </c>
      <c r="D19" s="5">
        <f t="shared" ca="1" si="0"/>
        <v>286</v>
      </c>
      <c r="E19" s="5">
        <f t="shared" ca="1" si="1"/>
        <v>6292</v>
      </c>
    </row>
    <row r="20" spans="1:5" x14ac:dyDescent="0.25">
      <c r="A20">
        <v>130154</v>
      </c>
      <c r="B20" t="s">
        <v>53</v>
      </c>
      <c r="C20">
        <f>'[1]VENTAS CONSOLIDADA LARA'!C20</f>
        <v>4673</v>
      </c>
      <c r="D20" s="5">
        <f t="shared" ca="1" si="0"/>
        <v>292.0625</v>
      </c>
      <c r="E20" s="5">
        <f t="shared" ca="1" si="1"/>
        <v>6425.375</v>
      </c>
    </row>
    <row r="21" spans="1:5" x14ac:dyDescent="0.25">
      <c r="A21">
        <v>130155</v>
      </c>
      <c r="B21" t="s">
        <v>16</v>
      </c>
      <c r="C21">
        <f>'[1]VENTAS CONSOLIDADA LARA'!C21</f>
        <v>5731</v>
      </c>
      <c r="D21" s="5">
        <f t="shared" ca="1" si="0"/>
        <v>358.1875</v>
      </c>
      <c r="E21" s="5">
        <f t="shared" ca="1" si="1"/>
        <v>7880.125</v>
      </c>
    </row>
    <row r="22" spans="1:5" x14ac:dyDescent="0.25">
      <c r="A22">
        <v>130157</v>
      </c>
      <c r="B22" t="s">
        <v>43</v>
      </c>
      <c r="C22">
        <f>'[1]VENTAS CONSOLIDADA LARA'!C22</f>
        <v>1866</v>
      </c>
      <c r="D22" s="5">
        <f t="shared" ca="1" si="0"/>
        <v>116.625</v>
      </c>
      <c r="E22" s="5">
        <f t="shared" ca="1" si="1"/>
        <v>2565.75</v>
      </c>
    </row>
    <row r="23" spans="1:5" x14ac:dyDescent="0.25">
      <c r="A23">
        <v>130158</v>
      </c>
      <c r="B23" t="s">
        <v>44</v>
      </c>
      <c r="C23">
        <f>'[1]VENTAS CONSOLIDADA LARA'!C23</f>
        <v>2187</v>
      </c>
      <c r="D23" s="5">
        <f t="shared" ca="1" si="0"/>
        <v>136.6875</v>
      </c>
      <c r="E23" s="5">
        <f t="shared" ca="1" si="1"/>
        <v>3007.125</v>
      </c>
    </row>
    <row r="24" spans="1:5" x14ac:dyDescent="0.25">
      <c r="A24">
        <v>130159</v>
      </c>
      <c r="B24" t="s">
        <v>45</v>
      </c>
      <c r="C24">
        <f>'[1]VENTAS CONSOLIDADA LARA'!C24</f>
        <v>2322</v>
      </c>
      <c r="D24" s="5">
        <f t="shared" ca="1" si="0"/>
        <v>145.125</v>
      </c>
      <c r="E24" s="5">
        <f t="shared" ca="1" si="1"/>
        <v>3192.75</v>
      </c>
    </row>
    <row r="25" spans="1:5" x14ac:dyDescent="0.25">
      <c r="A25">
        <v>130700</v>
      </c>
      <c r="B25" t="s">
        <v>3</v>
      </c>
      <c r="C25">
        <f>'[1]VENTAS CONSOLIDADA LARA'!C25</f>
        <v>475</v>
      </c>
      <c r="D25" s="5">
        <f t="shared" ca="1" si="0"/>
        <v>29.6875</v>
      </c>
      <c r="E25" s="5">
        <f t="shared" ca="1" si="1"/>
        <v>653.125</v>
      </c>
    </row>
    <row r="26" spans="1:5" x14ac:dyDescent="0.25">
      <c r="A26">
        <v>130701</v>
      </c>
      <c r="B26" t="s">
        <v>30</v>
      </c>
      <c r="C26">
        <f>'[1]VENTAS CONSOLIDADA LARA'!C26</f>
        <v>137</v>
      </c>
      <c r="D26" s="5">
        <f t="shared" ca="1" si="0"/>
        <v>8.5625</v>
      </c>
      <c r="E26" s="5">
        <f t="shared" ca="1" si="1"/>
        <v>188.375</v>
      </c>
    </row>
    <row r="27" spans="1:5" x14ac:dyDescent="0.25">
      <c r="A27">
        <v>130702</v>
      </c>
      <c r="B27" t="s">
        <v>12</v>
      </c>
      <c r="C27">
        <f>'[1]VENTAS CONSOLIDADA LARA'!C27</f>
        <v>1286</v>
      </c>
      <c r="D27" s="5">
        <f t="shared" ca="1" si="0"/>
        <v>80.375</v>
      </c>
      <c r="E27" s="5">
        <f t="shared" ca="1" si="1"/>
        <v>1768.25</v>
      </c>
    </row>
    <row r="28" spans="1:5" x14ac:dyDescent="0.25">
      <c r="A28">
        <v>130703</v>
      </c>
      <c r="B28" t="s">
        <v>17</v>
      </c>
      <c r="C28">
        <f>'[1]VENTAS CONSOLIDADA LARA'!C28</f>
        <v>1682</v>
      </c>
      <c r="D28" s="5">
        <f t="shared" ca="1" si="0"/>
        <v>105.125</v>
      </c>
      <c r="E28" s="5">
        <f t="shared" ca="1" si="1"/>
        <v>2312.75</v>
      </c>
    </row>
    <row r="29" spans="1:5" x14ac:dyDescent="0.25">
      <c r="A29">
        <v>130707</v>
      </c>
      <c r="B29" t="s">
        <v>42</v>
      </c>
      <c r="C29">
        <f>'[1]VENTAS CONSOLIDADA LARA'!C29</f>
        <v>110</v>
      </c>
      <c r="D29" s="5">
        <f t="shared" ca="1" si="0"/>
        <v>6.875</v>
      </c>
      <c r="E29" s="5">
        <f t="shared" ca="1" si="1"/>
        <v>151.25</v>
      </c>
    </row>
    <row r="30" spans="1:5" x14ac:dyDescent="0.25">
      <c r="A30">
        <v>131150</v>
      </c>
      <c r="B30" t="s">
        <v>22</v>
      </c>
      <c r="C30">
        <f>'[1]VENTAS CONSOLIDADA LARA'!C30</f>
        <v>676</v>
      </c>
      <c r="D30" s="5">
        <f t="shared" ca="1" si="0"/>
        <v>42.25</v>
      </c>
      <c r="E30" s="5">
        <f t="shared" ca="1" si="1"/>
        <v>929.5</v>
      </c>
    </row>
    <row r="31" spans="1:5" x14ac:dyDescent="0.25">
      <c r="A31">
        <v>131151</v>
      </c>
      <c r="B31" t="s">
        <v>19</v>
      </c>
      <c r="C31">
        <f>'[1]VENTAS CONSOLIDADA LARA'!C31</f>
        <v>1638</v>
      </c>
      <c r="D31" s="5">
        <f t="shared" ca="1" si="0"/>
        <v>102.375</v>
      </c>
      <c r="E31" s="5">
        <f t="shared" ca="1" si="1"/>
        <v>2252.25</v>
      </c>
    </row>
    <row r="32" spans="1:5" x14ac:dyDescent="0.25">
      <c r="A32">
        <v>131152</v>
      </c>
      <c r="B32" t="s">
        <v>32</v>
      </c>
      <c r="C32">
        <f>'[1]VENTAS CONSOLIDADA LARA'!C32</f>
        <v>883</v>
      </c>
      <c r="D32" s="5">
        <f t="shared" ca="1" si="0"/>
        <v>55.1875</v>
      </c>
      <c r="E32" s="5">
        <f t="shared" ca="1" si="1"/>
        <v>1214.125</v>
      </c>
    </row>
    <row r="33" spans="1:5" x14ac:dyDescent="0.25">
      <c r="A33">
        <v>131153</v>
      </c>
      <c r="B33" t="s">
        <v>11</v>
      </c>
      <c r="C33">
        <f>'[1]VENTAS CONSOLIDADA LARA'!C33</f>
        <v>548</v>
      </c>
      <c r="D33" s="5">
        <f t="shared" ca="1" si="0"/>
        <v>34.25</v>
      </c>
      <c r="E33" s="5">
        <f t="shared" ca="1" si="1"/>
        <v>753.5</v>
      </c>
    </row>
    <row r="34" spans="1:5" x14ac:dyDescent="0.25">
      <c r="A34">
        <v>131154</v>
      </c>
      <c r="B34" t="s">
        <v>48</v>
      </c>
      <c r="C34">
        <f>'[1]VENTAS CONSOLIDADA LARA'!C34</f>
        <v>803</v>
      </c>
      <c r="D34" s="5">
        <f t="shared" ca="1" si="0"/>
        <v>50.1875</v>
      </c>
      <c r="E34" s="5">
        <f t="shared" ca="1" si="1"/>
        <v>1104.125</v>
      </c>
    </row>
    <row r="35" spans="1:5" x14ac:dyDescent="0.25">
      <c r="A35">
        <v>131155</v>
      </c>
      <c r="B35" t="s">
        <v>57</v>
      </c>
      <c r="C35">
        <f>'[1]VENTAS CONSOLIDADA LARA'!C35</f>
        <v>962</v>
      </c>
      <c r="D35" s="5">
        <f t="shared" ca="1" si="0"/>
        <v>60.125</v>
      </c>
      <c r="E35" s="5">
        <f t="shared" ca="1" si="1"/>
        <v>1322.75</v>
      </c>
    </row>
    <row r="36" spans="1:5" x14ac:dyDescent="0.25">
      <c r="A36">
        <v>131700</v>
      </c>
      <c r="B36" t="s">
        <v>20</v>
      </c>
      <c r="C36">
        <f>'[1]VENTAS CONSOLIDADA LARA'!C36</f>
        <v>166</v>
      </c>
      <c r="D36" s="5">
        <f t="shared" ca="1" si="0"/>
        <v>10.375</v>
      </c>
      <c r="E36" s="5">
        <f t="shared" ca="1" si="1"/>
        <v>228.25</v>
      </c>
    </row>
    <row r="37" spans="1:5" x14ac:dyDescent="0.25">
      <c r="A37">
        <v>131701</v>
      </c>
      <c r="B37" t="s">
        <v>24</v>
      </c>
      <c r="C37">
        <f>'[1]VENTAS CONSOLIDADA LARA'!C37</f>
        <v>264</v>
      </c>
      <c r="D37" s="5">
        <f t="shared" ca="1" si="0"/>
        <v>16.5</v>
      </c>
      <c r="E37" s="5">
        <f t="shared" ca="1" si="1"/>
        <v>363</v>
      </c>
    </row>
    <row r="38" spans="1:5" x14ac:dyDescent="0.25">
      <c r="A38">
        <v>132150</v>
      </c>
      <c r="B38" t="s">
        <v>25</v>
      </c>
      <c r="C38">
        <f>'[1]VENTAS CONSOLIDADA LARA'!C38</f>
        <v>1861</v>
      </c>
      <c r="D38" s="5">
        <f t="shared" ca="1" si="0"/>
        <v>116.3125</v>
      </c>
      <c r="E38" s="5">
        <f t="shared" ca="1" si="1"/>
        <v>2558.875</v>
      </c>
    </row>
    <row r="39" spans="1:5" x14ac:dyDescent="0.25">
      <c r="A39">
        <v>132151</v>
      </c>
      <c r="B39" t="s">
        <v>26</v>
      </c>
      <c r="C39">
        <f>'[1]VENTAS CONSOLIDADA LARA'!C39</f>
        <v>1023</v>
      </c>
      <c r="D39" s="5">
        <f t="shared" ca="1" si="0"/>
        <v>63.9375</v>
      </c>
      <c r="E39" s="5">
        <f t="shared" ca="1" si="1"/>
        <v>1406.625</v>
      </c>
    </row>
    <row r="40" spans="1:5" x14ac:dyDescent="0.25">
      <c r="A40">
        <v>132152</v>
      </c>
      <c r="B40" t="s">
        <v>27</v>
      </c>
      <c r="C40">
        <f>'[1]VENTAS CONSOLIDADA LARA'!C40</f>
        <v>1497</v>
      </c>
      <c r="D40" s="5">
        <f t="shared" ca="1" si="0"/>
        <v>93.5625</v>
      </c>
      <c r="E40" s="5">
        <f t="shared" ca="1" si="1"/>
        <v>2058.375</v>
      </c>
    </row>
    <row r="41" spans="1:5" x14ac:dyDescent="0.25">
      <c r="A41">
        <v>132153</v>
      </c>
      <c r="B41" t="s">
        <v>40</v>
      </c>
      <c r="C41">
        <f>'[1]VENTAS CONSOLIDADA LARA'!C41</f>
        <v>647</v>
      </c>
      <c r="D41" s="5">
        <f t="shared" ca="1" si="0"/>
        <v>40.4375</v>
      </c>
      <c r="E41" s="5">
        <f t="shared" ca="1" si="1"/>
        <v>889.625</v>
      </c>
    </row>
    <row r="42" spans="1:5" x14ac:dyDescent="0.25">
      <c r="A42">
        <v>134000</v>
      </c>
      <c r="B42" t="s">
        <v>35</v>
      </c>
      <c r="C42">
        <f>'[1]VENTAS CONSOLIDADA LARA'!C42</f>
        <v>18</v>
      </c>
      <c r="D42" s="5">
        <f t="shared" ca="1" si="0"/>
        <v>1.125</v>
      </c>
      <c r="E42" s="5">
        <f t="shared" ca="1" si="1"/>
        <v>24.75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LARA'!C44</f>
        <v>203</v>
      </c>
      <c r="D44" s="5">
        <f t="shared" ca="1" si="0"/>
        <v>12.6875</v>
      </c>
      <c r="E44" s="5">
        <f t="shared" ca="1" si="1"/>
        <v>279.125</v>
      </c>
    </row>
    <row r="45" spans="1:5" x14ac:dyDescent="0.25">
      <c r="A45">
        <v>140231</v>
      </c>
      <c r="B45" t="s">
        <v>10</v>
      </c>
      <c r="C45">
        <f>'[1]VENTAS CONSOLIDADA LARA'!C45</f>
        <v>453</v>
      </c>
      <c r="D45" s="5">
        <f t="shared" ca="1" si="0"/>
        <v>28.3125</v>
      </c>
      <c r="E45" s="5">
        <f t="shared" ca="1" si="1"/>
        <v>622.875</v>
      </c>
    </row>
    <row r="46" spans="1:5" x14ac:dyDescent="0.25">
      <c r="A46">
        <v>140232</v>
      </c>
      <c r="B46" t="s">
        <v>9</v>
      </c>
      <c r="C46">
        <f>'[1]VENTAS CONSOLIDADA LARA'!C46</f>
        <v>521</v>
      </c>
      <c r="D46" s="5">
        <f t="shared" ca="1" si="0"/>
        <v>32.5625</v>
      </c>
      <c r="E46" s="5">
        <f t="shared" ca="1" si="1"/>
        <v>716.375</v>
      </c>
    </row>
    <row r="47" spans="1:5" x14ac:dyDescent="0.25">
      <c r="A47">
        <v>150360</v>
      </c>
      <c r="B47" t="s">
        <v>28</v>
      </c>
      <c r="C47">
        <f>'[1]VENTAS CONSOLIDADA LARA'!C47</f>
        <v>321</v>
      </c>
      <c r="D47" s="5">
        <f t="shared" ca="1" si="0"/>
        <v>20.0625</v>
      </c>
      <c r="E47" s="5">
        <f t="shared" ca="1" si="1"/>
        <v>441.375</v>
      </c>
    </row>
    <row r="48" spans="1:5" x14ac:dyDescent="0.25">
      <c r="A48">
        <v>150361</v>
      </c>
      <c r="B48" t="s">
        <v>29</v>
      </c>
      <c r="C48">
        <f>'[1]VENTAS CONSOLIDADA LARA'!C48</f>
        <v>823</v>
      </c>
      <c r="D48" s="5">
        <f t="shared" ca="1" si="0"/>
        <v>51.4375</v>
      </c>
      <c r="E48" s="5">
        <f t="shared" ca="1" si="1"/>
        <v>1131.625</v>
      </c>
    </row>
    <row r="49" spans="1:5" x14ac:dyDescent="0.25">
      <c r="A49">
        <v>150362</v>
      </c>
      <c r="B49" t="s">
        <v>36</v>
      </c>
      <c r="C49">
        <f>'[1]VENTAS CONSOLIDADA LARA'!C49</f>
        <v>403</v>
      </c>
      <c r="D49" s="5">
        <f t="shared" ca="1" si="0"/>
        <v>25.1875</v>
      </c>
      <c r="E49" s="5">
        <f t="shared" ca="1" si="1"/>
        <v>554.125</v>
      </c>
    </row>
    <row r="50" spans="1:5" x14ac:dyDescent="0.25">
      <c r="A50">
        <v>150363</v>
      </c>
      <c r="B50" t="s">
        <v>31</v>
      </c>
      <c r="C50">
        <f>'[1]VENTAS CONSOLIDADA LARA'!C50</f>
        <v>445</v>
      </c>
      <c r="D50" s="5">
        <f t="shared" ca="1" si="0"/>
        <v>27.8125</v>
      </c>
      <c r="E50" s="5">
        <f t="shared" ca="1" si="1"/>
        <v>611.875</v>
      </c>
    </row>
    <row r="51" spans="1:5" x14ac:dyDescent="0.25">
      <c r="A51">
        <v>151500</v>
      </c>
      <c r="B51" t="s">
        <v>41</v>
      </c>
      <c r="C51">
        <f>'[1]VENTAS CONSOLIDADA LARA'!C51</f>
        <v>117</v>
      </c>
      <c r="D51" s="5">
        <f t="shared" ca="1" si="0"/>
        <v>7.3125</v>
      </c>
      <c r="E51" s="5">
        <f t="shared" ca="1" si="1"/>
        <v>160.875</v>
      </c>
    </row>
    <row r="52" spans="1:5" x14ac:dyDescent="0.25">
      <c r="A52">
        <v>151501</v>
      </c>
      <c r="B52" t="s">
        <v>33</v>
      </c>
      <c r="C52">
        <f>'[1]VENTAS CONSOLIDADA LARA'!C52</f>
        <v>332</v>
      </c>
      <c r="D52" s="5">
        <f t="shared" ca="1" si="0"/>
        <v>20.75</v>
      </c>
      <c r="E52" s="5">
        <f t="shared" ca="1" si="1"/>
        <v>456.5</v>
      </c>
    </row>
    <row r="53" spans="1:5" x14ac:dyDescent="0.25">
      <c r="A53">
        <v>151502</v>
      </c>
      <c r="B53" t="s">
        <v>37</v>
      </c>
      <c r="C53">
        <f>'[1]VENTAS CONSOLIDADA LARA'!C53</f>
        <v>93</v>
      </c>
      <c r="D53" s="5">
        <f t="shared" ca="1" si="0"/>
        <v>5.8125</v>
      </c>
      <c r="E53" s="5">
        <f t="shared" ca="1" si="1"/>
        <v>127.875</v>
      </c>
    </row>
    <row r="54" spans="1:5" x14ac:dyDescent="0.25">
      <c r="A54">
        <v>151503</v>
      </c>
      <c r="B54" t="s">
        <v>34</v>
      </c>
      <c r="C54">
        <f>'[1]VENTAS CONSOLIDADA LARA'!C54</f>
        <v>102</v>
      </c>
      <c r="D54" s="5">
        <f t="shared" ca="1" si="0"/>
        <v>6.375</v>
      </c>
      <c r="E54" s="5">
        <f t="shared" ca="1" si="1"/>
        <v>140.25</v>
      </c>
    </row>
    <row r="55" spans="1:5" x14ac:dyDescent="0.25">
      <c r="D55" s="5">
        <f ca="1">SUM(D8:D54)</f>
        <v>3373.875</v>
      </c>
      <c r="E55" s="5">
        <f ca="1">SUM(E8:E54)</f>
        <v>74225.25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'[1]VENTAS CONSOLIDADA ANZOATEGUI'!D2</f>
        <v>46288</v>
      </c>
      <c r="E2" s="4">
        <f ca="1">'[1]VENTAS CONSOLIDADA ANZOATEGUI'!E2</f>
        <v>16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 ca="1">'[1]VENTAS CONSOLIDADA ANZOATEGUI'!E3</f>
        <v>6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751</v>
      </c>
      <c r="D8" s="5">
        <f t="shared" ref="D8:D54" ca="1" si="0">C8/$E$2</f>
        <v>46.9375</v>
      </c>
      <c r="E8" s="5">
        <f t="shared" ref="E8:E54" ca="1" si="1">D8*($E$2+$E$3)</f>
        <v>1032.625</v>
      </c>
    </row>
    <row r="9" spans="1:5" x14ac:dyDescent="0.25">
      <c r="A9">
        <v>110151</v>
      </c>
      <c r="B9" t="s">
        <v>5</v>
      </c>
      <c r="C9">
        <f>'[1]VENTAS CONSOLIDADA ANZOATEGUI'!C9</f>
        <v>75</v>
      </c>
      <c r="D9" s="5">
        <f t="shared" ca="1" si="0"/>
        <v>4.6875</v>
      </c>
      <c r="E9" s="5">
        <f t="shared" ca="1" si="1"/>
        <v>103.125</v>
      </c>
    </row>
    <row r="10" spans="1:5" x14ac:dyDescent="0.25">
      <c r="A10">
        <v>110230</v>
      </c>
      <c r="B10" t="s">
        <v>1</v>
      </c>
      <c r="C10">
        <f>'[1]VENTAS CONSOLIDADA ANZOATEGUI'!C10</f>
        <v>180</v>
      </c>
      <c r="D10" s="5">
        <f t="shared" ca="1" si="0"/>
        <v>11.25</v>
      </c>
      <c r="E10" s="5">
        <f t="shared" ca="1" si="1"/>
        <v>247.5</v>
      </c>
    </row>
    <row r="11" spans="1:5" x14ac:dyDescent="0.25">
      <c r="A11">
        <v>110400</v>
      </c>
      <c r="B11" t="s">
        <v>13</v>
      </c>
      <c r="C11">
        <f>'[1]VENTAS CONSOLIDADA ANZOATEGUI'!C11</f>
        <v>34</v>
      </c>
      <c r="D11" s="5">
        <f t="shared" ca="1" si="0"/>
        <v>2.125</v>
      </c>
      <c r="E11" s="5">
        <f t="shared" ca="1" si="1"/>
        <v>46.75</v>
      </c>
    </row>
    <row r="12" spans="1:5" x14ac:dyDescent="0.25">
      <c r="A12">
        <v>111000</v>
      </c>
      <c r="B12" t="s">
        <v>14</v>
      </c>
      <c r="C12">
        <f>'[1]VENTAS CONSOLIDADA ANZOATEGUI'!C12</f>
        <v>8</v>
      </c>
      <c r="D12" s="5">
        <f t="shared" ca="1" si="0"/>
        <v>0.5</v>
      </c>
      <c r="E12" s="5">
        <f t="shared" ca="1" si="1"/>
        <v>11</v>
      </c>
    </row>
    <row r="13" spans="1:5" x14ac:dyDescent="0.25">
      <c r="A13">
        <v>120130</v>
      </c>
      <c r="B13" t="s">
        <v>15</v>
      </c>
      <c r="C13">
        <f>'[1]VENTAS CONSOLIDADA ANZOATEGUI'!C13</f>
        <v>936</v>
      </c>
      <c r="D13" s="5">
        <f t="shared" ca="1" si="0"/>
        <v>58.5</v>
      </c>
      <c r="E13" s="5">
        <f t="shared" ca="1" si="1"/>
        <v>1287</v>
      </c>
    </row>
    <row r="14" spans="1:5" x14ac:dyDescent="0.25">
      <c r="A14">
        <v>120131</v>
      </c>
      <c r="B14" t="s">
        <v>23</v>
      </c>
      <c r="C14">
        <f>'[1]VENTAS CONSOLIDADA ANZOATEGUI'!C14</f>
        <v>79</v>
      </c>
      <c r="D14" s="5">
        <f t="shared" ca="1" si="0"/>
        <v>4.9375</v>
      </c>
      <c r="E14" s="5">
        <f t="shared" ca="1" si="1"/>
        <v>108.625</v>
      </c>
    </row>
    <row r="15" spans="1:5" x14ac:dyDescent="0.25">
      <c r="A15">
        <v>120132</v>
      </c>
      <c r="B15" t="s">
        <v>21</v>
      </c>
      <c r="C15">
        <f>'[1]VENTAS CONSOLIDADA ANZOATEGUI'!C15</f>
        <v>156</v>
      </c>
      <c r="D15" s="5">
        <f t="shared" ca="1" si="0"/>
        <v>9.75</v>
      </c>
      <c r="E15" s="5">
        <f t="shared" ca="1" si="1"/>
        <v>214.5</v>
      </c>
    </row>
    <row r="16" spans="1:5" x14ac:dyDescent="0.25">
      <c r="A16">
        <v>130150</v>
      </c>
      <c r="B16" t="s">
        <v>0</v>
      </c>
      <c r="C16">
        <f>'[1]VENTAS CONSOLIDADA ANZOATEGUI'!C16</f>
        <v>437</v>
      </c>
      <c r="D16" s="5">
        <f t="shared" ca="1" si="0"/>
        <v>27.3125</v>
      </c>
      <c r="E16" s="5">
        <f t="shared" ca="1" si="1"/>
        <v>600.875</v>
      </c>
    </row>
    <row r="17" spans="1:5" x14ac:dyDescent="0.25">
      <c r="A17">
        <v>130151</v>
      </c>
      <c r="B17" t="s">
        <v>4</v>
      </c>
      <c r="C17">
        <f>'[1]VENTAS CONSOLIDADA ANZOATEGUI'!C17</f>
        <v>92</v>
      </c>
      <c r="D17" s="5">
        <f t="shared" ca="1" si="0"/>
        <v>5.75</v>
      </c>
      <c r="E17" s="5">
        <f t="shared" ca="1" si="1"/>
        <v>126.5</v>
      </c>
    </row>
    <row r="18" spans="1:5" x14ac:dyDescent="0.25">
      <c r="A18">
        <v>130152</v>
      </c>
      <c r="B18" t="s">
        <v>51</v>
      </c>
      <c r="C18">
        <f>'[1]VENTAS CONSOLIDADA ANZOATEGUI'!C18</f>
        <v>2396</v>
      </c>
      <c r="D18" s="5">
        <f t="shared" ca="1" si="0"/>
        <v>149.75</v>
      </c>
      <c r="E18" s="5">
        <f t="shared" ca="1" si="1"/>
        <v>3294.5</v>
      </c>
    </row>
    <row r="19" spans="1:5" x14ac:dyDescent="0.25">
      <c r="A19">
        <v>130153</v>
      </c>
      <c r="B19" t="s">
        <v>52</v>
      </c>
      <c r="C19">
        <f>'[1]VENTAS CONSOLIDADA ANZOATEGUI'!C19</f>
        <v>1385</v>
      </c>
      <c r="D19" s="5">
        <f t="shared" ca="1" si="0"/>
        <v>86.5625</v>
      </c>
      <c r="E19" s="5">
        <f t="shared" ca="1" si="1"/>
        <v>1904.375</v>
      </c>
    </row>
    <row r="20" spans="1:5" x14ac:dyDescent="0.25">
      <c r="A20">
        <v>130154</v>
      </c>
      <c r="B20" t="s">
        <v>53</v>
      </c>
      <c r="C20">
        <f>'[1]VENTAS CONSOLIDADA ANZOATEGUI'!C20</f>
        <v>1700</v>
      </c>
      <c r="D20" s="5">
        <f t="shared" ca="1" si="0"/>
        <v>106.25</v>
      </c>
      <c r="E20" s="5">
        <f t="shared" ca="1" si="1"/>
        <v>2337.5</v>
      </c>
    </row>
    <row r="21" spans="1:5" x14ac:dyDescent="0.25">
      <c r="A21">
        <v>130155</v>
      </c>
      <c r="B21" t="s">
        <v>16</v>
      </c>
      <c r="C21">
        <f>'[1]VENTAS CONSOLIDADA ANZOATEGUI'!C21</f>
        <v>1319</v>
      </c>
      <c r="D21" s="5">
        <f t="shared" ca="1" si="0"/>
        <v>82.4375</v>
      </c>
      <c r="E21" s="5">
        <f t="shared" ca="1" si="1"/>
        <v>1813.625</v>
      </c>
    </row>
    <row r="22" spans="1:5" x14ac:dyDescent="0.25">
      <c r="A22">
        <v>130157</v>
      </c>
      <c r="B22" t="s">
        <v>43</v>
      </c>
      <c r="C22">
        <f>'[1]VENTAS CONSOLIDADA ANZOATEGUI'!C22</f>
        <v>465</v>
      </c>
      <c r="D22" s="5">
        <f t="shared" ca="1" si="0"/>
        <v>29.0625</v>
      </c>
      <c r="E22" s="5">
        <f t="shared" ca="1" si="1"/>
        <v>639.375</v>
      </c>
    </row>
    <row r="23" spans="1:5" x14ac:dyDescent="0.25">
      <c r="A23">
        <v>130158</v>
      </c>
      <c r="B23" t="s">
        <v>44</v>
      </c>
      <c r="C23">
        <f>'[1]VENTAS CONSOLIDADA ANZOATEGUI'!C23</f>
        <v>626</v>
      </c>
      <c r="D23" s="5">
        <f t="shared" ca="1" si="0"/>
        <v>39.125</v>
      </c>
      <c r="E23" s="5">
        <f t="shared" ca="1" si="1"/>
        <v>860.75</v>
      </c>
    </row>
    <row r="24" spans="1:5" x14ac:dyDescent="0.25">
      <c r="A24">
        <v>130159</v>
      </c>
      <c r="B24" t="s">
        <v>45</v>
      </c>
      <c r="C24">
        <f>'[1]VENTAS CONSOLIDADA ANZOATEGUI'!C24</f>
        <v>644</v>
      </c>
      <c r="D24" s="5">
        <f t="shared" ca="1" si="0"/>
        <v>40.25</v>
      </c>
      <c r="E24" s="5">
        <f t="shared" ca="1" si="1"/>
        <v>885.5</v>
      </c>
    </row>
    <row r="25" spans="1:5" x14ac:dyDescent="0.25">
      <c r="A25">
        <v>130700</v>
      </c>
      <c r="B25" t="s">
        <v>3</v>
      </c>
      <c r="C25">
        <f>'[1]VENTAS CONSOLIDADA ANZOATEGUI'!C25</f>
        <v>101</v>
      </c>
      <c r="D25" s="5">
        <f t="shared" ca="1" si="0"/>
        <v>6.3125</v>
      </c>
      <c r="E25" s="5">
        <f t="shared" ca="1" si="1"/>
        <v>138.875</v>
      </c>
    </row>
    <row r="26" spans="1:5" x14ac:dyDescent="0.25">
      <c r="A26">
        <v>130701</v>
      </c>
      <c r="B26" t="s">
        <v>30</v>
      </c>
      <c r="C26">
        <f>'[1]VENTAS CONSOLIDADA ANZOATEGUI'!C26</f>
        <v>10</v>
      </c>
      <c r="D26" s="5">
        <f t="shared" ca="1" si="0"/>
        <v>0.625</v>
      </c>
      <c r="E26" s="5">
        <f t="shared" ca="1" si="1"/>
        <v>13.75</v>
      </c>
    </row>
    <row r="27" spans="1:5" x14ac:dyDescent="0.25">
      <c r="A27">
        <v>130702</v>
      </c>
      <c r="B27" t="s">
        <v>12</v>
      </c>
      <c r="C27">
        <f>'[1]VENTAS CONSOLIDADA ANZOATEGUI'!C27</f>
        <v>227</v>
      </c>
      <c r="D27" s="5">
        <f t="shared" ca="1" si="0"/>
        <v>14.1875</v>
      </c>
      <c r="E27" s="5">
        <f t="shared" ca="1" si="1"/>
        <v>312.125</v>
      </c>
    </row>
    <row r="28" spans="1:5" x14ac:dyDescent="0.25">
      <c r="A28">
        <v>130703</v>
      </c>
      <c r="B28" t="s">
        <v>17</v>
      </c>
      <c r="C28">
        <f>'[1]VENTAS CONSOLIDADA ANZOATEGUI'!C28</f>
        <v>317</v>
      </c>
      <c r="D28" s="5">
        <f t="shared" ca="1" si="0"/>
        <v>19.8125</v>
      </c>
      <c r="E28" s="5">
        <f t="shared" ca="1" si="1"/>
        <v>435.875</v>
      </c>
    </row>
    <row r="29" spans="1:5" x14ac:dyDescent="0.25">
      <c r="A29">
        <v>130707</v>
      </c>
      <c r="B29" t="s">
        <v>42</v>
      </c>
      <c r="C29">
        <f>'[1]VENTAS CONSOLIDADA ANZOATEGUI'!C29</f>
        <v>32</v>
      </c>
      <c r="D29" s="5">
        <f t="shared" ca="1" si="0"/>
        <v>2</v>
      </c>
      <c r="E29" s="5">
        <f t="shared" ca="1" si="1"/>
        <v>44</v>
      </c>
    </row>
    <row r="30" spans="1:5" x14ac:dyDescent="0.25">
      <c r="A30">
        <v>131150</v>
      </c>
      <c r="B30" t="s">
        <v>22</v>
      </c>
      <c r="C30">
        <f>'[1]VENTAS CONSOLIDADA ANZOATEGUI'!C30</f>
        <v>583</v>
      </c>
      <c r="D30" s="5">
        <f t="shared" ca="1" si="0"/>
        <v>36.4375</v>
      </c>
      <c r="E30" s="5">
        <f t="shared" ca="1" si="1"/>
        <v>801.625</v>
      </c>
    </row>
    <row r="31" spans="1:5" x14ac:dyDescent="0.25">
      <c r="A31">
        <v>131151</v>
      </c>
      <c r="B31" t="s">
        <v>19</v>
      </c>
      <c r="C31">
        <f>'[1]VENTAS CONSOLIDADA ANZOATEGUI'!C31</f>
        <v>1486</v>
      </c>
      <c r="D31" s="5">
        <f t="shared" ca="1" si="0"/>
        <v>92.875</v>
      </c>
      <c r="E31" s="5">
        <f t="shared" ca="1" si="1"/>
        <v>2043.25</v>
      </c>
    </row>
    <row r="32" spans="1:5" x14ac:dyDescent="0.25">
      <c r="A32">
        <v>131152</v>
      </c>
      <c r="B32" t="s">
        <v>32</v>
      </c>
      <c r="C32">
        <f>'[1]VENTAS CONSOLIDADA ANZOATEGUI'!C32</f>
        <v>923</v>
      </c>
      <c r="D32" s="5">
        <f t="shared" ca="1" si="0"/>
        <v>57.6875</v>
      </c>
      <c r="E32" s="5">
        <f t="shared" ca="1" si="1"/>
        <v>1269.125</v>
      </c>
    </row>
    <row r="33" spans="1:5" x14ac:dyDescent="0.25">
      <c r="A33">
        <v>131153</v>
      </c>
      <c r="B33" t="s">
        <v>11</v>
      </c>
      <c r="C33">
        <f>'[1]VENTAS CONSOLIDADA ANZOATEGUI'!C33</f>
        <v>610</v>
      </c>
      <c r="D33" s="5">
        <f t="shared" ca="1" si="0"/>
        <v>38.125</v>
      </c>
      <c r="E33" s="5">
        <f t="shared" ca="1" si="1"/>
        <v>838.75</v>
      </c>
    </row>
    <row r="34" spans="1:5" x14ac:dyDescent="0.25">
      <c r="A34">
        <v>131154</v>
      </c>
      <c r="B34" t="s">
        <v>48</v>
      </c>
      <c r="C34">
        <f>'[1]VENTAS CONSOLIDADA ANZOATEGUI'!C34</f>
        <v>491</v>
      </c>
      <c r="D34" s="5">
        <f t="shared" ca="1" si="0"/>
        <v>30.6875</v>
      </c>
      <c r="E34" s="5">
        <f t="shared" ca="1" si="1"/>
        <v>675.125</v>
      </c>
    </row>
    <row r="35" spans="1:5" x14ac:dyDescent="0.25">
      <c r="A35">
        <v>131155</v>
      </c>
      <c r="B35" t="s">
        <v>57</v>
      </c>
      <c r="C35">
        <f>'[1]VENTAS CONSOLIDADA ANZOATEGUI'!C35</f>
        <v>611</v>
      </c>
      <c r="D35" s="5">
        <f t="shared" ca="1" si="0"/>
        <v>38.1875</v>
      </c>
      <c r="E35" s="5">
        <f t="shared" ca="1" si="1"/>
        <v>840.125</v>
      </c>
    </row>
    <row r="36" spans="1:5" x14ac:dyDescent="0.25">
      <c r="A36">
        <v>131700</v>
      </c>
      <c r="B36" t="s">
        <v>20</v>
      </c>
      <c r="C36">
        <f>'[1]VENTAS CONSOLIDADA ANZOATEGUI'!C36</f>
        <v>80</v>
      </c>
      <c r="D36" s="5">
        <f t="shared" ca="1" si="0"/>
        <v>5</v>
      </c>
      <c r="E36" s="5">
        <f t="shared" ca="1" si="1"/>
        <v>110</v>
      </c>
    </row>
    <row r="37" spans="1:5" x14ac:dyDescent="0.25">
      <c r="A37">
        <v>131701</v>
      </c>
      <c r="B37" t="s">
        <v>24</v>
      </c>
      <c r="C37">
        <f>'[1]VENTAS CONSOLIDADA ANZOATEGUI'!C37</f>
        <v>106</v>
      </c>
      <c r="D37" s="5">
        <f t="shared" ca="1" si="0"/>
        <v>6.625</v>
      </c>
      <c r="E37" s="5">
        <f t="shared" ca="1" si="1"/>
        <v>145.75</v>
      </c>
    </row>
    <row r="38" spans="1:5" x14ac:dyDescent="0.25">
      <c r="A38">
        <v>132150</v>
      </c>
      <c r="B38" t="s">
        <v>25</v>
      </c>
      <c r="C38">
        <f>'[1]VENTAS CONSOLIDADA ANZOATEGUI'!C38</f>
        <v>735</v>
      </c>
      <c r="D38" s="5">
        <f t="shared" ca="1" si="0"/>
        <v>45.9375</v>
      </c>
      <c r="E38" s="5">
        <f t="shared" ca="1" si="1"/>
        <v>1010.625</v>
      </c>
    </row>
    <row r="39" spans="1:5" x14ac:dyDescent="0.25">
      <c r="A39">
        <v>132151</v>
      </c>
      <c r="B39" t="s">
        <v>26</v>
      </c>
      <c r="C39">
        <f>'[1]VENTAS CONSOLIDADA ANZOATEGUI'!C39</f>
        <v>432</v>
      </c>
      <c r="D39" s="5">
        <f t="shared" ca="1" si="0"/>
        <v>27</v>
      </c>
      <c r="E39" s="5">
        <f t="shared" ca="1" si="1"/>
        <v>594</v>
      </c>
    </row>
    <row r="40" spans="1:5" x14ac:dyDescent="0.25">
      <c r="A40">
        <v>132152</v>
      </c>
      <c r="B40" t="s">
        <v>27</v>
      </c>
      <c r="C40">
        <f>'[1]VENTAS CONSOLIDADA ANZOATEGUI'!C40</f>
        <v>667</v>
      </c>
      <c r="D40" s="5">
        <f t="shared" ca="1" si="0"/>
        <v>41.6875</v>
      </c>
      <c r="E40" s="5">
        <f t="shared" ca="1" si="1"/>
        <v>917.125</v>
      </c>
    </row>
    <row r="41" spans="1:5" x14ac:dyDescent="0.25">
      <c r="A41">
        <v>132153</v>
      </c>
      <c r="B41" t="s">
        <v>40</v>
      </c>
      <c r="C41">
        <f>'[1]VENTAS CONSOLIDADA ANZOATEGUI'!C41</f>
        <v>371</v>
      </c>
      <c r="D41" s="5">
        <f t="shared" ca="1" si="0"/>
        <v>23.1875</v>
      </c>
      <c r="E41" s="5">
        <f t="shared" ca="1" si="1"/>
        <v>510.125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116</v>
      </c>
      <c r="D44" s="5">
        <f t="shared" ca="1" si="0"/>
        <v>7.25</v>
      </c>
      <c r="E44" s="5">
        <f t="shared" ca="1" si="1"/>
        <v>159.5</v>
      </c>
    </row>
    <row r="45" spans="1:5" x14ac:dyDescent="0.25">
      <c r="A45">
        <v>140231</v>
      </c>
      <c r="B45" t="s">
        <v>10</v>
      </c>
      <c r="C45">
        <f>'[1]VENTAS CONSOLIDADA ANZOATEGUI'!C45</f>
        <v>686</v>
      </c>
      <c r="D45" s="5">
        <f t="shared" ca="1" si="0"/>
        <v>42.875</v>
      </c>
      <c r="E45" s="5">
        <f t="shared" ca="1" si="1"/>
        <v>943.25</v>
      </c>
    </row>
    <row r="46" spans="1:5" x14ac:dyDescent="0.25">
      <c r="A46">
        <v>140232</v>
      </c>
      <c r="B46" t="s">
        <v>9</v>
      </c>
      <c r="C46">
        <f>'[1]VENTAS CONSOLIDADA ANZOATEGUI'!C46</f>
        <v>219</v>
      </c>
      <c r="D46" s="5">
        <f t="shared" ca="1" si="0"/>
        <v>13.6875</v>
      </c>
      <c r="E46" s="5">
        <f t="shared" ca="1" si="1"/>
        <v>301.125</v>
      </c>
    </row>
    <row r="47" spans="1:5" x14ac:dyDescent="0.25">
      <c r="A47">
        <v>150360</v>
      </c>
      <c r="B47" t="s">
        <v>28</v>
      </c>
      <c r="C47">
        <f>'[1]VENTAS CONSOLIDADA ANZOATEGUI'!C47</f>
        <v>117</v>
      </c>
      <c r="D47" s="5">
        <f t="shared" ca="1" si="0"/>
        <v>7.3125</v>
      </c>
      <c r="E47" s="5">
        <f t="shared" ca="1" si="1"/>
        <v>160.875</v>
      </c>
    </row>
    <row r="48" spans="1:5" x14ac:dyDescent="0.25">
      <c r="A48">
        <v>150361</v>
      </c>
      <c r="B48" t="s">
        <v>29</v>
      </c>
      <c r="C48">
        <f>'[1]VENTAS CONSOLIDADA ANZOATEGUI'!C48</f>
        <v>471</v>
      </c>
      <c r="D48" s="5">
        <f t="shared" ca="1" si="0"/>
        <v>29.4375</v>
      </c>
      <c r="E48" s="5">
        <f t="shared" ca="1" si="1"/>
        <v>647.625</v>
      </c>
    </row>
    <row r="49" spans="1:5" x14ac:dyDescent="0.25">
      <c r="A49">
        <v>150362</v>
      </c>
      <c r="B49" t="s">
        <v>36</v>
      </c>
      <c r="C49">
        <f>'[1]VENTAS CONSOLIDADA ANZOATEGUI'!C49</f>
        <v>197</v>
      </c>
      <c r="D49" s="5">
        <f t="shared" ca="1" si="0"/>
        <v>12.3125</v>
      </c>
      <c r="E49" s="5">
        <f t="shared" ca="1" si="1"/>
        <v>270.875</v>
      </c>
    </row>
    <row r="50" spans="1:5" x14ac:dyDescent="0.25">
      <c r="A50">
        <v>150363</v>
      </c>
      <c r="B50" t="s">
        <v>31</v>
      </c>
      <c r="C50">
        <f>'[1]VENTAS CONSOLIDADA ANZOATEGUI'!C50</f>
        <v>285</v>
      </c>
      <c r="D50" s="5">
        <f t="shared" ca="1" si="0"/>
        <v>17.8125</v>
      </c>
      <c r="E50" s="5">
        <f t="shared" ca="1" si="1"/>
        <v>391.875</v>
      </c>
    </row>
    <row r="51" spans="1:5" x14ac:dyDescent="0.25">
      <c r="A51">
        <v>151500</v>
      </c>
      <c r="B51" t="s">
        <v>41</v>
      </c>
      <c r="C51">
        <f>'[1]VENTAS CONSOLIDADA ANZOATEGUI'!C51</f>
        <v>42</v>
      </c>
      <c r="D51" s="5">
        <f t="shared" ca="1" si="0"/>
        <v>2.625</v>
      </c>
      <c r="E51" s="5">
        <f t="shared" ca="1" si="1"/>
        <v>57.75</v>
      </c>
    </row>
    <row r="52" spans="1:5" x14ac:dyDescent="0.25">
      <c r="A52">
        <v>151501</v>
      </c>
      <c r="B52" t="s">
        <v>33</v>
      </c>
      <c r="C52">
        <f>'[1]VENTAS CONSOLIDADA ANZOATEGUI'!C52</f>
        <v>81</v>
      </c>
      <c r="D52" s="5">
        <f t="shared" ca="1" si="0"/>
        <v>5.0625</v>
      </c>
      <c r="E52" s="5">
        <f t="shared" ca="1" si="1"/>
        <v>111.375</v>
      </c>
    </row>
    <row r="53" spans="1:5" x14ac:dyDescent="0.25">
      <c r="A53">
        <v>151502</v>
      </c>
      <c r="B53" t="s">
        <v>37</v>
      </c>
      <c r="C53">
        <f>'[1]VENTAS CONSOLIDADA ANZOATEGUI'!C53</f>
        <v>14</v>
      </c>
      <c r="D53" s="5">
        <f t="shared" ca="1" si="0"/>
        <v>0.875</v>
      </c>
      <c r="E53" s="5">
        <f t="shared" ca="1" si="1"/>
        <v>19.25</v>
      </c>
    </row>
    <row r="54" spans="1:5" x14ac:dyDescent="0.25">
      <c r="A54">
        <v>151503</v>
      </c>
      <c r="B54" t="s">
        <v>34</v>
      </c>
      <c r="C54">
        <f>'[1]VENTAS CONSOLIDADA ANZOATEGUI'!C54</f>
        <v>29</v>
      </c>
      <c r="D54" s="5">
        <f t="shared" ca="1" si="0"/>
        <v>1.8125</v>
      </c>
      <c r="E54" s="5">
        <f t="shared" ca="1" si="1"/>
        <v>39.875</v>
      </c>
    </row>
    <row r="55" spans="1:5" x14ac:dyDescent="0.25">
      <c r="D55" s="7">
        <f ca="1">SUM(D8:D54)</f>
        <v>1332.625</v>
      </c>
      <c r="E55" s="7">
        <f ca="1">SUM(E8:E54)</f>
        <v>29317.75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H13" sqref="H13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'[1]VENTAS CONSOLIDADA 1,0'!D2</f>
        <v>46288</v>
      </c>
      <c r="E2" s="4">
        <f ca="1">'[1]VENTAS CONSOLIDADA 1,0'!E2</f>
        <v>16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 ca="1">'[1]VENTAS CONSOLIDADA 1,0'!E3</f>
        <v>6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19299</v>
      </c>
      <c r="D8" s="5">
        <f t="shared" ref="D8:D54" ca="1" si="0">C8/$E$2</f>
        <v>1206.1875</v>
      </c>
      <c r="E8" s="5">
        <f ca="1">D8*($E$2+$E$3)</f>
        <v>26536.125</v>
      </c>
    </row>
    <row r="9" spans="1:5" x14ac:dyDescent="0.25">
      <c r="A9">
        <v>110151</v>
      </c>
      <c r="B9" t="s">
        <v>5</v>
      </c>
      <c r="C9">
        <f>'[1]VENTAS CONSOLIDADA 1,0'!C9</f>
        <v>886</v>
      </c>
      <c r="D9" s="5">
        <f t="shared" ca="1" si="0"/>
        <v>55.375</v>
      </c>
      <c r="E9" s="5">
        <f t="shared" ref="E9:E54" ca="1" si="1">D9*($E$2+$E$3)</f>
        <v>1218.25</v>
      </c>
    </row>
    <row r="10" spans="1:5" x14ac:dyDescent="0.25">
      <c r="A10">
        <v>110230</v>
      </c>
      <c r="B10" t="s">
        <v>1</v>
      </c>
      <c r="C10">
        <f>'[1]VENTAS CONSOLIDADA 1,0'!C10</f>
        <v>7890</v>
      </c>
      <c r="D10" s="5">
        <f t="shared" ca="1" si="0"/>
        <v>493.125</v>
      </c>
      <c r="E10" s="5">
        <f t="shared" ca="1" si="1"/>
        <v>10848.75</v>
      </c>
    </row>
    <row r="11" spans="1:5" x14ac:dyDescent="0.25">
      <c r="A11">
        <v>110400</v>
      </c>
      <c r="B11" t="s">
        <v>13</v>
      </c>
      <c r="C11">
        <f>'[1]VENTAS CONSOLIDADA 1,0'!C11</f>
        <v>1720</v>
      </c>
      <c r="D11" s="5">
        <f t="shared" ca="1" si="0"/>
        <v>107.5</v>
      </c>
      <c r="E11" s="5">
        <f t="shared" ca="1" si="1"/>
        <v>2365</v>
      </c>
    </row>
    <row r="12" spans="1:5" x14ac:dyDescent="0.25">
      <c r="A12">
        <v>111000</v>
      </c>
      <c r="B12" t="s">
        <v>14</v>
      </c>
      <c r="C12">
        <f>'[1]VENTAS CONSOLIDADA 1,0'!C12</f>
        <v>211</v>
      </c>
      <c r="D12" s="5">
        <f t="shared" ca="1" si="0"/>
        <v>13.1875</v>
      </c>
      <c r="E12" s="5">
        <f t="shared" ca="1" si="1"/>
        <v>290.125</v>
      </c>
    </row>
    <row r="13" spans="1:5" x14ac:dyDescent="0.25">
      <c r="A13">
        <v>120130</v>
      </c>
      <c r="B13" t="s">
        <v>15</v>
      </c>
      <c r="C13">
        <f>'[1]VENTAS CONSOLIDADA 1,0'!C13</f>
        <v>22733</v>
      </c>
      <c r="D13" s="5">
        <f t="shared" ca="1" si="0"/>
        <v>1420.8125</v>
      </c>
      <c r="E13" s="5">
        <f t="shared" ca="1" si="1"/>
        <v>31257.875</v>
      </c>
    </row>
    <row r="14" spans="1:5" x14ac:dyDescent="0.25">
      <c r="A14">
        <v>120131</v>
      </c>
      <c r="B14" t="s">
        <v>23</v>
      </c>
      <c r="C14">
        <f>'[1]VENTAS CONSOLIDADA 1,0'!C14</f>
        <v>2360</v>
      </c>
      <c r="D14" s="5">
        <f t="shared" ca="1" si="0"/>
        <v>147.5</v>
      </c>
      <c r="E14" s="5">
        <f t="shared" ca="1" si="1"/>
        <v>3245</v>
      </c>
    </row>
    <row r="15" spans="1:5" x14ac:dyDescent="0.25">
      <c r="A15">
        <v>120132</v>
      </c>
      <c r="B15" t="s">
        <v>21</v>
      </c>
      <c r="C15">
        <f>'[1]VENTAS CONSOLIDADA 1,0'!C15</f>
        <v>4908</v>
      </c>
      <c r="D15" s="5">
        <f t="shared" ca="1" si="0"/>
        <v>306.75</v>
      </c>
      <c r="E15" s="5">
        <f t="shared" ca="1" si="1"/>
        <v>6748.5</v>
      </c>
    </row>
    <row r="16" spans="1:5" x14ac:dyDescent="0.25">
      <c r="A16">
        <v>130150</v>
      </c>
      <c r="B16" t="s">
        <v>0</v>
      </c>
      <c r="C16">
        <f>'[1]VENTAS CONSOLIDADA 1,0'!C16</f>
        <v>12273</v>
      </c>
      <c r="D16" s="5">
        <f t="shared" ca="1" si="0"/>
        <v>767.0625</v>
      </c>
      <c r="E16" s="5">
        <f t="shared" ca="1" si="1"/>
        <v>16875.375</v>
      </c>
    </row>
    <row r="17" spans="1:5" x14ac:dyDescent="0.25">
      <c r="A17">
        <v>130151</v>
      </c>
      <c r="B17" t="s">
        <v>4</v>
      </c>
      <c r="C17">
        <f>'[1]VENTAS CONSOLIDADA 1,0'!C17</f>
        <v>5896</v>
      </c>
      <c r="D17" s="5">
        <f t="shared" ca="1" si="0"/>
        <v>368.5</v>
      </c>
      <c r="E17" s="5">
        <f t="shared" ca="1" si="1"/>
        <v>8107</v>
      </c>
    </row>
    <row r="18" spans="1:5" x14ac:dyDescent="0.25">
      <c r="A18">
        <v>130152</v>
      </c>
      <c r="B18" t="s">
        <v>51</v>
      </c>
      <c r="C18">
        <f>'[1]VENTAS CONSOLIDADA 1,0'!C18</f>
        <v>53757</v>
      </c>
      <c r="D18" s="5">
        <f t="shared" ca="1" si="0"/>
        <v>3359.8125</v>
      </c>
      <c r="E18" s="5">
        <f t="shared" ca="1" si="1"/>
        <v>73915.875</v>
      </c>
    </row>
    <row r="19" spans="1:5" x14ac:dyDescent="0.25">
      <c r="A19">
        <v>130153</v>
      </c>
      <c r="B19" t="s">
        <v>52</v>
      </c>
      <c r="C19">
        <f>'[1]VENTAS CONSOLIDADA 1,0'!C19</f>
        <v>33632</v>
      </c>
      <c r="D19" s="5">
        <f t="shared" ca="1" si="0"/>
        <v>2102</v>
      </c>
      <c r="E19" s="5">
        <f t="shared" ca="1" si="1"/>
        <v>46244</v>
      </c>
    </row>
    <row r="20" spans="1:5" x14ac:dyDescent="0.25">
      <c r="A20">
        <v>130154</v>
      </c>
      <c r="B20" t="s">
        <v>53</v>
      </c>
      <c r="C20">
        <f>'[1]VENTAS CONSOLIDADA 1,0'!C20</f>
        <v>34271</v>
      </c>
      <c r="D20" s="5">
        <f t="shared" ca="1" si="0"/>
        <v>2141.9375</v>
      </c>
      <c r="E20" s="5">
        <f t="shared" ca="1" si="1"/>
        <v>47122.625</v>
      </c>
    </row>
    <row r="21" spans="1:5" x14ac:dyDescent="0.25">
      <c r="A21">
        <v>130155</v>
      </c>
      <c r="B21" t="s">
        <v>16</v>
      </c>
      <c r="C21">
        <f>'[1]VENTAS CONSOLIDADA 1,0'!C21</f>
        <v>41780</v>
      </c>
      <c r="D21" s="5">
        <f t="shared" ca="1" si="0"/>
        <v>2611.25</v>
      </c>
      <c r="E21" s="5">
        <f t="shared" ca="1" si="1"/>
        <v>57447.5</v>
      </c>
    </row>
    <row r="22" spans="1:5" x14ac:dyDescent="0.25">
      <c r="A22">
        <v>130157</v>
      </c>
      <c r="B22" t="s">
        <v>43</v>
      </c>
      <c r="C22">
        <f>'[1]VENTAS CONSOLIDADA 1,0'!C22</f>
        <v>11351</v>
      </c>
      <c r="D22" s="5">
        <f t="shared" ca="1" si="0"/>
        <v>709.4375</v>
      </c>
      <c r="E22" s="5">
        <f t="shared" ca="1" si="1"/>
        <v>15607.625</v>
      </c>
    </row>
    <row r="23" spans="1:5" x14ac:dyDescent="0.25">
      <c r="A23">
        <v>130158</v>
      </c>
      <c r="B23" t="s">
        <v>44</v>
      </c>
      <c r="C23">
        <f>'[1]VENTAS CONSOLIDADA 1,0'!C23</f>
        <v>13015</v>
      </c>
      <c r="D23" s="5">
        <f t="shared" ca="1" si="0"/>
        <v>813.4375</v>
      </c>
      <c r="E23" s="5">
        <f t="shared" ca="1" si="1"/>
        <v>17895.625</v>
      </c>
    </row>
    <row r="24" spans="1:5" x14ac:dyDescent="0.25">
      <c r="A24">
        <v>130159</v>
      </c>
      <c r="B24" t="s">
        <v>45</v>
      </c>
      <c r="C24">
        <f>'[1]VENTAS CONSOLIDADA 1,0'!C24</f>
        <v>13714</v>
      </c>
      <c r="D24" s="5">
        <f t="shared" ca="1" si="0"/>
        <v>857.125</v>
      </c>
      <c r="E24" s="5">
        <f t="shared" ca="1" si="1"/>
        <v>18856.75</v>
      </c>
    </row>
    <row r="25" spans="1:5" x14ac:dyDescent="0.25">
      <c r="A25">
        <v>130700</v>
      </c>
      <c r="B25" t="s">
        <v>3</v>
      </c>
      <c r="C25">
        <f>'[1]VENTAS CONSOLIDADA 1,0'!C25</f>
        <v>4348</v>
      </c>
      <c r="D25" s="5">
        <f t="shared" ca="1" si="0"/>
        <v>271.75</v>
      </c>
      <c r="E25" s="5">
        <f t="shared" ca="1" si="1"/>
        <v>5978.5</v>
      </c>
    </row>
    <row r="26" spans="1:5" x14ac:dyDescent="0.25">
      <c r="A26">
        <v>130701</v>
      </c>
      <c r="B26" t="s">
        <v>30</v>
      </c>
      <c r="C26">
        <f>'[1]VENTAS CONSOLIDADA 1,0'!C26</f>
        <v>2044</v>
      </c>
      <c r="D26" s="5">
        <f t="shared" ca="1" si="0"/>
        <v>127.75</v>
      </c>
      <c r="E26" s="5">
        <f t="shared" ca="1" si="1"/>
        <v>2810.5</v>
      </c>
    </row>
    <row r="27" spans="1:5" x14ac:dyDescent="0.25">
      <c r="A27">
        <v>130702</v>
      </c>
      <c r="B27" t="s">
        <v>12</v>
      </c>
      <c r="C27">
        <f>'[1]VENTAS CONSOLIDADA 1,0'!C27</f>
        <v>8083</v>
      </c>
      <c r="D27" s="5">
        <f t="shared" ca="1" si="0"/>
        <v>505.1875</v>
      </c>
      <c r="E27" s="5">
        <f t="shared" ca="1" si="1"/>
        <v>11114.125</v>
      </c>
    </row>
    <row r="28" spans="1:5" x14ac:dyDescent="0.25">
      <c r="A28">
        <v>130703</v>
      </c>
      <c r="B28" t="s">
        <v>17</v>
      </c>
      <c r="C28">
        <f>'[1]VENTAS CONSOLIDADA 1,0'!C28</f>
        <v>13592</v>
      </c>
      <c r="D28" s="5">
        <f t="shared" ca="1" si="0"/>
        <v>849.5</v>
      </c>
      <c r="E28" s="5">
        <f t="shared" ca="1" si="1"/>
        <v>18689</v>
      </c>
    </row>
    <row r="29" spans="1:5" x14ac:dyDescent="0.25">
      <c r="A29">
        <v>130707</v>
      </c>
      <c r="B29" t="s">
        <v>42</v>
      </c>
      <c r="C29">
        <f>'[1]VENTAS CONSOLIDADA 1,0'!C29</f>
        <v>1032</v>
      </c>
      <c r="D29" s="5">
        <f t="shared" ca="1" si="0"/>
        <v>64.5</v>
      </c>
      <c r="E29" s="5">
        <f t="shared" ca="1" si="1"/>
        <v>1419</v>
      </c>
    </row>
    <row r="30" spans="1:5" x14ac:dyDescent="0.25">
      <c r="A30">
        <v>131150</v>
      </c>
      <c r="B30" t="s">
        <v>22</v>
      </c>
      <c r="C30">
        <f>'[1]VENTAS CONSOLIDADA 1,0'!C30</f>
        <v>11229</v>
      </c>
      <c r="D30" s="5">
        <f t="shared" ca="1" si="0"/>
        <v>701.8125</v>
      </c>
      <c r="E30" s="5">
        <f t="shared" ca="1" si="1"/>
        <v>15439.875</v>
      </c>
    </row>
    <row r="31" spans="1:5" x14ac:dyDescent="0.25">
      <c r="A31">
        <v>131151</v>
      </c>
      <c r="B31" t="s">
        <v>19</v>
      </c>
      <c r="C31">
        <f>'[1]VENTAS CONSOLIDADA 1,0'!C31</f>
        <v>17504</v>
      </c>
      <c r="D31" s="5">
        <f t="shared" ca="1" si="0"/>
        <v>1094</v>
      </c>
      <c r="E31" s="5">
        <f t="shared" ca="1" si="1"/>
        <v>24068</v>
      </c>
    </row>
    <row r="32" spans="1:5" x14ac:dyDescent="0.25">
      <c r="A32">
        <v>131152</v>
      </c>
      <c r="B32" t="s">
        <v>32</v>
      </c>
      <c r="C32">
        <f>'[1]VENTAS CONSOLIDADA 1,0'!C32</f>
        <v>9032</v>
      </c>
      <c r="D32" s="5">
        <f t="shared" ca="1" si="0"/>
        <v>564.5</v>
      </c>
      <c r="E32" s="5">
        <f t="shared" ca="1" si="1"/>
        <v>12419</v>
      </c>
    </row>
    <row r="33" spans="1:5" x14ac:dyDescent="0.25">
      <c r="A33">
        <v>131153</v>
      </c>
      <c r="B33" t="s">
        <v>11</v>
      </c>
      <c r="C33">
        <f>'[1]VENTAS CONSOLIDADA 1,0'!C33</f>
        <v>6754</v>
      </c>
      <c r="D33" s="5">
        <f t="shared" ca="1" si="0"/>
        <v>422.125</v>
      </c>
      <c r="E33" s="5">
        <f t="shared" ca="1" si="1"/>
        <v>9286.75</v>
      </c>
    </row>
    <row r="34" spans="1:5" x14ac:dyDescent="0.25">
      <c r="A34">
        <v>131154</v>
      </c>
      <c r="B34" t="s">
        <v>48</v>
      </c>
      <c r="C34">
        <f>'[1]VENTAS CONSOLIDADA 1,0'!C34</f>
        <v>3852</v>
      </c>
      <c r="D34" s="5">
        <f t="shared" ca="1" si="0"/>
        <v>240.75</v>
      </c>
      <c r="E34" s="5">
        <f t="shared" ca="1" si="1"/>
        <v>5296.5</v>
      </c>
    </row>
    <row r="35" spans="1:5" x14ac:dyDescent="0.25">
      <c r="A35">
        <v>131155</v>
      </c>
      <c r="B35" t="s">
        <v>57</v>
      </c>
      <c r="C35">
        <f>'[1]VENTAS CONSOLIDADA 1,0'!C35</f>
        <v>4653</v>
      </c>
      <c r="D35" s="5">
        <f t="shared" ca="1" si="0"/>
        <v>290.8125</v>
      </c>
      <c r="E35" s="5">
        <f t="shared" ca="1" si="1"/>
        <v>6397.875</v>
      </c>
    </row>
    <row r="36" spans="1:5" x14ac:dyDescent="0.25">
      <c r="A36">
        <v>131700</v>
      </c>
      <c r="B36" t="s">
        <v>20</v>
      </c>
      <c r="C36">
        <f>'[1]VENTAS CONSOLIDADA 1,0'!C36</f>
        <v>2103</v>
      </c>
      <c r="D36" s="5">
        <f t="shared" ca="1" si="0"/>
        <v>131.4375</v>
      </c>
      <c r="E36" s="5">
        <f t="shared" ca="1" si="1"/>
        <v>2891.625</v>
      </c>
    </row>
    <row r="37" spans="1:5" x14ac:dyDescent="0.25">
      <c r="A37">
        <v>131701</v>
      </c>
      <c r="B37" t="s">
        <v>24</v>
      </c>
      <c r="C37">
        <f>'[1]VENTAS CONSOLIDADA 1,0'!C37</f>
        <v>2199</v>
      </c>
      <c r="D37" s="5">
        <f t="shared" ca="1" si="0"/>
        <v>137.4375</v>
      </c>
      <c r="E37" s="5">
        <f t="shared" ca="1" si="1"/>
        <v>3023.625</v>
      </c>
    </row>
    <row r="38" spans="1:5" x14ac:dyDescent="0.25">
      <c r="A38">
        <v>132150</v>
      </c>
      <c r="B38" t="s">
        <v>25</v>
      </c>
      <c r="C38">
        <f>'[1]VENTAS CONSOLIDADA 1,0'!C38</f>
        <v>12158</v>
      </c>
      <c r="D38" s="5">
        <f t="shared" ca="1" si="0"/>
        <v>759.875</v>
      </c>
      <c r="E38" s="5">
        <f t="shared" ca="1" si="1"/>
        <v>16717.25</v>
      </c>
    </row>
    <row r="39" spans="1:5" x14ac:dyDescent="0.25">
      <c r="A39">
        <v>132151</v>
      </c>
      <c r="B39" t="s">
        <v>26</v>
      </c>
      <c r="C39">
        <f>'[1]VENTAS CONSOLIDADA 1,0'!C39</f>
        <v>9573</v>
      </c>
      <c r="D39" s="5">
        <f t="shared" ca="1" si="0"/>
        <v>598.3125</v>
      </c>
      <c r="E39" s="5">
        <f t="shared" ca="1" si="1"/>
        <v>13162.875</v>
      </c>
    </row>
    <row r="40" spans="1:5" x14ac:dyDescent="0.25">
      <c r="A40">
        <v>132152</v>
      </c>
      <c r="B40" t="s">
        <v>27</v>
      </c>
      <c r="C40">
        <f>'[1]VENTAS CONSOLIDADA 1,0'!C40</f>
        <v>12666</v>
      </c>
      <c r="D40" s="5">
        <f t="shared" ca="1" si="0"/>
        <v>791.625</v>
      </c>
      <c r="E40" s="5">
        <f t="shared" ca="1" si="1"/>
        <v>17415.75</v>
      </c>
    </row>
    <row r="41" spans="1:5" x14ac:dyDescent="0.25">
      <c r="A41">
        <v>132153</v>
      </c>
      <c r="B41" t="s">
        <v>40</v>
      </c>
      <c r="C41">
        <f>'[1]VENTAS CONSOLIDADA 1,0'!C41</f>
        <v>8317</v>
      </c>
      <c r="D41" s="5">
        <f t="shared" ca="1" si="0"/>
        <v>519.8125</v>
      </c>
      <c r="E41" s="5">
        <f t="shared" ca="1" si="1"/>
        <v>11435.875</v>
      </c>
    </row>
    <row r="42" spans="1:5" x14ac:dyDescent="0.25">
      <c r="A42">
        <v>134000</v>
      </c>
      <c r="B42" t="s">
        <v>35</v>
      </c>
      <c r="C42">
        <f>'[1]VENTAS CONSOLIDADA 1,0'!C42</f>
        <v>58</v>
      </c>
      <c r="D42" s="5">
        <f t="shared" ca="1" si="0"/>
        <v>3.625</v>
      </c>
      <c r="E42" s="5">
        <f t="shared" ca="1" si="1"/>
        <v>79.75</v>
      </c>
    </row>
    <row r="43" spans="1:5" x14ac:dyDescent="0.25">
      <c r="A43">
        <v>134001</v>
      </c>
      <c r="B43" t="s">
        <v>47</v>
      </c>
      <c r="C43">
        <f>'[1]VENTAS CONSOLIDADA 1,0'!C43</f>
        <v>7</v>
      </c>
      <c r="D43" s="5">
        <f t="shared" ca="1" si="0"/>
        <v>0.4375</v>
      </c>
      <c r="E43" s="5">
        <f t="shared" ca="1" si="1"/>
        <v>9.625</v>
      </c>
    </row>
    <row r="44" spans="1:5" x14ac:dyDescent="0.25">
      <c r="A44">
        <v>140230</v>
      </c>
      <c r="B44" t="s">
        <v>18</v>
      </c>
      <c r="C44">
        <f>'[1]VENTAS CONSOLIDADA 1,0'!C44</f>
        <v>2345</v>
      </c>
      <c r="D44" s="5">
        <f t="shared" ca="1" si="0"/>
        <v>146.5625</v>
      </c>
      <c r="E44" s="5">
        <f t="shared" ca="1" si="1"/>
        <v>3224.375</v>
      </c>
    </row>
    <row r="45" spans="1:5" x14ac:dyDescent="0.25">
      <c r="A45">
        <v>140231</v>
      </c>
      <c r="B45" t="s">
        <v>10</v>
      </c>
      <c r="C45">
        <f>'[1]VENTAS CONSOLIDADA 1,0'!C45</f>
        <v>9088</v>
      </c>
      <c r="D45" s="5">
        <f t="shared" ca="1" si="0"/>
        <v>568</v>
      </c>
      <c r="E45" s="5">
        <f t="shared" ca="1" si="1"/>
        <v>12496</v>
      </c>
    </row>
    <row r="46" spans="1:5" x14ac:dyDescent="0.25">
      <c r="A46">
        <v>140232</v>
      </c>
      <c r="B46" t="s">
        <v>9</v>
      </c>
      <c r="C46">
        <f>'[1]VENTAS CONSOLIDADA 1,0'!C46</f>
        <v>6538</v>
      </c>
      <c r="D46" s="5">
        <f t="shared" ca="1" si="0"/>
        <v>408.625</v>
      </c>
      <c r="E46" s="5">
        <f t="shared" ca="1" si="1"/>
        <v>8989.75</v>
      </c>
    </row>
    <row r="47" spans="1:5" x14ac:dyDescent="0.25">
      <c r="A47">
        <v>150360</v>
      </c>
      <c r="B47" t="s">
        <v>28</v>
      </c>
      <c r="C47">
        <f>'[1]VENTAS CONSOLIDADA 1,0'!C47</f>
        <v>3409</v>
      </c>
      <c r="D47" s="5">
        <f t="shared" ca="1" si="0"/>
        <v>213.0625</v>
      </c>
      <c r="E47" s="5">
        <f t="shared" ca="1" si="1"/>
        <v>4687.375</v>
      </c>
    </row>
    <row r="48" spans="1:5" x14ac:dyDescent="0.25">
      <c r="A48">
        <v>150361</v>
      </c>
      <c r="B48" t="s">
        <v>29</v>
      </c>
      <c r="C48">
        <f>'[1]VENTAS CONSOLIDADA 1,0'!C48</f>
        <v>7651</v>
      </c>
      <c r="D48" s="5">
        <f t="shared" ca="1" si="0"/>
        <v>478.1875</v>
      </c>
      <c r="E48" s="5">
        <f t="shared" ca="1" si="1"/>
        <v>10520.125</v>
      </c>
    </row>
    <row r="49" spans="1:5" x14ac:dyDescent="0.25">
      <c r="A49">
        <v>150362</v>
      </c>
      <c r="B49" t="s">
        <v>36</v>
      </c>
      <c r="C49">
        <f>'[1]VENTAS CONSOLIDADA 1,0'!C49</f>
        <v>4500</v>
      </c>
      <c r="D49" s="5">
        <f t="shared" ca="1" si="0"/>
        <v>281.25</v>
      </c>
      <c r="E49" s="5">
        <f t="shared" ca="1" si="1"/>
        <v>6187.5</v>
      </c>
    </row>
    <row r="50" spans="1:5" x14ac:dyDescent="0.25">
      <c r="A50">
        <v>150363</v>
      </c>
      <c r="B50" t="s">
        <v>31</v>
      </c>
      <c r="C50">
        <f>'[1]VENTAS CONSOLIDADA 1,0'!C50</f>
        <v>4578</v>
      </c>
      <c r="D50" s="5">
        <f t="shared" ca="1" si="0"/>
        <v>286.125</v>
      </c>
      <c r="E50" s="5">
        <f t="shared" ca="1" si="1"/>
        <v>6294.75</v>
      </c>
    </row>
    <row r="51" spans="1:5" x14ac:dyDescent="0.25">
      <c r="A51">
        <v>151500</v>
      </c>
      <c r="B51" t="s">
        <v>41</v>
      </c>
      <c r="C51">
        <f>'[1]VENTAS CONSOLIDADA 1,0'!C51</f>
        <v>944</v>
      </c>
      <c r="D51" s="5">
        <f t="shared" ca="1" si="0"/>
        <v>59</v>
      </c>
      <c r="E51" s="5">
        <f t="shared" ca="1" si="1"/>
        <v>1298</v>
      </c>
    </row>
    <row r="52" spans="1:5" x14ac:dyDescent="0.25">
      <c r="A52">
        <v>151501</v>
      </c>
      <c r="B52" t="s">
        <v>33</v>
      </c>
      <c r="C52">
        <f>'[1]VENTAS CONSOLIDADA 1,0'!C52</f>
        <v>2062</v>
      </c>
      <c r="D52" s="5">
        <f t="shared" ca="1" si="0"/>
        <v>128.875</v>
      </c>
      <c r="E52" s="5">
        <f t="shared" ca="1" si="1"/>
        <v>2835.25</v>
      </c>
    </row>
    <row r="53" spans="1:5" x14ac:dyDescent="0.25">
      <c r="A53">
        <v>151502</v>
      </c>
      <c r="B53" t="s">
        <v>37</v>
      </c>
      <c r="C53">
        <f>'[1]VENTAS CONSOLIDADA 1,0'!C53</f>
        <v>702</v>
      </c>
      <c r="D53" s="5">
        <f t="shared" ca="1" si="0"/>
        <v>43.875</v>
      </c>
      <c r="E53" s="5">
        <f t="shared" ca="1" si="1"/>
        <v>965.25</v>
      </c>
    </row>
    <row r="54" spans="1:5" x14ac:dyDescent="0.25">
      <c r="A54">
        <v>151503</v>
      </c>
      <c r="B54" t="s">
        <v>34</v>
      </c>
      <c r="C54">
        <f>'[1]VENTAS CONSOLIDADA 1,0'!C54</f>
        <v>884</v>
      </c>
      <c r="D54" s="5">
        <f t="shared" ca="1" si="0"/>
        <v>55.25</v>
      </c>
      <c r="E54" s="5">
        <f t="shared" ca="1" si="1"/>
        <v>1215.5</v>
      </c>
    </row>
    <row r="55" spans="1:5" x14ac:dyDescent="0.25">
      <c r="C55">
        <f>SUM(C8:C54)</f>
        <v>451601</v>
      </c>
      <c r="D55" s="5">
        <f ca="1">SUM(D8:D54)</f>
        <v>28225.0625</v>
      </c>
      <c r="E55" s="5">
        <f ca="1">SUM(E8:E54)</f>
        <v>620951.375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8E0207D3-36B0-4047-99FA-B78F3EBADFAC}">
  <ds:schemaRefs/>
</ds:datastoreItem>
</file>

<file path=customXml/itemProps2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CAB6C292-B853-467D-B711-6EBB7D36CC58}">
  <ds:schemaRefs/>
</ds:datastoreItem>
</file>

<file path=customXml/itemProps4.xml><?xml version="1.0" encoding="utf-8"?>
<ds:datastoreItem xmlns:ds="http://schemas.openxmlformats.org/officeDocument/2006/customXml" ds:itemID="{7845B0CC-F2DA-4435-B3A8-0B67EEA59E3E}">
  <ds:schemaRefs/>
</ds:datastoreItem>
</file>

<file path=customXml/itemProps5.xml><?xml version="1.0" encoding="utf-8"?>
<ds:datastoreItem xmlns:ds="http://schemas.openxmlformats.org/officeDocument/2006/customXml" ds:itemID="{4DF253BA-E348-4CD2-AA4E-97FB2A32A7F0}">
  <ds:schemaRefs/>
</ds:datastoreItem>
</file>

<file path=customXml/itemProps6.xml><?xml version="1.0" encoding="utf-8"?>
<ds:datastoreItem xmlns:ds="http://schemas.openxmlformats.org/officeDocument/2006/customXml" ds:itemID="{DEFC51E7-3E67-4621-B139-07F56E3C51B6}">
  <ds:schemaRefs/>
</ds:datastoreItem>
</file>

<file path=customXml/itemProps7.xml><?xml version="1.0" encoding="utf-8"?>
<ds:datastoreItem xmlns:ds="http://schemas.openxmlformats.org/officeDocument/2006/customXml" ds:itemID="{DB2ACCEB-6CC9-4D35-BDF4-AC9EF8C2F118}">
  <ds:schemaRefs/>
</ds:datastoreItem>
</file>

<file path=customXml/itemProps8.xml><?xml version="1.0" encoding="utf-8"?>
<ds:datastoreItem xmlns:ds="http://schemas.openxmlformats.org/officeDocument/2006/customXml" ds:itemID="{0AD6CB95-564A-49A8-92C3-BDDCD21D69FF}">
  <ds:schemaRefs/>
</ds:datastoreItem>
</file>

<file path=customXml/itemProps9.xml><?xml version="1.0" encoding="utf-8"?>
<ds:datastoreItem xmlns:ds="http://schemas.openxmlformats.org/officeDocument/2006/customXml" ds:itemID="{B0CC2B14-7DD7-4033-8A48-822C26B12A45}">
  <ds:schemaRefs/>
</ds:datastoreItem>
</file>

<file path=customXml/itemProps10.xml><?xml version="1.0" encoding="utf-8"?>
<ds:datastoreItem xmlns:ds="http://schemas.openxmlformats.org/officeDocument/2006/customXml" ds:itemID="{52FA8FE5-D878-4A8D-B664-9568032292DD}">
  <ds:schemaRefs/>
</ds:datastoreItem>
</file>

<file path=customXml/itemProps11.xml><?xml version="1.0" encoding="utf-8"?>
<ds:datastoreItem xmlns:ds="http://schemas.openxmlformats.org/officeDocument/2006/customXml" ds:itemID="{F5D7323A-644E-4D3D-8486-43C2FFAD8146}">
  <ds:schemaRefs/>
</ds:datastoreItem>
</file>

<file path=customXml/itemProps12.xml><?xml version="1.0" encoding="utf-8"?>
<ds:datastoreItem xmlns:ds="http://schemas.openxmlformats.org/officeDocument/2006/customXml" ds:itemID="{2FB7461A-5A6D-4ED3-B35C-48147355CFC0}">
  <ds:schemaRefs/>
</ds:datastoreItem>
</file>

<file path=customXml/itemProps13.xml><?xml version="1.0" encoding="utf-8"?>
<ds:datastoreItem xmlns:ds="http://schemas.openxmlformats.org/officeDocument/2006/customXml" ds:itemID="{65BE5737-5D13-4B92-9A1E-66AAD091BECC}">
  <ds:schemaRefs/>
</ds:datastoreItem>
</file>

<file path=customXml/itemProps14.xml><?xml version="1.0" encoding="utf-8"?>
<ds:datastoreItem xmlns:ds="http://schemas.openxmlformats.org/officeDocument/2006/customXml" ds:itemID="{CC2043D8-989E-412C-8862-ACDB973E448B}">
  <ds:schemaRefs/>
</ds:datastoreItem>
</file>

<file path=customXml/itemProps15.xml><?xml version="1.0" encoding="utf-8"?>
<ds:datastoreItem xmlns:ds="http://schemas.openxmlformats.org/officeDocument/2006/customXml" ds:itemID="{1624F75C-FD6B-41DE-81B8-76266AB6E660}">
  <ds:schemaRefs/>
</ds:datastoreItem>
</file>

<file path=customXml/itemProps16.xml><?xml version="1.0" encoding="utf-8"?>
<ds:datastoreItem xmlns:ds="http://schemas.openxmlformats.org/officeDocument/2006/customXml" ds:itemID="{AF2AF42B-D484-4F26-B929-D7FB2E56F71D}">
  <ds:schemaRefs/>
</ds:datastoreItem>
</file>

<file path=customXml/itemProps17.xml><?xml version="1.0" encoding="utf-8"?>
<ds:datastoreItem xmlns:ds="http://schemas.openxmlformats.org/officeDocument/2006/customXml" ds:itemID="{38DB5A37-2218-4EAC-B67D-146D68E76E36}">
  <ds:schemaRefs/>
</ds:datastoreItem>
</file>

<file path=customXml/itemProps18.xml><?xml version="1.0" encoding="utf-8"?>
<ds:datastoreItem xmlns:ds="http://schemas.openxmlformats.org/officeDocument/2006/customXml" ds:itemID="{084C0BCB-4732-44D2-A228-50E994334BF1}">
  <ds:schemaRefs/>
</ds:datastoreItem>
</file>

<file path=customXml/itemProps19.xml><?xml version="1.0" encoding="utf-8"?>
<ds:datastoreItem xmlns:ds="http://schemas.openxmlformats.org/officeDocument/2006/customXml" ds:itemID="{CFB06E3D-1317-4F60-85DB-890000D02217}">
  <ds:schemaRefs/>
</ds:datastoreItem>
</file>

<file path=customXml/itemProps20.xml><?xml version="1.0" encoding="utf-8"?>
<ds:datastoreItem xmlns:ds="http://schemas.openxmlformats.org/officeDocument/2006/customXml" ds:itemID="{7AE93A93-CA27-4BDA-AA62-2C35967BA49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2026-09-23T13:09:09Z</dcterms:modified>
</cp:coreProperties>
</file>