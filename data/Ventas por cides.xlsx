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02EB8E49-5753-4165-9C12-E4F6968535E0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2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3" i="55"/>
  <c r="E3" i="50"/>
  <c r="E2" i="50"/>
  <c r="D46" i="50" s="1"/>
  <c r="E3" i="51"/>
  <c r="E2" i="51"/>
  <c r="E3" i="52"/>
  <c r="E2" i="52"/>
  <c r="E2" i="54"/>
  <c r="E3" i="54"/>
  <c r="E3" i="53"/>
  <c r="E2" i="55" l="1"/>
  <c r="E2" i="53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<sst xmlns="http://schemas.openxmlformats.org/spreadsheetml/2006/main" count="320" uniqueCount="62">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</sst>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46293</v>
          </cell>
          <cell r="E2">
            <v>19</v>
          </cell>
        </row>
        <row r="3">
          <cell r="C3" t="str">
            <v>FINAL VENTAS</v>
          </cell>
          <cell r="D3">
            <v>46295</v>
          </cell>
          <cell r="E3">
            <v>3</v>
          </cell>
        </row>
        <row r="8">
          <cell r="C8">
            <v>868</v>
          </cell>
        </row>
        <row r="9">
          <cell r="C9">
            <v>104</v>
          </cell>
        </row>
        <row r="10">
          <cell r="C10">
            <v>213</v>
          </cell>
        </row>
        <row r="11">
          <cell r="C11">
            <v>44</v>
          </cell>
        </row>
        <row r="12">
          <cell r="C12">
            <v>11</v>
          </cell>
        </row>
        <row r="13">
          <cell r="C13">
            <v>1090</v>
          </cell>
        </row>
        <row r="14">
          <cell r="C14">
            <v>92</v>
          </cell>
        </row>
        <row r="15">
          <cell r="C15">
            <v>174</v>
          </cell>
        </row>
        <row r="16">
          <cell r="C16">
            <v>549</v>
          </cell>
        </row>
        <row r="17">
          <cell r="C17">
            <v>145</v>
          </cell>
        </row>
        <row r="18">
          <cell r="C18">
            <v>2866</v>
          </cell>
        </row>
        <row r="19">
          <cell r="C19">
            <v>1701</v>
          </cell>
        </row>
        <row r="20">
          <cell r="C20">
            <v>2078</v>
          </cell>
        </row>
        <row r="21">
          <cell r="C21">
            <v>1638</v>
          </cell>
        </row>
        <row r="22">
          <cell r="C22">
            <v>540</v>
          </cell>
        </row>
        <row r="23">
          <cell r="C23">
            <v>771</v>
          </cell>
        </row>
        <row r="24">
          <cell r="C24">
            <v>795</v>
          </cell>
        </row>
        <row r="25">
          <cell r="C25">
            <v>116</v>
          </cell>
        </row>
        <row r="26">
          <cell r="C26">
            <v>18</v>
          </cell>
        </row>
        <row r="27">
          <cell r="C27">
            <v>270</v>
          </cell>
        </row>
        <row r="28">
          <cell r="C28">
            <v>363</v>
          </cell>
        </row>
        <row r="29">
          <cell r="C29">
            <v>32</v>
          </cell>
        </row>
        <row r="30">
          <cell r="C30">
            <v>706</v>
          </cell>
        </row>
        <row r="31">
          <cell r="C31">
            <v>1733</v>
          </cell>
        </row>
        <row r="32">
          <cell r="C32">
            <v>1119</v>
          </cell>
        </row>
        <row r="33">
          <cell r="C33">
            <v>715</v>
          </cell>
        </row>
        <row r="34">
          <cell r="C34">
            <v>556</v>
          </cell>
        </row>
        <row r="35">
          <cell r="C35">
            <v>677</v>
          </cell>
        </row>
        <row r="36">
          <cell r="C36">
            <v>91</v>
          </cell>
        </row>
        <row r="37">
          <cell r="C37">
            <v>137</v>
          </cell>
        </row>
        <row r="38">
          <cell r="C38">
            <v>874</v>
          </cell>
        </row>
        <row r="39">
          <cell r="C39">
            <v>522</v>
          </cell>
        </row>
        <row r="40">
          <cell r="C40">
            <v>816</v>
          </cell>
        </row>
        <row r="41">
          <cell r="C41">
            <v>491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149</v>
          </cell>
        </row>
        <row r="45">
          <cell r="C45">
            <v>813</v>
          </cell>
        </row>
        <row r="46">
          <cell r="C46">
            <v>263</v>
          </cell>
        </row>
        <row r="47">
          <cell r="C47">
            <v>136</v>
          </cell>
        </row>
        <row r="48">
          <cell r="C48">
            <v>513</v>
          </cell>
        </row>
        <row r="49">
          <cell r="C49">
            <v>240</v>
          </cell>
        </row>
        <row r="50">
          <cell r="C50">
            <v>325</v>
          </cell>
        </row>
        <row r="51">
          <cell r="C51">
            <v>48</v>
          </cell>
        </row>
        <row r="52">
          <cell r="C52">
            <v>110</v>
          </cell>
        </row>
        <row r="53">
          <cell r="C53">
            <v>32</v>
          </cell>
        </row>
        <row r="54">
          <cell r="C54">
            <v>51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46293</v>
          </cell>
          <cell r="E2">
            <v>19</v>
          </cell>
        </row>
        <row r="3">
          <cell r="C3" t="str">
            <v>FINAL VENTAS</v>
          </cell>
          <cell r="D3">
            <v>46295</v>
          </cell>
          <cell r="E3">
            <v>3</v>
          </cell>
        </row>
        <row r="8">
          <cell r="C8">
            <v>916</v>
          </cell>
        </row>
        <row r="9">
          <cell r="C9">
            <v>27</v>
          </cell>
        </row>
        <row r="10">
          <cell r="C10">
            <v>326</v>
          </cell>
        </row>
        <row r="11">
          <cell r="C11">
            <v>21</v>
          </cell>
        </row>
        <row r="12">
          <cell r="C12">
            <v>0</v>
          </cell>
        </row>
        <row r="13">
          <cell r="C13">
            <v>3098</v>
          </cell>
        </row>
        <row r="14">
          <cell r="C14">
            <v>271</v>
          </cell>
        </row>
        <row r="15">
          <cell r="C15">
            <v>614</v>
          </cell>
        </row>
        <row r="16">
          <cell r="C16">
            <v>1618</v>
          </cell>
        </row>
        <row r="17">
          <cell r="C17">
            <v>477</v>
          </cell>
        </row>
        <row r="18">
          <cell r="C18">
            <v>10630</v>
          </cell>
        </row>
        <row r="19">
          <cell r="C19">
            <v>5668</v>
          </cell>
        </row>
        <row r="20">
          <cell r="C20">
            <v>5745</v>
          </cell>
        </row>
        <row r="21">
          <cell r="C21">
            <v>7246</v>
          </cell>
        </row>
        <row r="22">
          <cell r="C22">
            <v>2326</v>
          </cell>
        </row>
        <row r="23">
          <cell r="C23">
            <v>2839</v>
          </cell>
        </row>
        <row r="24">
          <cell r="C24">
            <v>2812</v>
          </cell>
        </row>
        <row r="25">
          <cell r="C25">
            <v>569</v>
          </cell>
        </row>
        <row r="26">
          <cell r="C26">
            <v>188</v>
          </cell>
        </row>
        <row r="27">
          <cell r="C27">
            <v>1547</v>
          </cell>
        </row>
        <row r="28">
          <cell r="C28">
            <v>2016</v>
          </cell>
        </row>
        <row r="29">
          <cell r="C29">
            <v>110</v>
          </cell>
        </row>
        <row r="30">
          <cell r="C30">
            <v>857</v>
          </cell>
        </row>
        <row r="31">
          <cell r="C31">
            <v>1958</v>
          </cell>
        </row>
        <row r="32">
          <cell r="C32">
            <v>1088</v>
          </cell>
        </row>
        <row r="33">
          <cell r="C33">
            <v>684</v>
          </cell>
        </row>
        <row r="34">
          <cell r="C34">
            <v>1037</v>
          </cell>
        </row>
        <row r="35">
          <cell r="C35">
            <v>1203</v>
          </cell>
        </row>
        <row r="36">
          <cell r="C36">
            <v>206</v>
          </cell>
        </row>
        <row r="37">
          <cell r="C37">
            <v>302</v>
          </cell>
        </row>
        <row r="38">
          <cell r="C38">
            <v>2294</v>
          </cell>
        </row>
        <row r="39">
          <cell r="C39">
            <v>1222</v>
          </cell>
        </row>
        <row r="40">
          <cell r="C40">
            <v>1816</v>
          </cell>
        </row>
        <row r="41">
          <cell r="C41">
            <v>742</v>
          </cell>
        </row>
        <row r="42">
          <cell r="C42">
            <v>20</v>
          </cell>
        </row>
        <row r="43">
          <cell r="C43">
            <v>0</v>
          </cell>
        </row>
        <row r="44">
          <cell r="C44">
            <v>230</v>
          </cell>
        </row>
        <row r="45">
          <cell r="C45">
            <v>747</v>
          </cell>
        </row>
        <row r="46">
          <cell r="C46">
            <v>648</v>
          </cell>
        </row>
        <row r="47">
          <cell r="C47">
            <v>402</v>
          </cell>
        </row>
        <row r="48">
          <cell r="C48">
            <v>992</v>
          </cell>
        </row>
        <row r="49">
          <cell r="C49">
            <v>445</v>
          </cell>
        </row>
        <row r="50">
          <cell r="C50">
            <v>481</v>
          </cell>
        </row>
        <row r="51">
          <cell r="C51">
            <v>141</v>
          </cell>
        </row>
        <row r="52">
          <cell r="C52">
            <v>332</v>
          </cell>
        </row>
        <row r="53">
          <cell r="C53">
            <v>99</v>
          </cell>
        </row>
        <row r="54">
          <cell r="C54">
            <v>117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46293</v>
          </cell>
          <cell r="E2">
            <v>19</v>
          </cell>
        </row>
        <row r="3">
          <cell r="C3" t="str">
            <v>FINAL VENTAS</v>
          </cell>
          <cell r="D3">
            <v>46295</v>
          </cell>
          <cell r="E3">
            <v>3</v>
          </cell>
        </row>
        <row r="8">
          <cell r="C8">
            <v>14763</v>
          </cell>
        </row>
        <row r="9">
          <cell r="C9">
            <v>466</v>
          </cell>
        </row>
        <row r="10">
          <cell r="C10">
            <v>6461</v>
          </cell>
        </row>
        <row r="11">
          <cell r="C11">
            <v>1354</v>
          </cell>
        </row>
        <row r="12">
          <cell r="C12">
            <v>187</v>
          </cell>
        </row>
        <row r="13">
          <cell r="C13">
            <v>15693</v>
          </cell>
        </row>
        <row r="14">
          <cell r="C14">
            <v>1179</v>
          </cell>
        </row>
        <row r="15">
          <cell r="C15">
            <v>2436</v>
          </cell>
        </row>
        <row r="16">
          <cell r="C16">
            <v>5768</v>
          </cell>
        </row>
        <row r="17">
          <cell r="C17">
            <v>3471</v>
          </cell>
        </row>
        <row r="18">
          <cell r="C18">
            <v>31058</v>
          </cell>
        </row>
        <row r="19">
          <cell r="C19">
            <v>21039</v>
          </cell>
        </row>
        <row r="20">
          <cell r="C20">
            <v>20110</v>
          </cell>
        </row>
        <row r="21">
          <cell r="C21">
            <v>26140</v>
          </cell>
        </row>
        <row r="22">
          <cell r="C22">
            <v>6618</v>
          </cell>
        </row>
        <row r="23">
          <cell r="C23">
            <v>6704</v>
          </cell>
        </row>
        <row r="24">
          <cell r="C24">
            <v>7177</v>
          </cell>
        </row>
        <row r="25">
          <cell r="C25">
            <v>2020</v>
          </cell>
        </row>
        <row r="26">
          <cell r="C26">
            <v>979</v>
          </cell>
        </row>
        <row r="27">
          <cell r="C27">
            <v>4226</v>
          </cell>
        </row>
        <row r="28">
          <cell r="C28">
            <v>8427</v>
          </cell>
        </row>
        <row r="29">
          <cell r="C29">
            <v>1010</v>
          </cell>
        </row>
        <row r="30">
          <cell r="C30">
            <v>8185</v>
          </cell>
        </row>
        <row r="31">
          <cell r="C31">
            <v>12063</v>
          </cell>
        </row>
        <row r="32">
          <cell r="C32">
            <v>5505</v>
          </cell>
        </row>
        <row r="33">
          <cell r="C33">
            <v>3705</v>
          </cell>
        </row>
        <row r="34">
          <cell r="C34">
            <v>1949</v>
          </cell>
        </row>
        <row r="35">
          <cell r="C35">
            <v>2515</v>
          </cell>
        </row>
        <row r="36">
          <cell r="C36">
            <v>1301</v>
          </cell>
        </row>
        <row r="37">
          <cell r="C37">
            <v>1391</v>
          </cell>
        </row>
        <row r="38">
          <cell r="C38">
            <v>6386</v>
          </cell>
        </row>
        <row r="39">
          <cell r="C39">
            <v>5552</v>
          </cell>
        </row>
        <row r="40">
          <cell r="C40">
            <v>7326</v>
          </cell>
        </row>
        <row r="41">
          <cell r="C41">
            <v>5365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1015</v>
          </cell>
        </row>
        <row r="45">
          <cell r="C45">
            <v>5425</v>
          </cell>
        </row>
        <row r="46">
          <cell r="C46">
            <v>3563</v>
          </cell>
        </row>
        <row r="47">
          <cell r="C47">
            <v>2991</v>
          </cell>
        </row>
        <row r="48">
          <cell r="C48">
            <v>5363</v>
          </cell>
        </row>
        <row r="49">
          <cell r="C49">
            <v>3747</v>
          </cell>
        </row>
        <row r="50">
          <cell r="C50">
            <v>3274</v>
          </cell>
        </row>
        <row r="51">
          <cell r="C51">
            <v>578</v>
          </cell>
        </row>
        <row r="52">
          <cell r="C52">
            <v>1241</v>
          </cell>
        </row>
        <row r="53">
          <cell r="C53">
            <v>460</v>
          </cell>
        </row>
        <row r="54">
          <cell r="C54">
            <v>598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46293</v>
          </cell>
          <cell r="E2">
            <v>19</v>
          </cell>
        </row>
        <row r="3">
          <cell r="C3" t="str">
            <v>FINAL VENTAS</v>
          </cell>
          <cell r="D3">
            <v>46295</v>
          </cell>
          <cell r="E3">
            <v>3</v>
          </cell>
        </row>
        <row r="8">
          <cell r="C8">
            <v>4576</v>
          </cell>
        </row>
        <row r="9">
          <cell r="C9">
            <v>249</v>
          </cell>
        </row>
        <row r="10">
          <cell r="C10">
            <v>2080</v>
          </cell>
        </row>
        <row r="11">
          <cell r="C11">
            <v>498</v>
          </cell>
        </row>
        <row r="12">
          <cell r="C12">
            <v>39</v>
          </cell>
        </row>
        <row r="13">
          <cell r="C13">
            <v>6312</v>
          </cell>
        </row>
        <row r="14">
          <cell r="C14">
            <v>1050</v>
          </cell>
        </row>
        <row r="15">
          <cell r="C15">
            <v>2385</v>
          </cell>
        </row>
        <row r="16">
          <cell r="C16">
            <v>6313</v>
          </cell>
        </row>
        <row r="17">
          <cell r="C17">
            <v>2799</v>
          </cell>
        </row>
        <row r="18">
          <cell r="C18">
            <v>17856</v>
          </cell>
        </row>
        <row r="19">
          <cell r="C19">
            <v>10928</v>
          </cell>
        </row>
        <row r="20">
          <cell r="C20">
            <v>11565</v>
          </cell>
        </row>
        <row r="21">
          <cell r="C21">
            <v>13621</v>
          </cell>
        </row>
        <row r="22">
          <cell r="C22">
            <v>3697</v>
          </cell>
        </row>
        <row r="23">
          <cell r="C23">
            <v>5209</v>
          </cell>
        </row>
        <row r="24">
          <cell r="C24">
            <v>4945</v>
          </cell>
        </row>
        <row r="25">
          <cell r="C25">
            <v>2262</v>
          </cell>
        </row>
        <row r="26">
          <cell r="C26">
            <v>1277</v>
          </cell>
        </row>
        <row r="27">
          <cell r="C27">
            <v>3406</v>
          </cell>
        </row>
        <row r="28">
          <cell r="C28">
            <v>5120</v>
          </cell>
        </row>
        <row r="29">
          <cell r="C29">
            <v>0</v>
          </cell>
        </row>
        <row r="30">
          <cell r="C30">
            <v>3126</v>
          </cell>
        </row>
        <row r="31">
          <cell r="C31">
            <v>4260</v>
          </cell>
        </row>
        <row r="32">
          <cell r="C32">
            <v>2567</v>
          </cell>
        </row>
        <row r="33">
          <cell r="C33">
            <v>2156</v>
          </cell>
        </row>
        <row r="34">
          <cell r="C34">
            <v>1054</v>
          </cell>
        </row>
        <row r="35">
          <cell r="C35">
            <v>1229</v>
          </cell>
        </row>
        <row r="36">
          <cell r="C36">
            <v>734</v>
          </cell>
        </row>
        <row r="37">
          <cell r="C37">
            <v>767</v>
          </cell>
        </row>
        <row r="38">
          <cell r="C38">
            <v>4592</v>
          </cell>
        </row>
        <row r="39">
          <cell r="C39">
            <v>3537</v>
          </cell>
        </row>
        <row r="40">
          <cell r="C40">
            <v>4716</v>
          </cell>
        </row>
        <row r="41">
          <cell r="C41">
            <v>2980</v>
          </cell>
        </row>
        <row r="42">
          <cell r="C42">
            <v>58</v>
          </cell>
        </row>
        <row r="43">
          <cell r="C43">
            <v>11</v>
          </cell>
        </row>
        <row r="44">
          <cell r="C44">
            <v>1121</v>
          </cell>
        </row>
        <row r="45">
          <cell r="C45">
            <v>3439</v>
          </cell>
        </row>
        <row r="46">
          <cell r="C46">
            <v>3108</v>
          </cell>
        </row>
        <row r="47">
          <cell r="C47">
            <v>898</v>
          </cell>
        </row>
        <row r="48">
          <cell r="C48">
            <v>2350</v>
          </cell>
        </row>
        <row r="49">
          <cell r="C49">
            <v>1146</v>
          </cell>
        </row>
        <row r="50">
          <cell r="C50">
            <v>1434</v>
          </cell>
        </row>
        <row r="51">
          <cell r="C51">
            <v>245</v>
          </cell>
        </row>
        <row r="52">
          <cell r="C52">
            <v>529</v>
          </cell>
        </row>
        <row r="53">
          <cell r="C53">
            <v>168</v>
          </cell>
        </row>
        <row r="54">
          <cell r="C54">
            <v>211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46293</v>
          </cell>
          <cell r="E2">
            <v>19</v>
          </cell>
        </row>
        <row r="3">
          <cell r="C3" t="str">
            <v>FINAL VENTAS</v>
          </cell>
          <cell r="D3">
            <v>46295</v>
          </cell>
          <cell r="E3">
            <v>3</v>
          </cell>
        </row>
        <row r="8">
          <cell r="C8">
            <v>572</v>
          </cell>
        </row>
        <row r="9">
          <cell r="C9">
            <v>75</v>
          </cell>
        </row>
        <row r="10">
          <cell r="C10">
            <v>175</v>
          </cell>
        </row>
        <row r="11">
          <cell r="C11">
            <v>57</v>
          </cell>
        </row>
        <row r="12">
          <cell r="C12">
            <v>9</v>
          </cell>
        </row>
        <row r="13">
          <cell r="C13">
            <v>264</v>
          </cell>
        </row>
        <row r="14">
          <cell r="C14">
            <v>191</v>
          </cell>
        </row>
        <row r="15">
          <cell r="C15">
            <v>253</v>
          </cell>
        </row>
        <row r="16">
          <cell r="C16">
            <v>345</v>
          </cell>
        </row>
        <row r="17">
          <cell r="C17">
            <v>154</v>
          </cell>
        </row>
        <row r="18">
          <cell r="C18">
            <v>911</v>
          </cell>
        </row>
        <row r="19">
          <cell r="C19">
            <v>728</v>
          </cell>
        </row>
        <row r="20">
          <cell r="C20">
            <v>528</v>
          </cell>
        </row>
        <row r="21">
          <cell r="C21">
            <v>799</v>
          </cell>
        </row>
        <row r="22">
          <cell r="C22">
            <v>236</v>
          </cell>
        </row>
        <row r="23">
          <cell r="C23">
            <v>331</v>
          </cell>
        </row>
        <row r="24">
          <cell r="C24">
            <v>314</v>
          </cell>
        </row>
        <row r="25">
          <cell r="C25">
            <v>93</v>
          </cell>
        </row>
        <row r="26">
          <cell r="C26">
            <v>24</v>
          </cell>
        </row>
        <row r="27">
          <cell r="C27">
            <v>72</v>
          </cell>
        </row>
        <row r="28">
          <cell r="C28">
            <v>233</v>
          </cell>
        </row>
        <row r="29">
          <cell r="C29">
            <v>0</v>
          </cell>
        </row>
        <row r="30">
          <cell r="C30">
            <v>253</v>
          </cell>
        </row>
        <row r="31">
          <cell r="C31">
            <v>468</v>
          </cell>
        </row>
        <row r="32">
          <cell r="C32">
            <v>246</v>
          </cell>
        </row>
        <row r="33">
          <cell r="C33">
            <v>522</v>
          </cell>
        </row>
        <row r="34">
          <cell r="C34">
            <v>83</v>
          </cell>
        </row>
        <row r="35">
          <cell r="C35">
            <v>84</v>
          </cell>
        </row>
        <row r="36">
          <cell r="C36">
            <v>82</v>
          </cell>
        </row>
        <row r="37">
          <cell r="C37">
            <v>59</v>
          </cell>
        </row>
        <row r="38">
          <cell r="C38">
            <v>556</v>
          </cell>
        </row>
        <row r="39">
          <cell r="C39">
            <v>541</v>
          </cell>
        </row>
        <row r="40">
          <cell r="C40">
            <v>517</v>
          </cell>
        </row>
        <row r="41">
          <cell r="C41">
            <v>426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90</v>
          </cell>
        </row>
        <row r="45">
          <cell r="C45">
            <v>213</v>
          </cell>
        </row>
        <row r="46">
          <cell r="C46">
            <v>79</v>
          </cell>
        </row>
        <row r="47">
          <cell r="C47">
            <v>23</v>
          </cell>
        </row>
        <row r="48">
          <cell r="C48">
            <v>119</v>
          </cell>
        </row>
        <row r="49">
          <cell r="C49">
            <v>158</v>
          </cell>
        </row>
        <row r="50">
          <cell r="C50">
            <v>161</v>
          </cell>
        </row>
        <row r="51">
          <cell r="C51">
            <v>31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46293</v>
          </cell>
          <cell r="E2">
            <v>19</v>
          </cell>
        </row>
        <row r="3">
          <cell r="C3" t="str">
            <v>FINAL VENTAS</v>
          </cell>
          <cell r="D3">
            <v>46295</v>
          </cell>
          <cell r="E3">
            <v>3</v>
          </cell>
        </row>
        <row r="8">
          <cell r="C8">
            <v>22297</v>
          </cell>
        </row>
        <row r="9">
          <cell r="C9">
            <v>924</v>
          </cell>
        </row>
        <row r="10">
          <cell r="C10">
            <v>9343</v>
          </cell>
        </row>
        <row r="11">
          <cell r="C11">
            <v>1987</v>
          </cell>
        </row>
        <row r="12">
          <cell r="C12">
            <v>252</v>
          </cell>
        </row>
        <row r="13">
          <cell r="C13">
            <v>26631</v>
          </cell>
        </row>
        <row r="14">
          <cell r="C14">
            <v>2804</v>
          </cell>
        </row>
        <row r="15">
          <cell r="C15">
            <v>5905</v>
          </cell>
        </row>
        <row r="16">
          <cell r="C16">
            <v>14758</v>
          </cell>
        </row>
        <row r="17">
          <cell r="C17">
            <v>7170</v>
          </cell>
        </row>
        <row r="18">
          <cell r="C18">
            <v>63741</v>
          </cell>
        </row>
        <row r="19">
          <cell r="C19">
            <v>40339</v>
          </cell>
        </row>
        <row r="20">
          <cell r="C20">
            <v>40312</v>
          </cell>
        </row>
        <row r="21">
          <cell r="C21">
            <v>49802</v>
          </cell>
        </row>
        <row r="22">
          <cell r="C22">
            <v>13445</v>
          </cell>
        </row>
        <row r="23">
          <cell r="C23">
            <v>15895</v>
          </cell>
        </row>
        <row r="24">
          <cell r="C24">
            <v>16083</v>
          </cell>
        </row>
        <row r="25">
          <cell r="C25">
            <v>5164</v>
          </cell>
        </row>
        <row r="26">
          <cell r="C26">
            <v>2516</v>
          </cell>
        </row>
        <row r="27">
          <cell r="C27">
            <v>9586</v>
          </cell>
        </row>
        <row r="28">
          <cell r="C28">
            <v>16378</v>
          </cell>
        </row>
        <row r="29">
          <cell r="C29">
            <v>1152</v>
          </cell>
        </row>
        <row r="30">
          <cell r="C30">
            <v>13311</v>
          </cell>
        </row>
        <row r="31">
          <cell r="C31">
            <v>20615</v>
          </cell>
        </row>
        <row r="32">
          <cell r="C32">
            <v>10664</v>
          </cell>
        </row>
        <row r="33">
          <cell r="C33">
            <v>8140</v>
          </cell>
        </row>
        <row r="34">
          <cell r="C34">
            <v>4746</v>
          </cell>
        </row>
        <row r="35">
          <cell r="C35">
            <v>5736</v>
          </cell>
        </row>
        <row r="36">
          <cell r="C36">
            <v>2457</v>
          </cell>
        </row>
        <row r="37">
          <cell r="C37">
            <v>2694</v>
          </cell>
        </row>
        <row r="38">
          <cell r="C38">
            <v>14915</v>
          </cell>
        </row>
        <row r="39">
          <cell r="C39">
            <v>11547</v>
          </cell>
        </row>
        <row r="40">
          <cell r="C40">
            <v>15283</v>
          </cell>
        </row>
        <row r="41">
          <cell r="C41">
            <v>10118</v>
          </cell>
        </row>
        <row r="42">
          <cell r="C42">
            <v>78</v>
          </cell>
        </row>
        <row r="43">
          <cell r="C43">
            <v>11</v>
          </cell>
        </row>
        <row r="44">
          <cell r="C44">
            <v>2642</v>
          </cell>
        </row>
        <row r="45">
          <cell r="C45">
            <v>10708</v>
          </cell>
        </row>
        <row r="46">
          <cell r="C46">
            <v>7709</v>
          </cell>
        </row>
        <row r="47">
          <cell r="C47">
            <v>4527</v>
          </cell>
        </row>
        <row r="48">
          <cell r="C48">
            <v>9415</v>
          </cell>
        </row>
        <row r="49">
          <cell r="C49">
            <v>5766</v>
          </cell>
        </row>
        <row r="50">
          <cell r="C50">
            <v>5661</v>
          </cell>
        </row>
        <row r="51">
          <cell r="C51">
            <v>1021</v>
          </cell>
        </row>
        <row r="52">
          <cell r="C52">
            <v>2288</v>
          </cell>
        </row>
        <row r="53">
          <cell r="C53">
            <v>790</v>
          </cell>
        </row>
        <row r="54">
          <cell r="C54">
            <v>996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46293</v>
      </c>
      <c r="E2" s="4">
        <f ca="1">'[1]VENTAS CONSOLIDADA ZULIA'!E2</f>
        <v>19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572</v>
      </c>
      <c r="D8" s="5">
        <f t="shared" ref="D8:D54" ca="1" si="0">C8/$E$2</f>
        <v>30.105263157894736</v>
      </c>
      <c r="E8" s="5">
        <f ca="1">D8*($E$2+$E$3)</f>
        <v>662.31578947368416</v>
      </c>
    </row>
    <row r="9" spans="1:5" x14ac:dyDescent="0.25">
      <c r="A9">
        <v>110151</v>
      </c>
      <c r="B9" t="s">
        <v>5</v>
      </c>
      <c r="C9">
        <f>'[1]VENTAS CONSOLIDADA ZULIA'!C9</f>
        <v>75</v>
      </c>
      <c r="D9" s="5">
        <f t="shared" ca="1" si="0"/>
        <v>3.9473684210526314</v>
      </c>
      <c r="E9" s="5">
        <f t="shared" ref="E9:E54" ca="1" si="1">D9*($E$2+$E$3)</f>
        <v>86.84210526315789</v>
      </c>
    </row>
    <row r="10" spans="1:5" x14ac:dyDescent="0.25">
      <c r="A10">
        <v>110230</v>
      </c>
      <c r="B10" t="s">
        <v>1</v>
      </c>
      <c r="C10">
        <f>'[1]VENTAS CONSOLIDADA ZULIA'!C10</f>
        <v>175</v>
      </c>
      <c r="D10" s="5">
        <f t="shared" ca="1" si="0"/>
        <v>9.2105263157894743</v>
      </c>
      <c r="E10" s="5">
        <f t="shared" ca="1" si="1"/>
        <v>202.63157894736844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3</v>
      </c>
      <c r="E11" s="5">
        <f t="shared" ca="1" si="1"/>
        <v>66</v>
      </c>
    </row>
    <row r="12" spans="1:5" x14ac:dyDescent="0.25">
      <c r="A12">
        <v>111000</v>
      </c>
      <c r="B12" t="s">
        <v>14</v>
      </c>
      <c r="C12">
        <f>'[1]VENTAS CONSOLIDADA ZULIA'!C12</f>
        <v>9</v>
      </c>
      <c r="D12" s="5">
        <f t="shared" ca="1" si="0"/>
        <v>0.47368421052631576</v>
      </c>
      <c r="E12" s="5">
        <f t="shared" ca="1" si="1"/>
        <v>10.421052631578947</v>
      </c>
    </row>
    <row r="13" spans="1:5" x14ac:dyDescent="0.25">
      <c r="A13">
        <v>120130</v>
      </c>
      <c r="B13" t="s">
        <v>15</v>
      </c>
      <c r="C13">
        <f>'[1]VENTAS CONSOLIDADA ZULIA'!C13</f>
        <v>264</v>
      </c>
      <c r="D13" s="5">
        <f t="shared" ca="1" si="0"/>
        <v>13.894736842105264</v>
      </c>
      <c r="E13" s="5">
        <f t="shared" ca="1" si="1"/>
        <v>305.68421052631578</v>
      </c>
    </row>
    <row r="14" spans="1:5" x14ac:dyDescent="0.25">
      <c r="A14">
        <v>120131</v>
      </c>
      <c r="B14" t="s">
        <v>23</v>
      </c>
      <c r="C14">
        <f>'[1]VENTAS CONSOLIDADA ZULIA'!C14</f>
        <v>191</v>
      </c>
      <c r="D14" s="5">
        <f t="shared" ca="1" si="0"/>
        <v>10.052631578947368</v>
      </c>
      <c r="E14" s="5">
        <f t="shared" ca="1" si="1"/>
        <v>221.15789473684211</v>
      </c>
    </row>
    <row r="15" spans="1:5" x14ac:dyDescent="0.25">
      <c r="A15">
        <v>120132</v>
      </c>
      <c r="B15" t="s">
        <v>21</v>
      </c>
      <c r="C15">
        <f>'[1]VENTAS CONSOLIDADA ZULIA'!C15</f>
        <v>253</v>
      </c>
      <c r="D15" s="5">
        <f t="shared" ca="1" si="0"/>
        <v>13.315789473684211</v>
      </c>
      <c r="E15" s="5">
        <f t="shared" ca="1" si="1"/>
        <v>292.94736842105266</v>
      </c>
    </row>
    <row r="16" spans="1:5" x14ac:dyDescent="0.25">
      <c r="A16">
        <v>130150</v>
      </c>
      <c r="B16" t="s">
        <v>0</v>
      </c>
      <c r="C16">
        <f>'[1]VENTAS CONSOLIDADA ZULIA'!C16</f>
        <v>345</v>
      </c>
      <c r="D16" s="5">
        <f t="shared" ca="1" si="0"/>
        <v>18.157894736842106</v>
      </c>
      <c r="E16" s="5">
        <f t="shared" ca="1" si="1"/>
        <v>399.47368421052636</v>
      </c>
    </row>
    <row r="17" spans="1:5" x14ac:dyDescent="0.25">
      <c r="A17">
        <v>130151</v>
      </c>
      <c r="B17" t="s">
        <v>4</v>
      </c>
      <c r="C17">
        <f>'[1]VENTAS CONSOLIDADA ZULIA'!C17</f>
        <v>154</v>
      </c>
      <c r="D17" s="5">
        <f t="shared" ca="1" si="0"/>
        <v>8.1052631578947363</v>
      </c>
      <c r="E17" s="5">
        <f t="shared" ca="1" si="1"/>
        <v>178.31578947368419</v>
      </c>
    </row>
    <row r="18" spans="1:5" x14ac:dyDescent="0.25">
      <c r="A18">
        <v>130152</v>
      </c>
      <c r="B18" t="s">
        <v>51</v>
      </c>
      <c r="C18">
        <f>'[1]VENTAS CONSOLIDADA ZULIA'!C18</f>
        <v>911</v>
      </c>
      <c r="D18" s="5">
        <f t="shared" ca="1" si="0"/>
        <v>47.94736842105263</v>
      </c>
      <c r="E18" s="5">
        <f t="shared" ca="1" si="1"/>
        <v>1054.8421052631579</v>
      </c>
    </row>
    <row r="19" spans="1:5" x14ac:dyDescent="0.25">
      <c r="A19">
        <v>130153</v>
      </c>
      <c r="B19" t="s">
        <v>52</v>
      </c>
      <c r="C19">
        <f>'[1]VENTAS CONSOLIDADA ZULIA'!C19</f>
        <v>728</v>
      </c>
      <c r="D19" s="5">
        <f t="shared" ca="1" si="0"/>
        <v>38.315789473684212</v>
      </c>
      <c r="E19" s="5">
        <f t="shared" ca="1" si="1"/>
        <v>842.94736842105272</v>
      </c>
    </row>
    <row r="20" spans="1:5" x14ac:dyDescent="0.25">
      <c r="A20">
        <v>130154</v>
      </c>
      <c r="B20" t="s">
        <v>53</v>
      </c>
      <c r="C20">
        <f>'[1]VENTAS CONSOLIDADA ZULIA'!C20</f>
        <v>528</v>
      </c>
      <c r="D20" s="5">
        <f t="shared" ca="1" si="0"/>
        <v>27.789473684210527</v>
      </c>
      <c r="E20" s="5">
        <f t="shared" ca="1" si="1"/>
        <v>611.36842105263156</v>
      </c>
    </row>
    <row r="21" spans="1:5" x14ac:dyDescent="0.25">
      <c r="A21">
        <v>130155</v>
      </c>
      <c r="B21" t="s">
        <v>16</v>
      </c>
      <c r="C21">
        <f>'[1]VENTAS CONSOLIDADA ZULIA'!C21</f>
        <v>799</v>
      </c>
      <c r="D21" s="5">
        <f t="shared" ca="1" si="0"/>
        <v>42.05263157894737</v>
      </c>
      <c r="E21" s="5">
        <f t="shared" ca="1" si="1"/>
        <v>925.15789473684208</v>
      </c>
    </row>
    <row r="22" spans="1:5" x14ac:dyDescent="0.25">
      <c r="A22">
        <v>130157</v>
      </c>
      <c r="B22" t="s">
        <v>43</v>
      </c>
      <c r="C22">
        <f>'[1]VENTAS CONSOLIDADA ZULIA'!C22</f>
        <v>236</v>
      </c>
      <c r="D22" s="5">
        <f t="shared" ca="1" si="0"/>
        <v>12.421052631578947</v>
      </c>
      <c r="E22" s="5">
        <f t="shared" ca="1" si="1"/>
        <v>273.26315789473682</v>
      </c>
    </row>
    <row r="23" spans="1:5" x14ac:dyDescent="0.25">
      <c r="A23">
        <v>130158</v>
      </c>
      <c r="B23" t="s">
        <v>44</v>
      </c>
      <c r="C23">
        <f>'[1]VENTAS CONSOLIDADA ZULIA'!C23</f>
        <v>331</v>
      </c>
      <c r="D23" s="5">
        <f t="shared" ca="1" si="0"/>
        <v>17.421052631578949</v>
      </c>
      <c r="E23" s="5">
        <f t="shared" ca="1" si="1"/>
        <v>383.26315789473688</v>
      </c>
    </row>
    <row r="24" spans="1:5" x14ac:dyDescent="0.25">
      <c r="A24">
        <v>130159</v>
      </c>
      <c r="B24" t="s">
        <v>45</v>
      </c>
      <c r="C24">
        <f>'[1]VENTAS CONSOLIDADA ZULIA'!C24</f>
        <v>314</v>
      </c>
      <c r="D24" s="5">
        <f t="shared" ca="1" si="0"/>
        <v>16.526315789473685</v>
      </c>
      <c r="E24" s="5">
        <f t="shared" ca="1" si="1"/>
        <v>363.57894736842104</v>
      </c>
    </row>
    <row r="25" spans="1:5" x14ac:dyDescent="0.25">
      <c r="A25">
        <v>130700</v>
      </c>
      <c r="B25" t="s">
        <v>3</v>
      </c>
      <c r="C25">
        <f>'[1]VENTAS CONSOLIDADA ZULIA'!C25</f>
        <v>93</v>
      </c>
      <c r="D25" s="5">
        <f t="shared" ca="1" si="0"/>
        <v>4.8947368421052628</v>
      </c>
      <c r="E25" s="5">
        <f t="shared" ca="1" si="1"/>
        <v>107.68421052631578</v>
      </c>
    </row>
    <row r="26" spans="1:5" x14ac:dyDescent="0.25">
      <c r="A26">
        <v>130701</v>
      </c>
      <c r="B26" t="s">
        <v>30</v>
      </c>
      <c r="C26">
        <f>'[1]VENTAS CONSOLIDADA ZULIA'!C26</f>
        <v>24</v>
      </c>
      <c r="D26" s="5">
        <f t="shared" ca="1" si="0"/>
        <v>1.263157894736842</v>
      </c>
      <c r="E26" s="5">
        <f t="shared" ca="1" si="1"/>
        <v>27.789473684210524</v>
      </c>
    </row>
    <row r="27" spans="1:5" x14ac:dyDescent="0.25">
      <c r="A27">
        <v>130702</v>
      </c>
      <c r="B27" t="s">
        <v>12</v>
      </c>
      <c r="C27">
        <f>'[1]VENTAS CONSOLIDADA ZULIA'!C27</f>
        <v>72</v>
      </c>
      <c r="D27" s="5">
        <f t="shared" ca="1" si="0"/>
        <v>3.7894736842105261</v>
      </c>
      <c r="E27" s="5">
        <f t="shared" ca="1" si="1"/>
        <v>83.368421052631575</v>
      </c>
    </row>
    <row r="28" spans="1:5" x14ac:dyDescent="0.25">
      <c r="A28">
        <v>130703</v>
      </c>
      <c r="B28" t="s">
        <v>17</v>
      </c>
      <c r="C28">
        <f>'[1]VENTAS CONSOLIDADA ZULIA'!C28</f>
        <v>233</v>
      </c>
      <c r="D28" s="5">
        <f t="shared" ca="1" si="0"/>
        <v>12.263157894736842</v>
      </c>
      <c r="E28" s="5">
        <f t="shared" ca="1" si="1"/>
        <v>269.78947368421052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253</v>
      </c>
      <c r="D30" s="5">
        <f t="shared" ca="1" si="0"/>
        <v>13.315789473684211</v>
      </c>
      <c r="E30" s="5">
        <f t="shared" ca="1" si="1"/>
        <v>292.94736842105266</v>
      </c>
    </row>
    <row r="31" spans="1:5" x14ac:dyDescent="0.25">
      <c r="A31">
        <v>131151</v>
      </c>
      <c r="B31" t="s">
        <v>19</v>
      </c>
      <c r="C31">
        <f>'[1]VENTAS CONSOLIDADA ZULIA'!C31</f>
        <v>468</v>
      </c>
      <c r="D31" s="5">
        <f t="shared" ca="1" si="0"/>
        <v>24.631578947368421</v>
      </c>
      <c r="E31" s="5">
        <f t="shared" ca="1" si="1"/>
        <v>541.89473684210532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12.947368421052632</v>
      </c>
      <c r="E32" s="5">
        <f t="shared" ca="1" si="1"/>
        <v>284.84210526315792</v>
      </c>
    </row>
    <row r="33" spans="1:5" x14ac:dyDescent="0.25">
      <c r="A33">
        <v>131153</v>
      </c>
      <c r="B33" t="s">
        <v>11</v>
      </c>
      <c r="C33">
        <f>'[1]VENTAS CONSOLIDADA ZULIA'!C33</f>
        <v>522</v>
      </c>
      <c r="D33" s="5">
        <f t="shared" ca="1" si="0"/>
        <v>27.473684210526315</v>
      </c>
      <c r="E33" s="5">
        <f t="shared" ca="1" si="1"/>
        <v>604.42105263157896</v>
      </c>
    </row>
    <row r="34" spans="1:5" x14ac:dyDescent="0.25">
      <c r="A34">
        <v>131154</v>
      </c>
      <c r="B34" t="s">
        <v>48</v>
      </c>
      <c r="C34">
        <f>'[1]VENTAS CONSOLIDADA ZULIA'!C34</f>
        <v>83</v>
      </c>
      <c r="D34" s="5">
        <f t="shared" ca="1" si="0"/>
        <v>4.3684210526315788</v>
      </c>
      <c r="E34" s="5">
        <f t="shared" ca="1" si="1"/>
        <v>96.10526315789474</v>
      </c>
    </row>
    <row r="35" spans="1:5" x14ac:dyDescent="0.25">
      <c r="A35">
        <v>131155</v>
      </c>
      <c r="B35" t="s">
        <v>57</v>
      </c>
      <c r="C35">
        <f>'[1]VENTAS CONSOLIDADA ZULIA'!C35</f>
        <v>84</v>
      </c>
      <c r="D35" s="5">
        <f t="shared" ca="1" si="0"/>
        <v>4.4210526315789478</v>
      </c>
      <c r="E35" s="5">
        <f t="shared" ca="1" si="1"/>
        <v>97.26315789473685</v>
      </c>
    </row>
    <row r="36" spans="1:5" x14ac:dyDescent="0.25">
      <c r="A36">
        <v>131700</v>
      </c>
      <c r="B36" t="s">
        <v>20</v>
      </c>
      <c r="C36">
        <f>'[1]VENTAS CONSOLIDADA ZULIA'!C36</f>
        <v>82</v>
      </c>
      <c r="D36" s="5">
        <f t="shared" ca="1" si="0"/>
        <v>4.3157894736842106</v>
      </c>
      <c r="E36" s="5">
        <f t="shared" ca="1" si="1"/>
        <v>94.94736842105263</v>
      </c>
    </row>
    <row r="37" spans="1:5" x14ac:dyDescent="0.25">
      <c r="A37">
        <v>131701</v>
      </c>
      <c r="B37" t="s">
        <v>24</v>
      </c>
      <c r="C37">
        <f>'[1]VENTAS CONSOLIDADA ZULIA'!C37</f>
        <v>59</v>
      </c>
      <c r="D37" s="5">
        <f t="shared" ca="1" si="0"/>
        <v>3.1052631578947367</v>
      </c>
      <c r="E37" s="5">
        <f t="shared" ca="1" si="1"/>
        <v>68.315789473684205</v>
      </c>
    </row>
    <row r="38" spans="1:5" x14ac:dyDescent="0.25">
      <c r="A38">
        <v>132150</v>
      </c>
      <c r="B38" t="s">
        <v>25</v>
      </c>
      <c r="C38">
        <f>'[1]VENTAS CONSOLIDADA ZULIA'!C38</f>
        <v>556</v>
      </c>
      <c r="D38" s="5">
        <f t="shared" ca="1" si="0"/>
        <v>29.263157894736842</v>
      </c>
      <c r="E38" s="5">
        <f t="shared" ca="1" si="1"/>
        <v>643.78947368421052</v>
      </c>
    </row>
    <row r="39" spans="1:5" x14ac:dyDescent="0.25">
      <c r="A39">
        <v>132151</v>
      </c>
      <c r="B39" t="s">
        <v>26</v>
      </c>
      <c r="C39">
        <f>'[1]VENTAS CONSOLIDADA ZULIA'!C39</f>
        <v>541</v>
      </c>
      <c r="D39" s="5">
        <f t="shared" ca="1" si="0"/>
        <v>28.473684210526315</v>
      </c>
      <c r="E39" s="5">
        <f t="shared" ca="1" si="1"/>
        <v>626.42105263157896</v>
      </c>
    </row>
    <row r="40" spans="1:5" x14ac:dyDescent="0.25">
      <c r="A40">
        <v>132152</v>
      </c>
      <c r="B40" t="s">
        <v>27</v>
      </c>
      <c r="C40">
        <f>'[1]VENTAS CONSOLIDADA ZULIA'!C40</f>
        <v>517</v>
      </c>
      <c r="D40" s="5">
        <f t="shared" ca="1" si="0"/>
        <v>27.210526315789473</v>
      </c>
      <c r="E40" s="5">
        <f t="shared" ca="1" si="1"/>
        <v>598.63157894736844</v>
      </c>
    </row>
    <row r="41" spans="1:5" x14ac:dyDescent="0.25">
      <c r="A41">
        <v>132153</v>
      </c>
      <c r="B41" t="s">
        <v>40</v>
      </c>
      <c r="C41">
        <f>'[1]VENTAS CONSOLIDADA ZULIA'!C41</f>
        <v>426</v>
      </c>
      <c r="D41" s="5">
        <f t="shared" ca="1" si="0"/>
        <v>22.421052631578949</v>
      </c>
      <c r="E41" s="5">
        <f t="shared" ca="1" si="1"/>
        <v>493.26315789473688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90</v>
      </c>
      <c r="D44" s="5">
        <f t="shared" ca="1" si="0"/>
        <v>4.7368421052631575</v>
      </c>
      <c r="E44" s="5">
        <f t="shared" ca="1" si="1"/>
        <v>104.21052631578947</v>
      </c>
    </row>
    <row r="45" spans="1:5" x14ac:dyDescent="0.25">
      <c r="A45">
        <v>140231</v>
      </c>
      <c r="B45" t="s">
        <v>10</v>
      </c>
      <c r="C45">
        <f>'[1]VENTAS CONSOLIDADA ZULIA'!C45</f>
        <v>213</v>
      </c>
      <c r="D45" s="5">
        <f t="shared" ca="1" si="0"/>
        <v>11.210526315789474</v>
      </c>
      <c r="E45" s="5">
        <f t="shared" ca="1" si="1"/>
        <v>246.63157894736844</v>
      </c>
    </row>
    <row r="46" spans="1:5" x14ac:dyDescent="0.25">
      <c r="A46">
        <v>140232</v>
      </c>
      <c r="B46" t="s">
        <v>9</v>
      </c>
      <c r="C46">
        <f>'[1]VENTAS CONSOLIDADA ZULIA'!C46</f>
        <v>79</v>
      </c>
      <c r="D46" s="5">
        <f t="shared" ca="1" si="0"/>
        <v>4.1578947368421053</v>
      </c>
      <c r="E46" s="5">
        <f t="shared" ca="1" si="1"/>
        <v>91.473684210526315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1.2105263157894737</v>
      </c>
      <c r="E47" s="5">
        <f t="shared" ca="1" si="1"/>
        <v>26.631578947368421</v>
      </c>
    </row>
    <row r="48" spans="1:5" x14ac:dyDescent="0.25">
      <c r="A48">
        <v>150361</v>
      </c>
      <c r="B48" t="s">
        <v>29</v>
      </c>
      <c r="C48">
        <f>'[1]VENTAS CONSOLIDADA ZULIA'!C48</f>
        <v>119</v>
      </c>
      <c r="D48" s="5">
        <f t="shared" ca="1" si="0"/>
        <v>6.2631578947368425</v>
      </c>
      <c r="E48" s="5">
        <f t="shared" ca="1" si="1"/>
        <v>137.78947368421052</v>
      </c>
    </row>
    <row r="49" spans="1:5" x14ac:dyDescent="0.25">
      <c r="A49">
        <v>150362</v>
      </c>
      <c r="B49" t="s">
        <v>36</v>
      </c>
      <c r="C49">
        <f>'[1]VENTAS CONSOLIDADA ZULIA'!C49</f>
        <v>158</v>
      </c>
      <c r="D49" s="5">
        <f t="shared" ca="1" si="0"/>
        <v>8.3157894736842106</v>
      </c>
      <c r="E49" s="5">
        <f t="shared" ca="1" si="1"/>
        <v>182.94736842105263</v>
      </c>
    </row>
    <row r="50" spans="1:5" x14ac:dyDescent="0.25">
      <c r="A50">
        <v>150363</v>
      </c>
      <c r="B50" t="s">
        <v>31</v>
      </c>
      <c r="C50">
        <f>'[1]VENTAS CONSOLIDADA ZULIA'!C50</f>
        <v>161</v>
      </c>
      <c r="D50" s="5">
        <f t="shared" ca="1" si="0"/>
        <v>8.473684210526315</v>
      </c>
      <c r="E50" s="5">
        <f t="shared" ca="1" si="1"/>
        <v>186.42105263157893</v>
      </c>
    </row>
    <row r="51" spans="1:5" x14ac:dyDescent="0.25">
      <c r="A51">
        <v>151500</v>
      </c>
      <c r="B51" t="s">
        <v>41</v>
      </c>
      <c r="C51">
        <f>'[1]VENTAS CONSOLIDADA ZULIA'!C51</f>
        <v>31</v>
      </c>
      <c r="D51" s="5">
        <f t="shared" ca="1" si="0"/>
        <v>1.631578947368421</v>
      </c>
      <c r="E51" s="5">
        <f t="shared" ca="1" si="1"/>
        <v>35.89473684210526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1.6842105263157894</v>
      </c>
      <c r="E52" s="5">
        <f t="shared" ca="1" si="1"/>
        <v>37.05263157894737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1.4210526315789473</v>
      </c>
      <c r="E53" s="5">
        <f t="shared" ca="1" si="1"/>
        <v>31.263157894736842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0.78947368421052633</v>
      </c>
      <c r="E54" s="5">
        <f t="shared" ca="1" si="1"/>
        <v>17.368421052631579</v>
      </c>
    </row>
    <row r="55" spans="1:5" x14ac:dyDescent="0.25">
      <c r="D55" s="5">
        <f ca="1">SUM(D8:D54)</f>
        <v>586.78947368421052</v>
      </c>
      <c r="E55" s="5">
        <f ca="1">SUM(E8:E54)</f>
        <v>12909.368421052632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46293</v>
      </c>
      <c r="E2" s="4">
        <f ca="1">'[1]VENTAS CONSOLIDADA VALENCIA'!E2</f>
        <v>19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4576</v>
      </c>
      <c r="D8" s="5">
        <f t="shared" ref="D8:D54" ca="1" si="0">C8/$E$2</f>
        <v>240.84210526315789</v>
      </c>
      <c r="E8" s="5">
        <f ca="1">D8*($E$2+$E$3)</f>
        <v>5298.5263157894733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13.105263157894736</v>
      </c>
      <c r="E9" s="5">
        <f t="shared" ref="E9:E54" ca="1" si="1">D9*($E$2+$E$3)</f>
        <v>288.31578947368422</v>
      </c>
    </row>
    <row r="10" spans="1:5" x14ac:dyDescent="0.25">
      <c r="A10">
        <v>110230</v>
      </c>
      <c r="B10" t="s">
        <v>1</v>
      </c>
      <c r="C10">
        <f>'[1]VENTAS CONSOLIDADA VALENCIA'!C10</f>
        <v>2080</v>
      </c>
      <c r="D10" s="5">
        <f t="shared" ca="1" si="0"/>
        <v>109.47368421052632</v>
      </c>
      <c r="E10" s="5">
        <f t="shared" ca="1" si="1"/>
        <v>2408.4210526315787</v>
      </c>
    </row>
    <row r="11" spans="1:5" x14ac:dyDescent="0.25">
      <c r="A11">
        <v>110400</v>
      </c>
      <c r="B11" t="s">
        <v>13</v>
      </c>
      <c r="C11">
        <f>'[1]VENTAS CONSOLIDADA VALENCIA'!C11</f>
        <v>498</v>
      </c>
      <c r="D11" s="5">
        <f t="shared" ca="1" si="0"/>
        <v>26.210526315789473</v>
      </c>
      <c r="E11" s="5">
        <f t="shared" ca="1" si="1"/>
        <v>576.63157894736844</v>
      </c>
    </row>
    <row r="12" spans="1:5" x14ac:dyDescent="0.25">
      <c r="A12">
        <v>111000</v>
      </c>
      <c r="B12" t="s">
        <v>14</v>
      </c>
      <c r="C12">
        <f>'[1]VENTAS CONSOLIDADA VALENCIA'!C12</f>
        <v>39</v>
      </c>
      <c r="D12" s="5">
        <f t="shared" ca="1" si="0"/>
        <v>2.0526315789473686</v>
      </c>
      <c r="E12" s="5">
        <f t="shared" ca="1" si="1"/>
        <v>45.15789473684211</v>
      </c>
    </row>
    <row r="13" spans="1:5" x14ac:dyDescent="0.25">
      <c r="A13">
        <v>120130</v>
      </c>
      <c r="B13" t="s">
        <v>15</v>
      </c>
      <c r="C13">
        <f>'[1]VENTAS CONSOLIDADA VALENCIA'!C13</f>
        <v>6312</v>
      </c>
      <c r="D13" s="5">
        <f t="shared" ca="1" si="0"/>
        <v>332.21052631578948</v>
      </c>
      <c r="E13" s="5">
        <f t="shared" ca="1" si="1"/>
        <v>7308.6315789473683</v>
      </c>
    </row>
    <row r="14" spans="1:5" x14ac:dyDescent="0.25">
      <c r="A14">
        <v>120131</v>
      </c>
      <c r="B14" t="s">
        <v>23</v>
      </c>
      <c r="C14">
        <f>'[1]VENTAS CONSOLIDADA VALENCIA'!C14</f>
        <v>1050</v>
      </c>
      <c r="D14" s="5">
        <f t="shared" ca="1" si="0"/>
        <v>55.263157894736842</v>
      </c>
      <c r="E14" s="5">
        <f t="shared" ca="1" si="1"/>
        <v>1215.7894736842106</v>
      </c>
    </row>
    <row r="15" spans="1:5" x14ac:dyDescent="0.25">
      <c r="A15">
        <v>120132</v>
      </c>
      <c r="B15" t="s">
        <v>21</v>
      </c>
      <c r="C15">
        <f>'[1]VENTAS CONSOLIDADA VALENCIA'!C15</f>
        <v>2385</v>
      </c>
      <c r="D15" s="5">
        <f t="shared" ca="1" si="0"/>
        <v>125.52631578947368</v>
      </c>
      <c r="E15" s="5">
        <f t="shared" ca="1" si="1"/>
        <v>2761.5789473684213</v>
      </c>
    </row>
    <row r="16" spans="1:5" x14ac:dyDescent="0.25">
      <c r="A16">
        <v>130150</v>
      </c>
      <c r="B16" t="s">
        <v>0</v>
      </c>
      <c r="C16">
        <f>'[1]VENTAS CONSOLIDADA VALENCIA'!C16</f>
        <v>6313</v>
      </c>
      <c r="D16" s="5">
        <f t="shared" ca="1" si="0"/>
        <v>332.26315789473682</v>
      </c>
      <c r="E16" s="5">
        <f t="shared" ca="1" si="1"/>
        <v>7309.78947368421</v>
      </c>
    </row>
    <row r="17" spans="1:5" x14ac:dyDescent="0.25">
      <c r="A17">
        <v>130151</v>
      </c>
      <c r="B17" t="s">
        <v>4</v>
      </c>
      <c r="C17">
        <f>'[1]VENTAS CONSOLIDADA VALENCIA'!C17</f>
        <v>2799</v>
      </c>
      <c r="D17" s="5">
        <f t="shared" ca="1" si="0"/>
        <v>147.31578947368422</v>
      </c>
      <c r="E17" s="5">
        <f t="shared" ca="1" si="1"/>
        <v>3240.9473684210529</v>
      </c>
    </row>
    <row r="18" spans="1:5" x14ac:dyDescent="0.25">
      <c r="A18">
        <v>130152</v>
      </c>
      <c r="B18" t="s">
        <v>51</v>
      </c>
      <c r="C18">
        <f>'[1]VENTAS CONSOLIDADA VALENCIA'!C18</f>
        <v>17856</v>
      </c>
      <c r="D18" s="5">
        <f t="shared" ca="1" si="0"/>
        <v>939.78947368421052</v>
      </c>
      <c r="E18" s="5">
        <f t="shared" ca="1" si="1"/>
        <v>20675.36842105263</v>
      </c>
    </row>
    <row r="19" spans="1:5" x14ac:dyDescent="0.25">
      <c r="A19">
        <v>130153</v>
      </c>
      <c r="B19" t="s">
        <v>52</v>
      </c>
      <c r="C19">
        <f>'[1]VENTAS CONSOLIDADA VALENCIA'!C19</f>
        <v>10928</v>
      </c>
      <c r="D19" s="5">
        <f t="shared" ca="1" si="0"/>
        <v>575.15789473684208</v>
      </c>
      <c r="E19" s="5">
        <f t="shared" ca="1" si="1"/>
        <v>12653.473684210527</v>
      </c>
    </row>
    <row r="20" spans="1:5" x14ac:dyDescent="0.25">
      <c r="A20">
        <v>130154</v>
      </c>
      <c r="B20" t="s">
        <v>53</v>
      </c>
      <c r="C20">
        <f>'[1]VENTAS CONSOLIDADA VALENCIA'!C20</f>
        <v>11565</v>
      </c>
      <c r="D20" s="5">
        <f t="shared" ca="1" si="0"/>
        <v>608.68421052631584</v>
      </c>
      <c r="E20" s="5">
        <f t="shared" ca="1" si="1"/>
        <v>13391.052631578948</v>
      </c>
    </row>
    <row r="21" spans="1:5" x14ac:dyDescent="0.25">
      <c r="A21">
        <v>130155</v>
      </c>
      <c r="B21" t="s">
        <v>16</v>
      </c>
      <c r="C21">
        <f>'[1]VENTAS CONSOLIDADA VALENCIA'!C21</f>
        <v>13621</v>
      </c>
      <c r="D21" s="5">
        <f t="shared" ca="1" si="0"/>
        <v>716.89473684210532</v>
      </c>
      <c r="E21" s="5">
        <f t="shared" ca="1" si="1"/>
        <v>15771.684210526317</v>
      </c>
    </row>
    <row r="22" spans="1:5" x14ac:dyDescent="0.25">
      <c r="A22">
        <v>130157</v>
      </c>
      <c r="B22" t="s">
        <v>43</v>
      </c>
      <c r="C22">
        <f>'[1]VENTAS CONSOLIDADA VALENCIA'!C22</f>
        <v>3697</v>
      </c>
      <c r="D22" s="5">
        <f t="shared" ca="1" si="0"/>
        <v>194.57894736842104</v>
      </c>
      <c r="E22" s="5">
        <f t="shared" ca="1" si="1"/>
        <v>4280.7368421052633</v>
      </c>
    </row>
    <row r="23" spans="1:5" x14ac:dyDescent="0.25">
      <c r="A23">
        <v>130158</v>
      </c>
      <c r="B23" t="s">
        <v>44</v>
      </c>
      <c r="C23">
        <f>'[1]VENTAS CONSOLIDADA VALENCIA'!C23</f>
        <v>5209</v>
      </c>
      <c r="D23" s="5">
        <f t="shared" ca="1" si="0"/>
        <v>274.15789473684208</v>
      </c>
      <c r="E23" s="5">
        <f t="shared" ca="1" si="1"/>
        <v>6031.4736842105258</v>
      </c>
    </row>
    <row r="24" spans="1:5" x14ac:dyDescent="0.25">
      <c r="A24">
        <v>130159</v>
      </c>
      <c r="B24" t="s">
        <v>45</v>
      </c>
      <c r="C24">
        <f>'[1]VENTAS CONSOLIDADA VALENCIA'!C24</f>
        <v>4945</v>
      </c>
      <c r="D24" s="5">
        <f t="shared" ca="1" si="0"/>
        <v>260.26315789473682</v>
      </c>
      <c r="E24" s="5">
        <f t="shared" ca="1" si="1"/>
        <v>5725.78947368421</v>
      </c>
    </row>
    <row r="25" spans="1:5" x14ac:dyDescent="0.25">
      <c r="A25">
        <v>130700</v>
      </c>
      <c r="B25" t="s">
        <v>3</v>
      </c>
      <c r="C25">
        <f>'[1]VENTAS CONSOLIDADA VALENCIA'!C25</f>
        <v>2262</v>
      </c>
      <c r="D25" s="5">
        <f t="shared" ca="1" si="0"/>
        <v>119.05263157894737</v>
      </c>
      <c r="E25" s="5">
        <f t="shared" ca="1" si="1"/>
        <v>2619.1578947368421</v>
      </c>
    </row>
    <row r="26" spans="1:5" x14ac:dyDescent="0.25">
      <c r="A26">
        <v>130701</v>
      </c>
      <c r="B26" t="s">
        <v>30</v>
      </c>
      <c r="C26">
        <f>'[1]VENTAS CONSOLIDADA VALENCIA'!C26</f>
        <v>1277</v>
      </c>
      <c r="D26" s="5">
        <f t="shared" ca="1" si="0"/>
        <v>67.21052631578948</v>
      </c>
      <c r="E26" s="5">
        <f t="shared" ca="1" si="1"/>
        <v>1478.6315789473686</v>
      </c>
    </row>
    <row r="27" spans="1:5" x14ac:dyDescent="0.25">
      <c r="A27">
        <v>130702</v>
      </c>
      <c r="B27" t="s">
        <v>12</v>
      </c>
      <c r="C27">
        <f>'[1]VENTAS CONSOLIDADA VALENCIA'!C27</f>
        <v>3406</v>
      </c>
      <c r="D27" s="5">
        <f t="shared" ca="1" si="0"/>
        <v>179.26315789473685</v>
      </c>
      <c r="E27" s="5">
        <f t="shared" ca="1" si="1"/>
        <v>3943.7894736842109</v>
      </c>
    </row>
    <row r="28" spans="1:5" x14ac:dyDescent="0.25">
      <c r="A28">
        <v>130703</v>
      </c>
      <c r="B28" t="s">
        <v>17</v>
      </c>
      <c r="C28">
        <f>'[1]VENTAS CONSOLIDADA VALENCIA'!C28</f>
        <v>5120</v>
      </c>
      <c r="D28" s="5">
        <f t="shared" ca="1" si="0"/>
        <v>269.4736842105263</v>
      </c>
      <c r="E28" s="5">
        <f t="shared" ca="1" si="1"/>
        <v>5928.4210526315783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3126</v>
      </c>
      <c r="D30" s="5">
        <f t="shared" ca="1" si="0"/>
        <v>164.52631578947367</v>
      </c>
      <c r="E30" s="5">
        <f t="shared" ca="1" si="1"/>
        <v>3619.5789473684208</v>
      </c>
    </row>
    <row r="31" spans="1:5" x14ac:dyDescent="0.25">
      <c r="A31">
        <v>131151</v>
      </c>
      <c r="B31" t="s">
        <v>19</v>
      </c>
      <c r="C31">
        <f>'[1]VENTAS CONSOLIDADA VALENCIA'!C31</f>
        <v>4260</v>
      </c>
      <c r="D31" s="5">
        <f t="shared" ca="1" si="0"/>
        <v>224.21052631578948</v>
      </c>
      <c r="E31" s="5">
        <f t="shared" ca="1" si="1"/>
        <v>4932.6315789473683</v>
      </c>
    </row>
    <row r="32" spans="1:5" x14ac:dyDescent="0.25">
      <c r="A32">
        <v>131152</v>
      </c>
      <c r="B32" t="s">
        <v>32</v>
      </c>
      <c r="C32">
        <f>'[1]VENTAS CONSOLIDADA VALENCIA'!C32</f>
        <v>2567</v>
      </c>
      <c r="D32" s="5">
        <f t="shared" ca="1" si="0"/>
        <v>135.10526315789474</v>
      </c>
      <c r="E32" s="5">
        <f t="shared" ca="1" si="1"/>
        <v>2972.3157894736842</v>
      </c>
    </row>
    <row r="33" spans="1:5" x14ac:dyDescent="0.25">
      <c r="A33">
        <v>131153</v>
      </c>
      <c r="B33" t="s">
        <v>11</v>
      </c>
      <c r="C33">
        <f>'[1]VENTAS CONSOLIDADA VALENCIA'!C33</f>
        <v>2156</v>
      </c>
      <c r="D33" s="5">
        <f t="shared" ca="1" si="0"/>
        <v>113.47368421052632</v>
      </c>
      <c r="E33" s="5">
        <f t="shared" ca="1" si="1"/>
        <v>2496.4210526315787</v>
      </c>
    </row>
    <row r="34" spans="1:5" x14ac:dyDescent="0.25">
      <c r="A34">
        <v>131154</v>
      </c>
      <c r="B34" t="s">
        <v>48</v>
      </c>
      <c r="C34">
        <f>'[1]VENTAS CONSOLIDADA VALENCIA'!C34</f>
        <v>1054</v>
      </c>
      <c r="D34" s="5">
        <f t="shared" ca="1" si="0"/>
        <v>55.473684210526315</v>
      </c>
      <c r="E34" s="5">
        <f t="shared" ca="1" si="1"/>
        <v>1220.421052631579</v>
      </c>
    </row>
    <row r="35" spans="1:5" x14ac:dyDescent="0.25">
      <c r="A35">
        <v>131155</v>
      </c>
      <c r="B35" t="s">
        <v>57</v>
      </c>
      <c r="C35">
        <f>'[1]VENTAS CONSOLIDADA VALENCIA'!C35</f>
        <v>1229</v>
      </c>
      <c r="D35" s="5">
        <f t="shared" ca="1" si="0"/>
        <v>64.684210526315795</v>
      </c>
      <c r="E35" s="5">
        <f t="shared" ca="1" si="1"/>
        <v>1423.0526315789475</v>
      </c>
    </row>
    <row r="36" spans="1:5" x14ac:dyDescent="0.25">
      <c r="A36">
        <v>131700</v>
      </c>
      <c r="B36" t="s">
        <v>20</v>
      </c>
      <c r="C36">
        <f>'[1]VENTAS CONSOLIDADA VALENCIA'!C36</f>
        <v>734</v>
      </c>
      <c r="D36" s="5">
        <f t="shared" ca="1" si="0"/>
        <v>38.631578947368418</v>
      </c>
      <c r="E36" s="5">
        <f t="shared" ca="1" si="1"/>
        <v>849.8947368421052</v>
      </c>
    </row>
    <row r="37" spans="1:5" x14ac:dyDescent="0.25">
      <c r="A37">
        <v>131701</v>
      </c>
      <c r="B37" t="s">
        <v>24</v>
      </c>
      <c r="C37">
        <f>'[1]VENTAS CONSOLIDADA VALENCIA'!C37</f>
        <v>767</v>
      </c>
      <c r="D37" s="5">
        <f t="shared" ca="1" si="0"/>
        <v>40.368421052631582</v>
      </c>
      <c r="E37" s="5">
        <f t="shared" ca="1" si="1"/>
        <v>888.1052631578948</v>
      </c>
    </row>
    <row r="38" spans="1:5" x14ac:dyDescent="0.25">
      <c r="A38">
        <v>132150</v>
      </c>
      <c r="B38" t="s">
        <v>25</v>
      </c>
      <c r="C38">
        <f>'[1]VENTAS CONSOLIDADA VALENCIA'!C38</f>
        <v>4592</v>
      </c>
      <c r="D38" s="5">
        <f t="shared" ca="1" si="0"/>
        <v>241.68421052631578</v>
      </c>
      <c r="E38" s="5">
        <f t="shared" ca="1" si="1"/>
        <v>5317.0526315789475</v>
      </c>
    </row>
    <row r="39" spans="1:5" x14ac:dyDescent="0.25">
      <c r="A39">
        <v>132151</v>
      </c>
      <c r="B39" t="s">
        <v>26</v>
      </c>
      <c r="C39">
        <f>'[1]VENTAS CONSOLIDADA VALENCIA'!C39</f>
        <v>3537</v>
      </c>
      <c r="D39" s="5">
        <f t="shared" ca="1" si="0"/>
        <v>186.15789473684211</v>
      </c>
      <c r="E39" s="5">
        <f t="shared" ca="1" si="1"/>
        <v>4095.4736842105262</v>
      </c>
    </row>
    <row r="40" spans="1:5" x14ac:dyDescent="0.25">
      <c r="A40">
        <v>132152</v>
      </c>
      <c r="B40" t="s">
        <v>27</v>
      </c>
      <c r="C40">
        <f>'[1]VENTAS CONSOLIDADA VALENCIA'!C40</f>
        <v>4716</v>
      </c>
      <c r="D40" s="5">
        <f t="shared" ca="1" si="0"/>
        <v>248.21052631578948</v>
      </c>
      <c r="E40" s="5">
        <f t="shared" ca="1" si="1"/>
        <v>5460.6315789473683</v>
      </c>
    </row>
    <row r="41" spans="1:5" x14ac:dyDescent="0.25">
      <c r="A41">
        <v>132153</v>
      </c>
      <c r="B41" t="s">
        <v>40</v>
      </c>
      <c r="C41">
        <f>'[1]VENTAS CONSOLIDADA VALENCIA'!C41</f>
        <v>2980</v>
      </c>
      <c r="D41" s="5">
        <f t="shared" ca="1" si="0"/>
        <v>156.84210526315789</v>
      </c>
      <c r="E41" s="5">
        <f t="shared" ca="1" si="1"/>
        <v>3450.5263157894738</v>
      </c>
    </row>
    <row r="42" spans="1:5" x14ac:dyDescent="0.25">
      <c r="A42">
        <v>134000</v>
      </c>
      <c r="B42" t="s">
        <v>35</v>
      </c>
      <c r="C42">
        <f>'[1]VENTAS CONSOLIDADA VALENCIA'!C42</f>
        <v>58</v>
      </c>
      <c r="D42" s="5">
        <f t="shared" ca="1" si="0"/>
        <v>3.0526315789473686</v>
      </c>
      <c r="E42" s="5">
        <f t="shared" ca="1" si="1"/>
        <v>67.15789473684211</v>
      </c>
    </row>
    <row r="43" spans="1:5" x14ac:dyDescent="0.25">
      <c r="A43">
        <v>134001</v>
      </c>
      <c r="B43" t="s">
        <v>47</v>
      </c>
      <c r="C43">
        <f>'[1]VENTAS CONSOLIDADA VALENCIA'!C43</f>
        <v>11</v>
      </c>
      <c r="D43" s="5">
        <f t="shared" ca="1" si="0"/>
        <v>0.57894736842105265</v>
      </c>
      <c r="E43" s="5">
        <f t="shared" ca="1" si="1"/>
        <v>12.736842105263158</v>
      </c>
    </row>
    <row r="44" spans="1:5" x14ac:dyDescent="0.25">
      <c r="A44">
        <v>140230</v>
      </c>
      <c r="B44" t="s">
        <v>18</v>
      </c>
      <c r="C44">
        <f>'[1]VENTAS CONSOLIDADA VALENCIA'!C44</f>
        <v>1121</v>
      </c>
      <c r="D44" s="5">
        <f t="shared" ca="1" si="0"/>
        <v>59</v>
      </c>
      <c r="E44" s="5">
        <f t="shared" ca="1" si="1"/>
        <v>1298</v>
      </c>
    </row>
    <row r="45" spans="1:5" x14ac:dyDescent="0.25">
      <c r="A45">
        <v>140231</v>
      </c>
      <c r="B45" t="s">
        <v>10</v>
      </c>
      <c r="C45">
        <f>'[1]VENTAS CONSOLIDADA VALENCIA'!C45</f>
        <v>3439</v>
      </c>
      <c r="D45" s="5">
        <f t="shared" ca="1" si="0"/>
        <v>181</v>
      </c>
      <c r="E45" s="5">
        <f t="shared" ca="1" si="1"/>
        <v>3982</v>
      </c>
    </row>
    <row r="46" spans="1:5" x14ac:dyDescent="0.25">
      <c r="A46">
        <v>140232</v>
      </c>
      <c r="B46" t="s">
        <v>9</v>
      </c>
      <c r="C46">
        <f>'[1]VENTAS CONSOLIDADA VALENCIA'!C46</f>
        <v>3108</v>
      </c>
      <c r="D46" s="5">
        <f t="shared" ca="1" si="0"/>
        <v>163.57894736842104</v>
      </c>
      <c r="E46" s="5">
        <f t="shared" ca="1" si="1"/>
        <v>3598.7368421052629</v>
      </c>
    </row>
    <row r="47" spans="1:5" x14ac:dyDescent="0.25">
      <c r="A47">
        <v>150360</v>
      </c>
      <c r="B47" t="s">
        <v>28</v>
      </c>
      <c r="C47">
        <f>'[1]VENTAS CONSOLIDADA VALENCIA'!C47</f>
        <v>898</v>
      </c>
      <c r="D47" s="5">
        <f t="shared" ca="1" si="0"/>
        <v>47.263157894736842</v>
      </c>
      <c r="E47" s="5">
        <f t="shared" ca="1" si="1"/>
        <v>1039.7894736842106</v>
      </c>
    </row>
    <row r="48" spans="1:5" x14ac:dyDescent="0.25">
      <c r="A48">
        <v>150361</v>
      </c>
      <c r="B48" t="s">
        <v>29</v>
      </c>
      <c r="C48">
        <f>'[1]VENTAS CONSOLIDADA VALENCIA'!C48</f>
        <v>2350</v>
      </c>
      <c r="D48" s="5">
        <f t="shared" ca="1" si="0"/>
        <v>123.68421052631579</v>
      </c>
      <c r="E48" s="5">
        <f t="shared" ca="1" si="1"/>
        <v>2721.0526315789475</v>
      </c>
    </row>
    <row r="49" spans="1:5" x14ac:dyDescent="0.25">
      <c r="A49">
        <v>150362</v>
      </c>
      <c r="B49" t="s">
        <v>36</v>
      </c>
      <c r="C49">
        <f>'[1]VENTAS CONSOLIDADA VALENCIA'!C49</f>
        <v>1146</v>
      </c>
      <c r="D49" s="5">
        <f t="shared" ca="1" si="0"/>
        <v>60.315789473684212</v>
      </c>
      <c r="E49" s="5">
        <f t="shared" ca="1" si="1"/>
        <v>1326.9473684210527</v>
      </c>
    </row>
    <row r="50" spans="1:5" x14ac:dyDescent="0.25">
      <c r="A50">
        <v>150363</v>
      </c>
      <c r="B50" t="s">
        <v>31</v>
      </c>
      <c r="C50">
        <f>'[1]VENTAS CONSOLIDADA VALENCIA'!C50</f>
        <v>1434</v>
      </c>
      <c r="D50" s="5">
        <f t="shared" ca="1" si="0"/>
        <v>75.473684210526315</v>
      </c>
      <c r="E50" s="5">
        <f t="shared" ca="1" si="1"/>
        <v>1660.421052631579</v>
      </c>
    </row>
    <row r="51" spans="1:5" x14ac:dyDescent="0.25">
      <c r="A51">
        <v>151500</v>
      </c>
      <c r="B51" t="s">
        <v>41</v>
      </c>
      <c r="C51">
        <f>'[1]VENTAS CONSOLIDADA VALENCIA'!C51</f>
        <v>245</v>
      </c>
      <c r="D51" s="5">
        <f t="shared" ca="1" si="0"/>
        <v>12.894736842105264</v>
      </c>
      <c r="E51" s="5">
        <f t="shared" ca="1" si="1"/>
        <v>283.68421052631578</v>
      </c>
    </row>
    <row r="52" spans="1:5" x14ac:dyDescent="0.25">
      <c r="A52">
        <v>151501</v>
      </c>
      <c r="B52" t="s">
        <v>33</v>
      </c>
      <c r="C52">
        <f>'[1]VENTAS CONSOLIDADA VALENCIA'!C52</f>
        <v>529</v>
      </c>
      <c r="D52" s="5">
        <f t="shared" ca="1" si="0"/>
        <v>27.842105263157894</v>
      </c>
      <c r="E52" s="5">
        <f t="shared" ca="1" si="1"/>
        <v>612.52631578947364</v>
      </c>
    </row>
    <row r="53" spans="1:5" x14ac:dyDescent="0.25">
      <c r="A53">
        <v>151502</v>
      </c>
      <c r="B53" t="s">
        <v>37</v>
      </c>
      <c r="C53">
        <f>'[1]VENTAS CONSOLIDADA VALENCIA'!C53</f>
        <v>168</v>
      </c>
      <c r="D53" s="5">
        <f t="shared" ca="1" si="0"/>
        <v>8.8421052631578956</v>
      </c>
      <c r="E53" s="5">
        <f t="shared" ca="1" si="1"/>
        <v>194.5263157894737</v>
      </c>
    </row>
    <row r="54" spans="1:5" x14ac:dyDescent="0.25">
      <c r="A54">
        <v>151503</v>
      </c>
      <c r="B54" t="s">
        <v>34</v>
      </c>
      <c r="C54">
        <f>'[1]VENTAS CONSOLIDADA VALENCIA'!C54</f>
        <v>211</v>
      </c>
      <c r="D54" s="5">
        <f t="shared" ca="1" si="0"/>
        <v>11.105263157894736</v>
      </c>
      <c r="E54" s="5">
        <f t="shared" ca="1" si="1"/>
        <v>244.31578947368419</v>
      </c>
    </row>
    <row r="55" spans="1:5" x14ac:dyDescent="0.25">
      <c r="D55" s="5">
        <f ca="1">SUM(D8:D54)</f>
        <v>8032.789473684209</v>
      </c>
      <c r="E55" s="5">
        <f ca="1">SUM(E8:E54)</f>
        <v>176721.36842105261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46293</v>
      </c>
      <c r="E2" s="4">
        <f ca="1">'[1]VENTAS CONSOLIDADA CARACAS'!E2</f>
        <v>19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3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14763</v>
      </c>
      <c r="D8" s="5">
        <f t="shared" ref="D8:D54" ca="1" si="0">C8/$E$2</f>
        <v>777</v>
      </c>
      <c r="E8" s="5">
        <f ca="1">D8*($E$2+$E$3)</f>
        <v>17094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466</v>
      </c>
      <c r="D9" s="5">
        <f t="shared" ca="1" si="0"/>
        <v>24.526315789473685</v>
      </c>
      <c r="E9" s="5">
        <f t="shared" ref="E9:E54" ca="1" si="1">D9*($E$2+$E$3)</f>
        <v>539.57894736842104</v>
      </c>
    </row>
    <row r="10" spans="1:6" x14ac:dyDescent="0.25">
      <c r="A10">
        <v>110230</v>
      </c>
      <c r="B10" t="s">
        <v>1</v>
      </c>
      <c r="C10">
        <f>'[1]VENTAS CONSOLIDADA CARACAS'!C10</f>
        <v>6461</v>
      </c>
      <c r="D10" s="5">
        <f t="shared" ca="1" si="0"/>
        <v>340.05263157894734</v>
      </c>
      <c r="E10" s="5">
        <f t="shared" ca="1" si="1"/>
        <v>7481.1578947368416</v>
      </c>
    </row>
    <row r="11" spans="1:6" x14ac:dyDescent="0.25">
      <c r="A11">
        <v>110400</v>
      </c>
      <c r="B11" t="s">
        <v>13</v>
      </c>
      <c r="C11">
        <f>'[1]VENTAS CONSOLIDADA CARACAS'!C11</f>
        <v>1354</v>
      </c>
      <c r="D11" s="5">
        <f t="shared" ca="1" si="0"/>
        <v>71.263157894736835</v>
      </c>
      <c r="E11" s="5">
        <f t="shared" ca="1" si="1"/>
        <v>1567.7894736842104</v>
      </c>
    </row>
    <row r="12" spans="1:6" x14ac:dyDescent="0.25">
      <c r="A12">
        <v>111000</v>
      </c>
      <c r="B12" t="s">
        <v>14</v>
      </c>
      <c r="C12">
        <f>'[1]VENTAS CONSOLIDADA CARACAS'!C12</f>
        <v>187</v>
      </c>
      <c r="D12" s="5">
        <f t="shared" ca="1" si="0"/>
        <v>9.8421052631578956</v>
      </c>
      <c r="E12" s="5">
        <f t="shared" ca="1" si="1"/>
        <v>216.5263157894737</v>
      </c>
    </row>
    <row r="13" spans="1:6" x14ac:dyDescent="0.25">
      <c r="A13">
        <v>120130</v>
      </c>
      <c r="B13" t="s">
        <v>15</v>
      </c>
      <c r="C13">
        <f>'[1]VENTAS CONSOLIDADA CARACAS'!C13</f>
        <v>15693</v>
      </c>
      <c r="D13" s="5">
        <f t="shared" ca="1" si="0"/>
        <v>825.9473684210526</v>
      </c>
      <c r="E13" s="5">
        <f t="shared" ca="1" si="1"/>
        <v>18170.842105263157</v>
      </c>
    </row>
    <row r="14" spans="1:6" x14ac:dyDescent="0.25">
      <c r="A14">
        <v>120131</v>
      </c>
      <c r="B14" t="s">
        <v>23</v>
      </c>
      <c r="C14">
        <f>'[1]VENTAS CONSOLIDADA CARACAS'!C14</f>
        <v>1179</v>
      </c>
      <c r="D14" s="5">
        <f t="shared" ca="1" si="0"/>
        <v>62.05263157894737</v>
      </c>
      <c r="E14" s="5">
        <f t="shared" ca="1" si="1"/>
        <v>1365.1578947368421</v>
      </c>
    </row>
    <row r="15" spans="1:6" x14ac:dyDescent="0.25">
      <c r="A15">
        <v>120132</v>
      </c>
      <c r="B15" t="s">
        <v>21</v>
      </c>
      <c r="C15">
        <f>'[1]VENTAS CONSOLIDADA CARACAS'!C15</f>
        <v>2436</v>
      </c>
      <c r="D15" s="5">
        <f t="shared" ca="1" si="0"/>
        <v>128.21052631578948</v>
      </c>
      <c r="E15" s="5">
        <f t="shared" ca="1" si="1"/>
        <v>2820.6315789473683</v>
      </c>
    </row>
    <row r="16" spans="1:6" x14ac:dyDescent="0.25">
      <c r="A16">
        <v>130150</v>
      </c>
      <c r="B16" t="s">
        <v>0</v>
      </c>
      <c r="C16">
        <f>'[1]VENTAS CONSOLIDADA CARACAS'!C16</f>
        <v>5768</v>
      </c>
      <c r="D16" s="5">
        <f t="shared" ca="1" si="0"/>
        <v>303.57894736842104</v>
      </c>
      <c r="E16" s="5">
        <f t="shared" ca="1" si="1"/>
        <v>6678.7368421052633</v>
      </c>
    </row>
    <row r="17" spans="1:5" x14ac:dyDescent="0.25">
      <c r="A17">
        <v>130151</v>
      </c>
      <c r="B17" t="s">
        <v>4</v>
      </c>
      <c r="C17">
        <f>'[1]VENTAS CONSOLIDADA CARACAS'!C17</f>
        <v>3471</v>
      </c>
      <c r="D17" s="5">
        <f t="shared" ca="1" si="0"/>
        <v>182.68421052631578</v>
      </c>
      <c r="E17" s="5">
        <f t="shared" ca="1" si="1"/>
        <v>4019.0526315789471</v>
      </c>
    </row>
    <row r="18" spans="1:5" x14ac:dyDescent="0.25">
      <c r="A18">
        <v>130152</v>
      </c>
      <c r="B18" t="s">
        <v>51</v>
      </c>
      <c r="C18">
        <f>'[1]VENTAS CONSOLIDADA CARACAS'!C18</f>
        <v>31058</v>
      </c>
      <c r="D18" s="5">
        <f t="shared" ca="1" si="0"/>
        <v>1634.6315789473683</v>
      </c>
      <c r="E18" s="5">
        <f t="shared" ca="1" si="1"/>
        <v>35961.894736842107</v>
      </c>
    </row>
    <row r="19" spans="1:5" x14ac:dyDescent="0.25">
      <c r="A19">
        <v>130153</v>
      </c>
      <c r="B19" t="s">
        <v>52</v>
      </c>
      <c r="C19">
        <f>'[1]VENTAS CONSOLIDADA CARACAS'!C19</f>
        <v>21039</v>
      </c>
      <c r="D19" s="5">
        <f t="shared" ca="1" si="0"/>
        <v>1107.3157894736842</v>
      </c>
      <c r="E19" s="5">
        <f t="shared" ca="1" si="1"/>
        <v>24360.947368421053</v>
      </c>
    </row>
    <row r="20" spans="1:5" x14ac:dyDescent="0.25">
      <c r="A20">
        <v>130154</v>
      </c>
      <c r="B20" t="s">
        <v>53</v>
      </c>
      <c r="C20">
        <f>'[1]VENTAS CONSOLIDADA CARACAS'!C20</f>
        <v>20110</v>
      </c>
      <c r="D20" s="5">
        <f t="shared" ca="1" si="0"/>
        <v>1058.421052631579</v>
      </c>
      <c r="E20" s="5">
        <f t="shared" ca="1" si="1"/>
        <v>23285.263157894737</v>
      </c>
    </row>
    <row r="21" spans="1:5" x14ac:dyDescent="0.25">
      <c r="A21">
        <v>130155</v>
      </c>
      <c r="B21" t="s">
        <v>16</v>
      </c>
      <c r="C21">
        <f>'[1]VENTAS CONSOLIDADA CARACAS'!C21</f>
        <v>26140</v>
      </c>
      <c r="D21" s="5">
        <f t="shared" ca="1" si="0"/>
        <v>1375.7894736842106</v>
      </c>
      <c r="E21" s="5">
        <f t="shared" ca="1" si="1"/>
        <v>30267.368421052633</v>
      </c>
    </row>
    <row r="22" spans="1:5" x14ac:dyDescent="0.25">
      <c r="A22">
        <v>130157</v>
      </c>
      <c r="B22" t="s">
        <v>43</v>
      </c>
      <c r="C22">
        <f>'[1]VENTAS CONSOLIDADA CARACAS'!C22</f>
        <v>6618</v>
      </c>
      <c r="D22" s="5">
        <f t="shared" ca="1" si="0"/>
        <v>348.31578947368422</v>
      </c>
      <c r="E22" s="5">
        <f t="shared" ca="1" si="1"/>
        <v>7662.9473684210525</v>
      </c>
    </row>
    <row r="23" spans="1:5" x14ac:dyDescent="0.25">
      <c r="A23">
        <v>130158</v>
      </c>
      <c r="B23" t="s">
        <v>44</v>
      </c>
      <c r="C23">
        <f>'[1]VENTAS CONSOLIDADA CARACAS'!C23</f>
        <v>6704</v>
      </c>
      <c r="D23" s="5">
        <f t="shared" ca="1" si="0"/>
        <v>352.84210526315792</v>
      </c>
      <c r="E23" s="5">
        <f t="shared" ca="1" si="1"/>
        <v>7762.5263157894742</v>
      </c>
    </row>
    <row r="24" spans="1:5" x14ac:dyDescent="0.25">
      <c r="A24">
        <v>130159</v>
      </c>
      <c r="B24" t="s">
        <v>45</v>
      </c>
      <c r="C24">
        <f>'[1]VENTAS CONSOLIDADA CARACAS'!C24</f>
        <v>7177</v>
      </c>
      <c r="D24" s="5">
        <f t="shared" ca="1" si="0"/>
        <v>377.73684210526318</v>
      </c>
      <c r="E24" s="5">
        <f t="shared" ca="1" si="1"/>
        <v>8310.21052631579</v>
      </c>
    </row>
    <row r="25" spans="1:5" x14ac:dyDescent="0.25">
      <c r="A25">
        <v>130700</v>
      </c>
      <c r="B25" t="s">
        <v>3</v>
      </c>
      <c r="C25">
        <f>'[1]VENTAS CONSOLIDADA CARACAS'!C25</f>
        <v>2020</v>
      </c>
      <c r="D25" s="5">
        <f t="shared" ca="1" si="0"/>
        <v>106.31578947368421</v>
      </c>
      <c r="E25" s="5">
        <f t="shared" ca="1" si="1"/>
        <v>2338.9473684210525</v>
      </c>
    </row>
    <row r="26" spans="1:5" x14ac:dyDescent="0.25">
      <c r="A26">
        <v>130701</v>
      </c>
      <c r="B26" t="s">
        <v>30</v>
      </c>
      <c r="C26">
        <f>'[1]VENTAS CONSOLIDADA CARACAS'!C26</f>
        <v>979</v>
      </c>
      <c r="D26" s="5">
        <f t="shared" ca="1" si="0"/>
        <v>51.526315789473685</v>
      </c>
      <c r="E26" s="5">
        <f t="shared" ca="1" si="1"/>
        <v>1133.578947368421</v>
      </c>
    </row>
    <row r="27" spans="1:5" x14ac:dyDescent="0.25">
      <c r="A27">
        <v>130702</v>
      </c>
      <c r="B27" t="s">
        <v>12</v>
      </c>
      <c r="C27">
        <f>'[1]VENTAS CONSOLIDADA CARACAS'!C27</f>
        <v>4226</v>
      </c>
      <c r="D27" s="5">
        <f t="shared" ca="1" si="0"/>
        <v>222.42105263157896</v>
      </c>
      <c r="E27" s="5">
        <f t="shared" ca="1" si="1"/>
        <v>4893.2631578947367</v>
      </c>
    </row>
    <row r="28" spans="1:5" x14ac:dyDescent="0.25">
      <c r="A28">
        <v>130703</v>
      </c>
      <c r="B28" t="s">
        <v>17</v>
      </c>
      <c r="C28">
        <f>'[1]VENTAS CONSOLIDADA CARACAS'!C28</f>
        <v>8427</v>
      </c>
      <c r="D28" s="5">
        <f t="shared" ca="1" si="0"/>
        <v>443.5263157894737</v>
      </c>
      <c r="E28" s="5">
        <f t="shared" ca="1" si="1"/>
        <v>9757.5789473684217</v>
      </c>
    </row>
    <row r="29" spans="1:5" x14ac:dyDescent="0.25">
      <c r="A29">
        <v>130707</v>
      </c>
      <c r="B29" t="s">
        <v>42</v>
      </c>
      <c r="C29">
        <f>'[1]VENTAS CONSOLIDADA CARACAS'!C29</f>
        <v>1010</v>
      </c>
      <c r="D29" s="5">
        <f t="shared" ca="1" si="0"/>
        <v>53.157894736842103</v>
      </c>
      <c r="E29" s="5">
        <f t="shared" ca="1" si="1"/>
        <v>1169.4736842105262</v>
      </c>
    </row>
    <row r="30" spans="1:5" x14ac:dyDescent="0.25">
      <c r="A30">
        <v>131150</v>
      </c>
      <c r="B30" t="s">
        <v>22</v>
      </c>
      <c r="C30">
        <f>'[1]VENTAS CONSOLIDADA CARACAS'!C30</f>
        <v>8185</v>
      </c>
      <c r="D30" s="5">
        <f t="shared" ca="1" si="0"/>
        <v>430.78947368421052</v>
      </c>
      <c r="E30" s="5">
        <f t="shared" ca="1" si="1"/>
        <v>9477.3684210526317</v>
      </c>
    </row>
    <row r="31" spans="1:5" x14ac:dyDescent="0.25">
      <c r="A31">
        <v>131151</v>
      </c>
      <c r="B31" t="s">
        <v>19</v>
      </c>
      <c r="C31">
        <f>'[1]VENTAS CONSOLIDADA CARACAS'!C31</f>
        <v>12063</v>
      </c>
      <c r="D31" s="5">
        <f t="shared" ca="1" si="0"/>
        <v>634.89473684210532</v>
      </c>
      <c r="E31" s="5">
        <f t="shared" ca="1" si="1"/>
        <v>13967.684210526317</v>
      </c>
    </row>
    <row r="32" spans="1:5" x14ac:dyDescent="0.25">
      <c r="A32">
        <v>131152</v>
      </c>
      <c r="B32" t="s">
        <v>32</v>
      </c>
      <c r="C32">
        <f>'[1]VENTAS CONSOLIDADA CARACAS'!C32</f>
        <v>5505</v>
      </c>
      <c r="D32" s="5">
        <f t="shared" ca="1" si="0"/>
        <v>289.73684210526318</v>
      </c>
      <c r="E32" s="5">
        <f t="shared" ca="1" si="1"/>
        <v>6374.21052631579</v>
      </c>
    </row>
    <row r="33" spans="1:5" x14ac:dyDescent="0.25">
      <c r="A33">
        <v>131153</v>
      </c>
      <c r="B33" t="s">
        <v>11</v>
      </c>
      <c r="C33">
        <f>'[1]VENTAS CONSOLIDADA CARACAS'!C33</f>
        <v>3705</v>
      </c>
      <c r="D33" s="5">
        <f t="shared" ca="1" si="0"/>
        <v>195</v>
      </c>
      <c r="E33" s="5">
        <f t="shared" ca="1" si="1"/>
        <v>4290</v>
      </c>
    </row>
    <row r="34" spans="1:5" x14ac:dyDescent="0.25">
      <c r="A34">
        <v>131154</v>
      </c>
      <c r="B34" t="s">
        <v>48</v>
      </c>
      <c r="C34">
        <f>'[1]VENTAS CONSOLIDADA CARACAS'!C34</f>
        <v>1949</v>
      </c>
      <c r="D34" s="5">
        <f t="shared" ca="1" si="0"/>
        <v>102.57894736842105</v>
      </c>
      <c r="E34" s="5">
        <f t="shared" ca="1" si="1"/>
        <v>2256.7368421052633</v>
      </c>
    </row>
    <row r="35" spans="1:5" x14ac:dyDescent="0.25">
      <c r="A35">
        <v>131155</v>
      </c>
      <c r="B35" t="s">
        <v>57</v>
      </c>
      <c r="C35">
        <f>'[1]VENTAS CONSOLIDADA CARACAS'!C35</f>
        <v>2515</v>
      </c>
      <c r="D35" s="5">
        <f t="shared" ca="1" si="0"/>
        <v>132.36842105263159</v>
      </c>
      <c r="E35" s="5">
        <f t="shared" ca="1" si="1"/>
        <v>2912.105263157895</v>
      </c>
    </row>
    <row r="36" spans="1:5" x14ac:dyDescent="0.25">
      <c r="A36">
        <v>131700</v>
      </c>
      <c r="B36" t="s">
        <v>20</v>
      </c>
      <c r="C36">
        <f>'[1]VENTAS CONSOLIDADA CARACAS'!C36</f>
        <v>1301</v>
      </c>
      <c r="D36" s="5">
        <f t="shared" ca="1" si="0"/>
        <v>68.473684210526315</v>
      </c>
      <c r="E36" s="5">
        <f t="shared" ca="1" si="1"/>
        <v>1506.421052631579</v>
      </c>
    </row>
    <row r="37" spans="1:5" x14ac:dyDescent="0.25">
      <c r="A37">
        <v>131701</v>
      </c>
      <c r="B37" t="s">
        <v>24</v>
      </c>
      <c r="C37">
        <f>'[1]VENTAS CONSOLIDADA CARACAS'!C37</f>
        <v>1391</v>
      </c>
      <c r="D37" s="5">
        <f t="shared" ca="1" si="0"/>
        <v>73.21052631578948</v>
      </c>
      <c r="E37" s="5">
        <f t="shared" ca="1" si="1"/>
        <v>1610.6315789473686</v>
      </c>
    </row>
    <row r="38" spans="1:5" x14ac:dyDescent="0.25">
      <c r="A38">
        <v>132150</v>
      </c>
      <c r="B38" t="s">
        <v>25</v>
      </c>
      <c r="C38">
        <f>'[1]VENTAS CONSOLIDADA CARACAS'!C38</f>
        <v>6386</v>
      </c>
      <c r="D38" s="5">
        <f t="shared" ca="1" si="0"/>
        <v>336.10526315789474</v>
      </c>
      <c r="E38" s="5">
        <f t="shared" ca="1" si="1"/>
        <v>7394.3157894736842</v>
      </c>
    </row>
    <row r="39" spans="1:5" x14ac:dyDescent="0.25">
      <c r="A39">
        <v>132151</v>
      </c>
      <c r="B39" t="s">
        <v>26</v>
      </c>
      <c r="C39">
        <f>'[1]VENTAS CONSOLIDADA CARACAS'!C39</f>
        <v>5552</v>
      </c>
      <c r="D39" s="5">
        <f t="shared" ca="1" si="0"/>
        <v>292.21052631578948</v>
      </c>
      <c r="E39" s="5">
        <f t="shared" ca="1" si="1"/>
        <v>6428.6315789473683</v>
      </c>
    </row>
    <row r="40" spans="1:5" x14ac:dyDescent="0.25">
      <c r="A40">
        <v>132152</v>
      </c>
      <c r="B40" t="s">
        <v>27</v>
      </c>
      <c r="C40">
        <f>'[1]VENTAS CONSOLIDADA CARACAS'!C40</f>
        <v>7326</v>
      </c>
      <c r="D40" s="5">
        <f t="shared" ca="1" si="0"/>
        <v>385.57894736842104</v>
      </c>
      <c r="E40" s="5">
        <f t="shared" ca="1" si="1"/>
        <v>8482.7368421052633</v>
      </c>
    </row>
    <row r="41" spans="1:5" x14ac:dyDescent="0.25">
      <c r="A41">
        <v>132153</v>
      </c>
      <c r="B41" t="s">
        <v>40</v>
      </c>
      <c r="C41">
        <f>'[1]VENTAS CONSOLIDADA CARACAS'!C41</f>
        <v>5365</v>
      </c>
      <c r="D41" s="5">
        <f t="shared" ca="1" si="0"/>
        <v>282.36842105263156</v>
      </c>
      <c r="E41" s="5">
        <f t="shared" ca="1" si="1"/>
        <v>6212.1052631578941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1015</v>
      </c>
      <c r="D44" s="5">
        <f t="shared" ca="1" si="0"/>
        <v>53.421052631578945</v>
      </c>
      <c r="E44" s="5">
        <f t="shared" ca="1" si="1"/>
        <v>1175.2631578947369</v>
      </c>
    </row>
    <row r="45" spans="1:5" x14ac:dyDescent="0.25">
      <c r="A45">
        <v>140231</v>
      </c>
      <c r="B45" t="s">
        <v>10</v>
      </c>
      <c r="C45">
        <f>'[1]VENTAS CONSOLIDADA CARACAS'!C45</f>
        <v>5425</v>
      </c>
      <c r="D45" s="5">
        <f t="shared" ca="1" si="0"/>
        <v>285.5263157894737</v>
      </c>
      <c r="E45" s="5">
        <f t="shared" ca="1" si="1"/>
        <v>6281.5789473684217</v>
      </c>
    </row>
    <row r="46" spans="1:5" x14ac:dyDescent="0.25">
      <c r="A46">
        <v>140232</v>
      </c>
      <c r="B46" t="s">
        <v>9</v>
      </c>
      <c r="C46">
        <f>'[1]VENTAS CONSOLIDADA CARACAS'!C46</f>
        <v>3563</v>
      </c>
      <c r="D46" s="5">
        <f t="shared" ca="1" si="0"/>
        <v>187.52631578947367</v>
      </c>
      <c r="E46" s="5">
        <f t="shared" ca="1" si="1"/>
        <v>4125.5789473684208</v>
      </c>
    </row>
    <row r="47" spans="1:5" x14ac:dyDescent="0.25">
      <c r="A47">
        <v>150360</v>
      </c>
      <c r="B47" t="s">
        <v>28</v>
      </c>
      <c r="C47">
        <f>'[1]VENTAS CONSOLIDADA CARACAS'!C47</f>
        <v>2991</v>
      </c>
      <c r="D47" s="5">
        <f t="shared" ca="1" si="0"/>
        <v>157.42105263157896</v>
      </c>
      <c r="E47" s="5">
        <f t="shared" ca="1" si="1"/>
        <v>3463.2631578947371</v>
      </c>
    </row>
    <row r="48" spans="1:5" x14ac:dyDescent="0.25">
      <c r="A48">
        <v>150361</v>
      </c>
      <c r="B48" t="s">
        <v>29</v>
      </c>
      <c r="C48">
        <f>'[1]VENTAS CONSOLIDADA CARACAS'!C48</f>
        <v>5363</v>
      </c>
      <c r="D48" s="5">
        <f t="shared" ca="1" si="0"/>
        <v>282.26315789473682</v>
      </c>
      <c r="E48" s="5">
        <f t="shared" ca="1" si="1"/>
        <v>6209.78947368421</v>
      </c>
    </row>
    <row r="49" spans="1:5" x14ac:dyDescent="0.25">
      <c r="A49">
        <v>150362</v>
      </c>
      <c r="B49" t="s">
        <v>36</v>
      </c>
      <c r="C49">
        <f>'[1]VENTAS CONSOLIDADA CARACAS'!C49</f>
        <v>3747</v>
      </c>
      <c r="D49" s="5">
        <f t="shared" ca="1" si="0"/>
        <v>197.21052631578948</v>
      </c>
      <c r="E49" s="5">
        <f t="shared" ca="1" si="1"/>
        <v>4338.6315789473683</v>
      </c>
    </row>
    <row r="50" spans="1:5" x14ac:dyDescent="0.25">
      <c r="A50">
        <v>150363</v>
      </c>
      <c r="B50" t="s">
        <v>31</v>
      </c>
      <c r="C50">
        <f>'[1]VENTAS CONSOLIDADA CARACAS'!C50</f>
        <v>3274</v>
      </c>
      <c r="D50" s="5">
        <f t="shared" ca="1" si="0"/>
        <v>172.31578947368422</v>
      </c>
      <c r="E50" s="5">
        <f t="shared" ca="1" si="1"/>
        <v>3790.9473684210529</v>
      </c>
    </row>
    <row r="51" spans="1:5" x14ac:dyDescent="0.25">
      <c r="A51">
        <v>151500</v>
      </c>
      <c r="B51" t="s">
        <v>41</v>
      </c>
      <c r="C51">
        <f>'[1]VENTAS CONSOLIDADA CARACAS'!C51</f>
        <v>578</v>
      </c>
      <c r="D51" s="5">
        <f t="shared" ca="1" si="0"/>
        <v>30.421052631578949</v>
      </c>
      <c r="E51" s="5">
        <f t="shared" ca="1" si="1"/>
        <v>669.26315789473688</v>
      </c>
    </row>
    <row r="52" spans="1:5" x14ac:dyDescent="0.25">
      <c r="A52">
        <v>151501</v>
      </c>
      <c r="B52" t="s">
        <v>33</v>
      </c>
      <c r="C52">
        <f>'[1]VENTAS CONSOLIDADA CARACAS'!C52</f>
        <v>1241</v>
      </c>
      <c r="D52" s="5">
        <f t="shared" ca="1" si="0"/>
        <v>65.315789473684205</v>
      </c>
      <c r="E52" s="5">
        <f t="shared" ca="1" si="1"/>
        <v>1436.9473684210525</v>
      </c>
    </row>
    <row r="53" spans="1:5" x14ac:dyDescent="0.25">
      <c r="A53">
        <v>151502</v>
      </c>
      <c r="B53" t="s">
        <v>37</v>
      </c>
      <c r="C53">
        <f>'[1]VENTAS CONSOLIDADA CARACAS'!C53</f>
        <v>460</v>
      </c>
      <c r="D53" s="5">
        <f t="shared" ca="1" si="0"/>
        <v>24.210526315789473</v>
      </c>
      <c r="E53" s="5">
        <f t="shared" ca="1" si="1"/>
        <v>532.63157894736844</v>
      </c>
    </row>
    <row r="54" spans="1:5" x14ac:dyDescent="0.25">
      <c r="A54">
        <v>151503</v>
      </c>
      <c r="B54" t="s">
        <v>34</v>
      </c>
      <c r="C54">
        <f>'[1]VENTAS CONSOLIDADA CARACAS'!C54</f>
        <v>598</v>
      </c>
      <c r="D54" s="5">
        <f t="shared" ca="1" si="0"/>
        <v>31.473684210526315</v>
      </c>
      <c r="E54" s="5">
        <f t="shared" ca="1" si="1"/>
        <v>692.42105263157896</v>
      </c>
    </row>
    <row r="55" spans="1:5" x14ac:dyDescent="0.25">
      <c r="D55" s="5">
        <f ca="1">SUM(D8:D54)</f>
        <v>14567.578947368425</v>
      </c>
      <c r="E55" s="5">
        <f ca="1">SUM(E8:E54)</f>
        <v>320486.73684210528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46293</v>
      </c>
      <c r="E2" s="4">
        <f ca="1">'[1]VENTAS CONSOLIDADA LARA'!E2</f>
        <v>19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916</v>
      </c>
      <c r="D8" s="5">
        <f t="shared" ref="D8:D54" ca="1" si="0">C8/$E$2</f>
        <v>48.210526315789473</v>
      </c>
      <c r="E8" s="5">
        <f ca="1">D8*($E$2+$E$3)</f>
        <v>1060.6315789473683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1.4210526315789473</v>
      </c>
      <c r="E9" s="5">
        <f t="shared" ref="E9:E54" ca="1" si="1">D9*($E$2+$E$3)</f>
        <v>31.263157894736842</v>
      </c>
    </row>
    <row r="10" spans="1:5" x14ac:dyDescent="0.25">
      <c r="A10">
        <v>110230</v>
      </c>
      <c r="B10" t="s">
        <v>1</v>
      </c>
      <c r="C10">
        <f>'[1]VENTAS CONSOLIDADA LARA'!C10</f>
        <v>326</v>
      </c>
      <c r="D10" s="5">
        <f t="shared" ca="1" si="0"/>
        <v>17.157894736842106</v>
      </c>
      <c r="E10" s="5">
        <f t="shared" ca="1" si="1"/>
        <v>377.47368421052636</v>
      </c>
    </row>
    <row r="11" spans="1:5" x14ac:dyDescent="0.25">
      <c r="A11">
        <v>110400</v>
      </c>
      <c r="B11" t="s">
        <v>13</v>
      </c>
      <c r="C11">
        <f>'[1]VENTAS CONSOLIDADA LARA'!C11</f>
        <v>21</v>
      </c>
      <c r="D11" s="5">
        <f t="shared" ca="1" si="0"/>
        <v>1.1052631578947369</v>
      </c>
      <c r="E11" s="5">
        <f t="shared" ca="1" si="1"/>
        <v>24.315789473684212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3098</v>
      </c>
      <c r="D13" s="5">
        <f t="shared" ca="1" si="0"/>
        <v>163.05263157894737</v>
      </c>
      <c r="E13" s="5">
        <f t="shared" ca="1" si="1"/>
        <v>3587.1578947368421</v>
      </c>
    </row>
    <row r="14" spans="1:5" x14ac:dyDescent="0.25">
      <c r="A14">
        <v>120131</v>
      </c>
      <c r="B14" t="s">
        <v>23</v>
      </c>
      <c r="C14">
        <f>'[1]VENTAS CONSOLIDADA LARA'!C14</f>
        <v>271</v>
      </c>
      <c r="D14" s="5">
        <f t="shared" ca="1" si="0"/>
        <v>14.263157894736842</v>
      </c>
      <c r="E14" s="5">
        <f t="shared" ca="1" si="1"/>
        <v>313.78947368421052</v>
      </c>
    </row>
    <row r="15" spans="1:5" x14ac:dyDescent="0.25">
      <c r="A15">
        <v>120132</v>
      </c>
      <c r="B15" t="s">
        <v>21</v>
      </c>
      <c r="C15">
        <f>'[1]VENTAS CONSOLIDADA LARA'!C15</f>
        <v>614</v>
      </c>
      <c r="D15" s="5">
        <f t="shared" ca="1" si="0"/>
        <v>32.315789473684212</v>
      </c>
      <c r="E15" s="5">
        <f t="shared" ca="1" si="1"/>
        <v>710.94736842105272</v>
      </c>
    </row>
    <row r="16" spans="1:5" x14ac:dyDescent="0.25">
      <c r="A16">
        <v>130150</v>
      </c>
      <c r="B16" t="s">
        <v>0</v>
      </c>
      <c r="C16">
        <f>'[1]VENTAS CONSOLIDADA LARA'!C16</f>
        <v>1618</v>
      </c>
      <c r="D16" s="5">
        <f t="shared" ca="1" si="0"/>
        <v>85.15789473684211</v>
      </c>
      <c r="E16" s="5">
        <f t="shared" ca="1" si="1"/>
        <v>1873.4736842105265</v>
      </c>
    </row>
    <row r="17" spans="1:5" x14ac:dyDescent="0.25">
      <c r="A17">
        <v>130151</v>
      </c>
      <c r="B17" t="s">
        <v>4</v>
      </c>
      <c r="C17">
        <f>'[1]VENTAS CONSOLIDADA LARA'!C17</f>
        <v>477</v>
      </c>
      <c r="D17" s="5">
        <f t="shared" ca="1" si="0"/>
        <v>25.105263157894736</v>
      </c>
      <c r="E17" s="5">
        <f t="shared" ca="1" si="1"/>
        <v>552.31578947368416</v>
      </c>
    </row>
    <row r="18" spans="1:5" x14ac:dyDescent="0.25">
      <c r="A18">
        <v>130152</v>
      </c>
      <c r="B18" t="s">
        <v>51</v>
      </c>
      <c r="C18">
        <f>'[1]VENTAS CONSOLIDADA LARA'!C18</f>
        <v>10630</v>
      </c>
      <c r="D18" s="5">
        <f t="shared" ca="1" si="0"/>
        <v>559.47368421052636</v>
      </c>
      <c r="E18" s="5">
        <f t="shared" ca="1" si="1"/>
        <v>12308.42105263158</v>
      </c>
    </row>
    <row r="19" spans="1:5" x14ac:dyDescent="0.25">
      <c r="A19">
        <v>130153</v>
      </c>
      <c r="B19" t="s">
        <v>52</v>
      </c>
      <c r="C19">
        <f>'[1]VENTAS CONSOLIDADA LARA'!C19</f>
        <v>5668</v>
      </c>
      <c r="D19" s="5">
        <f t="shared" ca="1" si="0"/>
        <v>298.31578947368422</v>
      </c>
      <c r="E19" s="5">
        <f t="shared" ca="1" si="1"/>
        <v>6562.9473684210525</v>
      </c>
    </row>
    <row r="20" spans="1:5" x14ac:dyDescent="0.25">
      <c r="A20">
        <v>130154</v>
      </c>
      <c r="B20" t="s">
        <v>53</v>
      </c>
      <c r="C20">
        <f>'[1]VENTAS CONSOLIDADA LARA'!C20</f>
        <v>5745</v>
      </c>
      <c r="D20" s="5">
        <f t="shared" ca="1" si="0"/>
        <v>302.36842105263156</v>
      </c>
      <c r="E20" s="5">
        <f t="shared" ca="1" si="1"/>
        <v>6652.1052631578941</v>
      </c>
    </row>
    <row r="21" spans="1:5" x14ac:dyDescent="0.25">
      <c r="A21">
        <v>130155</v>
      </c>
      <c r="B21" t="s">
        <v>16</v>
      </c>
      <c r="C21">
        <f>'[1]VENTAS CONSOLIDADA LARA'!C21</f>
        <v>7246</v>
      </c>
      <c r="D21" s="5">
        <f t="shared" ca="1" si="0"/>
        <v>381.36842105263156</v>
      </c>
      <c r="E21" s="5">
        <f t="shared" ca="1" si="1"/>
        <v>8390.105263157895</v>
      </c>
    </row>
    <row r="22" spans="1:5" x14ac:dyDescent="0.25">
      <c r="A22">
        <v>130157</v>
      </c>
      <c r="B22" t="s">
        <v>43</v>
      </c>
      <c r="C22">
        <f>'[1]VENTAS CONSOLIDADA LARA'!C22</f>
        <v>2326</v>
      </c>
      <c r="D22" s="5">
        <f t="shared" ca="1" si="0"/>
        <v>122.42105263157895</v>
      </c>
      <c r="E22" s="5">
        <f t="shared" ca="1" si="1"/>
        <v>2693.2631578947367</v>
      </c>
    </row>
    <row r="23" spans="1:5" x14ac:dyDescent="0.25">
      <c r="A23">
        <v>130158</v>
      </c>
      <c r="B23" t="s">
        <v>44</v>
      </c>
      <c r="C23">
        <f>'[1]VENTAS CONSOLIDADA LARA'!C23</f>
        <v>2839</v>
      </c>
      <c r="D23" s="5">
        <f t="shared" ca="1" si="0"/>
        <v>149.42105263157896</v>
      </c>
      <c r="E23" s="5">
        <f t="shared" ca="1" si="1"/>
        <v>3287.2631578947371</v>
      </c>
    </row>
    <row r="24" spans="1:5" x14ac:dyDescent="0.25">
      <c r="A24">
        <v>130159</v>
      </c>
      <c r="B24" t="s">
        <v>45</v>
      </c>
      <c r="C24">
        <f>'[1]VENTAS CONSOLIDADA LARA'!C24</f>
        <v>2812</v>
      </c>
      <c r="D24" s="5">
        <f t="shared" ca="1" si="0"/>
        <v>148</v>
      </c>
      <c r="E24" s="5">
        <f t="shared" ca="1" si="1"/>
        <v>3256</v>
      </c>
    </row>
    <row r="25" spans="1:5" x14ac:dyDescent="0.25">
      <c r="A25">
        <v>130700</v>
      </c>
      <c r="B25" t="s">
        <v>3</v>
      </c>
      <c r="C25">
        <f>'[1]VENTAS CONSOLIDADA LARA'!C25</f>
        <v>569</v>
      </c>
      <c r="D25" s="5">
        <f t="shared" ca="1" si="0"/>
        <v>29.94736842105263</v>
      </c>
      <c r="E25" s="5">
        <f t="shared" ca="1" si="1"/>
        <v>658.84210526315792</v>
      </c>
    </row>
    <row r="26" spans="1:5" x14ac:dyDescent="0.25">
      <c r="A26">
        <v>130701</v>
      </c>
      <c r="B26" t="s">
        <v>30</v>
      </c>
      <c r="C26">
        <f>'[1]VENTAS CONSOLIDADA LARA'!C26</f>
        <v>188</v>
      </c>
      <c r="D26" s="5">
        <f t="shared" ca="1" si="0"/>
        <v>9.8947368421052637</v>
      </c>
      <c r="E26" s="5">
        <f t="shared" ca="1" si="1"/>
        <v>217.68421052631581</v>
      </c>
    </row>
    <row r="27" spans="1:5" x14ac:dyDescent="0.25">
      <c r="A27">
        <v>130702</v>
      </c>
      <c r="B27" t="s">
        <v>12</v>
      </c>
      <c r="C27">
        <f>'[1]VENTAS CONSOLIDADA LARA'!C27</f>
        <v>1547</v>
      </c>
      <c r="D27" s="5">
        <f t="shared" ca="1" si="0"/>
        <v>81.421052631578945</v>
      </c>
      <c r="E27" s="5">
        <f t="shared" ca="1" si="1"/>
        <v>1791.2631578947369</v>
      </c>
    </row>
    <row r="28" spans="1:5" x14ac:dyDescent="0.25">
      <c r="A28">
        <v>130703</v>
      </c>
      <c r="B28" t="s">
        <v>17</v>
      </c>
      <c r="C28">
        <f>'[1]VENTAS CONSOLIDADA LARA'!C28</f>
        <v>2016</v>
      </c>
      <c r="D28" s="5">
        <f t="shared" ca="1" si="0"/>
        <v>106.10526315789474</v>
      </c>
      <c r="E28" s="5">
        <f t="shared" ca="1" si="1"/>
        <v>2334.3157894736842</v>
      </c>
    </row>
    <row r="29" spans="1:5" x14ac:dyDescent="0.25">
      <c r="A29">
        <v>130707</v>
      </c>
      <c r="B29" t="s">
        <v>42</v>
      </c>
      <c r="C29">
        <f>'[1]VENTAS CONSOLIDADA LARA'!C29</f>
        <v>110</v>
      </c>
      <c r="D29" s="5">
        <f t="shared" ca="1" si="0"/>
        <v>5.7894736842105265</v>
      </c>
      <c r="E29" s="5">
        <f t="shared" ca="1" si="1"/>
        <v>127.36842105263159</v>
      </c>
    </row>
    <row r="30" spans="1:5" x14ac:dyDescent="0.25">
      <c r="A30">
        <v>131150</v>
      </c>
      <c r="B30" t="s">
        <v>22</v>
      </c>
      <c r="C30">
        <f>'[1]VENTAS CONSOLIDADA LARA'!C30</f>
        <v>857</v>
      </c>
      <c r="D30" s="5">
        <f t="shared" ca="1" si="0"/>
        <v>45.10526315789474</v>
      </c>
      <c r="E30" s="5">
        <f t="shared" ca="1" si="1"/>
        <v>992.31578947368428</v>
      </c>
    </row>
    <row r="31" spans="1:5" x14ac:dyDescent="0.25">
      <c r="A31">
        <v>131151</v>
      </c>
      <c r="B31" t="s">
        <v>19</v>
      </c>
      <c r="C31">
        <f>'[1]VENTAS CONSOLIDADA LARA'!C31</f>
        <v>1958</v>
      </c>
      <c r="D31" s="5">
        <f t="shared" ca="1" si="0"/>
        <v>103.05263157894737</v>
      </c>
      <c r="E31" s="5">
        <f t="shared" ca="1" si="1"/>
        <v>2267.1578947368421</v>
      </c>
    </row>
    <row r="32" spans="1:5" x14ac:dyDescent="0.25">
      <c r="A32">
        <v>131152</v>
      </c>
      <c r="B32" t="s">
        <v>32</v>
      </c>
      <c r="C32">
        <f>'[1]VENTAS CONSOLIDADA LARA'!C32</f>
        <v>1088</v>
      </c>
      <c r="D32" s="5">
        <f t="shared" ca="1" si="0"/>
        <v>57.263157894736842</v>
      </c>
      <c r="E32" s="5">
        <f t="shared" ca="1" si="1"/>
        <v>1259.7894736842106</v>
      </c>
    </row>
    <row r="33" spans="1:5" x14ac:dyDescent="0.25">
      <c r="A33">
        <v>131153</v>
      </c>
      <c r="B33" t="s">
        <v>11</v>
      </c>
      <c r="C33">
        <f>'[1]VENTAS CONSOLIDADA LARA'!C33</f>
        <v>684</v>
      </c>
      <c r="D33" s="5">
        <f t="shared" ca="1" si="0"/>
        <v>36</v>
      </c>
      <c r="E33" s="5">
        <f t="shared" ca="1" si="1"/>
        <v>792</v>
      </c>
    </row>
    <row r="34" spans="1:5" x14ac:dyDescent="0.25">
      <c r="A34">
        <v>131154</v>
      </c>
      <c r="B34" t="s">
        <v>48</v>
      </c>
      <c r="C34">
        <f>'[1]VENTAS CONSOLIDADA LARA'!C34</f>
        <v>1037</v>
      </c>
      <c r="D34" s="5">
        <f t="shared" ca="1" si="0"/>
        <v>54.578947368421055</v>
      </c>
      <c r="E34" s="5">
        <f t="shared" ca="1" si="1"/>
        <v>1200.7368421052631</v>
      </c>
    </row>
    <row r="35" spans="1:5" x14ac:dyDescent="0.25">
      <c r="A35">
        <v>131155</v>
      </c>
      <c r="B35" t="s">
        <v>57</v>
      </c>
      <c r="C35">
        <f>'[1]VENTAS CONSOLIDADA LARA'!C35</f>
        <v>1203</v>
      </c>
      <c r="D35" s="5">
        <f t="shared" ca="1" si="0"/>
        <v>63.315789473684212</v>
      </c>
      <c r="E35" s="5">
        <f t="shared" ca="1" si="1"/>
        <v>1392.9473684210527</v>
      </c>
    </row>
    <row r="36" spans="1:5" x14ac:dyDescent="0.25">
      <c r="A36">
        <v>131700</v>
      </c>
      <c r="B36" t="s">
        <v>20</v>
      </c>
      <c r="C36">
        <f>'[1]VENTAS CONSOLIDADA LARA'!C36</f>
        <v>206</v>
      </c>
      <c r="D36" s="5">
        <f t="shared" ca="1" si="0"/>
        <v>10.842105263157896</v>
      </c>
      <c r="E36" s="5">
        <f t="shared" ca="1" si="1"/>
        <v>238.5263157894737</v>
      </c>
    </row>
    <row r="37" spans="1:5" x14ac:dyDescent="0.25">
      <c r="A37">
        <v>131701</v>
      </c>
      <c r="B37" t="s">
        <v>24</v>
      </c>
      <c r="C37">
        <f>'[1]VENTAS CONSOLIDADA LARA'!C37</f>
        <v>302</v>
      </c>
      <c r="D37" s="5">
        <f t="shared" ca="1" si="0"/>
        <v>15.894736842105264</v>
      </c>
      <c r="E37" s="5">
        <f t="shared" ca="1" si="1"/>
        <v>349.68421052631578</v>
      </c>
    </row>
    <row r="38" spans="1:5" x14ac:dyDescent="0.25">
      <c r="A38">
        <v>132150</v>
      </c>
      <c r="B38" t="s">
        <v>25</v>
      </c>
      <c r="C38">
        <f>'[1]VENTAS CONSOLIDADA LARA'!C38</f>
        <v>2294</v>
      </c>
      <c r="D38" s="5">
        <f t="shared" ca="1" si="0"/>
        <v>120.73684210526316</v>
      </c>
      <c r="E38" s="5">
        <f t="shared" ca="1" si="1"/>
        <v>2656.2105263157896</v>
      </c>
    </row>
    <row r="39" spans="1:5" x14ac:dyDescent="0.25">
      <c r="A39">
        <v>132151</v>
      </c>
      <c r="B39" t="s">
        <v>26</v>
      </c>
      <c r="C39">
        <f>'[1]VENTAS CONSOLIDADA LARA'!C39</f>
        <v>1222</v>
      </c>
      <c r="D39" s="5">
        <f t="shared" ca="1" si="0"/>
        <v>64.315789473684205</v>
      </c>
      <c r="E39" s="5">
        <f t="shared" ca="1" si="1"/>
        <v>1414.9473684210525</v>
      </c>
    </row>
    <row r="40" spans="1:5" x14ac:dyDescent="0.25">
      <c r="A40">
        <v>132152</v>
      </c>
      <c r="B40" t="s">
        <v>27</v>
      </c>
      <c r="C40">
        <f>'[1]VENTAS CONSOLIDADA LARA'!C40</f>
        <v>1816</v>
      </c>
      <c r="D40" s="5">
        <f t="shared" ca="1" si="0"/>
        <v>95.578947368421055</v>
      </c>
      <c r="E40" s="5">
        <f t="shared" ca="1" si="1"/>
        <v>2102.7368421052633</v>
      </c>
    </row>
    <row r="41" spans="1:5" x14ac:dyDescent="0.25">
      <c r="A41">
        <v>132153</v>
      </c>
      <c r="B41" t="s">
        <v>40</v>
      </c>
      <c r="C41">
        <f>'[1]VENTAS CONSOLIDADA LARA'!C41</f>
        <v>742</v>
      </c>
      <c r="D41" s="5">
        <f t="shared" ca="1" si="0"/>
        <v>39.05263157894737</v>
      </c>
      <c r="E41" s="5">
        <f t="shared" ca="1" si="1"/>
        <v>859.15789473684208</v>
      </c>
    </row>
    <row r="42" spans="1:5" x14ac:dyDescent="0.25">
      <c r="A42">
        <v>134000</v>
      </c>
      <c r="B42" t="s">
        <v>35</v>
      </c>
      <c r="C42">
        <f>'[1]VENTAS CONSOLIDADA LARA'!C42</f>
        <v>20</v>
      </c>
      <c r="D42" s="5">
        <f t="shared" ca="1" si="0"/>
        <v>1.0526315789473684</v>
      </c>
      <c r="E42" s="5">
        <f t="shared" ca="1" si="1"/>
        <v>23.157894736842103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230</v>
      </c>
      <c r="D44" s="5">
        <f t="shared" ca="1" si="0"/>
        <v>12.105263157894736</v>
      </c>
      <c r="E44" s="5">
        <f t="shared" ca="1" si="1"/>
        <v>266.31578947368422</v>
      </c>
    </row>
    <row r="45" spans="1:5" x14ac:dyDescent="0.25">
      <c r="A45">
        <v>140231</v>
      </c>
      <c r="B45" t="s">
        <v>10</v>
      </c>
      <c r="C45">
        <f>'[1]VENTAS CONSOLIDADA LARA'!C45</f>
        <v>747</v>
      </c>
      <c r="D45" s="5">
        <f t="shared" ca="1" si="0"/>
        <v>39.315789473684212</v>
      </c>
      <c r="E45" s="5">
        <f t="shared" ca="1" si="1"/>
        <v>864.94736842105272</v>
      </c>
    </row>
    <row r="46" spans="1:5" x14ac:dyDescent="0.25">
      <c r="A46">
        <v>140232</v>
      </c>
      <c r="B46" t="s">
        <v>9</v>
      </c>
      <c r="C46">
        <f>'[1]VENTAS CONSOLIDADA LARA'!C46</f>
        <v>648</v>
      </c>
      <c r="D46" s="5">
        <f t="shared" ca="1" si="0"/>
        <v>34.10526315789474</v>
      </c>
      <c r="E46" s="5">
        <f t="shared" ca="1" si="1"/>
        <v>750.31578947368428</v>
      </c>
    </row>
    <row r="47" spans="1:5" x14ac:dyDescent="0.25">
      <c r="A47">
        <v>150360</v>
      </c>
      <c r="B47" t="s">
        <v>28</v>
      </c>
      <c r="C47">
        <f>'[1]VENTAS CONSOLIDADA LARA'!C47</f>
        <v>402</v>
      </c>
      <c r="D47" s="5">
        <f t="shared" ca="1" si="0"/>
        <v>21.157894736842106</v>
      </c>
      <c r="E47" s="5">
        <f t="shared" ca="1" si="1"/>
        <v>465.47368421052636</v>
      </c>
    </row>
    <row r="48" spans="1:5" x14ac:dyDescent="0.25">
      <c r="A48">
        <v>150361</v>
      </c>
      <c r="B48" t="s">
        <v>29</v>
      </c>
      <c r="C48">
        <f>'[1]VENTAS CONSOLIDADA LARA'!C48</f>
        <v>992</v>
      </c>
      <c r="D48" s="5">
        <f t="shared" ca="1" si="0"/>
        <v>52.210526315789473</v>
      </c>
      <c r="E48" s="5">
        <f t="shared" ca="1" si="1"/>
        <v>1148.6315789473683</v>
      </c>
    </row>
    <row r="49" spans="1:5" x14ac:dyDescent="0.25">
      <c r="A49">
        <v>150362</v>
      </c>
      <c r="B49" t="s">
        <v>36</v>
      </c>
      <c r="C49">
        <f>'[1]VENTAS CONSOLIDADA LARA'!C49</f>
        <v>445</v>
      </c>
      <c r="D49" s="5">
        <f t="shared" ca="1" si="0"/>
        <v>23.421052631578949</v>
      </c>
      <c r="E49" s="5">
        <f t="shared" ca="1" si="1"/>
        <v>515.26315789473688</v>
      </c>
    </row>
    <row r="50" spans="1:5" x14ac:dyDescent="0.25">
      <c r="A50">
        <v>150363</v>
      </c>
      <c r="B50" t="s">
        <v>31</v>
      </c>
      <c r="C50">
        <f>'[1]VENTAS CONSOLIDADA LARA'!C50</f>
        <v>481</v>
      </c>
      <c r="D50" s="5">
        <f t="shared" ca="1" si="0"/>
        <v>25.315789473684209</v>
      </c>
      <c r="E50" s="5">
        <f t="shared" ca="1" si="1"/>
        <v>556.9473684210526</v>
      </c>
    </row>
    <row r="51" spans="1:5" x14ac:dyDescent="0.25">
      <c r="A51">
        <v>151500</v>
      </c>
      <c r="B51" t="s">
        <v>41</v>
      </c>
      <c r="C51">
        <f>'[1]VENTAS CONSOLIDADA LARA'!C51</f>
        <v>141</v>
      </c>
      <c r="D51" s="5">
        <f t="shared" ca="1" si="0"/>
        <v>7.4210526315789478</v>
      </c>
      <c r="E51" s="5">
        <f t="shared" ca="1" si="1"/>
        <v>163.26315789473685</v>
      </c>
    </row>
    <row r="52" spans="1:5" x14ac:dyDescent="0.25">
      <c r="A52">
        <v>151501</v>
      </c>
      <c r="B52" t="s">
        <v>33</v>
      </c>
      <c r="C52">
        <f>'[1]VENTAS CONSOLIDADA LARA'!C52</f>
        <v>332</v>
      </c>
      <c r="D52" s="5">
        <f t="shared" ca="1" si="0"/>
        <v>17.473684210526315</v>
      </c>
      <c r="E52" s="5">
        <f t="shared" ca="1" si="1"/>
        <v>384.42105263157896</v>
      </c>
    </row>
    <row r="53" spans="1:5" x14ac:dyDescent="0.25">
      <c r="A53">
        <v>151502</v>
      </c>
      <c r="B53" t="s">
        <v>37</v>
      </c>
      <c r="C53">
        <f>'[1]VENTAS CONSOLIDADA LARA'!C53</f>
        <v>99</v>
      </c>
      <c r="D53" s="5">
        <f t="shared" ca="1" si="0"/>
        <v>5.2105263157894735</v>
      </c>
      <c r="E53" s="5">
        <f t="shared" ca="1" si="1"/>
        <v>114.63157894736841</v>
      </c>
    </row>
    <row r="54" spans="1:5" x14ac:dyDescent="0.25">
      <c r="A54">
        <v>151503</v>
      </c>
      <c r="B54" t="s">
        <v>34</v>
      </c>
      <c r="C54">
        <f>'[1]VENTAS CONSOLIDADA LARA'!C54</f>
        <v>117</v>
      </c>
      <c r="D54" s="5">
        <f t="shared" ca="1" si="0"/>
        <v>6.1578947368421053</v>
      </c>
      <c r="E54" s="5">
        <f t="shared" ca="1" si="1"/>
        <v>135.47368421052633</v>
      </c>
    </row>
    <row r="55" spans="1:5" x14ac:dyDescent="0.25">
      <c r="D55" s="5">
        <f ca="1">SUM(D8:D54)</f>
        <v>3532.9999999999991</v>
      </c>
      <c r="E55" s="5">
        <f ca="1">SUM(E8:E54)</f>
        <v>77725.999999999985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46293</v>
      </c>
      <c r="E2" s="4">
        <f ca="1">'[1]VENTAS CONSOLIDADA ANZOATEGUI'!E2</f>
        <v>19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868</v>
      </c>
      <c r="D8" s="5">
        <f t="shared" ref="D8:D54" ca="1" si="0">C8/$E$2</f>
        <v>45.684210526315788</v>
      </c>
      <c r="E8" s="5">
        <f t="shared" ref="E8:E54" ca="1" si="1">D8*($E$2+$E$3)</f>
        <v>1005.0526315789473</v>
      </c>
    </row>
    <row r="9" spans="1:5" x14ac:dyDescent="0.25">
      <c r="A9">
        <v>110151</v>
      </c>
      <c r="B9" t="s">
        <v>5</v>
      </c>
      <c r="C9">
        <f>'[1]VENTAS CONSOLIDADA ANZOATEGUI'!C9</f>
        <v>104</v>
      </c>
      <c r="D9" s="5">
        <f t="shared" ca="1" si="0"/>
        <v>5.4736842105263159</v>
      </c>
      <c r="E9" s="5">
        <f t="shared" ca="1" si="1"/>
        <v>120.42105263157895</v>
      </c>
    </row>
    <row r="10" spans="1:5" x14ac:dyDescent="0.25">
      <c r="A10">
        <v>110230</v>
      </c>
      <c r="B10" t="s">
        <v>1</v>
      </c>
      <c r="C10">
        <f>'[1]VENTAS CONSOLIDADA ANZOATEGUI'!C10</f>
        <v>213</v>
      </c>
      <c r="D10" s="5">
        <f t="shared" ca="1" si="0"/>
        <v>11.210526315789474</v>
      </c>
      <c r="E10" s="5">
        <f t="shared" ca="1" si="1"/>
        <v>246.63157894736844</v>
      </c>
    </row>
    <row r="11" spans="1:5" x14ac:dyDescent="0.25">
      <c r="A11">
        <v>110400</v>
      </c>
      <c r="B11" t="s">
        <v>13</v>
      </c>
      <c r="C11">
        <f>'[1]VENTAS CONSOLIDADA ANZOATEGUI'!C11</f>
        <v>44</v>
      </c>
      <c r="D11" s="5">
        <f t="shared" ca="1" si="0"/>
        <v>2.3157894736842106</v>
      </c>
      <c r="E11" s="5">
        <f t="shared" ca="1" si="1"/>
        <v>50.94736842105263</v>
      </c>
    </row>
    <row r="12" spans="1:5" x14ac:dyDescent="0.25">
      <c r="A12">
        <v>111000</v>
      </c>
      <c r="B12" t="s">
        <v>14</v>
      </c>
      <c r="C12">
        <f>'[1]VENTAS CONSOLIDADA ANZOATEGUI'!C12</f>
        <v>11</v>
      </c>
      <c r="D12" s="5">
        <f t="shared" ca="1" si="0"/>
        <v>0.57894736842105265</v>
      </c>
      <c r="E12" s="5">
        <f t="shared" ca="1" si="1"/>
        <v>12.736842105263158</v>
      </c>
    </row>
    <row r="13" spans="1:5" x14ac:dyDescent="0.25">
      <c r="A13">
        <v>120130</v>
      </c>
      <c r="B13" t="s">
        <v>15</v>
      </c>
      <c r="C13">
        <f>'[1]VENTAS CONSOLIDADA ANZOATEGUI'!C13</f>
        <v>1090</v>
      </c>
      <c r="D13" s="5">
        <f t="shared" ca="1" si="0"/>
        <v>57.368421052631582</v>
      </c>
      <c r="E13" s="5">
        <f t="shared" ca="1" si="1"/>
        <v>1262.1052631578948</v>
      </c>
    </row>
    <row r="14" spans="1:5" x14ac:dyDescent="0.25">
      <c r="A14">
        <v>120131</v>
      </c>
      <c r="B14" t="s">
        <v>23</v>
      </c>
      <c r="C14">
        <f>'[1]VENTAS CONSOLIDADA ANZOATEGUI'!C14</f>
        <v>92</v>
      </c>
      <c r="D14" s="5">
        <f t="shared" ca="1" si="0"/>
        <v>4.8421052631578947</v>
      </c>
      <c r="E14" s="5">
        <f t="shared" ca="1" si="1"/>
        <v>106.52631578947368</v>
      </c>
    </row>
    <row r="15" spans="1:5" x14ac:dyDescent="0.25">
      <c r="A15">
        <v>120132</v>
      </c>
      <c r="B15" t="s">
        <v>21</v>
      </c>
      <c r="C15">
        <f>'[1]VENTAS CONSOLIDADA ANZOATEGUI'!C15</f>
        <v>174</v>
      </c>
      <c r="D15" s="5">
        <f t="shared" ca="1" si="0"/>
        <v>9.1578947368421044</v>
      </c>
      <c r="E15" s="5">
        <f t="shared" ca="1" si="1"/>
        <v>201.4736842105263</v>
      </c>
    </row>
    <row r="16" spans="1:5" x14ac:dyDescent="0.25">
      <c r="A16">
        <v>130150</v>
      </c>
      <c r="B16" t="s">
        <v>0</v>
      </c>
      <c r="C16">
        <f>'[1]VENTAS CONSOLIDADA ANZOATEGUI'!C16</f>
        <v>549</v>
      </c>
      <c r="D16" s="5">
        <f t="shared" ca="1" si="0"/>
        <v>28.894736842105264</v>
      </c>
      <c r="E16" s="5">
        <f t="shared" ca="1" si="1"/>
        <v>635.68421052631584</v>
      </c>
    </row>
    <row r="17" spans="1:5" x14ac:dyDescent="0.25">
      <c r="A17">
        <v>130151</v>
      </c>
      <c r="B17" t="s">
        <v>4</v>
      </c>
      <c r="C17">
        <f>'[1]VENTAS CONSOLIDADA ANZOATEGUI'!C17</f>
        <v>145</v>
      </c>
      <c r="D17" s="5">
        <f t="shared" ca="1" si="0"/>
        <v>7.6315789473684212</v>
      </c>
      <c r="E17" s="5">
        <f t="shared" ca="1" si="1"/>
        <v>167.89473684210526</v>
      </c>
    </row>
    <row r="18" spans="1:5" x14ac:dyDescent="0.25">
      <c r="A18">
        <v>130152</v>
      </c>
      <c r="B18" t="s">
        <v>51</v>
      </c>
      <c r="C18">
        <f>'[1]VENTAS CONSOLIDADA ANZOATEGUI'!C18</f>
        <v>2866</v>
      </c>
      <c r="D18" s="5">
        <f t="shared" ca="1" si="0"/>
        <v>150.84210526315789</v>
      </c>
      <c r="E18" s="5">
        <f t="shared" ca="1" si="1"/>
        <v>3318.5263157894738</v>
      </c>
    </row>
    <row r="19" spans="1:5" x14ac:dyDescent="0.25">
      <c r="A19">
        <v>130153</v>
      </c>
      <c r="B19" t="s">
        <v>52</v>
      </c>
      <c r="C19">
        <f>'[1]VENTAS CONSOLIDADA ANZOATEGUI'!C19</f>
        <v>1701</v>
      </c>
      <c r="D19" s="5">
        <f t="shared" ca="1" si="0"/>
        <v>89.526315789473685</v>
      </c>
      <c r="E19" s="5">
        <f t="shared" ca="1" si="1"/>
        <v>1969.578947368421</v>
      </c>
    </row>
    <row r="20" spans="1:5" x14ac:dyDescent="0.25">
      <c r="A20">
        <v>130154</v>
      </c>
      <c r="B20" t="s">
        <v>53</v>
      </c>
      <c r="C20">
        <f>'[1]VENTAS CONSOLIDADA ANZOATEGUI'!C20</f>
        <v>2078</v>
      </c>
      <c r="D20" s="5">
        <f t="shared" ca="1" si="0"/>
        <v>109.36842105263158</v>
      </c>
      <c r="E20" s="5">
        <f t="shared" ca="1" si="1"/>
        <v>2406.1052631578946</v>
      </c>
    </row>
    <row r="21" spans="1:5" x14ac:dyDescent="0.25">
      <c r="A21">
        <v>130155</v>
      </c>
      <c r="B21" t="s">
        <v>16</v>
      </c>
      <c r="C21">
        <f>'[1]VENTAS CONSOLIDADA ANZOATEGUI'!C21</f>
        <v>1638</v>
      </c>
      <c r="D21" s="5">
        <f t="shared" ca="1" si="0"/>
        <v>86.21052631578948</v>
      </c>
      <c r="E21" s="5">
        <f t="shared" ca="1" si="1"/>
        <v>1896.6315789473686</v>
      </c>
    </row>
    <row r="22" spans="1:5" x14ac:dyDescent="0.25">
      <c r="A22">
        <v>130157</v>
      </c>
      <c r="B22" t="s">
        <v>43</v>
      </c>
      <c r="C22">
        <f>'[1]VENTAS CONSOLIDADA ANZOATEGUI'!C22</f>
        <v>540</v>
      </c>
      <c r="D22" s="5">
        <f t="shared" ca="1" si="0"/>
        <v>28.421052631578949</v>
      </c>
      <c r="E22" s="5">
        <f t="shared" ca="1" si="1"/>
        <v>625.26315789473688</v>
      </c>
    </row>
    <row r="23" spans="1:5" x14ac:dyDescent="0.25">
      <c r="A23">
        <v>130158</v>
      </c>
      <c r="B23" t="s">
        <v>44</v>
      </c>
      <c r="C23">
        <f>'[1]VENTAS CONSOLIDADA ANZOATEGUI'!C23</f>
        <v>771</v>
      </c>
      <c r="D23" s="5">
        <f t="shared" ca="1" si="0"/>
        <v>40.578947368421055</v>
      </c>
      <c r="E23" s="5">
        <f t="shared" ca="1" si="1"/>
        <v>892.73684210526324</v>
      </c>
    </row>
    <row r="24" spans="1:5" x14ac:dyDescent="0.25">
      <c r="A24">
        <v>130159</v>
      </c>
      <c r="B24" t="s">
        <v>45</v>
      </c>
      <c r="C24">
        <f>'[1]VENTAS CONSOLIDADA ANZOATEGUI'!C24</f>
        <v>795</v>
      </c>
      <c r="D24" s="5">
        <f t="shared" ca="1" si="0"/>
        <v>41.842105263157897</v>
      </c>
      <c r="E24" s="5">
        <f t="shared" ca="1" si="1"/>
        <v>920.52631578947376</v>
      </c>
    </row>
    <row r="25" spans="1:5" x14ac:dyDescent="0.25">
      <c r="A25">
        <v>130700</v>
      </c>
      <c r="B25" t="s">
        <v>3</v>
      </c>
      <c r="C25">
        <f>'[1]VENTAS CONSOLIDADA ANZOATEGUI'!C25</f>
        <v>116</v>
      </c>
      <c r="D25" s="5">
        <f t="shared" ca="1" si="0"/>
        <v>6.1052631578947372</v>
      </c>
      <c r="E25" s="5">
        <f t="shared" ca="1" si="1"/>
        <v>134.31578947368422</v>
      </c>
    </row>
    <row r="26" spans="1:5" x14ac:dyDescent="0.25">
      <c r="A26">
        <v>130701</v>
      </c>
      <c r="B26" t="s">
        <v>30</v>
      </c>
      <c r="C26">
        <f>'[1]VENTAS CONSOLIDADA ANZOATEGUI'!C26</f>
        <v>18</v>
      </c>
      <c r="D26" s="5">
        <f t="shared" ca="1" si="0"/>
        <v>0.94736842105263153</v>
      </c>
      <c r="E26" s="5">
        <f t="shared" ca="1" si="1"/>
        <v>20.842105263157894</v>
      </c>
    </row>
    <row r="27" spans="1:5" x14ac:dyDescent="0.25">
      <c r="A27">
        <v>130702</v>
      </c>
      <c r="B27" t="s">
        <v>12</v>
      </c>
      <c r="C27">
        <f>'[1]VENTAS CONSOLIDADA ANZOATEGUI'!C27</f>
        <v>270</v>
      </c>
      <c r="D27" s="5">
        <f t="shared" ca="1" si="0"/>
        <v>14.210526315789474</v>
      </c>
      <c r="E27" s="5">
        <f t="shared" ca="1" si="1"/>
        <v>312.63157894736844</v>
      </c>
    </row>
    <row r="28" spans="1:5" x14ac:dyDescent="0.25">
      <c r="A28">
        <v>130703</v>
      </c>
      <c r="B28" t="s">
        <v>17</v>
      </c>
      <c r="C28">
        <f>'[1]VENTAS CONSOLIDADA ANZOATEGUI'!C28</f>
        <v>363</v>
      </c>
      <c r="D28" s="5">
        <f t="shared" ca="1" si="0"/>
        <v>19.105263157894736</v>
      </c>
      <c r="E28" s="5">
        <f t="shared" ca="1" si="1"/>
        <v>420.31578947368422</v>
      </c>
    </row>
    <row r="29" spans="1:5" x14ac:dyDescent="0.25">
      <c r="A29">
        <v>130707</v>
      </c>
      <c r="B29" t="s">
        <v>42</v>
      </c>
      <c r="C29">
        <f>'[1]VENTAS CONSOLIDADA ANZOATEGUI'!C29</f>
        <v>32</v>
      </c>
      <c r="D29" s="5">
        <f t="shared" ca="1" si="0"/>
        <v>1.6842105263157894</v>
      </c>
      <c r="E29" s="5">
        <f t="shared" ca="1" si="1"/>
        <v>37.05263157894737</v>
      </c>
    </row>
    <row r="30" spans="1:5" x14ac:dyDescent="0.25">
      <c r="A30">
        <v>131150</v>
      </c>
      <c r="B30" t="s">
        <v>22</v>
      </c>
      <c r="C30">
        <f>'[1]VENTAS CONSOLIDADA ANZOATEGUI'!C30</f>
        <v>706</v>
      </c>
      <c r="D30" s="5">
        <f t="shared" ca="1" si="0"/>
        <v>37.157894736842103</v>
      </c>
      <c r="E30" s="5">
        <f t="shared" ca="1" si="1"/>
        <v>817.47368421052624</v>
      </c>
    </row>
    <row r="31" spans="1:5" x14ac:dyDescent="0.25">
      <c r="A31">
        <v>131151</v>
      </c>
      <c r="B31" t="s">
        <v>19</v>
      </c>
      <c r="C31">
        <f>'[1]VENTAS CONSOLIDADA ANZOATEGUI'!C31</f>
        <v>1733</v>
      </c>
      <c r="D31" s="5">
        <f t="shared" ca="1" si="0"/>
        <v>91.21052631578948</v>
      </c>
      <c r="E31" s="5">
        <f t="shared" ca="1" si="1"/>
        <v>2006.6315789473686</v>
      </c>
    </row>
    <row r="32" spans="1:5" x14ac:dyDescent="0.25">
      <c r="A32">
        <v>131152</v>
      </c>
      <c r="B32" t="s">
        <v>32</v>
      </c>
      <c r="C32">
        <f>'[1]VENTAS CONSOLIDADA ANZOATEGUI'!C32</f>
        <v>1119</v>
      </c>
      <c r="D32" s="5">
        <f t="shared" ca="1" si="0"/>
        <v>58.89473684210526</v>
      </c>
      <c r="E32" s="5">
        <f t="shared" ca="1" si="1"/>
        <v>1295.6842105263158</v>
      </c>
    </row>
    <row r="33" spans="1:5" x14ac:dyDescent="0.25">
      <c r="A33">
        <v>131153</v>
      </c>
      <c r="B33" t="s">
        <v>11</v>
      </c>
      <c r="C33">
        <f>'[1]VENTAS CONSOLIDADA ANZOATEGUI'!C33</f>
        <v>715</v>
      </c>
      <c r="D33" s="5">
        <f t="shared" ca="1" si="0"/>
        <v>37.631578947368418</v>
      </c>
      <c r="E33" s="5">
        <f t="shared" ca="1" si="1"/>
        <v>827.8947368421052</v>
      </c>
    </row>
    <row r="34" spans="1:5" x14ac:dyDescent="0.25">
      <c r="A34">
        <v>131154</v>
      </c>
      <c r="B34" t="s">
        <v>48</v>
      </c>
      <c r="C34">
        <f>'[1]VENTAS CONSOLIDADA ANZOATEGUI'!C34</f>
        <v>556</v>
      </c>
      <c r="D34" s="5">
        <f t="shared" ca="1" si="0"/>
        <v>29.263157894736842</v>
      </c>
      <c r="E34" s="5">
        <f t="shared" ca="1" si="1"/>
        <v>643.78947368421052</v>
      </c>
    </row>
    <row r="35" spans="1:5" x14ac:dyDescent="0.25">
      <c r="A35">
        <v>131155</v>
      </c>
      <c r="B35" t="s">
        <v>57</v>
      </c>
      <c r="C35">
        <f>'[1]VENTAS CONSOLIDADA ANZOATEGUI'!C35</f>
        <v>677</v>
      </c>
      <c r="D35" s="5">
        <f t="shared" ca="1" si="0"/>
        <v>35.631578947368418</v>
      </c>
      <c r="E35" s="5">
        <f t="shared" ca="1" si="1"/>
        <v>783.8947368421052</v>
      </c>
    </row>
    <row r="36" spans="1:5" x14ac:dyDescent="0.25">
      <c r="A36">
        <v>131700</v>
      </c>
      <c r="B36" t="s">
        <v>20</v>
      </c>
      <c r="C36">
        <f>'[1]VENTAS CONSOLIDADA ANZOATEGUI'!C36</f>
        <v>91</v>
      </c>
      <c r="D36" s="5">
        <f t="shared" ca="1" si="0"/>
        <v>4.7894736842105265</v>
      </c>
      <c r="E36" s="5">
        <f t="shared" ca="1" si="1"/>
        <v>105.36842105263159</v>
      </c>
    </row>
    <row r="37" spans="1:5" x14ac:dyDescent="0.25">
      <c r="A37">
        <v>131701</v>
      </c>
      <c r="B37" t="s">
        <v>24</v>
      </c>
      <c r="C37">
        <f>'[1]VENTAS CONSOLIDADA ANZOATEGUI'!C37</f>
        <v>137</v>
      </c>
      <c r="D37" s="5">
        <f t="shared" ca="1" si="0"/>
        <v>7.2105263157894735</v>
      </c>
      <c r="E37" s="5">
        <f t="shared" ca="1" si="1"/>
        <v>158.63157894736841</v>
      </c>
    </row>
    <row r="38" spans="1:5" x14ac:dyDescent="0.25">
      <c r="A38">
        <v>132150</v>
      </c>
      <c r="B38" t="s">
        <v>25</v>
      </c>
      <c r="C38">
        <f>'[1]VENTAS CONSOLIDADA ANZOATEGUI'!C38</f>
        <v>874</v>
      </c>
      <c r="D38" s="5">
        <f t="shared" ca="1" si="0"/>
        <v>46</v>
      </c>
      <c r="E38" s="5">
        <f t="shared" ca="1" si="1"/>
        <v>1012</v>
      </c>
    </row>
    <row r="39" spans="1:5" x14ac:dyDescent="0.25">
      <c r="A39">
        <v>132151</v>
      </c>
      <c r="B39" t="s">
        <v>26</v>
      </c>
      <c r="C39">
        <f>'[1]VENTAS CONSOLIDADA ANZOATEGUI'!C39</f>
        <v>522</v>
      </c>
      <c r="D39" s="5">
        <f t="shared" ca="1" si="0"/>
        <v>27.473684210526315</v>
      </c>
      <c r="E39" s="5">
        <f t="shared" ca="1" si="1"/>
        <v>604.42105263157896</v>
      </c>
    </row>
    <row r="40" spans="1:5" x14ac:dyDescent="0.25">
      <c r="A40">
        <v>132152</v>
      </c>
      <c r="B40" t="s">
        <v>27</v>
      </c>
      <c r="C40">
        <f>'[1]VENTAS CONSOLIDADA ANZOATEGUI'!C40</f>
        <v>816</v>
      </c>
      <c r="D40" s="5">
        <f t="shared" ca="1" si="0"/>
        <v>42.94736842105263</v>
      </c>
      <c r="E40" s="5">
        <f t="shared" ca="1" si="1"/>
        <v>944.84210526315792</v>
      </c>
    </row>
    <row r="41" spans="1:5" x14ac:dyDescent="0.25">
      <c r="A41">
        <v>132153</v>
      </c>
      <c r="B41" t="s">
        <v>40</v>
      </c>
      <c r="C41">
        <f>'[1]VENTAS CONSOLIDADA ANZOATEGUI'!C41</f>
        <v>491</v>
      </c>
      <c r="D41" s="5">
        <f t="shared" ca="1" si="0"/>
        <v>25.842105263157894</v>
      </c>
      <c r="E41" s="5">
        <f t="shared" ca="1" si="1"/>
        <v>568.52631578947364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149</v>
      </c>
      <c r="D44" s="5">
        <f t="shared" ca="1" si="0"/>
        <v>7.8421052631578947</v>
      </c>
      <c r="E44" s="5">
        <f t="shared" ca="1" si="1"/>
        <v>172.52631578947367</v>
      </c>
    </row>
    <row r="45" spans="1:5" x14ac:dyDescent="0.25">
      <c r="A45">
        <v>140231</v>
      </c>
      <c r="B45" t="s">
        <v>10</v>
      </c>
      <c r="C45">
        <f>'[1]VENTAS CONSOLIDADA ANZOATEGUI'!C45</f>
        <v>813</v>
      </c>
      <c r="D45" s="5">
        <f t="shared" ca="1" si="0"/>
        <v>42.789473684210527</v>
      </c>
      <c r="E45" s="5">
        <f t="shared" ca="1" si="1"/>
        <v>941.36842105263156</v>
      </c>
    </row>
    <row r="46" spans="1:5" x14ac:dyDescent="0.25">
      <c r="A46">
        <v>140232</v>
      </c>
      <c r="B46" t="s">
        <v>9</v>
      </c>
      <c r="C46">
        <f>'[1]VENTAS CONSOLIDADA ANZOATEGUI'!C46</f>
        <v>263</v>
      </c>
      <c r="D46" s="5">
        <f t="shared" ca="1" si="0"/>
        <v>13.842105263157896</v>
      </c>
      <c r="E46" s="5">
        <f t="shared" ca="1" si="1"/>
        <v>304.5263157894737</v>
      </c>
    </row>
    <row r="47" spans="1:5" x14ac:dyDescent="0.25">
      <c r="A47">
        <v>150360</v>
      </c>
      <c r="B47" t="s">
        <v>28</v>
      </c>
      <c r="C47">
        <f>'[1]VENTAS CONSOLIDADA ANZOATEGUI'!C47</f>
        <v>136</v>
      </c>
      <c r="D47" s="5">
        <f t="shared" ca="1" si="0"/>
        <v>7.1578947368421053</v>
      </c>
      <c r="E47" s="5">
        <f t="shared" ca="1" si="1"/>
        <v>157.47368421052633</v>
      </c>
    </row>
    <row r="48" spans="1:5" x14ac:dyDescent="0.25">
      <c r="A48">
        <v>150361</v>
      </c>
      <c r="B48" t="s">
        <v>29</v>
      </c>
      <c r="C48">
        <f>'[1]VENTAS CONSOLIDADA ANZOATEGUI'!C48</f>
        <v>513</v>
      </c>
      <c r="D48" s="5">
        <f t="shared" ca="1" si="0"/>
        <v>27</v>
      </c>
      <c r="E48" s="5">
        <f t="shared" ca="1" si="1"/>
        <v>594</v>
      </c>
    </row>
    <row r="49" spans="1:5" x14ac:dyDescent="0.25">
      <c r="A49">
        <v>150362</v>
      </c>
      <c r="B49" t="s">
        <v>36</v>
      </c>
      <c r="C49">
        <f>'[1]VENTAS CONSOLIDADA ANZOATEGUI'!C49</f>
        <v>240</v>
      </c>
      <c r="D49" s="5">
        <f t="shared" ca="1" si="0"/>
        <v>12.631578947368421</v>
      </c>
      <c r="E49" s="5">
        <f t="shared" ca="1" si="1"/>
        <v>277.89473684210526</v>
      </c>
    </row>
    <row r="50" spans="1:5" x14ac:dyDescent="0.25">
      <c r="A50">
        <v>150363</v>
      </c>
      <c r="B50" t="s">
        <v>31</v>
      </c>
      <c r="C50">
        <f>'[1]VENTAS CONSOLIDADA ANZOATEGUI'!C50</f>
        <v>325</v>
      </c>
      <c r="D50" s="5">
        <f t="shared" ca="1" si="0"/>
        <v>17.105263157894736</v>
      </c>
      <c r="E50" s="5">
        <f t="shared" ca="1" si="1"/>
        <v>376.31578947368422</v>
      </c>
    </row>
    <row r="51" spans="1:5" x14ac:dyDescent="0.25">
      <c r="A51">
        <v>151500</v>
      </c>
      <c r="B51" t="s">
        <v>41</v>
      </c>
      <c r="C51">
        <f>'[1]VENTAS CONSOLIDADA ANZOATEGUI'!C51</f>
        <v>48</v>
      </c>
      <c r="D51" s="5">
        <f t="shared" ca="1" si="0"/>
        <v>2.5263157894736841</v>
      </c>
      <c r="E51" s="5">
        <f t="shared" ca="1" si="1"/>
        <v>55.578947368421048</v>
      </c>
    </row>
    <row r="52" spans="1:5" x14ac:dyDescent="0.25">
      <c r="A52">
        <v>151501</v>
      </c>
      <c r="B52" t="s">
        <v>33</v>
      </c>
      <c r="C52">
        <f>'[1]VENTAS CONSOLIDADA ANZOATEGUI'!C52</f>
        <v>110</v>
      </c>
      <c r="D52" s="5">
        <f t="shared" ca="1" si="0"/>
        <v>5.7894736842105265</v>
      </c>
      <c r="E52" s="5">
        <f t="shared" ca="1" si="1"/>
        <v>127.36842105263159</v>
      </c>
    </row>
    <row r="53" spans="1:5" x14ac:dyDescent="0.25">
      <c r="A53">
        <v>151502</v>
      </c>
      <c r="B53" t="s">
        <v>37</v>
      </c>
      <c r="C53">
        <f>'[1]VENTAS CONSOLIDADA ANZOATEGUI'!C53</f>
        <v>32</v>
      </c>
      <c r="D53" s="5">
        <f t="shared" ca="1" si="0"/>
        <v>1.6842105263157894</v>
      </c>
      <c r="E53" s="5">
        <f t="shared" ca="1" si="1"/>
        <v>37.05263157894737</v>
      </c>
    </row>
    <row r="54" spans="1:5" x14ac:dyDescent="0.25">
      <c r="A54">
        <v>151503</v>
      </c>
      <c r="B54" t="s">
        <v>34</v>
      </c>
      <c r="C54">
        <f>'[1]VENTAS CONSOLIDADA ANZOATEGUI'!C54</f>
        <v>51</v>
      </c>
      <c r="D54" s="5">
        <f t="shared" ca="1" si="0"/>
        <v>2.6842105263157894</v>
      </c>
      <c r="E54" s="5">
        <f t="shared" ca="1" si="1"/>
        <v>59.05263157894737</v>
      </c>
    </row>
    <row r="55" spans="1:5" x14ac:dyDescent="0.25">
      <c r="D55" s="7">
        <f ca="1">SUM(D8:D54)</f>
        <v>1347.1052631578953</v>
      </c>
      <c r="E55" s="7">
        <f ca="1">SUM(E8:E54)</f>
        <v>29636.315789473683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9" sqref="G9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46293</v>
      </c>
      <c r="E2" s="4">
        <f ca="1">'[1]VENTAS CONSOLIDADA 1,0'!E2</f>
        <v>19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22297</v>
      </c>
      <c r="D8" s="5">
        <f t="shared" ref="D8:D54" ca="1" si="0">C8/$E$2</f>
        <v>1173.5263157894738</v>
      </c>
      <c r="E8" s="5">
        <f ca="1">D8*($E$2+$E$3)</f>
        <v>25817.578947368424</v>
      </c>
    </row>
    <row r="9" spans="1:5" x14ac:dyDescent="0.25">
      <c r="A9">
        <v>110151</v>
      </c>
      <c r="B9" t="s">
        <v>5</v>
      </c>
      <c r="C9">
        <f>'[1]VENTAS CONSOLIDADA 1,0'!C9</f>
        <v>924</v>
      </c>
      <c r="D9" s="5">
        <f t="shared" ca="1" si="0"/>
        <v>48.631578947368418</v>
      </c>
      <c r="E9" s="5">
        <f t="shared" ref="E9:E54" ca="1" si="1">D9*($E$2+$E$3)</f>
        <v>1069.8947368421052</v>
      </c>
    </row>
    <row r="10" spans="1:5" x14ac:dyDescent="0.25">
      <c r="A10">
        <v>110230</v>
      </c>
      <c r="B10" t="s">
        <v>1</v>
      </c>
      <c r="C10">
        <f>'[1]VENTAS CONSOLIDADA 1,0'!C10</f>
        <v>9343</v>
      </c>
      <c r="D10" s="5">
        <f t="shared" ca="1" si="0"/>
        <v>491.73684210526318</v>
      </c>
      <c r="E10" s="5">
        <f t="shared" ca="1" si="1"/>
        <v>10818.21052631579</v>
      </c>
    </row>
    <row r="11" spans="1:5" x14ac:dyDescent="0.25">
      <c r="A11">
        <v>110400</v>
      </c>
      <c r="B11" t="s">
        <v>13</v>
      </c>
      <c r="C11">
        <f>'[1]VENTAS CONSOLIDADA 1,0'!C11</f>
        <v>1987</v>
      </c>
      <c r="D11" s="5">
        <f t="shared" ca="1" si="0"/>
        <v>104.57894736842105</v>
      </c>
      <c r="E11" s="5">
        <f t="shared" ca="1" si="1"/>
        <v>2300.7368421052633</v>
      </c>
    </row>
    <row r="12" spans="1:5" x14ac:dyDescent="0.25">
      <c r="A12">
        <v>111000</v>
      </c>
      <c r="B12" t="s">
        <v>14</v>
      </c>
      <c r="C12">
        <f>'[1]VENTAS CONSOLIDADA 1,0'!C12</f>
        <v>252</v>
      </c>
      <c r="D12" s="5">
        <f t="shared" ca="1" si="0"/>
        <v>13.263157894736842</v>
      </c>
      <c r="E12" s="5">
        <f t="shared" ca="1" si="1"/>
        <v>291.78947368421052</v>
      </c>
    </row>
    <row r="13" spans="1:5" x14ac:dyDescent="0.25">
      <c r="A13">
        <v>120130</v>
      </c>
      <c r="B13" t="s">
        <v>15</v>
      </c>
      <c r="C13">
        <f>'[1]VENTAS CONSOLIDADA 1,0'!C13</f>
        <v>26631</v>
      </c>
      <c r="D13" s="5">
        <f t="shared" ca="1" si="0"/>
        <v>1401.6315789473683</v>
      </c>
      <c r="E13" s="5">
        <f t="shared" ca="1" si="1"/>
        <v>30835.894736842103</v>
      </c>
    </row>
    <row r="14" spans="1:5" x14ac:dyDescent="0.25">
      <c r="A14">
        <v>120131</v>
      </c>
      <c r="B14" t="s">
        <v>23</v>
      </c>
      <c r="C14">
        <f>'[1]VENTAS CONSOLIDADA 1,0'!C14</f>
        <v>2804</v>
      </c>
      <c r="D14" s="5">
        <f t="shared" ca="1" si="0"/>
        <v>147.57894736842104</v>
      </c>
      <c r="E14" s="5">
        <f t="shared" ca="1" si="1"/>
        <v>3246.7368421052629</v>
      </c>
    </row>
    <row r="15" spans="1:5" x14ac:dyDescent="0.25">
      <c r="A15">
        <v>120132</v>
      </c>
      <c r="B15" t="s">
        <v>21</v>
      </c>
      <c r="C15">
        <f>'[1]VENTAS CONSOLIDADA 1,0'!C15</f>
        <v>5905</v>
      </c>
      <c r="D15" s="5">
        <f t="shared" ca="1" si="0"/>
        <v>310.78947368421052</v>
      </c>
      <c r="E15" s="5">
        <f t="shared" ca="1" si="1"/>
        <v>6837.3684210526317</v>
      </c>
    </row>
    <row r="16" spans="1:5" x14ac:dyDescent="0.25">
      <c r="A16">
        <v>130150</v>
      </c>
      <c r="B16" t="s">
        <v>0</v>
      </c>
      <c r="C16">
        <f>'[1]VENTAS CONSOLIDADA 1,0'!C16</f>
        <v>14758</v>
      </c>
      <c r="D16" s="5">
        <f t="shared" ca="1" si="0"/>
        <v>776.73684210526312</v>
      </c>
      <c r="E16" s="5">
        <f t="shared" ca="1" si="1"/>
        <v>17088.21052631579</v>
      </c>
    </row>
    <row r="17" spans="1:5" x14ac:dyDescent="0.25">
      <c r="A17">
        <v>130151</v>
      </c>
      <c r="B17" t="s">
        <v>4</v>
      </c>
      <c r="C17">
        <f>'[1]VENTAS CONSOLIDADA 1,0'!C17</f>
        <v>7170</v>
      </c>
      <c r="D17" s="5">
        <f t="shared" ca="1" si="0"/>
        <v>377.36842105263156</v>
      </c>
      <c r="E17" s="5">
        <f t="shared" ca="1" si="1"/>
        <v>8302.105263157895</v>
      </c>
    </row>
    <row r="18" spans="1:5" x14ac:dyDescent="0.25">
      <c r="A18">
        <v>130152</v>
      </c>
      <c r="B18" t="s">
        <v>51</v>
      </c>
      <c r="C18">
        <f>'[1]VENTAS CONSOLIDADA 1,0'!C18</f>
        <v>63741</v>
      </c>
      <c r="D18" s="5">
        <f t="shared" ca="1" si="0"/>
        <v>3354.7894736842104</v>
      </c>
      <c r="E18" s="5">
        <f t="shared" ca="1" si="1"/>
        <v>73805.368421052626</v>
      </c>
    </row>
    <row r="19" spans="1:5" x14ac:dyDescent="0.25">
      <c r="A19">
        <v>130153</v>
      </c>
      <c r="B19" t="s">
        <v>52</v>
      </c>
      <c r="C19">
        <f>'[1]VENTAS CONSOLIDADA 1,0'!C19</f>
        <v>40339</v>
      </c>
      <c r="D19" s="5">
        <f t="shared" ca="1" si="0"/>
        <v>2123.1052631578946</v>
      </c>
      <c r="E19" s="5">
        <f t="shared" ca="1" si="1"/>
        <v>46708.31578947368</v>
      </c>
    </row>
    <row r="20" spans="1:5" x14ac:dyDescent="0.25">
      <c r="A20">
        <v>130154</v>
      </c>
      <c r="B20" t="s">
        <v>53</v>
      </c>
      <c r="C20">
        <f>'[1]VENTAS CONSOLIDADA 1,0'!C20</f>
        <v>40312</v>
      </c>
      <c r="D20" s="5">
        <f t="shared" ca="1" si="0"/>
        <v>2121.6842105263158</v>
      </c>
      <c r="E20" s="5">
        <f t="shared" ca="1" si="1"/>
        <v>46677.052631578947</v>
      </c>
    </row>
    <row r="21" spans="1:5" x14ac:dyDescent="0.25">
      <c r="A21">
        <v>130155</v>
      </c>
      <c r="B21" t="s">
        <v>16</v>
      </c>
      <c r="C21">
        <f>'[1]VENTAS CONSOLIDADA 1,0'!C21</f>
        <v>49802</v>
      </c>
      <c r="D21" s="5">
        <f t="shared" ca="1" si="0"/>
        <v>2621.1578947368421</v>
      </c>
      <c r="E21" s="5">
        <f t="shared" ca="1" si="1"/>
        <v>57665.473684210527</v>
      </c>
    </row>
    <row r="22" spans="1:5" x14ac:dyDescent="0.25">
      <c r="A22">
        <v>130157</v>
      </c>
      <c r="B22" t="s">
        <v>43</v>
      </c>
      <c r="C22">
        <f>'[1]VENTAS CONSOLIDADA 1,0'!C22</f>
        <v>13445</v>
      </c>
      <c r="D22" s="5">
        <f t="shared" ca="1" si="0"/>
        <v>707.63157894736844</v>
      </c>
      <c r="E22" s="5">
        <f t="shared" ca="1" si="1"/>
        <v>15567.894736842105</v>
      </c>
    </row>
    <row r="23" spans="1:5" x14ac:dyDescent="0.25">
      <c r="A23">
        <v>130158</v>
      </c>
      <c r="B23" t="s">
        <v>44</v>
      </c>
      <c r="C23">
        <f>'[1]VENTAS CONSOLIDADA 1,0'!C23</f>
        <v>15895</v>
      </c>
      <c r="D23" s="5">
        <f t="shared" ca="1" si="0"/>
        <v>836.57894736842104</v>
      </c>
      <c r="E23" s="5">
        <f t="shared" ca="1" si="1"/>
        <v>18404.736842105263</v>
      </c>
    </row>
    <row r="24" spans="1:5" x14ac:dyDescent="0.25">
      <c r="A24">
        <v>130159</v>
      </c>
      <c r="B24" t="s">
        <v>45</v>
      </c>
      <c r="C24">
        <f>'[1]VENTAS CONSOLIDADA 1,0'!C24</f>
        <v>16083</v>
      </c>
      <c r="D24" s="5">
        <f t="shared" ca="1" si="0"/>
        <v>846.47368421052636</v>
      </c>
      <c r="E24" s="5">
        <f t="shared" ca="1" si="1"/>
        <v>18622.42105263158</v>
      </c>
    </row>
    <row r="25" spans="1:5" x14ac:dyDescent="0.25">
      <c r="A25">
        <v>130700</v>
      </c>
      <c r="B25" t="s">
        <v>3</v>
      </c>
      <c r="C25">
        <f>'[1]VENTAS CONSOLIDADA 1,0'!C25</f>
        <v>5164</v>
      </c>
      <c r="D25" s="5">
        <f t="shared" ca="1" si="0"/>
        <v>271.78947368421052</v>
      </c>
      <c r="E25" s="5">
        <f t="shared" ca="1" si="1"/>
        <v>5979.3684210526317</v>
      </c>
    </row>
    <row r="26" spans="1:5" x14ac:dyDescent="0.25">
      <c r="A26">
        <v>130701</v>
      </c>
      <c r="B26" t="s">
        <v>30</v>
      </c>
      <c r="C26">
        <f>'[1]VENTAS CONSOLIDADA 1,0'!C26</f>
        <v>2516</v>
      </c>
      <c r="D26" s="5">
        <f t="shared" ca="1" si="0"/>
        <v>132.42105263157896</v>
      </c>
      <c r="E26" s="5">
        <f t="shared" ca="1" si="1"/>
        <v>2913.2631578947371</v>
      </c>
    </row>
    <row r="27" spans="1:5" x14ac:dyDescent="0.25">
      <c r="A27">
        <v>130702</v>
      </c>
      <c r="B27" t="s">
        <v>12</v>
      </c>
      <c r="C27">
        <f>'[1]VENTAS CONSOLIDADA 1,0'!C27</f>
        <v>9586</v>
      </c>
      <c r="D27" s="5">
        <f t="shared" ca="1" si="0"/>
        <v>504.5263157894737</v>
      </c>
      <c r="E27" s="5">
        <f t="shared" ca="1" si="1"/>
        <v>11099.578947368422</v>
      </c>
    </row>
    <row r="28" spans="1:5" x14ac:dyDescent="0.25">
      <c r="A28">
        <v>130703</v>
      </c>
      <c r="B28" t="s">
        <v>17</v>
      </c>
      <c r="C28">
        <f>'[1]VENTAS CONSOLIDADA 1,0'!C28</f>
        <v>16378</v>
      </c>
      <c r="D28" s="5">
        <f t="shared" ca="1" si="0"/>
        <v>862</v>
      </c>
      <c r="E28" s="5">
        <f t="shared" ca="1" si="1"/>
        <v>18964</v>
      </c>
    </row>
    <row r="29" spans="1:5" x14ac:dyDescent="0.25">
      <c r="A29">
        <v>130707</v>
      </c>
      <c r="B29" t="s">
        <v>42</v>
      </c>
      <c r="C29">
        <f>'[1]VENTAS CONSOLIDADA 1,0'!C29</f>
        <v>1152</v>
      </c>
      <c r="D29" s="5">
        <f t="shared" ca="1" si="0"/>
        <v>60.631578947368418</v>
      </c>
      <c r="E29" s="5">
        <f t="shared" ca="1" si="1"/>
        <v>1333.8947368421052</v>
      </c>
    </row>
    <row r="30" spans="1:5" x14ac:dyDescent="0.25">
      <c r="A30">
        <v>131150</v>
      </c>
      <c r="B30" t="s">
        <v>22</v>
      </c>
      <c r="C30">
        <f>'[1]VENTAS CONSOLIDADA 1,0'!C30</f>
        <v>13311</v>
      </c>
      <c r="D30" s="5">
        <f t="shared" ca="1" si="0"/>
        <v>700.57894736842104</v>
      </c>
      <c r="E30" s="5">
        <f t="shared" ca="1" si="1"/>
        <v>15412.736842105263</v>
      </c>
    </row>
    <row r="31" spans="1:5" x14ac:dyDescent="0.25">
      <c r="A31">
        <v>131151</v>
      </c>
      <c r="B31" t="s">
        <v>19</v>
      </c>
      <c r="C31">
        <f>'[1]VENTAS CONSOLIDADA 1,0'!C31</f>
        <v>20615</v>
      </c>
      <c r="D31" s="5">
        <f t="shared" ca="1" si="0"/>
        <v>1085</v>
      </c>
      <c r="E31" s="5">
        <f t="shared" ca="1" si="1"/>
        <v>23870</v>
      </c>
    </row>
    <row r="32" spans="1:5" x14ac:dyDescent="0.25">
      <c r="A32">
        <v>131152</v>
      </c>
      <c r="B32" t="s">
        <v>32</v>
      </c>
      <c r="C32">
        <f>'[1]VENTAS CONSOLIDADA 1,0'!C32</f>
        <v>10664</v>
      </c>
      <c r="D32" s="5">
        <f t="shared" ca="1" si="0"/>
        <v>561.26315789473688</v>
      </c>
      <c r="E32" s="5">
        <f t="shared" ca="1" si="1"/>
        <v>12347.789473684212</v>
      </c>
    </row>
    <row r="33" spans="1:5" x14ac:dyDescent="0.25">
      <c r="A33">
        <v>131153</v>
      </c>
      <c r="B33" t="s">
        <v>11</v>
      </c>
      <c r="C33">
        <f>'[1]VENTAS CONSOLIDADA 1,0'!C33</f>
        <v>8140</v>
      </c>
      <c r="D33" s="5">
        <f t="shared" ca="1" si="0"/>
        <v>428.42105263157896</v>
      </c>
      <c r="E33" s="5">
        <f t="shared" ca="1" si="1"/>
        <v>9425.2631578947367</v>
      </c>
    </row>
    <row r="34" spans="1:5" x14ac:dyDescent="0.25">
      <c r="A34">
        <v>131154</v>
      </c>
      <c r="B34" t="s">
        <v>48</v>
      </c>
      <c r="C34">
        <f>'[1]VENTAS CONSOLIDADA 1,0'!C34</f>
        <v>4746</v>
      </c>
      <c r="D34" s="5">
        <f t="shared" ca="1" si="0"/>
        <v>249.78947368421052</v>
      </c>
      <c r="E34" s="5">
        <f t="shared" ca="1" si="1"/>
        <v>5495.3684210526317</v>
      </c>
    </row>
    <row r="35" spans="1:5" x14ac:dyDescent="0.25">
      <c r="A35">
        <v>131155</v>
      </c>
      <c r="B35" t="s">
        <v>57</v>
      </c>
      <c r="C35">
        <f>'[1]VENTAS CONSOLIDADA 1,0'!C35</f>
        <v>5736</v>
      </c>
      <c r="D35" s="5">
        <f t="shared" ca="1" si="0"/>
        <v>301.89473684210526</v>
      </c>
      <c r="E35" s="5">
        <f t="shared" ca="1" si="1"/>
        <v>6641.6842105263158</v>
      </c>
    </row>
    <row r="36" spans="1:5" x14ac:dyDescent="0.25">
      <c r="A36">
        <v>131700</v>
      </c>
      <c r="B36" t="s">
        <v>20</v>
      </c>
      <c r="C36">
        <f>'[1]VENTAS CONSOLIDADA 1,0'!C36</f>
        <v>2457</v>
      </c>
      <c r="D36" s="5">
        <f t="shared" ca="1" si="0"/>
        <v>129.31578947368422</v>
      </c>
      <c r="E36" s="5">
        <f t="shared" ca="1" si="1"/>
        <v>2844.9473684210529</v>
      </c>
    </row>
    <row r="37" spans="1:5" x14ac:dyDescent="0.25">
      <c r="A37">
        <v>131701</v>
      </c>
      <c r="B37" t="s">
        <v>24</v>
      </c>
      <c r="C37">
        <f>'[1]VENTAS CONSOLIDADA 1,0'!C37</f>
        <v>2694</v>
      </c>
      <c r="D37" s="5">
        <f t="shared" ca="1" si="0"/>
        <v>141.78947368421052</v>
      </c>
      <c r="E37" s="5">
        <f t="shared" ca="1" si="1"/>
        <v>3119.3684210526317</v>
      </c>
    </row>
    <row r="38" spans="1:5" x14ac:dyDescent="0.25">
      <c r="A38">
        <v>132150</v>
      </c>
      <c r="B38" t="s">
        <v>25</v>
      </c>
      <c r="C38">
        <f>'[1]VENTAS CONSOLIDADA 1,0'!C38</f>
        <v>14915</v>
      </c>
      <c r="D38" s="5">
        <f t="shared" ca="1" si="0"/>
        <v>785</v>
      </c>
      <c r="E38" s="5">
        <f t="shared" ca="1" si="1"/>
        <v>17270</v>
      </c>
    </row>
    <row r="39" spans="1:5" x14ac:dyDescent="0.25">
      <c r="A39">
        <v>132151</v>
      </c>
      <c r="B39" t="s">
        <v>26</v>
      </c>
      <c r="C39">
        <f>'[1]VENTAS CONSOLIDADA 1,0'!C39</f>
        <v>11547</v>
      </c>
      <c r="D39" s="5">
        <f t="shared" ca="1" si="0"/>
        <v>607.73684210526312</v>
      </c>
      <c r="E39" s="5">
        <f t="shared" ca="1" si="1"/>
        <v>13370.210526315788</v>
      </c>
    </row>
    <row r="40" spans="1:5" x14ac:dyDescent="0.25">
      <c r="A40">
        <v>132152</v>
      </c>
      <c r="B40" t="s">
        <v>27</v>
      </c>
      <c r="C40">
        <f>'[1]VENTAS CONSOLIDADA 1,0'!C40</f>
        <v>15283</v>
      </c>
      <c r="D40" s="5">
        <f t="shared" ca="1" si="0"/>
        <v>804.36842105263156</v>
      </c>
      <c r="E40" s="5">
        <f t="shared" ca="1" si="1"/>
        <v>17696.105263157893</v>
      </c>
    </row>
    <row r="41" spans="1:5" x14ac:dyDescent="0.25">
      <c r="A41">
        <v>132153</v>
      </c>
      <c r="B41" t="s">
        <v>40</v>
      </c>
      <c r="C41">
        <f>'[1]VENTAS CONSOLIDADA 1,0'!C41</f>
        <v>10118</v>
      </c>
      <c r="D41" s="5">
        <f t="shared" ca="1" si="0"/>
        <v>532.52631578947364</v>
      </c>
      <c r="E41" s="5">
        <f t="shared" ca="1" si="1"/>
        <v>11715.57894736842</v>
      </c>
    </row>
    <row r="42" spans="1:5" x14ac:dyDescent="0.25">
      <c r="A42">
        <v>134000</v>
      </c>
      <c r="B42" t="s">
        <v>35</v>
      </c>
      <c r="C42">
        <f>'[1]VENTAS CONSOLIDADA 1,0'!C42</f>
        <v>78</v>
      </c>
      <c r="D42" s="5">
        <f t="shared" ca="1" si="0"/>
        <v>4.1052631578947372</v>
      </c>
      <c r="E42" s="5">
        <f t="shared" ca="1" si="1"/>
        <v>90.31578947368422</v>
      </c>
    </row>
    <row r="43" spans="1:5" x14ac:dyDescent="0.25">
      <c r="A43">
        <v>134001</v>
      </c>
      <c r="B43" t="s">
        <v>47</v>
      </c>
      <c r="C43">
        <f>'[1]VENTAS CONSOLIDADA 1,0'!C43</f>
        <v>11</v>
      </c>
      <c r="D43" s="5">
        <f t="shared" ca="1" si="0"/>
        <v>0.57894736842105265</v>
      </c>
      <c r="E43" s="5">
        <f t="shared" ca="1" si="1"/>
        <v>12.736842105263158</v>
      </c>
    </row>
    <row r="44" spans="1:5" x14ac:dyDescent="0.25">
      <c r="A44">
        <v>140230</v>
      </c>
      <c r="B44" t="s">
        <v>18</v>
      </c>
      <c r="C44">
        <f>'[1]VENTAS CONSOLIDADA 1,0'!C44</f>
        <v>2642</v>
      </c>
      <c r="D44" s="5">
        <f t="shared" ca="1" si="0"/>
        <v>139.05263157894737</v>
      </c>
      <c r="E44" s="5">
        <f t="shared" ca="1" si="1"/>
        <v>3059.1578947368421</v>
      </c>
    </row>
    <row r="45" spans="1:5" x14ac:dyDescent="0.25">
      <c r="A45">
        <v>140231</v>
      </c>
      <c r="B45" t="s">
        <v>10</v>
      </c>
      <c r="C45">
        <f>'[1]VENTAS CONSOLIDADA 1,0'!C45</f>
        <v>10708</v>
      </c>
      <c r="D45" s="5">
        <f t="shared" ca="1" si="0"/>
        <v>563.57894736842104</v>
      </c>
      <c r="E45" s="5">
        <f t="shared" ca="1" si="1"/>
        <v>12398.736842105263</v>
      </c>
    </row>
    <row r="46" spans="1:5" x14ac:dyDescent="0.25">
      <c r="A46">
        <v>140232</v>
      </c>
      <c r="B46" t="s">
        <v>9</v>
      </c>
      <c r="C46">
        <f>'[1]VENTAS CONSOLIDADA 1,0'!C46</f>
        <v>7709</v>
      </c>
      <c r="D46" s="5">
        <f t="shared" ca="1" si="0"/>
        <v>405.73684210526318</v>
      </c>
      <c r="E46" s="5">
        <f t="shared" ca="1" si="1"/>
        <v>8926.21052631579</v>
      </c>
    </row>
    <row r="47" spans="1:5" x14ac:dyDescent="0.25">
      <c r="A47">
        <v>150360</v>
      </c>
      <c r="B47" t="s">
        <v>28</v>
      </c>
      <c r="C47">
        <f>'[1]VENTAS CONSOLIDADA 1,0'!C47</f>
        <v>4527</v>
      </c>
      <c r="D47" s="5">
        <f t="shared" ca="1" si="0"/>
        <v>238.26315789473685</v>
      </c>
      <c r="E47" s="5">
        <f t="shared" ca="1" si="1"/>
        <v>5241.7894736842109</v>
      </c>
    </row>
    <row r="48" spans="1:5" x14ac:dyDescent="0.25">
      <c r="A48">
        <v>150361</v>
      </c>
      <c r="B48" t="s">
        <v>29</v>
      </c>
      <c r="C48">
        <f>'[1]VENTAS CONSOLIDADA 1,0'!C48</f>
        <v>9415</v>
      </c>
      <c r="D48" s="5">
        <f t="shared" ca="1" si="0"/>
        <v>495.5263157894737</v>
      </c>
      <c r="E48" s="5">
        <f t="shared" ca="1" si="1"/>
        <v>10901.578947368422</v>
      </c>
    </row>
    <row r="49" spans="1:5" x14ac:dyDescent="0.25">
      <c r="A49">
        <v>150362</v>
      </c>
      <c r="B49" t="s">
        <v>36</v>
      </c>
      <c r="C49">
        <f>'[1]VENTAS CONSOLIDADA 1,0'!C49</f>
        <v>5766</v>
      </c>
      <c r="D49" s="5">
        <f t="shared" ca="1" si="0"/>
        <v>303.4736842105263</v>
      </c>
      <c r="E49" s="5">
        <f t="shared" ca="1" si="1"/>
        <v>6676.4210526315783</v>
      </c>
    </row>
    <row r="50" spans="1:5" x14ac:dyDescent="0.25">
      <c r="A50">
        <v>150363</v>
      </c>
      <c r="B50" t="s">
        <v>31</v>
      </c>
      <c r="C50">
        <f>'[1]VENTAS CONSOLIDADA 1,0'!C50</f>
        <v>5661</v>
      </c>
      <c r="D50" s="5">
        <f t="shared" ca="1" si="0"/>
        <v>297.94736842105266</v>
      </c>
      <c r="E50" s="5">
        <f t="shared" ca="1" si="1"/>
        <v>6554.8421052631584</v>
      </c>
    </row>
    <row r="51" spans="1:5" x14ac:dyDescent="0.25">
      <c r="A51">
        <v>151500</v>
      </c>
      <c r="B51" t="s">
        <v>41</v>
      </c>
      <c r="C51">
        <f>'[1]VENTAS CONSOLIDADA 1,0'!C51</f>
        <v>1021</v>
      </c>
      <c r="D51" s="5">
        <f t="shared" ca="1" si="0"/>
        <v>53.736842105263158</v>
      </c>
      <c r="E51" s="5">
        <f t="shared" ca="1" si="1"/>
        <v>1182.2105263157894</v>
      </c>
    </row>
    <row r="52" spans="1:5" x14ac:dyDescent="0.25">
      <c r="A52">
        <v>151501</v>
      </c>
      <c r="B52" t="s">
        <v>33</v>
      </c>
      <c r="C52">
        <f>'[1]VENTAS CONSOLIDADA 1,0'!C52</f>
        <v>2288</v>
      </c>
      <c r="D52" s="5">
        <f t="shared" ca="1" si="0"/>
        <v>120.42105263157895</v>
      </c>
      <c r="E52" s="5">
        <f t="shared" ca="1" si="1"/>
        <v>2649.2631578947367</v>
      </c>
    </row>
    <row r="53" spans="1:5" x14ac:dyDescent="0.25">
      <c r="A53">
        <v>151502</v>
      </c>
      <c r="B53" t="s">
        <v>37</v>
      </c>
      <c r="C53">
        <f>'[1]VENTAS CONSOLIDADA 1,0'!C53</f>
        <v>790</v>
      </c>
      <c r="D53" s="5">
        <f t="shared" ca="1" si="0"/>
        <v>41.578947368421055</v>
      </c>
      <c r="E53" s="5">
        <f t="shared" ca="1" si="1"/>
        <v>914.73684210526324</v>
      </c>
    </row>
    <row r="54" spans="1:5" x14ac:dyDescent="0.25">
      <c r="A54">
        <v>151503</v>
      </c>
      <c r="B54" t="s">
        <v>34</v>
      </c>
      <c r="C54">
        <f>'[1]VENTAS CONSOLIDADA 1,0'!C54</f>
        <v>996</v>
      </c>
      <c r="D54" s="5">
        <f t="shared" ca="1" si="0"/>
        <v>52.421052631578945</v>
      </c>
      <c r="E54" s="5">
        <f t="shared" ca="1" si="1"/>
        <v>1153.2631578947369</v>
      </c>
    </row>
    <row r="55" spans="1:5" x14ac:dyDescent="0.25">
      <c r="C55">
        <f>SUM(C8:C54)</f>
        <v>538322</v>
      </c>
      <c r="D55" s="5">
        <f ca="1">SUM(D8:D54)</f>
        <v>28332.73684210526</v>
      </c>
      <c r="E55" s="5">
        <f ca="1">SUM(E8:E54)</f>
        <v>623320.21052631584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DEFC51E7-3E67-4621-B139-07F56E3C51B6}">
  <ds:schemaRefs/>
</ds:datastoreItem>
</file>

<file path=customXml/itemProps2.xml><?xml version="1.0" encoding="utf-8"?>
<ds:datastoreItem xmlns:ds="http://schemas.openxmlformats.org/officeDocument/2006/customXml" ds:itemID="{38DB5A37-2218-4EAC-B67D-146D68E76E36}">
  <ds:schemaRefs/>
</ds:datastoreItem>
</file>

<file path=customXml/itemProps3.xml><?xml version="1.0" encoding="utf-8"?>
<ds:datastoreItem xmlns:ds="http://schemas.openxmlformats.org/officeDocument/2006/customXml" ds:itemID="{65BE5737-5D13-4B92-9A1E-66AAD091BECC}">
  <ds:schemaRefs/>
</ds:datastoreItem>
</file>

<file path=customXml/itemProps4.xml><?xml version="1.0" encoding="utf-8"?>
<ds:datastoreItem xmlns:ds="http://schemas.openxmlformats.org/officeDocument/2006/customXml" ds:itemID="{F5D7323A-644E-4D3D-8486-43C2FFAD8146}">
  <ds:schemaRefs/>
</ds:datastoreItem>
</file>

<file path=customXml/itemProps5.xml><?xml version="1.0" encoding="utf-8"?>
<ds:datastoreItem xmlns:ds="http://schemas.openxmlformats.org/officeDocument/2006/customXml" ds:itemID="{0AD6CB95-564A-49A8-92C3-BDDCD21D69FF}">
  <ds:schemaRefs/>
</ds:datastoreItem>
</file>

<file path=customXml/itemProps6.xml><?xml version="1.0" encoding="utf-8"?>
<ds:datastoreItem xmlns:ds="http://schemas.openxmlformats.org/officeDocument/2006/customXml" ds:itemID="{CAB6C292-B853-467D-B711-6EBB7D36CC58}">
  <ds:schemaRefs/>
</ds:datastoreItem>
</file>

<file path=customXml/itemProps7.xml><?xml version="1.0" encoding="utf-8"?>
<ds:datastoreItem xmlns:ds="http://schemas.openxmlformats.org/officeDocument/2006/customXml" ds:itemID="{B0CC2B14-7DD7-4033-8A48-822C26B12A45}">
  <ds:schemaRefs/>
</ds:datastoreItem>
</file>

<file path=customXml/itemProps8.xml><?xml version="1.0" encoding="utf-8"?>
<ds:datastoreItem xmlns:ds="http://schemas.openxmlformats.org/officeDocument/2006/customXml" ds:itemID="{CFB06E3D-1317-4F60-85DB-890000D02217}">
  <ds:schemaRefs/>
</ds:datastoreItem>
</file>

<file path=customXml/itemProps9.xml><?xml version="1.0" encoding="utf-8"?>
<ds:datastoreItem xmlns:ds="http://schemas.openxmlformats.org/officeDocument/2006/customXml" ds:itemID="{7AE93A93-CA27-4BDA-AA62-2C35967BA493}">
  <ds:schemaRefs/>
</ds:datastoreItem>
</file>

<file path=customXml/itemProps10.xml><?xml version="1.0" encoding="utf-8"?>
<ds:datastoreItem xmlns:ds="http://schemas.openxmlformats.org/officeDocument/2006/customXml" ds:itemID="{52FA8FE5-D878-4A8D-B664-9568032292DD}">
  <ds:schemaRefs/>
</ds:datastoreItem>
</file>

<file path=customXml/itemProps11.xml><?xml version="1.0" encoding="utf-8"?>
<ds:datastoreItem xmlns:ds="http://schemas.openxmlformats.org/officeDocument/2006/customXml" ds:itemID="{1624F75C-FD6B-41DE-81B8-76266AB6E660}">
  <ds:schemaRefs/>
</ds:datastoreItem>
</file>

<file path=customXml/itemProps12.xml><?xml version="1.0" encoding="utf-8"?>
<ds:datastoreItem xmlns:ds="http://schemas.openxmlformats.org/officeDocument/2006/customXml" ds:itemID="{2FB7461A-5A6D-4ED3-B35C-48147355CFC0}">
  <ds:schemaRefs/>
</ds:datastoreItem>
</file>

<file path=customXml/itemProps13.xml><?xml version="1.0" encoding="utf-8"?>
<ds:datastoreItem xmlns:ds="http://schemas.openxmlformats.org/officeDocument/2006/customXml" ds:itemID="{7845B0CC-F2DA-4435-B3A8-0B67EEA59E3E}">
  <ds:schemaRefs/>
</ds:datastoreItem>
</file>

<file path=customXml/itemProps14.xml><?xml version="1.0" encoding="utf-8"?>
<ds:datastoreItem xmlns:ds="http://schemas.openxmlformats.org/officeDocument/2006/customXml" ds:itemID="{DB2ACCEB-6CC9-4D35-BDF4-AC9EF8C2F118}">
  <ds:schemaRefs/>
</ds:datastoreItem>
</file>

<file path=customXml/itemProps15.xml><?xml version="1.0" encoding="utf-8"?>
<ds:datastoreItem xmlns:ds="http://schemas.openxmlformats.org/officeDocument/2006/customXml" ds:itemID="{CC2043D8-989E-412C-8862-ACDB973E448B}">
  <ds:schemaRefs/>
</ds:datastoreItem>
</file>

<file path=customXml/itemProps16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8E0207D3-36B0-4047-99FA-B78F3EBADFAC}">
  <ds:schemaRefs/>
</ds:datastoreItem>
</file>

<file path=customXml/itemProps18.xml><?xml version="1.0" encoding="utf-8"?>
<ds:datastoreItem xmlns:ds="http://schemas.openxmlformats.org/officeDocument/2006/customXml" ds:itemID="{084C0BCB-4732-44D2-A228-50E994334BF1}">
  <ds:schemaRefs/>
</ds:datastoreItem>
</file>

<file path=customXml/itemProps19.xml><?xml version="1.0" encoding="utf-8"?>
<ds:datastoreItem xmlns:ds="http://schemas.openxmlformats.org/officeDocument/2006/customXml" ds:itemID="{4DF253BA-E348-4CD2-AA4E-97FB2A32A7F0}">
  <ds:schemaRefs/>
</ds:datastoreItem>
</file>

<file path=customXml/itemProps20.xml><?xml version="1.0" encoding="utf-8"?>
<ds:datastoreItem xmlns:ds="http://schemas.openxmlformats.org/officeDocument/2006/customXml" ds:itemID="{AF2AF42B-D484-4F26-B929-D7FB2E56F7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2026-09-28T12:55:55Z</dcterms:modified>
</cp:coreProperties>
</file>