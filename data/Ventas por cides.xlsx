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E92FE71-6EA1-4AA6-B323-ED92CFAFA672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55" i="55" s="1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1"/>
  <c r="D2" i="53"/>
  <c r="D2" i="55"/>
  <c r="D2" i="50"/>
  <c r="D2" i="54"/>
  <c r="D2" i="52"/>
  <c r="E3" i="55" l="1"/>
  <c r="E2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<sst xmlns="http://schemas.openxmlformats.org/spreadsheetml/2006/main" count="320" uniqueCount="62">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</sst>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168</v>
          </cell>
        </row>
        <row r="9">
          <cell r="C9">
            <v>24</v>
          </cell>
        </row>
        <row r="10">
          <cell r="C10">
            <v>67</v>
          </cell>
        </row>
        <row r="11">
          <cell r="C11">
            <v>4</v>
          </cell>
        </row>
        <row r="12">
          <cell r="C12">
            <v>5</v>
          </cell>
        </row>
        <row r="13">
          <cell r="C13">
            <v>232</v>
          </cell>
        </row>
        <row r="14">
          <cell r="C14">
            <v>18</v>
          </cell>
        </row>
        <row r="15">
          <cell r="C15">
            <v>41</v>
          </cell>
        </row>
        <row r="16">
          <cell r="C16">
            <v>92</v>
          </cell>
        </row>
        <row r="17">
          <cell r="C17">
            <v>35</v>
          </cell>
        </row>
        <row r="18">
          <cell r="C18">
            <v>617</v>
          </cell>
        </row>
        <row r="19">
          <cell r="C19">
            <v>371</v>
          </cell>
        </row>
        <row r="20">
          <cell r="C20">
            <v>471</v>
          </cell>
        </row>
        <row r="21">
          <cell r="C21">
            <v>363</v>
          </cell>
        </row>
        <row r="22">
          <cell r="C22">
            <v>114</v>
          </cell>
        </row>
        <row r="23">
          <cell r="C23">
            <v>112</v>
          </cell>
        </row>
        <row r="24">
          <cell r="C24">
            <v>94</v>
          </cell>
        </row>
        <row r="25">
          <cell r="C25">
            <v>17</v>
          </cell>
        </row>
        <row r="26">
          <cell r="C26">
            <v>3</v>
          </cell>
        </row>
        <row r="27">
          <cell r="C27">
            <v>52</v>
          </cell>
        </row>
        <row r="28">
          <cell r="C28">
            <v>71</v>
          </cell>
        </row>
        <row r="29">
          <cell r="C29">
            <v>0</v>
          </cell>
        </row>
        <row r="30">
          <cell r="C30">
            <v>165</v>
          </cell>
        </row>
        <row r="31">
          <cell r="C31">
            <v>378</v>
          </cell>
        </row>
        <row r="32">
          <cell r="C32">
            <v>314</v>
          </cell>
        </row>
        <row r="33">
          <cell r="C33">
            <v>34</v>
          </cell>
        </row>
        <row r="34">
          <cell r="C34">
            <v>104</v>
          </cell>
        </row>
        <row r="35">
          <cell r="C35">
            <v>104</v>
          </cell>
        </row>
        <row r="36">
          <cell r="C36">
            <v>6</v>
          </cell>
        </row>
        <row r="37">
          <cell r="C37">
            <v>38</v>
          </cell>
        </row>
        <row r="38">
          <cell r="C38">
            <v>122</v>
          </cell>
        </row>
        <row r="39">
          <cell r="C39">
            <v>106</v>
          </cell>
        </row>
        <row r="40">
          <cell r="C40">
            <v>86</v>
          </cell>
        </row>
        <row r="41">
          <cell r="C41">
            <v>13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46</v>
          </cell>
        </row>
        <row r="45">
          <cell r="C45">
            <v>248</v>
          </cell>
        </row>
        <row r="46">
          <cell r="C46">
            <v>0</v>
          </cell>
        </row>
        <row r="47">
          <cell r="C47">
            <v>57</v>
          </cell>
        </row>
        <row r="48">
          <cell r="C48">
            <v>33</v>
          </cell>
        </row>
        <row r="49">
          <cell r="C49">
            <v>17</v>
          </cell>
        </row>
        <row r="50">
          <cell r="C50">
            <v>17</v>
          </cell>
        </row>
        <row r="51">
          <cell r="C51">
            <v>4</v>
          </cell>
        </row>
        <row r="52">
          <cell r="C52">
            <v>2</v>
          </cell>
        </row>
        <row r="53">
          <cell r="C53">
            <v>0</v>
          </cell>
        </row>
        <row r="54">
          <cell r="C54">
            <v>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140</v>
          </cell>
        </row>
        <row r="9">
          <cell r="C9">
            <v>3</v>
          </cell>
        </row>
        <row r="10">
          <cell r="C10">
            <v>68</v>
          </cell>
        </row>
        <row r="11">
          <cell r="C11">
            <v>11</v>
          </cell>
        </row>
        <row r="12">
          <cell r="C12">
            <v>0</v>
          </cell>
        </row>
        <row r="13">
          <cell r="C13">
            <v>520</v>
          </cell>
        </row>
        <row r="14">
          <cell r="C14">
            <v>63</v>
          </cell>
        </row>
        <row r="15">
          <cell r="C15">
            <v>83</v>
          </cell>
        </row>
        <row r="16">
          <cell r="C16">
            <v>219</v>
          </cell>
        </row>
        <row r="17">
          <cell r="C17">
            <v>83</v>
          </cell>
        </row>
        <row r="18">
          <cell r="C18">
            <v>1909</v>
          </cell>
        </row>
        <row r="19">
          <cell r="C19">
            <v>1008</v>
          </cell>
        </row>
        <row r="20">
          <cell r="C20">
            <v>1006</v>
          </cell>
        </row>
        <row r="21">
          <cell r="C21">
            <v>1137</v>
          </cell>
        </row>
        <row r="22">
          <cell r="C22">
            <v>343</v>
          </cell>
        </row>
        <row r="23">
          <cell r="C23">
            <v>475</v>
          </cell>
        </row>
        <row r="24">
          <cell r="C24">
            <v>458</v>
          </cell>
        </row>
        <row r="25">
          <cell r="C25">
            <v>99</v>
          </cell>
        </row>
        <row r="26">
          <cell r="C26">
            <v>14</v>
          </cell>
        </row>
        <row r="27">
          <cell r="C27">
            <v>381</v>
          </cell>
        </row>
        <row r="28">
          <cell r="C28">
            <v>454</v>
          </cell>
        </row>
        <row r="29">
          <cell r="C29">
            <v>20</v>
          </cell>
        </row>
        <row r="30">
          <cell r="C30">
            <v>106</v>
          </cell>
        </row>
        <row r="31">
          <cell r="C31">
            <v>299</v>
          </cell>
        </row>
        <row r="32">
          <cell r="C32">
            <v>153</v>
          </cell>
        </row>
        <row r="33">
          <cell r="C33">
            <v>93</v>
          </cell>
        </row>
        <row r="34">
          <cell r="C34">
            <v>234</v>
          </cell>
        </row>
        <row r="35">
          <cell r="C35">
            <v>246</v>
          </cell>
        </row>
        <row r="36">
          <cell r="C36">
            <v>30</v>
          </cell>
        </row>
        <row r="37">
          <cell r="C37">
            <v>67</v>
          </cell>
        </row>
        <row r="38">
          <cell r="C38">
            <v>368</v>
          </cell>
        </row>
        <row r="39">
          <cell r="C39">
            <v>223</v>
          </cell>
        </row>
        <row r="40">
          <cell r="C40">
            <v>379</v>
          </cell>
        </row>
        <row r="41">
          <cell r="C41">
            <v>118</v>
          </cell>
        </row>
        <row r="42">
          <cell r="C42">
            <v>1</v>
          </cell>
        </row>
        <row r="43">
          <cell r="C43">
            <v>0</v>
          </cell>
        </row>
        <row r="44">
          <cell r="C44">
            <v>42</v>
          </cell>
        </row>
        <row r="45">
          <cell r="C45">
            <v>92</v>
          </cell>
        </row>
        <row r="46">
          <cell r="C46">
            <v>129</v>
          </cell>
        </row>
        <row r="47">
          <cell r="C47">
            <v>45</v>
          </cell>
        </row>
        <row r="48">
          <cell r="C48">
            <v>42</v>
          </cell>
        </row>
        <row r="49">
          <cell r="C49">
            <v>51</v>
          </cell>
        </row>
        <row r="50">
          <cell r="C50">
            <v>93</v>
          </cell>
        </row>
        <row r="51">
          <cell r="C51">
            <v>33</v>
          </cell>
        </row>
        <row r="52">
          <cell r="C52">
            <v>15</v>
          </cell>
        </row>
        <row r="53">
          <cell r="C53">
            <v>6</v>
          </cell>
        </row>
        <row r="54">
          <cell r="C54">
            <v>12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2260</v>
          </cell>
        </row>
        <row r="9">
          <cell r="C9">
            <v>158</v>
          </cell>
        </row>
        <row r="10">
          <cell r="C10">
            <v>1289</v>
          </cell>
        </row>
        <row r="11">
          <cell r="C11">
            <v>138</v>
          </cell>
        </row>
        <row r="12">
          <cell r="C12">
            <v>-1</v>
          </cell>
        </row>
        <row r="13">
          <cell r="C13">
            <v>2100</v>
          </cell>
        </row>
        <row r="14">
          <cell r="C14">
            <v>187</v>
          </cell>
        </row>
        <row r="15">
          <cell r="C15">
            <v>295</v>
          </cell>
        </row>
        <row r="16">
          <cell r="C16">
            <v>1103</v>
          </cell>
        </row>
        <row r="17">
          <cell r="C17">
            <v>600</v>
          </cell>
        </row>
        <row r="18">
          <cell r="C18">
            <v>4468</v>
          </cell>
        </row>
        <row r="19">
          <cell r="C19">
            <v>2944</v>
          </cell>
        </row>
        <row r="20">
          <cell r="C20">
            <v>2961</v>
          </cell>
        </row>
        <row r="21">
          <cell r="C21">
            <v>3840</v>
          </cell>
        </row>
        <row r="22">
          <cell r="C22">
            <v>1310</v>
          </cell>
        </row>
        <row r="23">
          <cell r="C23">
            <v>1351</v>
          </cell>
        </row>
        <row r="24">
          <cell r="C24">
            <v>1374</v>
          </cell>
        </row>
        <row r="25">
          <cell r="C25">
            <v>234</v>
          </cell>
        </row>
        <row r="26">
          <cell r="C26">
            <v>111</v>
          </cell>
        </row>
        <row r="27">
          <cell r="C27">
            <v>666</v>
          </cell>
        </row>
        <row r="28">
          <cell r="C28">
            <v>1370</v>
          </cell>
        </row>
        <row r="29">
          <cell r="C29">
            <v>300</v>
          </cell>
        </row>
        <row r="30">
          <cell r="C30">
            <v>961</v>
          </cell>
        </row>
        <row r="31">
          <cell r="C31">
            <v>544</v>
          </cell>
        </row>
        <row r="32">
          <cell r="C32">
            <v>766</v>
          </cell>
        </row>
        <row r="33">
          <cell r="C33">
            <v>521</v>
          </cell>
        </row>
        <row r="34">
          <cell r="C34">
            <v>362</v>
          </cell>
        </row>
        <row r="35">
          <cell r="C35">
            <v>363</v>
          </cell>
        </row>
        <row r="36">
          <cell r="C36">
            <v>247</v>
          </cell>
        </row>
        <row r="37">
          <cell r="C37">
            <v>183</v>
          </cell>
        </row>
        <row r="38">
          <cell r="C38">
            <v>890</v>
          </cell>
        </row>
        <row r="39">
          <cell r="C39">
            <v>874</v>
          </cell>
        </row>
        <row r="40">
          <cell r="C40">
            <v>962</v>
          </cell>
        </row>
        <row r="41">
          <cell r="C41">
            <v>677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</v>
          </cell>
        </row>
        <row r="45">
          <cell r="C45">
            <v>860</v>
          </cell>
        </row>
        <row r="46">
          <cell r="C46">
            <v>825</v>
          </cell>
        </row>
        <row r="47">
          <cell r="C47">
            <v>466</v>
          </cell>
        </row>
        <row r="48">
          <cell r="C48">
            <v>696</v>
          </cell>
        </row>
        <row r="49">
          <cell r="C49">
            <v>498</v>
          </cell>
        </row>
        <row r="50">
          <cell r="C50">
            <v>453</v>
          </cell>
        </row>
        <row r="51">
          <cell r="C51">
            <v>42</v>
          </cell>
        </row>
        <row r="52">
          <cell r="C52">
            <v>80</v>
          </cell>
        </row>
        <row r="53">
          <cell r="C53">
            <v>44</v>
          </cell>
        </row>
        <row r="54">
          <cell r="C54">
            <v>57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877</v>
          </cell>
        </row>
        <row r="9">
          <cell r="C9">
            <v>111</v>
          </cell>
        </row>
        <row r="10">
          <cell r="C10">
            <v>328</v>
          </cell>
        </row>
        <row r="11">
          <cell r="C11">
            <v>107</v>
          </cell>
        </row>
        <row r="12">
          <cell r="C12">
            <v>7</v>
          </cell>
        </row>
        <row r="13">
          <cell r="C13">
            <v>1338</v>
          </cell>
        </row>
        <row r="14">
          <cell r="C14">
            <v>131</v>
          </cell>
        </row>
        <row r="15">
          <cell r="C15">
            <v>518</v>
          </cell>
        </row>
        <row r="16">
          <cell r="C16">
            <v>1227</v>
          </cell>
        </row>
        <row r="17">
          <cell r="C17">
            <v>518</v>
          </cell>
        </row>
        <row r="18">
          <cell r="C18">
            <v>3255</v>
          </cell>
        </row>
        <row r="19">
          <cell r="C19">
            <v>2190</v>
          </cell>
        </row>
        <row r="20">
          <cell r="C20">
            <v>2113</v>
          </cell>
        </row>
        <row r="21">
          <cell r="C21">
            <v>2285</v>
          </cell>
        </row>
        <row r="22">
          <cell r="C22">
            <v>521</v>
          </cell>
        </row>
        <row r="23">
          <cell r="C23">
            <v>1102</v>
          </cell>
        </row>
        <row r="24">
          <cell r="C24">
            <v>1042</v>
          </cell>
        </row>
        <row r="25">
          <cell r="C25">
            <v>380</v>
          </cell>
        </row>
        <row r="26">
          <cell r="C26">
            <v>189</v>
          </cell>
        </row>
        <row r="27">
          <cell r="C27">
            <v>582</v>
          </cell>
        </row>
        <row r="28">
          <cell r="C28">
            <v>867</v>
          </cell>
        </row>
        <row r="29">
          <cell r="C29">
            <v>0</v>
          </cell>
        </row>
        <row r="30">
          <cell r="C30">
            <v>539</v>
          </cell>
        </row>
        <row r="31">
          <cell r="C31">
            <v>358</v>
          </cell>
        </row>
        <row r="32">
          <cell r="C32">
            <v>543</v>
          </cell>
        </row>
        <row r="33">
          <cell r="C33">
            <v>406</v>
          </cell>
        </row>
        <row r="34">
          <cell r="C34">
            <v>134</v>
          </cell>
        </row>
        <row r="35">
          <cell r="C35">
            <v>201</v>
          </cell>
        </row>
        <row r="36">
          <cell r="C36">
            <v>124</v>
          </cell>
        </row>
        <row r="37">
          <cell r="C37">
            <v>78</v>
          </cell>
        </row>
        <row r="38">
          <cell r="C38">
            <v>721</v>
          </cell>
        </row>
        <row r="39">
          <cell r="C39">
            <v>477</v>
          </cell>
        </row>
        <row r="40">
          <cell r="C40">
            <v>827</v>
          </cell>
        </row>
        <row r="41">
          <cell r="C41">
            <v>434</v>
          </cell>
        </row>
        <row r="42">
          <cell r="C42">
            <v>15</v>
          </cell>
        </row>
        <row r="43">
          <cell r="C43">
            <v>5</v>
          </cell>
        </row>
        <row r="44">
          <cell r="C44">
            <v>233</v>
          </cell>
        </row>
        <row r="45">
          <cell r="C45">
            <v>273</v>
          </cell>
        </row>
        <row r="46">
          <cell r="C46">
            <v>649</v>
          </cell>
        </row>
        <row r="47">
          <cell r="C47">
            <v>53</v>
          </cell>
        </row>
        <row r="48">
          <cell r="C48">
            <v>257</v>
          </cell>
        </row>
        <row r="49">
          <cell r="C49">
            <v>184</v>
          </cell>
        </row>
        <row r="50">
          <cell r="C50">
            <v>243</v>
          </cell>
        </row>
        <row r="51">
          <cell r="C51">
            <v>42</v>
          </cell>
        </row>
        <row r="52">
          <cell r="C52">
            <v>95</v>
          </cell>
        </row>
        <row r="53">
          <cell r="C53">
            <v>21</v>
          </cell>
        </row>
        <row r="54">
          <cell r="C54">
            <v>44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103</v>
          </cell>
        </row>
        <row r="9">
          <cell r="C9">
            <v>5</v>
          </cell>
        </row>
        <row r="10">
          <cell r="C10">
            <v>18</v>
          </cell>
        </row>
        <row r="11">
          <cell r="C11">
            <v>3</v>
          </cell>
        </row>
        <row r="12">
          <cell r="C12">
            <v>3</v>
          </cell>
        </row>
        <row r="13">
          <cell r="C13">
            <v>37</v>
          </cell>
        </row>
        <row r="14">
          <cell r="C14">
            <v>61</v>
          </cell>
        </row>
        <row r="15">
          <cell r="C15">
            <v>48</v>
          </cell>
        </row>
        <row r="16">
          <cell r="C16">
            <v>111</v>
          </cell>
        </row>
        <row r="17">
          <cell r="C17">
            <v>0</v>
          </cell>
        </row>
        <row r="18">
          <cell r="C18">
            <v>225</v>
          </cell>
        </row>
        <row r="19">
          <cell r="C19">
            <v>159</v>
          </cell>
        </row>
        <row r="20">
          <cell r="C20">
            <v>136</v>
          </cell>
        </row>
        <row r="21">
          <cell r="C21">
            <v>244</v>
          </cell>
        </row>
        <row r="22">
          <cell r="C22">
            <v>53</v>
          </cell>
        </row>
        <row r="23">
          <cell r="C23">
            <v>82</v>
          </cell>
        </row>
        <row r="24">
          <cell r="C24">
            <v>96</v>
          </cell>
        </row>
        <row r="25">
          <cell r="C25">
            <v>3</v>
          </cell>
        </row>
        <row r="26">
          <cell r="C26">
            <v>6</v>
          </cell>
        </row>
        <row r="27">
          <cell r="C27">
            <v>24</v>
          </cell>
        </row>
        <row r="28">
          <cell r="C28">
            <v>13</v>
          </cell>
        </row>
        <row r="29">
          <cell r="C29">
            <v>0</v>
          </cell>
        </row>
        <row r="30">
          <cell r="C30">
            <v>60</v>
          </cell>
        </row>
        <row r="31">
          <cell r="C31">
            <v>129</v>
          </cell>
        </row>
        <row r="32">
          <cell r="C32">
            <v>0</v>
          </cell>
        </row>
        <row r="33">
          <cell r="C33">
            <v>99</v>
          </cell>
        </row>
        <row r="34">
          <cell r="C34">
            <v>12</v>
          </cell>
        </row>
        <row r="35">
          <cell r="C35">
            <v>13</v>
          </cell>
        </row>
        <row r="36">
          <cell r="C36">
            <v>0</v>
          </cell>
        </row>
        <row r="37">
          <cell r="C37">
            <v>25</v>
          </cell>
        </row>
        <row r="38">
          <cell r="C38">
            <v>169</v>
          </cell>
        </row>
        <row r="39">
          <cell r="C39">
            <v>117</v>
          </cell>
        </row>
        <row r="40">
          <cell r="C40">
            <v>139</v>
          </cell>
        </row>
        <row r="41">
          <cell r="C41">
            <v>80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26</v>
          </cell>
        </row>
        <row r="45">
          <cell r="C45">
            <v>59</v>
          </cell>
        </row>
        <row r="46">
          <cell r="C46">
            <v>0</v>
          </cell>
        </row>
        <row r="47">
          <cell r="C47">
            <v>23</v>
          </cell>
        </row>
        <row r="48">
          <cell r="C48">
            <v>23</v>
          </cell>
        </row>
        <row r="49">
          <cell r="C49">
            <v>44</v>
          </cell>
        </row>
        <row r="50">
          <cell r="C50">
            <v>44</v>
          </cell>
        </row>
        <row r="51">
          <cell r="C51">
            <v>12</v>
          </cell>
        </row>
        <row r="52">
          <cell r="C52">
            <v>12</v>
          </cell>
        </row>
        <row r="53">
          <cell r="C53">
            <v>12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46272</v>
          </cell>
          <cell r="E2">
            <v>4</v>
          </cell>
        </row>
        <row r="3">
          <cell r="C3" t="str">
            <v>FINAL VENTAS</v>
          </cell>
          <cell r="D3">
            <v>46295</v>
          </cell>
          <cell r="E3">
            <v>18</v>
          </cell>
        </row>
        <row r="8">
          <cell r="C8">
            <v>3548</v>
          </cell>
        </row>
        <row r="9">
          <cell r="C9">
            <v>301</v>
          </cell>
        </row>
        <row r="10">
          <cell r="C10">
            <v>1770</v>
          </cell>
        </row>
        <row r="11">
          <cell r="C11">
            <v>263</v>
          </cell>
        </row>
        <row r="12">
          <cell r="C12">
            <v>14</v>
          </cell>
        </row>
        <row r="13">
          <cell r="C13">
            <v>4227</v>
          </cell>
        </row>
        <row r="14">
          <cell r="C14">
            <v>460</v>
          </cell>
        </row>
        <row r="15">
          <cell r="C15">
            <v>985</v>
          </cell>
        </row>
        <row r="16">
          <cell r="C16">
            <v>2752</v>
          </cell>
        </row>
        <row r="17">
          <cell r="C17">
            <v>1236</v>
          </cell>
        </row>
        <row r="18">
          <cell r="C18">
            <v>10474</v>
          </cell>
        </row>
        <row r="19">
          <cell r="C19">
            <v>6672</v>
          </cell>
        </row>
        <row r="20">
          <cell r="C20">
            <v>6687</v>
          </cell>
        </row>
        <row r="21">
          <cell r="C21">
            <v>7869</v>
          </cell>
        </row>
        <row r="22">
          <cell r="C22">
            <v>2341</v>
          </cell>
        </row>
        <row r="23">
          <cell r="C23">
            <v>3122</v>
          </cell>
        </row>
        <row r="24">
          <cell r="C24">
            <v>3064</v>
          </cell>
        </row>
        <row r="25">
          <cell r="C25">
            <v>733</v>
          </cell>
        </row>
        <row r="26">
          <cell r="C26">
            <v>323</v>
          </cell>
        </row>
        <row r="27">
          <cell r="C27">
            <v>1705</v>
          </cell>
        </row>
        <row r="28">
          <cell r="C28">
            <v>2775</v>
          </cell>
        </row>
        <row r="29">
          <cell r="C29">
            <v>320</v>
          </cell>
        </row>
        <row r="30">
          <cell r="C30">
            <v>1831</v>
          </cell>
        </row>
        <row r="31">
          <cell r="C31">
            <v>1708</v>
          </cell>
        </row>
        <row r="32">
          <cell r="C32">
            <v>1776</v>
          </cell>
        </row>
        <row r="33">
          <cell r="C33">
            <v>1153</v>
          </cell>
        </row>
        <row r="34">
          <cell r="C34">
            <v>846</v>
          </cell>
        </row>
        <row r="35">
          <cell r="C35">
            <v>927</v>
          </cell>
        </row>
        <row r="36">
          <cell r="C36">
            <v>407</v>
          </cell>
        </row>
        <row r="37">
          <cell r="C37">
            <v>391</v>
          </cell>
        </row>
        <row r="38">
          <cell r="C38">
            <v>2270</v>
          </cell>
        </row>
        <row r="39">
          <cell r="C39">
            <v>1797</v>
          </cell>
        </row>
        <row r="40">
          <cell r="C40">
            <v>2393</v>
          </cell>
        </row>
        <row r="41">
          <cell r="C41">
            <v>1322</v>
          </cell>
        </row>
        <row r="42">
          <cell r="C42">
            <v>16</v>
          </cell>
        </row>
        <row r="43">
          <cell r="C43">
            <v>5</v>
          </cell>
        </row>
        <row r="44">
          <cell r="C44">
            <v>354</v>
          </cell>
        </row>
        <row r="45">
          <cell r="C45">
            <v>1532</v>
          </cell>
        </row>
        <row r="46">
          <cell r="C46">
            <v>1603</v>
          </cell>
        </row>
        <row r="47">
          <cell r="C47">
            <v>644</v>
          </cell>
        </row>
        <row r="48">
          <cell r="C48">
            <v>1051</v>
          </cell>
        </row>
        <row r="49">
          <cell r="C49">
            <v>794</v>
          </cell>
        </row>
        <row r="50">
          <cell r="C50">
            <v>850</v>
          </cell>
        </row>
        <row r="51">
          <cell r="C51">
            <v>133</v>
          </cell>
        </row>
        <row r="52">
          <cell r="C52">
            <v>204</v>
          </cell>
        </row>
        <row r="53">
          <cell r="C53">
            <v>83</v>
          </cell>
        </row>
        <row r="54">
          <cell r="C54">
            <v>126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46272</v>
      </c>
      <c r="E2" s="4">
        <f ca="1">'[1]VENTAS CONSOLIDADA ZULIA'!E2</f>
        <v>4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103</v>
      </c>
      <c r="D8" s="5">
        <f t="shared" ref="D8:D54" ca="1" si="0">C8/$E$2</f>
        <v>25.75</v>
      </c>
      <c r="E8" s="5">
        <f ca="1">D8*($E$2+$E$3)</f>
        <v>566.5</v>
      </c>
    </row>
    <row r="9" spans="1:5" x14ac:dyDescent="0.25">
      <c r="A9">
        <v>110151</v>
      </c>
      <c r="B9" t="s">
        <v>5</v>
      </c>
      <c r="C9">
        <f>'[1]VENTAS CONSOLIDADA ZULIA'!C9</f>
        <v>5</v>
      </c>
      <c r="D9" s="5">
        <f t="shared" ca="1" si="0"/>
        <v>1.25</v>
      </c>
      <c r="E9" s="5">
        <f t="shared" ref="E9:E54" ca="1" si="1">D9*($E$2+$E$3)</f>
        <v>27.5</v>
      </c>
    </row>
    <row r="10" spans="1:5" x14ac:dyDescent="0.25">
      <c r="A10">
        <v>110230</v>
      </c>
      <c r="B10" t="s">
        <v>1</v>
      </c>
      <c r="C10">
        <f>'[1]VENTAS CONSOLIDADA ZULIA'!C10</f>
        <v>18</v>
      </c>
      <c r="D10" s="5">
        <f t="shared" ca="1" si="0"/>
        <v>4.5</v>
      </c>
      <c r="E10" s="5">
        <f t="shared" ca="1" si="1"/>
        <v>99</v>
      </c>
    </row>
    <row r="11" spans="1:5" x14ac:dyDescent="0.25">
      <c r="A11">
        <v>110400</v>
      </c>
      <c r="B11" t="s">
        <v>13</v>
      </c>
      <c r="C11">
        <f>'[1]VENTAS CONSOLIDADA ZULIA'!C11</f>
        <v>3</v>
      </c>
      <c r="D11" s="5">
        <f t="shared" ca="1" si="0"/>
        <v>0.75</v>
      </c>
      <c r="E11" s="5">
        <f t="shared" ca="1" si="1"/>
        <v>16.5</v>
      </c>
    </row>
    <row r="12" spans="1:5" x14ac:dyDescent="0.25">
      <c r="A12">
        <v>111000</v>
      </c>
      <c r="B12" t="s">
        <v>14</v>
      </c>
      <c r="C12">
        <f>'[1]VENTAS CONSOLIDADA ZULIA'!C12</f>
        <v>3</v>
      </c>
      <c r="D12" s="5">
        <f t="shared" ca="1" si="0"/>
        <v>0.75</v>
      </c>
      <c r="E12" s="5">
        <f t="shared" ca="1" si="1"/>
        <v>16.5</v>
      </c>
    </row>
    <row r="13" spans="1:5" x14ac:dyDescent="0.25">
      <c r="A13">
        <v>120130</v>
      </c>
      <c r="B13" t="s">
        <v>15</v>
      </c>
      <c r="C13">
        <f>'[1]VENTAS CONSOLIDADA ZULIA'!C13</f>
        <v>37</v>
      </c>
      <c r="D13" s="5">
        <f t="shared" ca="1" si="0"/>
        <v>9.25</v>
      </c>
      <c r="E13" s="5">
        <f t="shared" ca="1" si="1"/>
        <v>203.5</v>
      </c>
    </row>
    <row r="14" spans="1:5" x14ac:dyDescent="0.25">
      <c r="A14">
        <v>120131</v>
      </c>
      <c r="B14" t="s">
        <v>23</v>
      </c>
      <c r="C14">
        <f>'[1]VENTAS CONSOLIDADA ZULIA'!C14</f>
        <v>61</v>
      </c>
      <c r="D14" s="5">
        <f t="shared" ca="1" si="0"/>
        <v>15.25</v>
      </c>
      <c r="E14" s="5">
        <f t="shared" ca="1" si="1"/>
        <v>335.5</v>
      </c>
    </row>
    <row r="15" spans="1:5" x14ac:dyDescent="0.25">
      <c r="A15">
        <v>120132</v>
      </c>
      <c r="B15" t="s">
        <v>21</v>
      </c>
      <c r="C15">
        <f>'[1]VENTAS CONSOLIDADA ZULIA'!C15</f>
        <v>48</v>
      </c>
      <c r="D15" s="5">
        <f t="shared" ca="1" si="0"/>
        <v>12</v>
      </c>
      <c r="E15" s="5">
        <f t="shared" ca="1" si="1"/>
        <v>264</v>
      </c>
    </row>
    <row r="16" spans="1:5" x14ac:dyDescent="0.25">
      <c r="A16">
        <v>130150</v>
      </c>
      <c r="B16" t="s">
        <v>0</v>
      </c>
      <c r="C16">
        <f>'[1]VENTAS CONSOLIDADA ZULIA'!C16</f>
        <v>111</v>
      </c>
      <c r="D16" s="5">
        <f t="shared" ca="1" si="0"/>
        <v>27.75</v>
      </c>
      <c r="E16" s="5">
        <f t="shared" ca="1" si="1"/>
        <v>610.5</v>
      </c>
    </row>
    <row r="17" spans="1:5" x14ac:dyDescent="0.25">
      <c r="A17">
        <v>130151</v>
      </c>
      <c r="B17" t="s">
        <v>4</v>
      </c>
      <c r="C17">
        <f>'[1]VENTAS CONSOLIDADA ZULIA'!C17</f>
        <v>0</v>
      </c>
      <c r="D17" s="5">
        <f t="shared" ca="1" si="0"/>
        <v>0</v>
      </c>
      <c r="E17" s="5">
        <f t="shared" ca="1" si="1"/>
        <v>0</v>
      </c>
    </row>
    <row r="18" spans="1:5" x14ac:dyDescent="0.25">
      <c r="A18">
        <v>130152</v>
      </c>
      <c r="B18" t="s">
        <v>51</v>
      </c>
      <c r="C18">
        <f>'[1]VENTAS CONSOLIDADA ZULIA'!C18</f>
        <v>225</v>
      </c>
      <c r="D18" s="5">
        <f t="shared" ca="1" si="0"/>
        <v>56.25</v>
      </c>
      <c r="E18" s="5">
        <f t="shared" ca="1" si="1"/>
        <v>1237.5</v>
      </c>
    </row>
    <row r="19" spans="1:5" x14ac:dyDescent="0.25">
      <c r="A19">
        <v>130153</v>
      </c>
      <c r="B19" t="s">
        <v>52</v>
      </c>
      <c r="C19">
        <f>'[1]VENTAS CONSOLIDADA ZULIA'!C19</f>
        <v>159</v>
      </c>
      <c r="D19" s="5">
        <f t="shared" ca="1" si="0"/>
        <v>39.75</v>
      </c>
      <c r="E19" s="5">
        <f t="shared" ca="1" si="1"/>
        <v>874.5</v>
      </c>
    </row>
    <row r="20" spans="1:5" x14ac:dyDescent="0.25">
      <c r="A20">
        <v>130154</v>
      </c>
      <c r="B20" t="s">
        <v>53</v>
      </c>
      <c r="C20">
        <f>'[1]VENTAS CONSOLIDADA ZULIA'!C20</f>
        <v>136</v>
      </c>
      <c r="D20" s="5">
        <f t="shared" ca="1" si="0"/>
        <v>34</v>
      </c>
      <c r="E20" s="5">
        <f t="shared" ca="1" si="1"/>
        <v>748</v>
      </c>
    </row>
    <row r="21" spans="1:5" x14ac:dyDescent="0.25">
      <c r="A21">
        <v>130155</v>
      </c>
      <c r="B21" t="s">
        <v>16</v>
      </c>
      <c r="C21">
        <f>'[1]VENTAS CONSOLIDADA ZULIA'!C21</f>
        <v>244</v>
      </c>
      <c r="D21" s="5">
        <f t="shared" ca="1" si="0"/>
        <v>61</v>
      </c>
      <c r="E21" s="5">
        <f t="shared" ca="1" si="1"/>
        <v>1342</v>
      </c>
    </row>
    <row r="22" spans="1:5" x14ac:dyDescent="0.25">
      <c r="A22">
        <v>130157</v>
      </c>
      <c r="B22" t="s">
        <v>43</v>
      </c>
      <c r="C22">
        <f>'[1]VENTAS CONSOLIDADA ZULIA'!C22</f>
        <v>53</v>
      </c>
      <c r="D22" s="5">
        <f t="shared" ca="1" si="0"/>
        <v>13.25</v>
      </c>
      <c r="E22" s="5">
        <f t="shared" ca="1" si="1"/>
        <v>291.5</v>
      </c>
    </row>
    <row r="23" spans="1:5" x14ac:dyDescent="0.25">
      <c r="A23">
        <v>130158</v>
      </c>
      <c r="B23" t="s">
        <v>44</v>
      </c>
      <c r="C23">
        <f>'[1]VENTAS CONSOLIDADA ZULIA'!C23</f>
        <v>82</v>
      </c>
      <c r="D23" s="5">
        <f t="shared" ca="1" si="0"/>
        <v>20.5</v>
      </c>
      <c r="E23" s="5">
        <f t="shared" ca="1" si="1"/>
        <v>451</v>
      </c>
    </row>
    <row r="24" spans="1:5" x14ac:dyDescent="0.25">
      <c r="A24">
        <v>130159</v>
      </c>
      <c r="B24" t="s">
        <v>45</v>
      </c>
      <c r="C24">
        <f>'[1]VENTAS CONSOLIDADA ZULIA'!C24</f>
        <v>96</v>
      </c>
      <c r="D24" s="5">
        <f t="shared" ca="1" si="0"/>
        <v>24</v>
      </c>
      <c r="E24" s="5">
        <f t="shared" ca="1" si="1"/>
        <v>528</v>
      </c>
    </row>
    <row r="25" spans="1:5" x14ac:dyDescent="0.25">
      <c r="A25">
        <v>130700</v>
      </c>
      <c r="B25" t="s">
        <v>3</v>
      </c>
      <c r="C25">
        <f>'[1]VENTAS CONSOLIDADA ZULIA'!C25</f>
        <v>3</v>
      </c>
      <c r="D25" s="5">
        <f t="shared" ca="1" si="0"/>
        <v>0.75</v>
      </c>
      <c r="E25" s="5">
        <f t="shared" ca="1" si="1"/>
        <v>16.5</v>
      </c>
    </row>
    <row r="26" spans="1:5" x14ac:dyDescent="0.25">
      <c r="A26">
        <v>130701</v>
      </c>
      <c r="B26" t="s">
        <v>30</v>
      </c>
      <c r="C26">
        <f>'[1]VENTAS CONSOLIDADA ZULIA'!C26</f>
        <v>6</v>
      </c>
      <c r="D26" s="5">
        <f t="shared" ca="1" si="0"/>
        <v>1.5</v>
      </c>
      <c r="E26" s="5">
        <f t="shared" ca="1" si="1"/>
        <v>33</v>
      </c>
    </row>
    <row r="27" spans="1:5" x14ac:dyDescent="0.25">
      <c r="A27">
        <v>130702</v>
      </c>
      <c r="B27" t="s">
        <v>12</v>
      </c>
      <c r="C27">
        <f>'[1]VENTAS CONSOLIDADA ZULIA'!C27</f>
        <v>24</v>
      </c>
      <c r="D27" s="5">
        <f t="shared" ca="1" si="0"/>
        <v>6</v>
      </c>
      <c r="E27" s="5">
        <f t="shared" ca="1" si="1"/>
        <v>132</v>
      </c>
    </row>
    <row r="28" spans="1:5" x14ac:dyDescent="0.25">
      <c r="A28">
        <v>130703</v>
      </c>
      <c r="B28" t="s">
        <v>17</v>
      </c>
      <c r="C28">
        <f>'[1]VENTAS CONSOLIDADA ZULIA'!C28</f>
        <v>13</v>
      </c>
      <c r="D28" s="5">
        <f t="shared" ca="1" si="0"/>
        <v>3.25</v>
      </c>
      <c r="E28" s="5">
        <f t="shared" ca="1" si="1"/>
        <v>71.5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60</v>
      </c>
      <c r="D30" s="5">
        <f t="shared" ca="1" si="0"/>
        <v>15</v>
      </c>
      <c r="E30" s="5">
        <f t="shared" ca="1" si="1"/>
        <v>330</v>
      </c>
    </row>
    <row r="31" spans="1:5" x14ac:dyDescent="0.25">
      <c r="A31">
        <v>131151</v>
      </c>
      <c r="B31" t="s">
        <v>19</v>
      </c>
      <c r="C31">
        <f>'[1]VENTAS CONSOLIDADA ZULIA'!C31</f>
        <v>129</v>
      </c>
      <c r="D31" s="5">
        <f t="shared" ca="1" si="0"/>
        <v>32.25</v>
      </c>
      <c r="E31" s="5">
        <f t="shared" ca="1" si="1"/>
        <v>709.5</v>
      </c>
    </row>
    <row r="32" spans="1:5" x14ac:dyDescent="0.25">
      <c r="A32">
        <v>131152</v>
      </c>
      <c r="B32" t="s">
        <v>32</v>
      </c>
      <c r="C32">
        <f>'[1]VENTAS CONSOLIDADA ZULIA'!C32</f>
        <v>0</v>
      </c>
      <c r="D32" s="5">
        <f t="shared" ca="1" si="0"/>
        <v>0</v>
      </c>
      <c r="E32" s="5">
        <f t="shared" ca="1" si="1"/>
        <v>0</v>
      </c>
    </row>
    <row r="33" spans="1:5" x14ac:dyDescent="0.25">
      <c r="A33">
        <v>131153</v>
      </c>
      <c r="B33" t="s">
        <v>11</v>
      </c>
      <c r="C33">
        <f>'[1]VENTAS CONSOLIDADA ZULIA'!C33</f>
        <v>99</v>
      </c>
      <c r="D33" s="5">
        <f t="shared" ca="1" si="0"/>
        <v>24.75</v>
      </c>
      <c r="E33" s="5">
        <f t="shared" ca="1" si="1"/>
        <v>544.5</v>
      </c>
    </row>
    <row r="34" spans="1:5" x14ac:dyDescent="0.25">
      <c r="A34">
        <v>131154</v>
      </c>
      <c r="B34" t="s">
        <v>48</v>
      </c>
      <c r="C34">
        <f>'[1]VENTAS CONSOLIDADA ZULIA'!C34</f>
        <v>12</v>
      </c>
      <c r="D34" s="5">
        <f t="shared" ca="1" si="0"/>
        <v>3</v>
      </c>
      <c r="E34" s="5">
        <f t="shared" ca="1" si="1"/>
        <v>66</v>
      </c>
    </row>
    <row r="35" spans="1:5" x14ac:dyDescent="0.25">
      <c r="A35">
        <v>131155</v>
      </c>
      <c r="B35" t="s">
        <v>57</v>
      </c>
      <c r="C35">
        <f>'[1]VENTAS CONSOLIDADA ZULIA'!C35</f>
        <v>13</v>
      </c>
      <c r="D35" s="5">
        <f t="shared" ca="1" si="0"/>
        <v>3.25</v>
      </c>
      <c r="E35" s="5">
        <f t="shared" ca="1" si="1"/>
        <v>71.5</v>
      </c>
    </row>
    <row r="36" spans="1:5" x14ac:dyDescent="0.25">
      <c r="A36">
        <v>131700</v>
      </c>
      <c r="B36" t="s">
        <v>20</v>
      </c>
      <c r="C36">
        <f>'[1]VENTAS CONSOLIDADA ZULIA'!C36</f>
        <v>0</v>
      </c>
      <c r="D36" s="5">
        <f t="shared" ca="1" si="0"/>
        <v>0</v>
      </c>
      <c r="E36" s="5">
        <f t="shared" ca="1" si="1"/>
        <v>0</v>
      </c>
    </row>
    <row r="37" spans="1:5" x14ac:dyDescent="0.25">
      <c r="A37">
        <v>131701</v>
      </c>
      <c r="B37" t="s">
        <v>24</v>
      </c>
      <c r="C37">
        <f>'[1]VENTAS CONSOLIDADA ZULIA'!C37</f>
        <v>25</v>
      </c>
      <c r="D37" s="5">
        <f t="shared" ca="1" si="0"/>
        <v>6.25</v>
      </c>
      <c r="E37" s="5">
        <f t="shared" ca="1" si="1"/>
        <v>137.5</v>
      </c>
    </row>
    <row r="38" spans="1:5" x14ac:dyDescent="0.25">
      <c r="A38">
        <v>132150</v>
      </c>
      <c r="B38" t="s">
        <v>25</v>
      </c>
      <c r="C38">
        <f>'[1]VENTAS CONSOLIDADA ZULIA'!C38</f>
        <v>169</v>
      </c>
      <c r="D38" s="5">
        <f t="shared" ca="1" si="0"/>
        <v>42.25</v>
      </c>
      <c r="E38" s="5">
        <f t="shared" ca="1" si="1"/>
        <v>929.5</v>
      </c>
    </row>
    <row r="39" spans="1:5" x14ac:dyDescent="0.25">
      <c r="A39">
        <v>132151</v>
      </c>
      <c r="B39" t="s">
        <v>26</v>
      </c>
      <c r="C39">
        <f>'[1]VENTAS CONSOLIDADA ZULIA'!C39</f>
        <v>117</v>
      </c>
      <c r="D39" s="5">
        <f t="shared" ca="1" si="0"/>
        <v>29.25</v>
      </c>
      <c r="E39" s="5">
        <f t="shared" ca="1" si="1"/>
        <v>643.5</v>
      </c>
    </row>
    <row r="40" spans="1:5" x14ac:dyDescent="0.25">
      <c r="A40">
        <v>132152</v>
      </c>
      <c r="B40" t="s">
        <v>27</v>
      </c>
      <c r="C40">
        <f>'[1]VENTAS CONSOLIDADA ZULIA'!C40</f>
        <v>139</v>
      </c>
      <c r="D40" s="5">
        <f t="shared" ca="1" si="0"/>
        <v>34.75</v>
      </c>
      <c r="E40" s="5">
        <f t="shared" ca="1" si="1"/>
        <v>764.5</v>
      </c>
    </row>
    <row r="41" spans="1:5" x14ac:dyDescent="0.25">
      <c r="A41">
        <v>132153</v>
      </c>
      <c r="B41" t="s">
        <v>40</v>
      </c>
      <c r="C41">
        <f>'[1]VENTAS CONSOLIDADA ZULIA'!C41</f>
        <v>80</v>
      </c>
      <c r="D41" s="5">
        <f t="shared" ca="1" si="0"/>
        <v>20</v>
      </c>
      <c r="E41" s="5">
        <f t="shared" ca="1" si="1"/>
        <v>440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26</v>
      </c>
      <c r="D44" s="5">
        <f t="shared" ca="1" si="0"/>
        <v>6.5</v>
      </c>
      <c r="E44" s="5">
        <f t="shared" ca="1" si="1"/>
        <v>143</v>
      </c>
    </row>
    <row r="45" spans="1:5" x14ac:dyDescent="0.25">
      <c r="A45">
        <v>140231</v>
      </c>
      <c r="B45" t="s">
        <v>10</v>
      </c>
      <c r="C45">
        <f>'[1]VENTAS CONSOLIDADA ZULIA'!C45</f>
        <v>59</v>
      </c>
      <c r="D45" s="5">
        <f t="shared" ca="1" si="0"/>
        <v>14.75</v>
      </c>
      <c r="E45" s="5">
        <f t="shared" ca="1" si="1"/>
        <v>324.5</v>
      </c>
    </row>
    <row r="46" spans="1:5" x14ac:dyDescent="0.25">
      <c r="A46">
        <v>140232</v>
      </c>
      <c r="B46" t="s">
        <v>9</v>
      </c>
      <c r="C46">
        <f>'[1]VENTAS CONSOLIDADA ZULIA'!C46</f>
        <v>0</v>
      </c>
      <c r="D46" s="5">
        <f t="shared" ca="1" si="0"/>
        <v>0</v>
      </c>
      <c r="E46" s="5">
        <f t="shared" ca="1" si="1"/>
        <v>0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5.75</v>
      </c>
      <c r="E47" s="5">
        <f t="shared" ca="1" si="1"/>
        <v>126.5</v>
      </c>
    </row>
    <row r="48" spans="1:5" x14ac:dyDescent="0.25">
      <c r="A48">
        <v>150361</v>
      </c>
      <c r="B48" t="s">
        <v>29</v>
      </c>
      <c r="C48">
        <f>'[1]VENTAS CONSOLIDADA ZULIA'!C48</f>
        <v>23</v>
      </c>
      <c r="D48" s="5">
        <f t="shared" ca="1" si="0"/>
        <v>5.75</v>
      </c>
      <c r="E48" s="5">
        <f t="shared" ca="1" si="1"/>
        <v>126.5</v>
      </c>
    </row>
    <row r="49" spans="1:5" x14ac:dyDescent="0.25">
      <c r="A49">
        <v>150362</v>
      </c>
      <c r="B49" t="s">
        <v>36</v>
      </c>
      <c r="C49">
        <f>'[1]VENTAS CONSOLIDADA ZULIA'!C49</f>
        <v>44</v>
      </c>
      <c r="D49" s="5">
        <f t="shared" ca="1" si="0"/>
        <v>11</v>
      </c>
      <c r="E49" s="5">
        <f t="shared" ca="1" si="1"/>
        <v>242</v>
      </c>
    </row>
    <row r="50" spans="1:5" x14ac:dyDescent="0.25">
      <c r="A50">
        <v>150363</v>
      </c>
      <c r="B50" t="s">
        <v>31</v>
      </c>
      <c r="C50">
        <f>'[1]VENTAS CONSOLIDADA ZULIA'!C50</f>
        <v>44</v>
      </c>
      <c r="D50" s="5">
        <f t="shared" ca="1" si="0"/>
        <v>11</v>
      </c>
      <c r="E50" s="5">
        <f t="shared" ca="1" si="1"/>
        <v>242</v>
      </c>
    </row>
    <row r="51" spans="1:5" x14ac:dyDescent="0.25">
      <c r="A51">
        <v>151500</v>
      </c>
      <c r="B51" t="s">
        <v>41</v>
      </c>
      <c r="C51">
        <f>'[1]VENTAS CONSOLIDADA ZULIA'!C51</f>
        <v>12</v>
      </c>
      <c r="D51" s="5">
        <f t="shared" ca="1" si="0"/>
        <v>3</v>
      </c>
      <c r="E51" s="5">
        <f t="shared" ca="1" si="1"/>
        <v>66</v>
      </c>
    </row>
    <row r="52" spans="1:5" x14ac:dyDescent="0.25">
      <c r="A52">
        <v>151501</v>
      </c>
      <c r="B52" t="s">
        <v>33</v>
      </c>
      <c r="C52">
        <f>'[1]VENTAS CONSOLIDADA ZULIA'!C52</f>
        <v>12</v>
      </c>
      <c r="D52" s="5">
        <f t="shared" ca="1" si="0"/>
        <v>3</v>
      </c>
      <c r="E52" s="5">
        <f t="shared" ca="1" si="1"/>
        <v>66</v>
      </c>
    </row>
    <row r="53" spans="1:5" x14ac:dyDescent="0.25">
      <c r="A53">
        <v>151502</v>
      </c>
      <c r="B53" t="s">
        <v>37</v>
      </c>
      <c r="C53">
        <f>'[1]VENTAS CONSOLIDADA ZULIA'!C53</f>
        <v>12</v>
      </c>
      <c r="D53" s="5">
        <f t="shared" ca="1" si="0"/>
        <v>3</v>
      </c>
      <c r="E53" s="5">
        <f t="shared" ca="1" si="1"/>
        <v>66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5">
        <f ca="1">SUM(D8:D54)</f>
        <v>635</v>
      </c>
      <c r="E55" s="5">
        <f ca="1">SUM(E8:E54)</f>
        <v>13970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46272</v>
      </c>
      <c r="E2" s="4">
        <f ca="1">'[1]VENTAS CONSOLIDADA VALENCIA'!E2</f>
        <v>4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877</v>
      </c>
      <c r="D8" s="5">
        <f t="shared" ref="D8:D54" ca="1" si="0">C8/$E$2</f>
        <v>219.25</v>
      </c>
      <c r="E8" s="5">
        <f ca="1">D8*($E$2+$E$3)</f>
        <v>4823.5</v>
      </c>
    </row>
    <row r="9" spans="1:5" x14ac:dyDescent="0.25">
      <c r="A9">
        <v>110151</v>
      </c>
      <c r="B9" t="s">
        <v>5</v>
      </c>
      <c r="C9">
        <f>'[1]VENTAS CONSOLIDADA VALENCIA'!C9</f>
        <v>111</v>
      </c>
      <c r="D9" s="5">
        <f t="shared" ca="1" si="0"/>
        <v>27.75</v>
      </c>
      <c r="E9" s="5">
        <f t="shared" ref="E9:E54" ca="1" si="1">D9*($E$2+$E$3)</f>
        <v>610.5</v>
      </c>
    </row>
    <row r="10" spans="1:5" x14ac:dyDescent="0.25">
      <c r="A10">
        <v>110230</v>
      </c>
      <c r="B10" t="s">
        <v>1</v>
      </c>
      <c r="C10">
        <f>'[1]VENTAS CONSOLIDADA VALENCIA'!C10</f>
        <v>328</v>
      </c>
      <c r="D10" s="5">
        <f t="shared" ca="1" si="0"/>
        <v>82</v>
      </c>
      <c r="E10" s="5">
        <f t="shared" ca="1" si="1"/>
        <v>1804</v>
      </c>
    </row>
    <row r="11" spans="1:5" x14ac:dyDescent="0.25">
      <c r="A11">
        <v>110400</v>
      </c>
      <c r="B11" t="s">
        <v>13</v>
      </c>
      <c r="C11">
        <f>'[1]VENTAS CONSOLIDADA VALENCIA'!C11</f>
        <v>107</v>
      </c>
      <c r="D11" s="5">
        <f t="shared" ca="1" si="0"/>
        <v>26.75</v>
      </c>
      <c r="E11" s="5">
        <f t="shared" ca="1" si="1"/>
        <v>588.5</v>
      </c>
    </row>
    <row r="12" spans="1:5" x14ac:dyDescent="0.25">
      <c r="A12">
        <v>111000</v>
      </c>
      <c r="B12" t="s">
        <v>14</v>
      </c>
      <c r="C12">
        <f>'[1]VENTAS CONSOLIDADA VALENCIA'!C12</f>
        <v>7</v>
      </c>
      <c r="D12" s="5">
        <f t="shared" ca="1" si="0"/>
        <v>1.75</v>
      </c>
      <c r="E12" s="5">
        <f t="shared" ca="1" si="1"/>
        <v>38.5</v>
      </c>
    </row>
    <row r="13" spans="1:5" x14ac:dyDescent="0.25">
      <c r="A13">
        <v>120130</v>
      </c>
      <c r="B13" t="s">
        <v>15</v>
      </c>
      <c r="C13">
        <f>'[1]VENTAS CONSOLIDADA VALENCIA'!C13</f>
        <v>1338</v>
      </c>
      <c r="D13" s="5">
        <f t="shared" ca="1" si="0"/>
        <v>334.5</v>
      </c>
      <c r="E13" s="5">
        <f t="shared" ca="1" si="1"/>
        <v>7359</v>
      </c>
    </row>
    <row r="14" spans="1:5" x14ac:dyDescent="0.25">
      <c r="A14">
        <v>120131</v>
      </c>
      <c r="B14" t="s">
        <v>23</v>
      </c>
      <c r="C14">
        <f>'[1]VENTAS CONSOLIDADA VALENCIA'!C14</f>
        <v>131</v>
      </c>
      <c r="D14" s="5">
        <f t="shared" ca="1" si="0"/>
        <v>32.75</v>
      </c>
      <c r="E14" s="5">
        <f t="shared" ca="1" si="1"/>
        <v>720.5</v>
      </c>
    </row>
    <row r="15" spans="1:5" x14ac:dyDescent="0.25">
      <c r="A15">
        <v>120132</v>
      </c>
      <c r="B15" t="s">
        <v>21</v>
      </c>
      <c r="C15">
        <f>'[1]VENTAS CONSOLIDADA VALENCIA'!C15</f>
        <v>518</v>
      </c>
      <c r="D15" s="5">
        <f t="shared" ca="1" si="0"/>
        <v>129.5</v>
      </c>
      <c r="E15" s="5">
        <f t="shared" ca="1" si="1"/>
        <v>2849</v>
      </c>
    </row>
    <row r="16" spans="1:5" x14ac:dyDescent="0.25">
      <c r="A16">
        <v>130150</v>
      </c>
      <c r="B16" t="s">
        <v>0</v>
      </c>
      <c r="C16">
        <f>'[1]VENTAS CONSOLIDADA VALENCIA'!C16</f>
        <v>1227</v>
      </c>
      <c r="D16" s="5">
        <f t="shared" ca="1" si="0"/>
        <v>306.75</v>
      </c>
      <c r="E16" s="5">
        <f t="shared" ca="1" si="1"/>
        <v>6748.5</v>
      </c>
    </row>
    <row r="17" spans="1:5" x14ac:dyDescent="0.25">
      <c r="A17">
        <v>130151</v>
      </c>
      <c r="B17" t="s">
        <v>4</v>
      </c>
      <c r="C17">
        <f>'[1]VENTAS CONSOLIDADA VALENCIA'!C17</f>
        <v>518</v>
      </c>
      <c r="D17" s="5">
        <f t="shared" ca="1" si="0"/>
        <v>129.5</v>
      </c>
      <c r="E17" s="5">
        <f t="shared" ca="1" si="1"/>
        <v>2849</v>
      </c>
    </row>
    <row r="18" spans="1:5" x14ac:dyDescent="0.25">
      <c r="A18">
        <v>130152</v>
      </c>
      <c r="B18" t="s">
        <v>51</v>
      </c>
      <c r="C18">
        <f>'[1]VENTAS CONSOLIDADA VALENCIA'!C18</f>
        <v>3255</v>
      </c>
      <c r="D18" s="5">
        <f t="shared" ca="1" si="0"/>
        <v>813.75</v>
      </c>
      <c r="E18" s="5">
        <f t="shared" ca="1" si="1"/>
        <v>17902.5</v>
      </c>
    </row>
    <row r="19" spans="1:5" x14ac:dyDescent="0.25">
      <c r="A19">
        <v>130153</v>
      </c>
      <c r="B19" t="s">
        <v>52</v>
      </c>
      <c r="C19">
        <f>'[1]VENTAS CONSOLIDADA VALENCIA'!C19</f>
        <v>2190</v>
      </c>
      <c r="D19" s="5">
        <f t="shared" ca="1" si="0"/>
        <v>547.5</v>
      </c>
      <c r="E19" s="5">
        <f t="shared" ca="1" si="1"/>
        <v>12045</v>
      </c>
    </row>
    <row r="20" spans="1:5" x14ac:dyDescent="0.25">
      <c r="A20">
        <v>130154</v>
      </c>
      <c r="B20" t="s">
        <v>53</v>
      </c>
      <c r="C20">
        <f>'[1]VENTAS CONSOLIDADA VALENCIA'!C20</f>
        <v>2113</v>
      </c>
      <c r="D20" s="5">
        <f t="shared" ca="1" si="0"/>
        <v>528.25</v>
      </c>
      <c r="E20" s="5">
        <f t="shared" ca="1" si="1"/>
        <v>11621.5</v>
      </c>
    </row>
    <row r="21" spans="1:5" x14ac:dyDescent="0.25">
      <c r="A21">
        <v>130155</v>
      </c>
      <c r="B21" t="s">
        <v>16</v>
      </c>
      <c r="C21">
        <f>'[1]VENTAS CONSOLIDADA VALENCIA'!C21</f>
        <v>2285</v>
      </c>
      <c r="D21" s="5">
        <f t="shared" ca="1" si="0"/>
        <v>571.25</v>
      </c>
      <c r="E21" s="5">
        <f t="shared" ca="1" si="1"/>
        <v>12567.5</v>
      </c>
    </row>
    <row r="22" spans="1:5" x14ac:dyDescent="0.25">
      <c r="A22">
        <v>130157</v>
      </c>
      <c r="B22" t="s">
        <v>43</v>
      </c>
      <c r="C22">
        <f>'[1]VENTAS CONSOLIDADA VALENCIA'!C22</f>
        <v>521</v>
      </c>
      <c r="D22" s="5">
        <f t="shared" ca="1" si="0"/>
        <v>130.25</v>
      </c>
      <c r="E22" s="5">
        <f t="shared" ca="1" si="1"/>
        <v>2865.5</v>
      </c>
    </row>
    <row r="23" spans="1:5" x14ac:dyDescent="0.25">
      <c r="A23">
        <v>130158</v>
      </c>
      <c r="B23" t="s">
        <v>44</v>
      </c>
      <c r="C23">
        <f>'[1]VENTAS CONSOLIDADA VALENCIA'!C23</f>
        <v>1102</v>
      </c>
      <c r="D23" s="5">
        <f t="shared" ca="1" si="0"/>
        <v>275.5</v>
      </c>
      <c r="E23" s="5">
        <f t="shared" ca="1" si="1"/>
        <v>6061</v>
      </c>
    </row>
    <row r="24" spans="1:5" x14ac:dyDescent="0.25">
      <c r="A24">
        <v>130159</v>
      </c>
      <c r="B24" t="s">
        <v>45</v>
      </c>
      <c r="C24">
        <f>'[1]VENTAS CONSOLIDADA VALENCIA'!C24</f>
        <v>1042</v>
      </c>
      <c r="D24" s="5">
        <f t="shared" ca="1" si="0"/>
        <v>260.5</v>
      </c>
      <c r="E24" s="5">
        <f t="shared" ca="1" si="1"/>
        <v>5731</v>
      </c>
    </row>
    <row r="25" spans="1:5" x14ac:dyDescent="0.25">
      <c r="A25">
        <v>130700</v>
      </c>
      <c r="B25" t="s">
        <v>3</v>
      </c>
      <c r="C25">
        <f>'[1]VENTAS CONSOLIDADA VALENCIA'!C25</f>
        <v>380</v>
      </c>
      <c r="D25" s="5">
        <f t="shared" ca="1" si="0"/>
        <v>95</v>
      </c>
      <c r="E25" s="5">
        <f t="shared" ca="1" si="1"/>
        <v>2090</v>
      </c>
    </row>
    <row r="26" spans="1:5" x14ac:dyDescent="0.25">
      <c r="A26">
        <v>130701</v>
      </c>
      <c r="B26" t="s">
        <v>30</v>
      </c>
      <c r="C26">
        <f>'[1]VENTAS CONSOLIDADA VALENCIA'!C26</f>
        <v>189</v>
      </c>
      <c r="D26" s="5">
        <f t="shared" ca="1" si="0"/>
        <v>47.25</v>
      </c>
      <c r="E26" s="5">
        <f t="shared" ca="1" si="1"/>
        <v>1039.5</v>
      </c>
    </row>
    <row r="27" spans="1:5" x14ac:dyDescent="0.25">
      <c r="A27">
        <v>130702</v>
      </c>
      <c r="B27" t="s">
        <v>12</v>
      </c>
      <c r="C27">
        <f>'[1]VENTAS CONSOLIDADA VALENCIA'!C27</f>
        <v>582</v>
      </c>
      <c r="D27" s="5">
        <f t="shared" ca="1" si="0"/>
        <v>145.5</v>
      </c>
      <c r="E27" s="5">
        <f t="shared" ca="1" si="1"/>
        <v>3201</v>
      </c>
    </row>
    <row r="28" spans="1:5" x14ac:dyDescent="0.25">
      <c r="A28">
        <v>130703</v>
      </c>
      <c r="B28" t="s">
        <v>17</v>
      </c>
      <c r="C28">
        <f>'[1]VENTAS CONSOLIDADA VALENCIA'!C28</f>
        <v>867</v>
      </c>
      <c r="D28" s="5">
        <f t="shared" ca="1" si="0"/>
        <v>216.75</v>
      </c>
      <c r="E28" s="5">
        <f t="shared" ca="1" si="1"/>
        <v>4768.5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539</v>
      </c>
      <c r="D30" s="5">
        <f t="shared" ca="1" si="0"/>
        <v>134.75</v>
      </c>
      <c r="E30" s="5">
        <f t="shared" ca="1" si="1"/>
        <v>2964.5</v>
      </c>
    </row>
    <row r="31" spans="1:5" x14ac:dyDescent="0.25">
      <c r="A31">
        <v>131151</v>
      </c>
      <c r="B31" t="s">
        <v>19</v>
      </c>
      <c r="C31">
        <f>'[1]VENTAS CONSOLIDADA VALENCIA'!C31</f>
        <v>358</v>
      </c>
      <c r="D31" s="5">
        <f t="shared" ca="1" si="0"/>
        <v>89.5</v>
      </c>
      <c r="E31" s="5">
        <f t="shared" ca="1" si="1"/>
        <v>1969</v>
      </c>
    </row>
    <row r="32" spans="1:5" x14ac:dyDescent="0.25">
      <c r="A32">
        <v>131152</v>
      </c>
      <c r="B32" t="s">
        <v>32</v>
      </c>
      <c r="C32">
        <f>'[1]VENTAS CONSOLIDADA VALENCIA'!C32</f>
        <v>543</v>
      </c>
      <c r="D32" s="5">
        <f t="shared" ca="1" si="0"/>
        <v>135.75</v>
      </c>
      <c r="E32" s="5">
        <f t="shared" ca="1" si="1"/>
        <v>2986.5</v>
      </c>
    </row>
    <row r="33" spans="1:5" x14ac:dyDescent="0.25">
      <c r="A33">
        <v>131153</v>
      </c>
      <c r="B33" t="s">
        <v>11</v>
      </c>
      <c r="C33">
        <f>'[1]VENTAS CONSOLIDADA VALENCIA'!C33</f>
        <v>406</v>
      </c>
      <c r="D33" s="5">
        <f t="shared" ca="1" si="0"/>
        <v>101.5</v>
      </c>
      <c r="E33" s="5">
        <f t="shared" ca="1" si="1"/>
        <v>2233</v>
      </c>
    </row>
    <row r="34" spans="1:5" x14ac:dyDescent="0.25">
      <c r="A34">
        <v>131154</v>
      </c>
      <c r="B34" t="s">
        <v>48</v>
      </c>
      <c r="C34">
        <f>'[1]VENTAS CONSOLIDADA VALENCIA'!C34</f>
        <v>134</v>
      </c>
      <c r="D34" s="5">
        <f t="shared" ca="1" si="0"/>
        <v>33.5</v>
      </c>
      <c r="E34" s="5">
        <f t="shared" ca="1" si="1"/>
        <v>737</v>
      </c>
    </row>
    <row r="35" spans="1:5" x14ac:dyDescent="0.25">
      <c r="A35">
        <v>131155</v>
      </c>
      <c r="B35" t="s">
        <v>57</v>
      </c>
      <c r="C35">
        <f>'[1]VENTAS CONSOLIDADA VALENCIA'!C35</f>
        <v>201</v>
      </c>
      <c r="D35" s="5">
        <f t="shared" ca="1" si="0"/>
        <v>50.25</v>
      </c>
      <c r="E35" s="5">
        <f t="shared" ca="1" si="1"/>
        <v>1105.5</v>
      </c>
    </row>
    <row r="36" spans="1:5" x14ac:dyDescent="0.25">
      <c r="A36">
        <v>131700</v>
      </c>
      <c r="B36" t="s">
        <v>20</v>
      </c>
      <c r="C36">
        <f>'[1]VENTAS CONSOLIDADA VALENCIA'!C36</f>
        <v>124</v>
      </c>
      <c r="D36" s="5">
        <f t="shared" ca="1" si="0"/>
        <v>31</v>
      </c>
      <c r="E36" s="5">
        <f t="shared" ca="1" si="1"/>
        <v>682</v>
      </c>
    </row>
    <row r="37" spans="1:5" x14ac:dyDescent="0.25">
      <c r="A37">
        <v>131701</v>
      </c>
      <c r="B37" t="s">
        <v>24</v>
      </c>
      <c r="C37">
        <f>'[1]VENTAS CONSOLIDADA VALENCIA'!C37</f>
        <v>78</v>
      </c>
      <c r="D37" s="5">
        <f t="shared" ca="1" si="0"/>
        <v>19.5</v>
      </c>
      <c r="E37" s="5">
        <f t="shared" ca="1" si="1"/>
        <v>429</v>
      </c>
    </row>
    <row r="38" spans="1:5" x14ac:dyDescent="0.25">
      <c r="A38">
        <v>132150</v>
      </c>
      <c r="B38" t="s">
        <v>25</v>
      </c>
      <c r="C38">
        <f>'[1]VENTAS CONSOLIDADA VALENCIA'!C38</f>
        <v>721</v>
      </c>
      <c r="D38" s="5">
        <f t="shared" ca="1" si="0"/>
        <v>180.25</v>
      </c>
      <c r="E38" s="5">
        <f t="shared" ca="1" si="1"/>
        <v>3965.5</v>
      </c>
    </row>
    <row r="39" spans="1:5" x14ac:dyDescent="0.25">
      <c r="A39">
        <v>132151</v>
      </c>
      <c r="B39" t="s">
        <v>26</v>
      </c>
      <c r="C39">
        <f>'[1]VENTAS CONSOLIDADA VALENCIA'!C39</f>
        <v>477</v>
      </c>
      <c r="D39" s="5">
        <f t="shared" ca="1" si="0"/>
        <v>119.25</v>
      </c>
      <c r="E39" s="5">
        <f t="shared" ca="1" si="1"/>
        <v>2623.5</v>
      </c>
    </row>
    <row r="40" spans="1:5" x14ac:dyDescent="0.25">
      <c r="A40">
        <v>132152</v>
      </c>
      <c r="B40" t="s">
        <v>27</v>
      </c>
      <c r="C40">
        <f>'[1]VENTAS CONSOLIDADA VALENCIA'!C40</f>
        <v>827</v>
      </c>
      <c r="D40" s="5">
        <f t="shared" ca="1" si="0"/>
        <v>206.75</v>
      </c>
      <c r="E40" s="5">
        <f t="shared" ca="1" si="1"/>
        <v>4548.5</v>
      </c>
    </row>
    <row r="41" spans="1:5" x14ac:dyDescent="0.25">
      <c r="A41">
        <v>132153</v>
      </c>
      <c r="B41" t="s">
        <v>40</v>
      </c>
      <c r="C41">
        <f>'[1]VENTAS CONSOLIDADA VALENCIA'!C41</f>
        <v>434</v>
      </c>
      <c r="D41" s="5">
        <f t="shared" ca="1" si="0"/>
        <v>108.5</v>
      </c>
      <c r="E41" s="5">
        <f t="shared" ca="1" si="1"/>
        <v>2387</v>
      </c>
    </row>
    <row r="42" spans="1:5" x14ac:dyDescent="0.25">
      <c r="A42">
        <v>134000</v>
      </c>
      <c r="B42" t="s">
        <v>35</v>
      </c>
      <c r="C42">
        <f>'[1]VENTAS CONSOLIDADA VALENCIA'!C42</f>
        <v>15</v>
      </c>
      <c r="D42" s="5">
        <f t="shared" ca="1" si="0"/>
        <v>3.75</v>
      </c>
      <c r="E42" s="5">
        <f t="shared" ca="1" si="1"/>
        <v>82.5</v>
      </c>
    </row>
    <row r="43" spans="1:5" x14ac:dyDescent="0.25">
      <c r="A43">
        <v>134001</v>
      </c>
      <c r="B43" t="s">
        <v>47</v>
      </c>
      <c r="C43">
        <f>'[1]VENTAS CONSOLIDADA VALENCIA'!C43</f>
        <v>5</v>
      </c>
      <c r="D43" s="5">
        <f t="shared" ca="1" si="0"/>
        <v>1.25</v>
      </c>
      <c r="E43" s="5">
        <f t="shared" ca="1" si="1"/>
        <v>27.5</v>
      </c>
    </row>
    <row r="44" spans="1:5" x14ac:dyDescent="0.25">
      <c r="A44">
        <v>140230</v>
      </c>
      <c r="B44" t="s">
        <v>18</v>
      </c>
      <c r="C44">
        <f>'[1]VENTAS CONSOLIDADA VALENCIA'!C44</f>
        <v>233</v>
      </c>
      <c r="D44" s="5">
        <f t="shared" ca="1" si="0"/>
        <v>58.25</v>
      </c>
      <c r="E44" s="5">
        <f t="shared" ca="1" si="1"/>
        <v>1281.5</v>
      </c>
    </row>
    <row r="45" spans="1:5" x14ac:dyDescent="0.25">
      <c r="A45">
        <v>140231</v>
      </c>
      <c r="B45" t="s">
        <v>10</v>
      </c>
      <c r="C45">
        <f>'[1]VENTAS CONSOLIDADA VALENCIA'!C45</f>
        <v>273</v>
      </c>
      <c r="D45" s="5">
        <f t="shared" ca="1" si="0"/>
        <v>68.25</v>
      </c>
      <c r="E45" s="5">
        <f t="shared" ca="1" si="1"/>
        <v>1501.5</v>
      </c>
    </row>
    <row r="46" spans="1:5" x14ac:dyDescent="0.25">
      <c r="A46">
        <v>140232</v>
      </c>
      <c r="B46" t="s">
        <v>9</v>
      </c>
      <c r="C46">
        <f>'[1]VENTAS CONSOLIDADA VALENCIA'!C46</f>
        <v>649</v>
      </c>
      <c r="D46" s="5">
        <f t="shared" ca="1" si="0"/>
        <v>162.25</v>
      </c>
      <c r="E46" s="5">
        <f t="shared" ca="1" si="1"/>
        <v>3569.5</v>
      </c>
    </row>
    <row r="47" spans="1:5" x14ac:dyDescent="0.25">
      <c r="A47">
        <v>150360</v>
      </c>
      <c r="B47" t="s">
        <v>28</v>
      </c>
      <c r="C47">
        <f>'[1]VENTAS CONSOLIDADA VALENCIA'!C47</f>
        <v>53</v>
      </c>
      <c r="D47" s="5">
        <f t="shared" ca="1" si="0"/>
        <v>13.25</v>
      </c>
      <c r="E47" s="5">
        <f t="shared" ca="1" si="1"/>
        <v>291.5</v>
      </c>
    </row>
    <row r="48" spans="1:5" x14ac:dyDescent="0.25">
      <c r="A48">
        <v>150361</v>
      </c>
      <c r="B48" t="s">
        <v>29</v>
      </c>
      <c r="C48">
        <f>'[1]VENTAS CONSOLIDADA VALENCIA'!C48</f>
        <v>257</v>
      </c>
      <c r="D48" s="5">
        <f t="shared" ca="1" si="0"/>
        <v>64.25</v>
      </c>
      <c r="E48" s="5">
        <f t="shared" ca="1" si="1"/>
        <v>1413.5</v>
      </c>
    </row>
    <row r="49" spans="1:5" x14ac:dyDescent="0.25">
      <c r="A49">
        <v>150362</v>
      </c>
      <c r="B49" t="s">
        <v>36</v>
      </c>
      <c r="C49">
        <f>'[1]VENTAS CONSOLIDADA VALENCIA'!C49</f>
        <v>184</v>
      </c>
      <c r="D49" s="5">
        <f t="shared" ca="1" si="0"/>
        <v>46</v>
      </c>
      <c r="E49" s="5">
        <f t="shared" ca="1" si="1"/>
        <v>1012</v>
      </c>
    </row>
    <row r="50" spans="1:5" x14ac:dyDescent="0.25">
      <c r="A50">
        <v>150363</v>
      </c>
      <c r="B50" t="s">
        <v>31</v>
      </c>
      <c r="C50">
        <f>'[1]VENTAS CONSOLIDADA VALENCIA'!C50</f>
        <v>243</v>
      </c>
      <c r="D50" s="5">
        <f t="shared" ca="1" si="0"/>
        <v>60.75</v>
      </c>
      <c r="E50" s="5">
        <f t="shared" ca="1" si="1"/>
        <v>1336.5</v>
      </c>
    </row>
    <row r="51" spans="1:5" x14ac:dyDescent="0.25">
      <c r="A51">
        <v>151500</v>
      </c>
      <c r="B51" t="s">
        <v>41</v>
      </c>
      <c r="C51">
        <f>'[1]VENTAS CONSOLIDADA VALENCIA'!C51</f>
        <v>42</v>
      </c>
      <c r="D51" s="5">
        <f t="shared" ca="1" si="0"/>
        <v>10.5</v>
      </c>
      <c r="E51" s="5">
        <f t="shared" ca="1" si="1"/>
        <v>231</v>
      </c>
    </row>
    <row r="52" spans="1:5" x14ac:dyDescent="0.25">
      <c r="A52">
        <v>151501</v>
      </c>
      <c r="B52" t="s">
        <v>33</v>
      </c>
      <c r="C52">
        <f>'[1]VENTAS CONSOLIDADA VALENCIA'!C52</f>
        <v>95</v>
      </c>
      <c r="D52" s="5">
        <f t="shared" ca="1" si="0"/>
        <v>23.75</v>
      </c>
      <c r="E52" s="5">
        <f t="shared" ca="1" si="1"/>
        <v>522.5</v>
      </c>
    </row>
    <row r="53" spans="1:5" x14ac:dyDescent="0.25">
      <c r="A53">
        <v>151502</v>
      </c>
      <c r="B53" t="s">
        <v>37</v>
      </c>
      <c r="C53">
        <f>'[1]VENTAS CONSOLIDADA VALENCIA'!C53</f>
        <v>21</v>
      </c>
      <c r="D53" s="5">
        <f t="shared" ca="1" si="0"/>
        <v>5.25</v>
      </c>
      <c r="E53" s="5">
        <f t="shared" ca="1" si="1"/>
        <v>115.5</v>
      </c>
    </row>
    <row r="54" spans="1:5" x14ac:dyDescent="0.25">
      <c r="A54">
        <v>151503</v>
      </c>
      <c r="B54" t="s">
        <v>34</v>
      </c>
      <c r="C54">
        <f>'[1]VENTAS CONSOLIDADA VALENCIA'!C54</f>
        <v>44</v>
      </c>
      <c r="D54" s="5">
        <f t="shared" ca="1" si="0"/>
        <v>11</v>
      </c>
      <c r="E54" s="5">
        <f t="shared" ca="1" si="1"/>
        <v>242</v>
      </c>
    </row>
    <row r="55" spans="1:5" x14ac:dyDescent="0.25">
      <c r="D55" s="5">
        <f ca="1">SUM(D8:D54)</f>
        <v>6661</v>
      </c>
      <c r="E55" s="5">
        <f ca="1">SUM(E8:E54)</f>
        <v>146542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46272</v>
      </c>
      <c r="E2" s="4">
        <f ca="1">'[1]VENTAS CONSOLIDADA CARACAS'!E2</f>
        <v>4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18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2260</v>
      </c>
      <c r="D8" s="5">
        <f t="shared" ref="D8:D54" ca="1" si="0">C8/$E$2</f>
        <v>565</v>
      </c>
      <c r="E8" s="5">
        <f ca="1">D8*($E$2+$E$3)</f>
        <v>12430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158</v>
      </c>
      <c r="D9" s="5">
        <f t="shared" ca="1" si="0"/>
        <v>39.5</v>
      </c>
      <c r="E9" s="5">
        <f t="shared" ref="E9:E54" ca="1" si="1">D9*($E$2+$E$3)</f>
        <v>869</v>
      </c>
    </row>
    <row r="10" spans="1:6" x14ac:dyDescent="0.25">
      <c r="A10">
        <v>110230</v>
      </c>
      <c r="B10" t="s">
        <v>1</v>
      </c>
      <c r="C10">
        <f>'[1]VENTAS CONSOLIDADA CARACAS'!C10</f>
        <v>1289</v>
      </c>
      <c r="D10" s="5">
        <f t="shared" ca="1" si="0"/>
        <v>322.25</v>
      </c>
      <c r="E10" s="5">
        <f t="shared" ca="1" si="1"/>
        <v>7089.5</v>
      </c>
    </row>
    <row r="11" spans="1:6" x14ac:dyDescent="0.25">
      <c r="A11">
        <v>110400</v>
      </c>
      <c r="B11" t="s">
        <v>13</v>
      </c>
      <c r="C11">
        <f>'[1]VENTAS CONSOLIDADA CARACAS'!C11</f>
        <v>138</v>
      </c>
      <c r="D11" s="5">
        <f t="shared" ca="1" si="0"/>
        <v>34.5</v>
      </c>
      <c r="E11" s="5">
        <f t="shared" ca="1" si="1"/>
        <v>759</v>
      </c>
    </row>
    <row r="12" spans="1:6" x14ac:dyDescent="0.25">
      <c r="A12">
        <v>111000</v>
      </c>
      <c r="B12" t="s">
        <v>14</v>
      </c>
      <c r="C12">
        <f>'[1]VENTAS CONSOLIDADA CARACAS'!C12</f>
        <v>-1</v>
      </c>
      <c r="D12" s="5">
        <f t="shared" ca="1" si="0"/>
        <v>-0.25</v>
      </c>
      <c r="E12" s="5">
        <f t="shared" ca="1" si="1"/>
        <v>-5.5</v>
      </c>
    </row>
    <row r="13" spans="1:6" x14ac:dyDescent="0.25">
      <c r="A13">
        <v>120130</v>
      </c>
      <c r="B13" t="s">
        <v>15</v>
      </c>
      <c r="C13">
        <f>'[1]VENTAS CONSOLIDADA CARACAS'!C13</f>
        <v>2100</v>
      </c>
      <c r="D13" s="5">
        <f t="shared" ca="1" si="0"/>
        <v>525</v>
      </c>
      <c r="E13" s="5">
        <f t="shared" ca="1" si="1"/>
        <v>11550</v>
      </c>
    </row>
    <row r="14" spans="1:6" x14ac:dyDescent="0.25">
      <c r="A14">
        <v>120131</v>
      </c>
      <c r="B14" t="s">
        <v>23</v>
      </c>
      <c r="C14">
        <f>'[1]VENTAS CONSOLIDADA CARACAS'!C14</f>
        <v>187</v>
      </c>
      <c r="D14" s="5">
        <f t="shared" ca="1" si="0"/>
        <v>46.75</v>
      </c>
      <c r="E14" s="5">
        <f t="shared" ca="1" si="1"/>
        <v>1028.5</v>
      </c>
    </row>
    <row r="15" spans="1:6" x14ac:dyDescent="0.25">
      <c r="A15">
        <v>120132</v>
      </c>
      <c r="B15" t="s">
        <v>21</v>
      </c>
      <c r="C15">
        <f>'[1]VENTAS CONSOLIDADA CARACAS'!C15</f>
        <v>295</v>
      </c>
      <c r="D15" s="5">
        <f t="shared" ca="1" si="0"/>
        <v>73.75</v>
      </c>
      <c r="E15" s="5">
        <f t="shared" ca="1" si="1"/>
        <v>1622.5</v>
      </c>
    </row>
    <row r="16" spans="1:6" x14ac:dyDescent="0.25">
      <c r="A16">
        <v>130150</v>
      </c>
      <c r="B16" t="s">
        <v>0</v>
      </c>
      <c r="C16">
        <f>'[1]VENTAS CONSOLIDADA CARACAS'!C16</f>
        <v>1103</v>
      </c>
      <c r="D16" s="5">
        <f t="shared" ca="1" si="0"/>
        <v>275.75</v>
      </c>
      <c r="E16" s="5">
        <f t="shared" ca="1" si="1"/>
        <v>6066.5</v>
      </c>
    </row>
    <row r="17" spans="1:5" x14ac:dyDescent="0.25">
      <c r="A17">
        <v>130151</v>
      </c>
      <c r="B17" t="s">
        <v>4</v>
      </c>
      <c r="C17">
        <f>'[1]VENTAS CONSOLIDADA CARACAS'!C17</f>
        <v>600</v>
      </c>
      <c r="D17" s="5">
        <f t="shared" ca="1" si="0"/>
        <v>150</v>
      </c>
      <c r="E17" s="5">
        <f t="shared" ca="1" si="1"/>
        <v>3300</v>
      </c>
    </row>
    <row r="18" spans="1:5" x14ac:dyDescent="0.25">
      <c r="A18">
        <v>130152</v>
      </c>
      <c r="B18" t="s">
        <v>51</v>
      </c>
      <c r="C18">
        <f>'[1]VENTAS CONSOLIDADA CARACAS'!C18</f>
        <v>4468</v>
      </c>
      <c r="D18" s="5">
        <f t="shared" ca="1" si="0"/>
        <v>1117</v>
      </c>
      <c r="E18" s="5">
        <f t="shared" ca="1" si="1"/>
        <v>24574</v>
      </c>
    </row>
    <row r="19" spans="1:5" x14ac:dyDescent="0.25">
      <c r="A19">
        <v>130153</v>
      </c>
      <c r="B19" t="s">
        <v>52</v>
      </c>
      <c r="C19">
        <f>'[1]VENTAS CONSOLIDADA CARACAS'!C19</f>
        <v>2944</v>
      </c>
      <c r="D19" s="5">
        <f t="shared" ca="1" si="0"/>
        <v>736</v>
      </c>
      <c r="E19" s="5">
        <f t="shared" ca="1" si="1"/>
        <v>16192</v>
      </c>
    </row>
    <row r="20" spans="1:5" x14ac:dyDescent="0.25">
      <c r="A20">
        <v>130154</v>
      </c>
      <c r="B20" t="s">
        <v>53</v>
      </c>
      <c r="C20">
        <f>'[1]VENTAS CONSOLIDADA CARACAS'!C20</f>
        <v>2961</v>
      </c>
      <c r="D20" s="5">
        <f t="shared" ca="1" si="0"/>
        <v>740.25</v>
      </c>
      <c r="E20" s="5">
        <f t="shared" ca="1" si="1"/>
        <v>16285.5</v>
      </c>
    </row>
    <row r="21" spans="1:5" x14ac:dyDescent="0.25">
      <c r="A21">
        <v>130155</v>
      </c>
      <c r="B21" t="s">
        <v>16</v>
      </c>
      <c r="C21">
        <f>'[1]VENTAS CONSOLIDADA CARACAS'!C21</f>
        <v>3840</v>
      </c>
      <c r="D21" s="5">
        <f t="shared" ca="1" si="0"/>
        <v>960</v>
      </c>
      <c r="E21" s="5">
        <f t="shared" ca="1" si="1"/>
        <v>21120</v>
      </c>
    </row>
    <row r="22" spans="1:5" x14ac:dyDescent="0.25">
      <c r="A22">
        <v>130157</v>
      </c>
      <c r="B22" t="s">
        <v>43</v>
      </c>
      <c r="C22">
        <f>'[1]VENTAS CONSOLIDADA CARACAS'!C22</f>
        <v>1310</v>
      </c>
      <c r="D22" s="5">
        <f t="shared" ca="1" si="0"/>
        <v>327.5</v>
      </c>
      <c r="E22" s="5">
        <f t="shared" ca="1" si="1"/>
        <v>7205</v>
      </c>
    </row>
    <row r="23" spans="1:5" x14ac:dyDescent="0.25">
      <c r="A23">
        <v>130158</v>
      </c>
      <c r="B23" t="s">
        <v>44</v>
      </c>
      <c r="C23">
        <f>'[1]VENTAS CONSOLIDADA CARACAS'!C23</f>
        <v>1351</v>
      </c>
      <c r="D23" s="5">
        <f t="shared" ca="1" si="0"/>
        <v>337.75</v>
      </c>
      <c r="E23" s="5">
        <f t="shared" ca="1" si="1"/>
        <v>7430.5</v>
      </c>
    </row>
    <row r="24" spans="1:5" x14ac:dyDescent="0.25">
      <c r="A24">
        <v>130159</v>
      </c>
      <c r="B24" t="s">
        <v>45</v>
      </c>
      <c r="C24">
        <f>'[1]VENTAS CONSOLIDADA CARACAS'!C24</f>
        <v>1374</v>
      </c>
      <c r="D24" s="5">
        <f t="shared" ca="1" si="0"/>
        <v>343.5</v>
      </c>
      <c r="E24" s="5">
        <f t="shared" ca="1" si="1"/>
        <v>7557</v>
      </c>
    </row>
    <row r="25" spans="1:5" x14ac:dyDescent="0.25">
      <c r="A25">
        <v>130700</v>
      </c>
      <c r="B25" t="s">
        <v>3</v>
      </c>
      <c r="C25">
        <f>'[1]VENTAS CONSOLIDADA CARACAS'!C25</f>
        <v>234</v>
      </c>
      <c r="D25" s="5">
        <f t="shared" ca="1" si="0"/>
        <v>58.5</v>
      </c>
      <c r="E25" s="5">
        <f t="shared" ca="1" si="1"/>
        <v>1287</v>
      </c>
    </row>
    <row r="26" spans="1:5" x14ac:dyDescent="0.25">
      <c r="A26">
        <v>130701</v>
      </c>
      <c r="B26" t="s">
        <v>30</v>
      </c>
      <c r="C26">
        <f>'[1]VENTAS CONSOLIDADA CARACAS'!C26</f>
        <v>111</v>
      </c>
      <c r="D26" s="5">
        <f t="shared" ca="1" si="0"/>
        <v>27.75</v>
      </c>
      <c r="E26" s="5">
        <f t="shared" ca="1" si="1"/>
        <v>610.5</v>
      </c>
    </row>
    <row r="27" spans="1:5" x14ac:dyDescent="0.25">
      <c r="A27">
        <v>130702</v>
      </c>
      <c r="B27" t="s">
        <v>12</v>
      </c>
      <c r="C27">
        <f>'[1]VENTAS CONSOLIDADA CARACAS'!C27</f>
        <v>666</v>
      </c>
      <c r="D27" s="5">
        <f t="shared" ca="1" si="0"/>
        <v>166.5</v>
      </c>
      <c r="E27" s="5">
        <f t="shared" ca="1" si="1"/>
        <v>3663</v>
      </c>
    </row>
    <row r="28" spans="1:5" x14ac:dyDescent="0.25">
      <c r="A28">
        <v>130703</v>
      </c>
      <c r="B28" t="s">
        <v>17</v>
      </c>
      <c r="C28">
        <f>'[1]VENTAS CONSOLIDADA CARACAS'!C28</f>
        <v>1370</v>
      </c>
      <c r="D28" s="5">
        <f t="shared" ca="1" si="0"/>
        <v>342.5</v>
      </c>
      <c r="E28" s="5">
        <f t="shared" ca="1" si="1"/>
        <v>7535</v>
      </c>
    </row>
    <row r="29" spans="1:5" x14ac:dyDescent="0.25">
      <c r="A29">
        <v>130707</v>
      </c>
      <c r="B29" t="s">
        <v>42</v>
      </c>
      <c r="C29">
        <f>'[1]VENTAS CONSOLIDADA CARACAS'!C29</f>
        <v>300</v>
      </c>
      <c r="D29" s="5">
        <f t="shared" ca="1" si="0"/>
        <v>75</v>
      </c>
      <c r="E29" s="5">
        <f t="shared" ca="1" si="1"/>
        <v>1650</v>
      </c>
    </row>
    <row r="30" spans="1:5" x14ac:dyDescent="0.25">
      <c r="A30">
        <v>131150</v>
      </c>
      <c r="B30" t="s">
        <v>22</v>
      </c>
      <c r="C30">
        <f>'[1]VENTAS CONSOLIDADA CARACAS'!C30</f>
        <v>961</v>
      </c>
      <c r="D30" s="5">
        <f t="shared" ca="1" si="0"/>
        <v>240.25</v>
      </c>
      <c r="E30" s="5">
        <f t="shared" ca="1" si="1"/>
        <v>5285.5</v>
      </c>
    </row>
    <row r="31" spans="1:5" x14ac:dyDescent="0.25">
      <c r="A31">
        <v>131151</v>
      </c>
      <c r="B31" t="s">
        <v>19</v>
      </c>
      <c r="C31">
        <f>'[1]VENTAS CONSOLIDADA CARACAS'!C31</f>
        <v>544</v>
      </c>
      <c r="D31" s="5">
        <f t="shared" ca="1" si="0"/>
        <v>136</v>
      </c>
      <c r="E31" s="5">
        <f t="shared" ca="1" si="1"/>
        <v>2992</v>
      </c>
    </row>
    <row r="32" spans="1:5" x14ac:dyDescent="0.25">
      <c r="A32">
        <v>131152</v>
      </c>
      <c r="B32" t="s">
        <v>32</v>
      </c>
      <c r="C32">
        <f>'[1]VENTAS CONSOLIDADA CARACAS'!C32</f>
        <v>766</v>
      </c>
      <c r="D32" s="5">
        <f t="shared" ca="1" si="0"/>
        <v>191.5</v>
      </c>
      <c r="E32" s="5">
        <f t="shared" ca="1" si="1"/>
        <v>4213</v>
      </c>
    </row>
    <row r="33" spans="1:5" x14ac:dyDescent="0.25">
      <c r="A33">
        <v>131153</v>
      </c>
      <c r="B33" t="s">
        <v>11</v>
      </c>
      <c r="C33">
        <f>'[1]VENTAS CONSOLIDADA CARACAS'!C33</f>
        <v>521</v>
      </c>
      <c r="D33" s="5">
        <f t="shared" ca="1" si="0"/>
        <v>130.25</v>
      </c>
      <c r="E33" s="5">
        <f t="shared" ca="1" si="1"/>
        <v>2865.5</v>
      </c>
    </row>
    <row r="34" spans="1:5" x14ac:dyDescent="0.25">
      <c r="A34">
        <v>131154</v>
      </c>
      <c r="B34" t="s">
        <v>48</v>
      </c>
      <c r="C34">
        <f>'[1]VENTAS CONSOLIDADA CARACAS'!C34</f>
        <v>362</v>
      </c>
      <c r="D34" s="5">
        <f t="shared" ca="1" si="0"/>
        <v>90.5</v>
      </c>
      <c r="E34" s="5">
        <f t="shared" ca="1" si="1"/>
        <v>1991</v>
      </c>
    </row>
    <row r="35" spans="1:5" x14ac:dyDescent="0.25">
      <c r="A35">
        <v>131155</v>
      </c>
      <c r="B35" t="s">
        <v>57</v>
      </c>
      <c r="C35">
        <f>'[1]VENTAS CONSOLIDADA CARACAS'!C35</f>
        <v>363</v>
      </c>
      <c r="D35" s="5">
        <f t="shared" ca="1" si="0"/>
        <v>90.75</v>
      </c>
      <c r="E35" s="5">
        <f t="shared" ca="1" si="1"/>
        <v>1996.5</v>
      </c>
    </row>
    <row r="36" spans="1:5" x14ac:dyDescent="0.25">
      <c r="A36">
        <v>131700</v>
      </c>
      <c r="B36" t="s">
        <v>20</v>
      </c>
      <c r="C36">
        <f>'[1]VENTAS CONSOLIDADA CARACAS'!C36</f>
        <v>247</v>
      </c>
      <c r="D36" s="5">
        <f t="shared" ca="1" si="0"/>
        <v>61.75</v>
      </c>
      <c r="E36" s="5">
        <f t="shared" ca="1" si="1"/>
        <v>1358.5</v>
      </c>
    </row>
    <row r="37" spans="1:5" x14ac:dyDescent="0.25">
      <c r="A37">
        <v>131701</v>
      </c>
      <c r="B37" t="s">
        <v>24</v>
      </c>
      <c r="C37">
        <f>'[1]VENTAS CONSOLIDADA CARACAS'!C37</f>
        <v>183</v>
      </c>
      <c r="D37" s="5">
        <f t="shared" ca="1" si="0"/>
        <v>45.75</v>
      </c>
      <c r="E37" s="5">
        <f t="shared" ca="1" si="1"/>
        <v>1006.5</v>
      </c>
    </row>
    <row r="38" spans="1:5" x14ac:dyDescent="0.25">
      <c r="A38">
        <v>132150</v>
      </c>
      <c r="B38" t="s">
        <v>25</v>
      </c>
      <c r="C38">
        <f>'[1]VENTAS CONSOLIDADA CARACAS'!C38</f>
        <v>890</v>
      </c>
      <c r="D38" s="5">
        <f t="shared" ca="1" si="0"/>
        <v>222.5</v>
      </c>
      <c r="E38" s="5">
        <f t="shared" ca="1" si="1"/>
        <v>4895</v>
      </c>
    </row>
    <row r="39" spans="1:5" x14ac:dyDescent="0.25">
      <c r="A39">
        <v>132151</v>
      </c>
      <c r="B39" t="s">
        <v>26</v>
      </c>
      <c r="C39">
        <f>'[1]VENTAS CONSOLIDADA CARACAS'!C39</f>
        <v>874</v>
      </c>
      <c r="D39" s="5">
        <f t="shared" ca="1" si="0"/>
        <v>218.5</v>
      </c>
      <c r="E39" s="5">
        <f t="shared" ca="1" si="1"/>
        <v>4807</v>
      </c>
    </row>
    <row r="40" spans="1:5" x14ac:dyDescent="0.25">
      <c r="A40">
        <v>132152</v>
      </c>
      <c r="B40" t="s">
        <v>27</v>
      </c>
      <c r="C40">
        <f>'[1]VENTAS CONSOLIDADA CARACAS'!C40</f>
        <v>962</v>
      </c>
      <c r="D40" s="5">
        <f t="shared" ca="1" si="0"/>
        <v>240.5</v>
      </c>
      <c r="E40" s="5">
        <f t="shared" ca="1" si="1"/>
        <v>5291</v>
      </c>
    </row>
    <row r="41" spans="1:5" x14ac:dyDescent="0.25">
      <c r="A41">
        <v>132153</v>
      </c>
      <c r="B41" t="s">
        <v>40</v>
      </c>
      <c r="C41">
        <f>'[1]VENTAS CONSOLIDADA CARACAS'!C41</f>
        <v>677</v>
      </c>
      <c r="D41" s="5">
        <f t="shared" ca="1" si="0"/>
        <v>169.25</v>
      </c>
      <c r="E41" s="5">
        <f t="shared" ca="1" si="1"/>
        <v>3723.5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7</v>
      </c>
      <c r="D44" s="5">
        <f t="shared" ca="1" si="0"/>
        <v>1.75</v>
      </c>
      <c r="E44" s="5">
        <f t="shared" ca="1" si="1"/>
        <v>38.5</v>
      </c>
    </row>
    <row r="45" spans="1:5" x14ac:dyDescent="0.25">
      <c r="A45">
        <v>140231</v>
      </c>
      <c r="B45" t="s">
        <v>10</v>
      </c>
      <c r="C45">
        <f>'[1]VENTAS CONSOLIDADA CARACAS'!C45</f>
        <v>860</v>
      </c>
      <c r="D45" s="5">
        <f t="shared" ca="1" si="0"/>
        <v>215</v>
      </c>
      <c r="E45" s="5">
        <f t="shared" ca="1" si="1"/>
        <v>4730</v>
      </c>
    </row>
    <row r="46" spans="1:5" x14ac:dyDescent="0.25">
      <c r="A46">
        <v>140232</v>
      </c>
      <c r="B46" t="s">
        <v>9</v>
      </c>
      <c r="C46">
        <f>'[1]VENTAS CONSOLIDADA CARACAS'!C46</f>
        <v>825</v>
      </c>
      <c r="D46" s="5">
        <f t="shared" ca="1" si="0"/>
        <v>206.25</v>
      </c>
      <c r="E46" s="5">
        <f t="shared" ca="1" si="1"/>
        <v>4537.5</v>
      </c>
    </row>
    <row r="47" spans="1:5" x14ac:dyDescent="0.25">
      <c r="A47">
        <v>150360</v>
      </c>
      <c r="B47" t="s">
        <v>28</v>
      </c>
      <c r="C47">
        <f>'[1]VENTAS CONSOLIDADA CARACAS'!C47</f>
        <v>466</v>
      </c>
      <c r="D47" s="5">
        <f t="shared" ca="1" si="0"/>
        <v>116.5</v>
      </c>
      <c r="E47" s="5">
        <f t="shared" ca="1" si="1"/>
        <v>2563</v>
      </c>
    </row>
    <row r="48" spans="1:5" x14ac:dyDescent="0.25">
      <c r="A48">
        <v>150361</v>
      </c>
      <c r="B48" t="s">
        <v>29</v>
      </c>
      <c r="C48">
        <f>'[1]VENTAS CONSOLIDADA CARACAS'!C48</f>
        <v>696</v>
      </c>
      <c r="D48" s="5">
        <f t="shared" ca="1" si="0"/>
        <v>174</v>
      </c>
      <c r="E48" s="5">
        <f t="shared" ca="1" si="1"/>
        <v>3828</v>
      </c>
    </row>
    <row r="49" spans="1:5" x14ac:dyDescent="0.25">
      <c r="A49">
        <v>150362</v>
      </c>
      <c r="B49" t="s">
        <v>36</v>
      </c>
      <c r="C49">
        <f>'[1]VENTAS CONSOLIDADA CARACAS'!C49</f>
        <v>498</v>
      </c>
      <c r="D49" s="5">
        <f t="shared" ca="1" si="0"/>
        <v>124.5</v>
      </c>
      <c r="E49" s="5">
        <f t="shared" ca="1" si="1"/>
        <v>2739</v>
      </c>
    </row>
    <row r="50" spans="1:5" x14ac:dyDescent="0.25">
      <c r="A50">
        <v>150363</v>
      </c>
      <c r="B50" t="s">
        <v>31</v>
      </c>
      <c r="C50">
        <f>'[1]VENTAS CONSOLIDADA CARACAS'!C50</f>
        <v>453</v>
      </c>
      <c r="D50" s="5">
        <f t="shared" ca="1" si="0"/>
        <v>113.25</v>
      </c>
      <c r="E50" s="5">
        <f t="shared" ca="1" si="1"/>
        <v>2491.5</v>
      </c>
    </row>
    <row r="51" spans="1:5" x14ac:dyDescent="0.25">
      <c r="A51">
        <v>151500</v>
      </c>
      <c r="B51" t="s">
        <v>41</v>
      </c>
      <c r="C51">
        <f>'[1]VENTAS CONSOLIDADA CARACAS'!C51</f>
        <v>42</v>
      </c>
      <c r="D51" s="5">
        <f t="shared" ca="1" si="0"/>
        <v>10.5</v>
      </c>
      <c r="E51" s="5">
        <f t="shared" ca="1" si="1"/>
        <v>231</v>
      </c>
    </row>
    <row r="52" spans="1:5" x14ac:dyDescent="0.25">
      <c r="A52">
        <v>151501</v>
      </c>
      <c r="B52" t="s">
        <v>33</v>
      </c>
      <c r="C52">
        <f>'[1]VENTAS CONSOLIDADA CARACAS'!C52</f>
        <v>80</v>
      </c>
      <c r="D52" s="5">
        <f t="shared" ca="1" si="0"/>
        <v>20</v>
      </c>
      <c r="E52" s="5">
        <f t="shared" ca="1" si="1"/>
        <v>440</v>
      </c>
    </row>
    <row r="53" spans="1:5" x14ac:dyDescent="0.25">
      <c r="A53">
        <v>151502</v>
      </c>
      <c r="B53" t="s">
        <v>37</v>
      </c>
      <c r="C53">
        <f>'[1]VENTAS CONSOLIDADA CARACAS'!C53</f>
        <v>44</v>
      </c>
      <c r="D53" s="5">
        <f t="shared" ca="1" si="0"/>
        <v>11</v>
      </c>
      <c r="E53" s="5">
        <f t="shared" ca="1" si="1"/>
        <v>242</v>
      </c>
    </row>
    <row r="54" spans="1:5" x14ac:dyDescent="0.25">
      <c r="A54">
        <v>151503</v>
      </c>
      <c r="B54" t="s">
        <v>34</v>
      </c>
      <c r="C54">
        <f>'[1]VENTAS CONSOLIDADA CARACAS'!C54</f>
        <v>57</v>
      </c>
      <c r="D54" s="5">
        <f t="shared" ca="1" si="0"/>
        <v>14.25</v>
      </c>
      <c r="E54" s="5">
        <f t="shared" ca="1" si="1"/>
        <v>313.5</v>
      </c>
    </row>
    <row r="55" spans="1:5" x14ac:dyDescent="0.25">
      <c r="D55" s="5">
        <f ca="1">SUM(D8:D54)</f>
        <v>10109</v>
      </c>
      <c r="E55" s="5">
        <f ca="1">SUM(E8:E54)</f>
        <v>222398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46272</v>
      </c>
      <c r="E2" s="4">
        <f ca="1">'[1]VENTAS CONSOLIDADA LARA'!E2</f>
        <v>4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140</v>
      </c>
      <c r="D8" s="5">
        <f t="shared" ref="D8:D54" ca="1" si="0">C8/$E$2</f>
        <v>35</v>
      </c>
      <c r="E8" s="5">
        <f ca="1">D8*($E$2+$E$3)</f>
        <v>770</v>
      </c>
    </row>
    <row r="9" spans="1:5" x14ac:dyDescent="0.25">
      <c r="A9">
        <v>110151</v>
      </c>
      <c r="B9" t="s">
        <v>5</v>
      </c>
      <c r="C9">
        <f>'[1]VENTAS CONSOLIDADA LARA'!C9</f>
        <v>3</v>
      </c>
      <c r="D9" s="5">
        <f t="shared" ca="1" si="0"/>
        <v>0.75</v>
      </c>
      <c r="E9" s="5">
        <f t="shared" ref="E9:E54" ca="1" si="1">D9*($E$2+$E$3)</f>
        <v>16.5</v>
      </c>
    </row>
    <row r="10" spans="1:5" x14ac:dyDescent="0.25">
      <c r="A10">
        <v>110230</v>
      </c>
      <c r="B10" t="s">
        <v>1</v>
      </c>
      <c r="C10">
        <f>'[1]VENTAS CONSOLIDADA LARA'!C10</f>
        <v>68</v>
      </c>
      <c r="D10" s="5">
        <f t="shared" ca="1" si="0"/>
        <v>17</v>
      </c>
      <c r="E10" s="5">
        <f t="shared" ca="1" si="1"/>
        <v>374</v>
      </c>
    </row>
    <row r="11" spans="1:5" x14ac:dyDescent="0.25">
      <c r="A11">
        <v>110400</v>
      </c>
      <c r="B11" t="s">
        <v>13</v>
      </c>
      <c r="C11">
        <f>'[1]VENTAS CONSOLIDADA LARA'!C11</f>
        <v>11</v>
      </c>
      <c r="D11" s="5">
        <f t="shared" ca="1" si="0"/>
        <v>2.75</v>
      </c>
      <c r="E11" s="5">
        <f t="shared" ca="1" si="1"/>
        <v>60.5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520</v>
      </c>
      <c r="D13" s="5">
        <f t="shared" ca="1" si="0"/>
        <v>130</v>
      </c>
      <c r="E13" s="5">
        <f t="shared" ca="1" si="1"/>
        <v>2860</v>
      </c>
    </row>
    <row r="14" spans="1:5" x14ac:dyDescent="0.25">
      <c r="A14">
        <v>120131</v>
      </c>
      <c r="B14" t="s">
        <v>23</v>
      </c>
      <c r="C14">
        <f>'[1]VENTAS CONSOLIDADA LARA'!C14</f>
        <v>63</v>
      </c>
      <c r="D14" s="5">
        <f t="shared" ca="1" si="0"/>
        <v>15.75</v>
      </c>
      <c r="E14" s="5">
        <f t="shared" ca="1" si="1"/>
        <v>346.5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20.75</v>
      </c>
      <c r="E15" s="5">
        <f t="shared" ca="1" si="1"/>
        <v>456.5</v>
      </c>
    </row>
    <row r="16" spans="1:5" x14ac:dyDescent="0.25">
      <c r="A16">
        <v>130150</v>
      </c>
      <c r="B16" t="s">
        <v>0</v>
      </c>
      <c r="C16">
        <f>'[1]VENTAS CONSOLIDADA LARA'!C16</f>
        <v>219</v>
      </c>
      <c r="D16" s="5">
        <f t="shared" ca="1" si="0"/>
        <v>54.75</v>
      </c>
      <c r="E16" s="5">
        <f t="shared" ca="1" si="1"/>
        <v>1204.5</v>
      </c>
    </row>
    <row r="17" spans="1:5" x14ac:dyDescent="0.25">
      <c r="A17">
        <v>130151</v>
      </c>
      <c r="B17" t="s">
        <v>4</v>
      </c>
      <c r="C17">
        <f>'[1]VENTAS CONSOLIDADA LARA'!C17</f>
        <v>83</v>
      </c>
      <c r="D17" s="5">
        <f t="shared" ca="1" si="0"/>
        <v>20.75</v>
      </c>
      <c r="E17" s="5">
        <f t="shared" ca="1" si="1"/>
        <v>456.5</v>
      </c>
    </row>
    <row r="18" spans="1:5" x14ac:dyDescent="0.25">
      <c r="A18">
        <v>130152</v>
      </c>
      <c r="B18" t="s">
        <v>51</v>
      </c>
      <c r="C18">
        <f>'[1]VENTAS CONSOLIDADA LARA'!C18</f>
        <v>1909</v>
      </c>
      <c r="D18" s="5">
        <f t="shared" ca="1" si="0"/>
        <v>477.25</v>
      </c>
      <c r="E18" s="5">
        <f t="shared" ca="1" si="1"/>
        <v>10499.5</v>
      </c>
    </row>
    <row r="19" spans="1:5" x14ac:dyDescent="0.25">
      <c r="A19">
        <v>130153</v>
      </c>
      <c r="B19" t="s">
        <v>52</v>
      </c>
      <c r="C19">
        <f>'[1]VENTAS CONSOLIDADA LARA'!C19</f>
        <v>1008</v>
      </c>
      <c r="D19" s="5">
        <f t="shared" ca="1" si="0"/>
        <v>252</v>
      </c>
      <c r="E19" s="5">
        <f t="shared" ca="1" si="1"/>
        <v>5544</v>
      </c>
    </row>
    <row r="20" spans="1:5" x14ac:dyDescent="0.25">
      <c r="A20">
        <v>130154</v>
      </c>
      <c r="B20" t="s">
        <v>53</v>
      </c>
      <c r="C20">
        <f>'[1]VENTAS CONSOLIDADA LARA'!C20</f>
        <v>1006</v>
      </c>
      <c r="D20" s="5">
        <f t="shared" ca="1" si="0"/>
        <v>251.5</v>
      </c>
      <c r="E20" s="5">
        <f t="shared" ca="1" si="1"/>
        <v>5533</v>
      </c>
    </row>
    <row r="21" spans="1:5" x14ac:dyDescent="0.25">
      <c r="A21">
        <v>130155</v>
      </c>
      <c r="B21" t="s">
        <v>16</v>
      </c>
      <c r="C21">
        <f>'[1]VENTAS CONSOLIDADA LARA'!C21</f>
        <v>1137</v>
      </c>
      <c r="D21" s="5">
        <f t="shared" ca="1" si="0"/>
        <v>284.25</v>
      </c>
      <c r="E21" s="5">
        <f t="shared" ca="1" si="1"/>
        <v>6253.5</v>
      </c>
    </row>
    <row r="22" spans="1:5" x14ac:dyDescent="0.25">
      <c r="A22">
        <v>130157</v>
      </c>
      <c r="B22" t="s">
        <v>43</v>
      </c>
      <c r="C22">
        <f>'[1]VENTAS CONSOLIDADA LARA'!C22</f>
        <v>343</v>
      </c>
      <c r="D22" s="5">
        <f t="shared" ca="1" si="0"/>
        <v>85.75</v>
      </c>
      <c r="E22" s="5">
        <f t="shared" ca="1" si="1"/>
        <v>1886.5</v>
      </c>
    </row>
    <row r="23" spans="1:5" x14ac:dyDescent="0.25">
      <c r="A23">
        <v>130158</v>
      </c>
      <c r="B23" t="s">
        <v>44</v>
      </c>
      <c r="C23">
        <f>'[1]VENTAS CONSOLIDADA LARA'!C23</f>
        <v>475</v>
      </c>
      <c r="D23" s="5">
        <f t="shared" ca="1" si="0"/>
        <v>118.75</v>
      </c>
      <c r="E23" s="5">
        <f t="shared" ca="1" si="1"/>
        <v>2612.5</v>
      </c>
    </row>
    <row r="24" spans="1:5" x14ac:dyDescent="0.25">
      <c r="A24">
        <v>130159</v>
      </c>
      <c r="B24" t="s">
        <v>45</v>
      </c>
      <c r="C24">
        <f>'[1]VENTAS CONSOLIDADA LARA'!C24</f>
        <v>458</v>
      </c>
      <c r="D24" s="5">
        <f t="shared" ca="1" si="0"/>
        <v>114.5</v>
      </c>
      <c r="E24" s="5">
        <f t="shared" ca="1" si="1"/>
        <v>2519</v>
      </c>
    </row>
    <row r="25" spans="1:5" x14ac:dyDescent="0.25">
      <c r="A25">
        <v>130700</v>
      </c>
      <c r="B25" t="s">
        <v>3</v>
      </c>
      <c r="C25">
        <f>'[1]VENTAS CONSOLIDADA LARA'!C25</f>
        <v>99</v>
      </c>
      <c r="D25" s="5">
        <f t="shared" ca="1" si="0"/>
        <v>24.75</v>
      </c>
      <c r="E25" s="5">
        <f t="shared" ca="1" si="1"/>
        <v>544.5</v>
      </c>
    </row>
    <row r="26" spans="1:5" x14ac:dyDescent="0.25">
      <c r="A26">
        <v>130701</v>
      </c>
      <c r="B26" t="s">
        <v>30</v>
      </c>
      <c r="C26">
        <f>'[1]VENTAS CONSOLIDADA LARA'!C26</f>
        <v>14</v>
      </c>
      <c r="D26" s="5">
        <f t="shared" ca="1" si="0"/>
        <v>3.5</v>
      </c>
      <c r="E26" s="5">
        <f t="shared" ca="1" si="1"/>
        <v>77</v>
      </c>
    </row>
    <row r="27" spans="1:5" x14ac:dyDescent="0.25">
      <c r="A27">
        <v>130702</v>
      </c>
      <c r="B27" t="s">
        <v>12</v>
      </c>
      <c r="C27">
        <f>'[1]VENTAS CONSOLIDADA LARA'!C27</f>
        <v>381</v>
      </c>
      <c r="D27" s="5">
        <f t="shared" ca="1" si="0"/>
        <v>95.25</v>
      </c>
      <c r="E27" s="5">
        <f t="shared" ca="1" si="1"/>
        <v>2095.5</v>
      </c>
    </row>
    <row r="28" spans="1:5" x14ac:dyDescent="0.25">
      <c r="A28">
        <v>130703</v>
      </c>
      <c r="B28" t="s">
        <v>17</v>
      </c>
      <c r="C28">
        <f>'[1]VENTAS CONSOLIDADA LARA'!C28</f>
        <v>454</v>
      </c>
      <c r="D28" s="5">
        <f t="shared" ca="1" si="0"/>
        <v>113.5</v>
      </c>
      <c r="E28" s="5">
        <f t="shared" ca="1" si="1"/>
        <v>2497</v>
      </c>
    </row>
    <row r="29" spans="1:5" x14ac:dyDescent="0.25">
      <c r="A29">
        <v>130707</v>
      </c>
      <c r="B29" t="s">
        <v>42</v>
      </c>
      <c r="C29">
        <f>'[1]VENTAS CONSOLIDADA LARA'!C29</f>
        <v>20</v>
      </c>
      <c r="D29" s="5">
        <f t="shared" ca="1" si="0"/>
        <v>5</v>
      </c>
      <c r="E29" s="5">
        <f t="shared" ca="1" si="1"/>
        <v>110</v>
      </c>
    </row>
    <row r="30" spans="1:5" x14ac:dyDescent="0.25">
      <c r="A30">
        <v>131150</v>
      </c>
      <c r="B30" t="s">
        <v>22</v>
      </c>
      <c r="C30">
        <f>'[1]VENTAS CONSOLIDADA LARA'!C30</f>
        <v>106</v>
      </c>
      <c r="D30" s="5">
        <f t="shared" ca="1" si="0"/>
        <v>26.5</v>
      </c>
      <c r="E30" s="5">
        <f t="shared" ca="1" si="1"/>
        <v>583</v>
      </c>
    </row>
    <row r="31" spans="1:5" x14ac:dyDescent="0.25">
      <c r="A31">
        <v>131151</v>
      </c>
      <c r="B31" t="s">
        <v>19</v>
      </c>
      <c r="C31">
        <f>'[1]VENTAS CONSOLIDADA LARA'!C31</f>
        <v>299</v>
      </c>
      <c r="D31" s="5">
        <f t="shared" ca="1" si="0"/>
        <v>74.75</v>
      </c>
      <c r="E31" s="5">
        <f t="shared" ca="1" si="1"/>
        <v>1644.5</v>
      </c>
    </row>
    <row r="32" spans="1:5" x14ac:dyDescent="0.25">
      <c r="A32">
        <v>131152</v>
      </c>
      <c r="B32" t="s">
        <v>32</v>
      </c>
      <c r="C32">
        <f>'[1]VENTAS CONSOLIDADA LARA'!C32</f>
        <v>153</v>
      </c>
      <c r="D32" s="5">
        <f t="shared" ca="1" si="0"/>
        <v>38.25</v>
      </c>
      <c r="E32" s="5">
        <f t="shared" ca="1" si="1"/>
        <v>841.5</v>
      </c>
    </row>
    <row r="33" spans="1:5" x14ac:dyDescent="0.25">
      <c r="A33">
        <v>131153</v>
      </c>
      <c r="B33" t="s">
        <v>11</v>
      </c>
      <c r="C33">
        <f>'[1]VENTAS CONSOLIDADA LARA'!C33</f>
        <v>93</v>
      </c>
      <c r="D33" s="5">
        <f t="shared" ca="1" si="0"/>
        <v>23.25</v>
      </c>
      <c r="E33" s="5">
        <f t="shared" ca="1" si="1"/>
        <v>511.5</v>
      </c>
    </row>
    <row r="34" spans="1:5" x14ac:dyDescent="0.25">
      <c r="A34">
        <v>131154</v>
      </c>
      <c r="B34" t="s">
        <v>48</v>
      </c>
      <c r="C34">
        <f>'[1]VENTAS CONSOLIDADA LARA'!C34</f>
        <v>234</v>
      </c>
      <c r="D34" s="5">
        <f t="shared" ca="1" si="0"/>
        <v>58.5</v>
      </c>
      <c r="E34" s="5">
        <f t="shared" ca="1" si="1"/>
        <v>1287</v>
      </c>
    </row>
    <row r="35" spans="1:5" x14ac:dyDescent="0.25">
      <c r="A35">
        <v>131155</v>
      </c>
      <c r="B35" t="s">
        <v>57</v>
      </c>
      <c r="C35">
        <f>'[1]VENTAS CONSOLIDADA LARA'!C35</f>
        <v>246</v>
      </c>
      <c r="D35" s="5">
        <f t="shared" ca="1" si="0"/>
        <v>61.5</v>
      </c>
      <c r="E35" s="5">
        <f t="shared" ca="1" si="1"/>
        <v>1353</v>
      </c>
    </row>
    <row r="36" spans="1:5" x14ac:dyDescent="0.25">
      <c r="A36">
        <v>131700</v>
      </c>
      <c r="B36" t="s">
        <v>20</v>
      </c>
      <c r="C36">
        <f>'[1]VENTAS CONSOLIDADA LARA'!C36</f>
        <v>30</v>
      </c>
      <c r="D36" s="5">
        <f t="shared" ca="1" si="0"/>
        <v>7.5</v>
      </c>
      <c r="E36" s="5">
        <f t="shared" ca="1" si="1"/>
        <v>165</v>
      </c>
    </row>
    <row r="37" spans="1:5" x14ac:dyDescent="0.25">
      <c r="A37">
        <v>131701</v>
      </c>
      <c r="B37" t="s">
        <v>24</v>
      </c>
      <c r="C37">
        <f>'[1]VENTAS CONSOLIDADA LARA'!C37</f>
        <v>67</v>
      </c>
      <c r="D37" s="5">
        <f t="shared" ca="1" si="0"/>
        <v>16.75</v>
      </c>
      <c r="E37" s="5">
        <f t="shared" ca="1" si="1"/>
        <v>368.5</v>
      </c>
    </row>
    <row r="38" spans="1:5" x14ac:dyDescent="0.25">
      <c r="A38">
        <v>132150</v>
      </c>
      <c r="B38" t="s">
        <v>25</v>
      </c>
      <c r="C38">
        <f>'[1]VENTAS CONSOLIDADA LARA'!C38</f>
        <v>368</v>
      </c>
      <c r="D38" s="5">
        <f t="shared" ca="1" si="0"/>
        <v>92</v>
      </c>
      <c r="E38" s="5">
        <f t="shared" ca="1" si="1"/>
        <v>2024</v>
      </c>
    </row>
    <row r="39" spans="1:5" x14ac:dyDescent="0.25">
      <c r="A39">
        <v>132151</v>
      </c>
      <c r="B39" t="s">
        <v>26</v>
      </c>
      <c r="C39">
        <f>'[1]VENTAS CONSOLIDADA LARA'!C39</f>
        <v>223</v>
      </c>
      <c r="D39" s="5">
        <f t="shared" ca="1" si="0"/>
        <v>55.75</v>
      </c>
      <c r="E39" s="5">
        <f t="shared" ca="1" si="1"/>
        <v>1226.5</v>
      </c>
    </row>
    <row r="40" spans="1:5" x14ac:dyDescent="0.25">
      <c r="A40">
        <v>132152</v>
      </c>
      <c r="B40" t="s">
        <v>27</v>
      </c>
      <c r="C40">
        <f>'[1]VENTAS CONSOLIDADA LARA'!C40</f>
        <v>379</v>
      </c>
      <c r="D40" s="5">
        <f t="shared" ca="1" si="0"/>
        <v>94.75</v>
      </c>
      <c r="E40" s="5">
        <f t="shared" ca="1" si="1"/>
        <v>2084.5</v>
      </c>
    </row>
    <row r="41" spans="1:5" x14ac:dyDescent="0.25">
      <c r="A41">
        <v>132153</v>
      </c>
      <c r="B41" t="s">
        <v>40</v>
      </c>
      <c r="C41">
        <f>'[1]VENTAS CONSOLIDADA LARA'!C41</f>
        <v>118</v>
      </c>
      <c r="D41" s="5">
        <f t="shared" ca="1" si="0"/>
        <v>29.5</v>
      </c>
      <c r="E41" s="5">
        <f t="shared" ca="1" si="1"/>
        <v>649</v>
      </c>
    </row>
    <row r="42" spans="1:5" x14ac:dyDescent="0.25">
      <c r="A42">
        <v>134000</v>
      </c>
      <c r="B42" t="s">
        <v>35</v>
      </c>
      <c r="C42">
        <f>'[1]VENTAS CONSOLIDADA LARA'!C42</f>
        <v>1</v>
      </c>
      <c r="D42" s="5">
        <f t="shared" ca="1" si="0"/>
        <v>0.25</v>
      </c>
      <c r="E42" s="5">
        <f t="shared" ca="1" si="1"/>
        <v>5.5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42</v>
      </c>
      <c r="D44" s="5">
        <f t="shared" ca="1" si="0"/>
        <v>10.5</v>
      </c>
      <c r="E44" s="5">
        <f t="shared" ca="1" si="1"/>
        <v>231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23</v>
      </c>
      <c r="E45" s="5">
        <f t="shared" ca="1" si="1"/>
        <v>506</v>
      </c>
    </row>
    <row r="46" spans="1:5" x14ac:dyDescent="0.25">
      <c r="A46">
        <v>140232</v>
      </c>
      <c r="B46" t="s">
        <v>9</v>
      </c>
      <c r="C46">
        <f>'[1]VENTAS CONSOLIDADA LARA'!C46</f>
        <v>129</v>
      </c>
      <c r="D46" s="5">
        <f t="shared" ca="1" si="0"/>
        <v>32.25</v>
      </c>
      <c r="E46" s="5">
        <f t="shared" ca="1" si="1"/>
        <v>709.5</v>
      </c>
    </row>
    <row r="47" spans="1:5" x14ac:dyDescent="0.25">
      <c r="A47">
        <v>150360</v>
      </c>
      <c r="B47" t="s">
        <v>28</v>
      </c>
      <c r="C47">
        <f>'[1]VENTAS CONSOLIDADA LARA'!C47</f>
        <v>45</v>
      </c>
      <c r="D47" s="5">
        <f t="shared" ca="1" si="0"/>
        <v>11.25</v>
      </c>
      <c r="E47" s="5">
        <f t="shared" ca="1" si="1"/>
        <v>247.5</v>
      </c>
    </row>
    <row r="48" spans="1:5" x14ac:dyDescent="0.25">
      <c r="A48">
        <v>150361</v>
      </c>
      <c r="B48" t="s">
        <v>29</v>
      </c>
      <c r="C48">
        <f>'[1]VENTAS CONSOLIDADA LARA'!C48</f>
        <v>42</v>
      </c>
      <c r="D48" s="5">
        <f t="shared" ca="1" si="0"/>
        <v>10.5</v>
      </c>
      <c r="E48" s="5">
        <f t="shared" ca="1" si="1"/>
        <v>231</v>
      </c>
    </row>
    <row r="49" spans="1:5" x14ac:dyDescent="0.25">
      <c r="A49">
        <v>150362</v>
      </c>
      <c r="B49" t="s">
        <v>36</v>
      </c>
      <c r="C49">
        <f>'[1]VENTAS CONSOLIDADA LARA'!C49</f>
        <v>51</v>
      </c>
      <c r="D49" s="5">
        <f t="shared" ca="1" si="0"/>
        <v>12.75</v>
      </c>
      <c r="E49" s="5">
        <f t="shared" ca="1" si="1"/>
        <v>280.5</v>
      </c>
    </row>
    <row r="50" spans="1:5" x14ac:dyDescent="0.25">
      <c r="A50">
        <v>150363</v>
      </c>
      <c r="B50" t="s">
        <v>31</v>
      </c>
      <c r="C50">
        <f>'[1]VENTAS CONSOLIDADA LARA'!C50</f>
        <v>93</v>
      </c>
      <c r="D50" s="5">
        <f t="shared" ca="1" si="0"/>
        <v>23.25</v>
      </c>
      <c r="E50" s="5">
        <f t="shared" ca="1" si="1"/>
        <v>511.5</v>
      </c>
    </row>
    <row r="51" spans="1:5" x14ac:dyDescent="0.25">
      <c r="A51">
        <v>151500</v>
      </c>
      <c r="B51" t="s">
        <v>41</v>
      </c>
      <c r="C51">
        <f>'[1]VENTAS CONSOLIDADA LARA'!C51</f>
        <v>33</v>
      </c>
      <c r="D51" s="5">
        <f t="shared" ca="1" si="0"/>
        <v>8.25</v>
      </c>
      <c r="E51" s="5">
        <f t="shared" ca="1" si="1"/>
        <v>181.5</v>
      </c>
    </row>
    <row r="52" spans="1:5" x14ac:dyDescent="0.25">
      <c r="A52">
        <v>151501</v>
      </c>
      <c r="B52" t="s">
        <v>33</v>
      </c>
      <c r="C52">
        <f>'[1]VENTAS CONSOLIDADA LARA'!C52</f>
        <v>15</v>
      </c>
      <c r="D52" s="5">
        <f t="shared" ca="1" si="0"/>
        <v>3.75</v>
      </c>
      <c r="E52" s="5">
        <f t="shared" ca="1" si="1"/>
        <v>82.5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t="shared" ca="1" si="0"/>
        <v>1.5</v>
      </c>
      <c r="E53" s="5">
        <f t="shared" ca="1" si="1"/>
        <v>33</v>
      </c>
    </row>
    <row r="54" spans="1:5" x14ac:dyDescent="0.25">
      <c r="A54">
        <v>151503</v>
      </c>
      <c r="B54" t="s">
        <v>34</v>
      </c>
      <c r="C54">
        <f>'[1]VENTAS CONSOLIDADA LARA'!C54</f>
        <v>12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5">
        <f ca="1">SUM(D8:D54)</f>
        <v>2842.75</v>
      </c>
      <c r="E55" s="5">
        <f ca="1">SUM(E8:E54)</f>
        <v>62540.5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46272</v>
      </c>
      <c r="E2" s="4">
        <f ca="1">'[1]VENTAS CONSOLIDADA ANZOATEGUI'!E2</f>
        <v>4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168</v>
      </c>
      <c r="D8" s="5">
        <f t="shared" ref="D8:D54" ca="1" si="0">C8/$E$2</f>
        <v>42</v>
      </c>
      <c r="E8" s="5">
        <f t="shared" ref="E8:E54" ca="1" si="1">D8*($E$2+$E$3)</f>
        <v>924</v>
      </c>
    </row>
    <row r="9" spans="1:5" x14ac:dyDescent="0.25">
      <c r="A9">
        <v>110151</v>
      </c>
      <c r="B9" t="s">
        <v>5</v>
      </c>
      <c r="C9">
        <f>'[1]VENTAS CONSOLIDADA ANZOATEGUI'!C9</f>
        <v>24</v>
      </c>
      <c r="D9" s="5">
        <f t="shared" ca="1" si="0"/>
        <v>6</v>
      </c>
      <c r="E9" s="5">
        <f t="shared" ca="1" si="1"/>
        <v>132</v>
      </c>
    </row>
    <row r="10" spans="1:5" x14ac:dyDescent="0.25">
      <c r="A10">
        <v>110230</v>
      </c>
      <c r="B10" t="s">
        <v>1</v>
      </c>
      <c r="C10">
        <f>'[1]VENTAS CONSOLIDADA ANZOATEGUI'!C10</f>
        <v>67</v>
      </c>
      <c r="D10" s="5">
        <f t="shared" ca="1" si="0"/>
        <v>16.75</v>
      </c>
      <c r="E10" s="5">
        <f t="shared" ca="1" si="1"/>
        <v>368.5</v>
      </c>
    </row>
    <row r="11" spans="1:5" x14ac:dyDescent="0.25">
      <c r="A11">
        <v>110400</v>
      </c>
      <c r="B11" t="s">
        <v>13</v>
      </c>
      <c r="C11">
        <f>'[1]VENTAS CONSOLIDADA ANZOATEGUI'!C11</f>
        <v>4</v>
      </c>
      <c r="D11" s="5">
        <f t="shared" ca="1" si="0"/>
        <v>1</v>
      </c>
      <c r="E11" s="5">
        <f t="shared" ca="1" si="1"/>
        <v>22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1.25</v>
      </c>
      <c r="E12" s="5">
        <f t="shared" ca="1" si="1"/>
        <v>27.5</v>
      </c>
    </row>
    <row r="13" spans="1:5" x14ac:dyDescent="0.25">
      <c r="A13">
        <v>120130</v>
      </c>
      <c r="B13" t="s">
        <v>15</v>
      </c>
      <c r="C13">
        <f>'[1]VENTAS CONSOLIDADA ANZOATEGUI'!C13</f>
        <v>232</v>
      </c>
      <c r="D13" s="5">
        <f t="shared" ca="1" si="0"/>
        <v>58</v>
      </c>
      <c r="E13" s="5">
        <f t="shared" ca="1" si="1"/>
        <v>1276</v>
      </c>
    </row>
    <row r="14" spans="1:5" x14ac:dyDescent="0.25">
      <c r="A14">
        <v>120131</v>
      </c>
      <c r="B14" t="s">
        <v>23</v>
      </c>
      <c r="C14">
        <f>'[1]VENTAS CONSOLIDADA ANZOATEGUI'!C14</f>
        <v>18</v>
      </c>
      <c r="D14" s="5">
        <f t="shared" ca="1" si="0"/>
        <v>4.5</v>
      </c>
      <c r="E14" s="5">
        <f t="shared" ca="1" si="1"/>
        <v>99</v>
      </c>
    </row>
    <row r="15" spans="1:5" x14ac:dyDescent="0.25">
      <c r="A15">
        <v>120132</v>
      </c>
      <c r="B15" t="s">
        <v>21</v>
      </c>
      <c r="C15">
        <f>'[1]VENTAS CONSOLIDADA ANZOATEGUI'!C15</f>
        <v>41</v>
      </c>
      <c r="D15" s="5">
        <f t="shared" ca="1" si="0"/>
        <v>10.25</v>
      </c>
      <c r="E15" s="5">
        <f t="shared" ca="1" si="1"/>
        <v>225.5</v>
      </c>
    </row>
    <row r="16" spans="1:5" x14ac:dyDescent="0.25">
      <c r="A16">
        <v>130150</v>
      </c>
      <c r="B16" t="s">
        <v>0</v>
      </c>
      <c r="C16">
        <f>'[1]VENTAS CONSOLIDADA ANZOATEGUI'!C16</f>
        <v>92</v>
      </c>
      <c r="D16" s="5">
        <f t="shared" ca="1" si="0"/>
        <v>23</v>
      </c>
      <c r="E16" s="5">
        <f t="shared" ca="1" si="1"/>
        <v>506</v>
      </c>
    </row>
    <row r="17" spans="1:5" x14ac:dyDescent="0.25">
      <c r="A17">
        <v>130151</v>
      </c>
      <c r="B17" t="s">
        <v>4</v>
      </c>
      <c r="C17">
        <f>'[1]VENTAS CONSOLIDADA ANZOATEGUI'!C17</f>
        <v>35</v>
      </c>
      <c r="D17" s="5">
        <f t="shared" ca="1" si="0"/>
        <v>8.75</v>
      </c>
      <c r="E17" s="5">
        <f t="shared" ca="1" si="1"/>
        <v>192.5</v>
      </c>
    </row>
    <row r="18" spans="1:5" x14ac:dyDescent="0.25">
      <c r="A18">
        <v>130152</v>
      </c>
      <c r="B18" t="s">
        <v>51</v>
      </c>
      <c r="C18">
        <f>'[1]VENTAS CONSOLIDADA ANZOATEGUI'!C18</f>
        <v>617</v>
      </c>
      <c r="D18" s="5">
        <f t="shared" ca="1" si="0"/>
        <v>154.25</v>
      </c>
      <c r="E18" s="5">
        <f t="shared" ca="1" si="1"/>
        <v>3393.5</v>
      </c>
    </row>
    <row r="19" spans="1:5" x14ac:dyDescent="0.25">
      <c r="A19">
        <v>130153</v>
      </c>
      <c r="B19" t="s">
        <v>52</v>
      </c>
      <c r="C19">
        <f>'[1]VENTAS CONSOLIDADA ANZOATEGUI'!C19</f>
        <v>371</v>
      </c>
      <c r="D19" s="5">
        <f t="shared" ca="1" si="0"/>
        <v>92.75</v>
      </c>
      <c r="E19" s="5">
        <f t="shared" ca="1" si="1"/>
        <v>2040.5</v>
      </c>
    </row>
    <row r="20" spans="1:5" x14ac:dyDescent="0.25">
      <c r="A20">
        <v>130154</v>
      </c>
      <c r="B20" t="s">
        <v>53</v>
      </c>
      <c r="C20">
        <f>'[1]VENTAS CONSOLIDADA ANZOATEGUI'!C20</f>
        <v>471</v>
      </c>
      <c r="D20" s="5">
        <f t="shared" ca="1" si="0"/>
        <v>117.75</v>
      </c>
      <c r="E20" s="5">
        <f t="shared" ca="1" si="1"/>
        <v>2590.5</v>
      </c>
    </row>
    <row r="21" spans="1:5" x14ac:dyDescent="0.25">
      <c r="A21">
        <v>130155</v>
      </c>
      <c r="B21" t="s">
        <v>16</v>
      </c>
      <c r="C21">
        <f>'[1]VENTAS CONSOLIDADA ANZOATEGUI'!C21</f>
        <v>363</v>
      </c>
      <c r="D21" s="5">
        <f t="shared" ca="1" si="0"/>
        <v>90.75</v>
      </c>
      <c r="E21" s="5">
        <f t="shared" ca="1" si="1"/>
        <v>1996.5</v>
      </c>
    </row>
    <row r="22" spans="1:5" x14ac:dyDescent="0.25">
      <c r="A22">
        <v>130157</v>
      </c>
      <c r="B22" t="s">
        <v>43</v>
      </c>
      <c r="C22">
        <f>'[1]VENTAS CONSOLIDADA ANZOATEGUI'!C22</f>
        <v>114</v>
      </c>
      <c r="D22" s="5">
        <f t="shared" ca="1" si="0"/>
        <v>28.5</v>
      </c>
      <c r="E22" s="5">
        <f t="shared" ca="1" si="1"/>
        <v>627</v>
      </c>
    </row>
    <row r="23" spans="1:5" x14ac:dyDescent="0.25">
      <c r="A23">
        <v>130158</v>
      </c>
      <c r="B23" t="s">
        <v>44</v>
      </c>
      <c r="C23">
        <f>'[1]VENTAS CONSOLIDADA ANZOATEGUI'!C23</f>
        <v>112</v>
      </c>
      <c r="D23" s="5">
        <f t="shared" ca="1" si="0"/>
        <v>28</v>
      </c>
      <c r="E23" s="5">
        <f t="shared" ca="1" si="1"/>
        <v>616</v>
      </c>
    </row>
    <row r="24" spans="1:5" x14ac:dyDescent="0.25">
      <c r="A24">
        <v>130159</v>
      </c>
      <c r="B24" t="s">
        <v>45</v>
      </c>
      <c r="C24">
        <f>'[1]VENTAS CONSOLIDADA ANZOATEGUI'!C24</f>
        <v>94</v>
      </c>
      <c r="D24" s="5">
        <f t="shared" ca="1" si="0"/>
        <v>23.5</v>
      </c>
      <c r="E24" s="5">
        <f t="shared" ca="1" si="1"/>
        <v>517</v>
      </c>
    </row>
    <row r="25" spans="1:5" x14ac:dyDescent="0.25">
      <c r="A25">
        <v>130700</v>
      </c>
      <c r="B25" t="s">
        <v>3</v>
      </c>
      <c r="C25">
        <f>'[1]VENTAS CONSOLIDADA ANZOATEGUI'!C25</f>
        <v>17</v>
      </c>
      <c r="D25" s="5">
        <f t="shared" ca="1" si="0"/>
        <v>4.25</v>
      </c>
      <c r="E25" s="5">
        <f t="shared" ca="1" si="1"/>
        <v>93.5</v>
      </c>
    </row>
    <row r="26" spans="1:5" x14ac:dyDescent="0.25">
      <c r="A26">
        <v>130701</v>
      </c>
      <c r="B26" t="s">
        <v>30</v>
      </c>
      <c r="C26">
        <f>'[1]VENTAS CONSOLIDADA ANZOATEGUI'!C26</f>
        <v>3</v>
      </c>
      <c r="D26" s="5">
        <f t="shared" ca="1" si="0"/>
        <v>0.75</v>
      </c>
      <c r="E26" s="5">
        <f t="shared" ca="1" si="1"/>
        <v>16.5</v>
      </c>
    </row>
    <row r="27" spans="1:5" x14ac:dyDescent="0.25">
      <c r="A27">
        <v>130702</v>
      </c>
      <c r="B27" t="s">
        <v>12</v>
      </c>
      <c r="C27">
        <f>'[1]VENTAS CONSOLIDADA ANZOATEGUI'!C27</f>
        <v>52</v>
      </c>
      <c r="D27" s="5">
        <f t="shared" ca="1" si="0"/>
        <v>13</v>
      </c>
      <c r="E27" s="5">
        <f t="shared" ca="1" si="1"/>
        <v>286</v>
      </c>
    </row>
    <row r="28" spans="1:5" x14ac:dyDescent="0.25">
      <c r="A28">
        <v>130703</v>
      </c>
      <c r="B28" t="s">
        <v>17</v>
      </c>
      <c r="C28">
        <f>'[1]VENTAS CONSOLIDADA ANZOATEGUI'!C28</f>
        <v>71</v>
      </c>
      <c r="D28" s="5">
        <f t="shared" ca="1" si="0"/>
        <v>17.75</v>
      </c>
      <c r="E28" s="5">
        <f t="shared" ca="1" si="1"/>
        <v>390.5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165</v>
      </c>
      <c r="D30" s="5">
        <f t="shared" ca="1" si="0"/>
        <v>41.25</v>
      </c>
      <c r="E30" s="5">
        <f t="shared" ca="1" si="1"/>
        <v>907.5</v>
      </c>
    </row>
    <row r="31" spans="1:5" x14ac:dyDescent="0.25">
      <c r="A31">
        <v>131151</v>
      </c>
      <c r="B31" t="s">
        <v>19</v>
      </c>
      <c r="C31">
        <f>'[1]VENTAS CONSOLIDADA ANZOATEGUI'!C31</f>
        <v>378</v>
      </c>
      <c r="D31" s="5">
        <f t="shared" ca="1" si="0"/>
        <v>94.5</v>
      </c>
      <c r="E31" s="5">
        <f t="shared" ca="1" si="1"/>
        <v>2079</v>
      </c>
    </row>
    <row r="32" spans="1:5" x14ac:dyDescent="0.25">
      <c r="A32">
        <v>131152</v>
      </c>
      <c r="B32" t="s">
        <v>32</v>
      </c>
      <c r="C32">
        <f>'[1]VENTAS CONSOLIDADA ANZOATEGUI'!C32</f>
        <v>314</v>
      </c>
      <c r="D32" s="5">
        <f t="shared" ca="1" si="0"/>
        <v>78.5</v>
      </c>
      <c r="E32" s="5">
        <f t="shared" ca="1" si="1"/>
        <v>1727</v>
      </c>
    </row>
    <row r="33" spans="1:5" x14ac:dyDescent="0.25">
      <c r="A33">
        <v>131153</v>
      </c>
      <c r="B33" t="s">
        <v>11</v>
      </c>
      <c r="C33">
        <f>'[1]VENTAS CONSOLIDADA ANZOATEGUI'!C33</f>
        <v>34</v>
      </c>
      <c r="D33" s="5">
        <f t="shared" ca="1" si="0"/>
        <v>8.5</v>
      </c>
      <c r="E33" s="5">
        <f t="shared" ca="1" si="1"/>
        <v>187</v>
      </c>
    </row>
    <row r="34" spans="1:5" x14ac:dyDescent="0.25">
      <c r="A34">
        <v>131154</v>
      </c>
      <c r="B34" t="s">
        <v>48</v>
      </c>
      <c r="C34">
        <f>'[1]VENTAS CONSOLIDADA ANZOATEGUI'!C34</f>
        <v>104</v>
      </c>
      <c r="D34" s="5">
        <f t="shared" ca="1" si="0"/>
        <v>26</v>
      </c>
      <c r="E34" s="5">
        <f t="shared" ca="1" si="1"/>
        <v>572</v>
      </c>
    </row>
    <row r="35" spans="1:5" x14ac:dyDescent="0.25">
      <c r="A35">
        <v>131155</v>
      </c>
      <c r="B35" t="s">
        <v>57</v>
      </c>
      <c r="C35">
        <f>'[1]VENTAS CONSOLIDADA ANZOATEGUI'!C35</f>
        <v>104</v>
      </c>
      <c r="D35" s="5">
        <f t="shared" ca="1" si="0"/>
        <v>26</v>
      </c>
      <c r="E35" s="5">
        <f t="shared" ca="1" si="1"/>
        <v>572</v>
      </c>
    </row>
    <row r="36" spans="1:5" x14ac:dyDescent="0.25">
      <c r="A36">
        <v>131700</v>
      </c>
      <c r="B36" t="s">
        <v>20</v>
      </c>
      <c r="C36">
        <f>'[1]VENTAS CONSOLIDADA ANZOATEGUI'!C36</f>
        <v>6</v>
      </c>
      <c r="D36" s="5">
        <f t="shared" ca="1" si="0"/>
        <v>1.5</v>
      </c>
      <c r="E36" s="5">
        <f t="shared" ca="1" si="1"/>
        <v>33</v>
      </c>
    </row>
    <row r="37" spans="1:5" x14ac:dyDescent="0.25">
      <c r="A37">
        <v>131701</v>
      </c>
      <c r="B37" t="s">
        <v>24</v>
      </c>
      <c r="C37">
        <f>'[1]VENTAS CONSOLIDADA ANZOATEGUI'!C37</f>
        <v>38</v>
      </c>
      <c r="D37" s="5">
        <f t="shared" ca="1" si="0"/>
        <v>9.5</v>
      </c>
      <c r="E37" s="5">
        <f t="shared" ca="1" si="1"/>
        <v>209</v>
      </c>
    </row>
    <row r="38" spans="1:5" x14ac:dyDescent="0.25">
      <c r="A38">
        <v>132150</v>
      </c>
      <c r="B38" t="s">
        <v>25</v>
      </c>
      <c r="C38">
        <f>'[1]VENTAS CONSOLIDADA ANZOATEGUI'!C38</f>
        <v>122</v>
      </c>
      <c r="D38" s="5">
        <f t="shared" ca="1" si="0"/>
        <v>30.5</v>
      </c>
      <c r="E38" s="5">
        <f t="shared" ca="1" si="1"/>
        <v>671</v>
      </c>
    </row>
    <row r="39" spans="1:5" x14ac:dyDescent="0.25">
      <c r="A39">
        <v>132151</v>
      </c>
      <c r="B39" t="s">
        <v>26</v>
      </c>
      <c r="C39">
        <f>'[1]VENTAS CONSOLIDADA ANZOATEGUI'!C39</f>
        <v>106</v>
      </c>
      <c r="D39" s="5">
        <f t="shared" ca="1" si="0"/>
        <v>26.5</v>
      </c>
      <c r="E39" s="5">
        <f t="shared" ca="1" si="1"/>
        <v>583</v>
      </c>
    </row>
    <row r="40" spans="1:5" x14ac:dyDescent="0.25">
      <c r="A40">
        <v>132152</v>
      </c>
      <c r="B40" t="s">
        <v>27</v>
      </c>
      <c r="C40">
        <f>'[1]VENTAS CONSOLIDADA ANZOATEGUI'!C40</f>
        <v>86</v>
      </c>
      <c r="D40" s="5">
        <f t="shared" ca="1" si="0"/>
        <v>21.5</v>
      </c>
      <c r="E40" s="5">
        <f t="shared" ca="1" si="1"/>
        <v>473</v>
      </c>
    </row>
    <row r="41" spans="1:5" x14ac:dyDescent="0.25">
      <c r="A41">
        <v>132153</v>
      </c>
      <c r="B41" t="s">
        <v>40</v>
      </c>
      <c r="C41">
        <f>'[1]VENTAS CONSOLIDADA ANZOATEGUI'!C41</f>
        <v>13</v>
      </c>
      <c r="D41" s="5">
        <f t="shared" ca="1" si="0"/>
        <v>3.25</v>
      </c>
      <c r="E41" s="5">
        <f t="shared" ca="1" si="1"/>
        <v>71.5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46</v>
      </c>
      <c r="D44" s="5">
        <f t="shared" ca="1" si="0"/>
        <v>11.5</v>
      </c>
      <c r="E44" s="5">
        <f t="shared" ca="1" si="1"/>
        <v>253</v>
      </c>
    </row>
    <row r="45" spans="1:5" x14ac:dyDescent="0.25">
      <c r="A45">
        <v>140231</v>
      </c>
      <c r="B45" t="s">
        <v>10</v>
      </c>
      <c r="C45">
        <f>'[1]VENTAS CONSOLIDADA ANZOATEGUI'!C45</f>
        <v>248</v>
      </c>
      <c r="D45" s="5">
        <f t="shared" ca="1" si="0"/>
        <v>62</v>
      </c>
      <c r="E45" s="5">
        <f t="shared" ca="1" si="1"/>
        <v>1364</v>
      </c>
    </row>
    <row r="46" spans="1:5" x14ac:dyDescent="0.25">
      <c r="A46">
        <v>140232</v>
      </c>
      <c r="B46" t="s">
        <v>9</v>
      </c>
      <c r="C46">
        <f>'[1]VENTAS CONSOLIDADA ANZOATEGUI'!C46</f>
        <v>0</v>
      </c>
      <c r="D46" s="5">
        <f t="shared" ca="1" si="0"/>
        <v>0</v>
      </c>
      <c r="E46" s="5">
        <f t="shared" ca="1" si="1"/>
        <v>0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14.25</v>
      </c>
      <c r="E47" s="5">
        <f t="shared" ca="1" si="1"/>
        <v>313.5</v>
      </c>
    </row>
    <row r="48" spans="1:5" x14ac:dyDescent="0.25">
      <c r="A48">
        <v>150361</v>
      </c>
      <c r="B48" t="s">
        <v>29</v>
      </c>
      <c r="C48">
        <f>'[1]VENTAS CONSOLIDADA ANZOATEGUI'!C48</f>
        <v>33</v>
      </c>
      <c r="D48" s="5">
        <f t="shared" ca="1" si="0"/>
        <v>8.25</v>
      </c>
      <c r="E48" s="5">
        <f t="shared" ca="1" si="1"/>
        <v>181.5</v>
      </c>
    </row>
    <row r="49" spans="1:5" x14ac:dyDescent="0.25">
      <c r="A49">
        <v>150362</v>
      </c>
      <c r="B49" t="s">
        <v>36</v>
      </c>
      <c r="C49">
        <f>'[1]VENTAS CONSOLIDADA ANZOATEGUI'!C49</f>
        <v>17</v>
      </c>
      <c r="D49" s="5">
        <f t="shared" ca="1" si="0"/>
        <v>4.25</v>
      </c>
      <c r="E49" s="5">
        <f t="shared" ca="1" si="1"/>
        <v>93.5</v>
      </c>
    </row>
    <row r="50" spans="1:5" x14ac:dyDescent="0.25">
      <c r="A50">
        <v>150363</v>
      </c>
      <c r="B50" t="s">
        <v>31</v>
      </c>
      <c r="C50">
        <f>'[1]VENTAS CONSOLIDADA ANZOATEGUI'!C50</f>
        <v>17</v>
      </c>
      <c r="D50" s="5">
        <f t="shared" ca="1" si="0"/>
        <v>4.25</v>
      </c>
      <c r="E50" s="5">
        <f t="shared" ca="1" si="1"/>
        <v>93.5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1</v>
      </c>
      <c r="E51" s="5">
        <f t="shared" ca="1" si="1"/>
        <v>22</v>
      </c>
    </row>
    <row r="52" spans="1:5" x14ac:dyDescent="0.25">
      <c r="A52">
        <v>151501</v>
      </c>
      <c r="B52" t="s">
        <v>33</v>
      </c>
      <c r="C52">
        <f>'[1]VENTAS CONSOLIDADA ANZOATEGUI'!C52</f>
        <v>2</v>
      </c>
      <c r="D52" s="5">
        <f t="shared" ca="1" si="0"/>
        <v>0.5</v>
      </c>
      <c r="E52" s="5">
        <f t="shared" ca="1" si="1"/>
        <v>11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</v>
      </c>
      <c r="D54" s="5">
        <f t="shared" ca="1" si="0"/>
        <v>0.25</v>
      </c>
      <c r="E54" s="5">
        <f t="shared" ca="1" si="1"/>
        <v>5.5</v>
      </c>
    </row>
    <row r="55" spans="1:5" x14ac:dyDescent="0.25">
      <c r="D55" s="7">
        <f ca="1">SUM(D8:D54)</f>
        <v>1216.5</v>
      </c>
      <c r="E55" s="7">
        <f ca="1">SUM(E8:E54)</f>
        <v>26763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E3" sqref="E3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46272</v>
      </c>
      <c r="E2" s="4">
        <f ca="1">'[1]VENTAS CONSOLIDADA 1,0'!E2</f>
        <v>4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18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3548</v>
      </c>
      <c r="D8" s="5">
        <f t="shared" ref="D8:D54" ca="1" si="0">C8/$E$2</f>
        <v>887</v>
      </c>
      <c r="E8" s="5">
        <f ca="1">D8*($E$2+$E$3)</f>
        <v>19514</v>
      </c>
    </row>
    <row r="9" spans="1:5" x14ac:dyDescent="0.25">
      <c r="A9">
        <v>110151</v>
      </c>
      <c r="B9" t="s">
        <v>5</v>
      </c>
      <c r="C9">
        <f>'[1]VENTAS CONSOLIDADA 1,0'!C9</f>
        <v>301</v>
      </c>
      <c r="D9" s="5">
        <f t="shared" ca="1" si="0"/>
        <v>75.25</v>
      </c>
      <c r="E9" s="5">
        <f t="shared" ref="E9:E54" ca="1" si="1">D9*($E$2+$E$3)</f>
        <v>1655.5</v>
      </c>
    </row>
    <row r="10" spans="1:5" x14ac:dyDescent="0.25">
      <c r="A10">
        <v>110230</v>
      </c>
      <c r="B10" t="s">
        <v>1</v>
      </c>
      <c r="C10">
        <f>'[1]VENTAS CONSOLIDADA 1,0'!C10</f>
        <v>1770</v>
      </c>
      <c r="D10" s="5">
        <f t="shared" ca="1" si="0"/>
        <v>442.5</v>
      </c>
      <c r="E10" s="5">
        <f t="shared" ca="1" si="1"/>
        <v>9735</v>
      </c>
    </row>
    <row r="11" spans="1:5" x14ac:dyDescent="0.25">
      <c r="A11">
        <v>110400</v>
      </c>
      <c r="B11" t="s">
        <v>13</v>
      </c>
      <c r="C11">
        <f>'[1]VENTAS CONSOLIDADA 1,0'!C11</f>
        <v>263</v>
      </c>
      <c r="D11" s="5">
        <f t="shared" ca="1" si="0"/>
        <v>65.75</v>
      </c>
      <c r="E11" s="5">
        <f t="shared" ca="1" si="1"/>
        <v>1446.5</v>
      </c>
    </row>
    <row r="12" spans="1:5" x14ac:dyDescent="0.25">
      <c r="A12">
        <v>111000</v>
      </c>
      <c r="B12" t="s">
        <v>14</v>
      </c>
      <c r="C12">
        <f>'[1]VENTAS CONSOLIDADA 1,0'!C12</f>
        <v>14</v>
      </c>
      <c r="D12" s="5">
        <f t="shared" ca="1" si="0"/>
        <v>3.5</v>
      </c>
      <c r="E12" s="5">
        <f t="shared" ca="1" si="1"/>
        <v>77</v>
      </c>
    </row>
    <row r="13" spans="1:5" x14ac:dyDescent="0.25">
      <c r="A13">
        <v>120130</v>
      </c>
      <c r="B13" t="s">
        <v>15</v>
      </c>
      <c r="C13">
        <f>'[1]VENTAS CONSOLIDADA 1,0'!C13</f>
        <v>4227</v>
      </c>
      <c r="D13" s="5">
        <f t="shared" ca="1" si="0"/>
        <v>1056.75</v>
      </c>
      <c r="E13" s="5">
        <f t="shared" ca="1" si="1"/>
        <v>23248.5</v>
      </c>
    </row>
    <row r="14" spans="1:5" x14ac:dyDescent="0.25">
      <c r="A14">
        <v>120131</v>
      </c>
      <c r="B14" t="s">
        <v>23</v>
      </c>
      <c r="C14">
        <f>'[1]VENTAS CONSOLIDADA 1,0'!C14</f>
        <v>460</v>
      </c>
      <c r="D14" s="5">
        <f t="shared" ca="1" si="0"/>
        <v>115</v>
      </c>
      <c r="E14" s="5">
        <f t="shared" ca="1" si="1"/>
        <v>2530</v>
      </c>
    </row>
    <row r="15" spans="1:5" x14ac:dyDescent="0.25">
      <c r="A15">
        <v>120132</v>
      </c>
      <c r="B15" t="s">
        <v>21</v>
      </c>
      <c r="C15">
        <f>'[1]VENTAS CONSOLIDADA 1,0'!C15</f>
        <v>985</v>
      </c>
      <c r="D15" s="5">
        <f t="shared" ca="1" si="0"/>
        <v>246.25</v>
      </c>
      <c r="E15" s="5">
        <f t="shared" ca="1" si="1"/>
        <v>5417.5</v>
      </c>
    </row>
    <row r="16" spans="1:5" x14ac:dyDescent="0.25">
      <c r="A16">
        <v>130150</v>
      </c>
      <c r="B16" t="s">
        <v>0</v>
      </c>
      <c r="C16">
        <f>'[1]VENTAS CONSOLIDADA 1,0'!C16</f>
        <v>2752</v>
      </c>
      <c r="D16" s="5">
        <f t="shared" ca="1" si="0"/>
        <v>688</v>
      </c>
      <c r="E16" s="5">
        <f t="shared" ca="1" si="1"/>
        <v>15136</v>
      </c>
    </row>
    <row r="17" spans="1:5" x14ac:dyDescent="0.25">
      <c r="A17">
        <v>130151</v>
      </c>
      <c r="B17" t="s">
        <v>4</v>
      </c>
      <c r="C17">
        <f>'[1]VENTAS CONSOLIDADA 1,0'!C17</f>
        <v>1236</v>
      </c>
      <c r="D17" s="5">
        <f t="shared" ca="1" si="0"/>
        <v>309</v>
      </c>
      <c r="E17" s="5">
        <f t="shared" ca="1" si="1"/>
        <v>6798</v>
      </c>
    </row>
    <row r="18" spans="1:5" x14ac:dyDescent="0.25">
      <c r="A18">
        <v>130152</v>
      </c>
      <c r="B18" t="s">
        <v>51</v>
      </c>
      <c r="C18">
        <f>'[1]VENTAS CONSOLIDADA 1,0'!C18</f>
        <v>10474</v>
      </c>
      <c r="D18" s="5">
        <f t="shared" ca="1" si="0"/>
        <v>2618.5</v>
      </c>
      <c r="E18" s="5">
        <f t="shared" ca="1" si="1"/>
        <v>57607</v>
      </c>
    </row>
    <row r="19" spans="1:5" x14ac:dyDescent="0.25">
      <c r="A19">
        <v>130153</v>
      </c>
      <c r="B19" t="s">
        <v>52</v>
      </c>
      <c r="C19">
        <f>'[1]VENTAS CONSOLIDADA 1,0'!C19</f>
        <v>6672</v>
      </c>
      <c r="D19" s="5">
        <f t="shared" ca="1" si="0"/>
        <v>1668</v>
      </c>
      <c r="E19" s="5">
        <f t="shared" ca="1" si="1"/>
        <v>36696</v>
      </c>
    </row>
    <row r="20" spans="1:5" x14ac:dyDescent="0.25">
      <c r="A20">
        <v>130154</v>
      </c>
      <c r="B20" t="s">
        <v>53</v>
      </c>
      <c r="C20">
        <f>'[1]VENTAS CONSOLIDADA 1,0'!C20</f>
        <v>6687</v>
      </c>
      <c r="D20" s="5">
        <f t="shared" ca="1" si="0"/>
        <v>1671.75</v>
      </c>
      <c r="E20" s="5">
        <f t="shared" ca="1" si="1"/>
        <v>36778.5</v>
      </c>
    </row>
    <row r="21" spans="1:5" x14ac:dyDescent="0.25">
      <c r="A21">
        <v>130155</v>
      </c>
      <c r="B21" t="s">
        <v>16</v>
      </c>
      <c r="C21">
        <f>'[1]VENTAS CONSOLIDADA 1,0'!C21</f>
        <v>7869</v>
      </c>
      <c r="D21" s="5">
        <f t="shared" ca="1" si="0"/>
        <v>1967.25</v>
      </c>
      <c r="E21" s="5">
        <f t="shared" ca="1" si="1"/>
        <v>43279.5</v>
      </c>
    </row>
    <row r="22" spans="1:5" x14ac:dyDescent="0.25">
      <c r="A22">
        <v>130157</v>
      </c>
      <c r="B22" t="s">
        <v>43</v>
      </c>
      <c r="C22">
        <f>'[1]VENTAS CONSOLIDADA 1,0'!C22</f>
        <v>2341</v>
      </c>
      <c r="D22" s="5">
        <f t="shared" ca="1" si="0"/>
        <v>585.25</v>
      </c>
      <c r="E22" s="5">
        <f t="shared" ca="1" si="1"/>
        <v>12875.5</v>
      </c>
    </row>
    <row r="23" spans="1:5" x14ac:dyDescent="0.25">
      <c r="A23">
        <v>130158</v>
      </c>
      <c r="B23" t="s">
        <v>44</v>
      </c>
      <c r="C23">
        <f>'[1]VENTAS CONSOLIDADA 1,0'!C23</f>
        <v>3122</v>
      </c>
      <c r="D23" s="5">
        <f t="shared" ca="1" si="0"/>
        <v>780.5</v>
      </c>
      <c r="E23" s="5">
        <f t="shared" ca="1" si="1"/>
        <v>17171</v>
      </c>
    </row>
    <row r="24" spans="1:5" x14ac:dyDescent="0.25">
      <c r="A24">
        <v>130159</v>
      </c>
      <c r="B24" t="s">
        <v>45</v>
      </c>
      <c r="C24">
        <f>'[1]VENTAS CONSOLIDADA 1,0'!C24</f>
        <v>3064</v>
      </c>
      <c r="D24" s="5">
        <f t="shared" ca="1" si="0"/>
        <v>766</v>
      </c>
      <c r="E24" s="5">
        <f t="shared" ca="1" si="1"/>
        <v>16852</v>
      </c>
    </row>
    <row r="25" spans="1:5" x14ac:dyDescent="0.25">
      <c r="A25">
        <v>130700</v>
      </c>
      <c r="B25" t="s">
        <v>3</v>
      </c>
      <c r="C25">
        <f>'[1]VENTAS CONSOLIDADA 1,0'!C25</f>
        <v>733</v>
      </c>
      <c r="D25" s="5">
        <f t="shared" ca="1" si="0"/>
        <v>183.25</v>
      </c>
      <c r="E25" s="5">
        <f t="shared" ca="1" si="1"/>
        <v>4031.5</v>
      </c>
    </row>
    <row r="26" spans="1:5" x14ac:dyDescent="0.25">
      <c r="A26">
        <v>130701</v>
      </c>
      <c r="B26" t="s">
        <v>30</v>
      </c>
      <c r="C26">
        <f>'[1]VENTAS CONSOLIDADA 1,0'!C26</f>
        <v>323</v>
      </c>
      <c r="D26" s="5">
        <f t="shared" ca="1" si="0"/>
        <v>80.75</v>
      </c>
      <c r="E26" s="5">
        <f t="shared" ca="1" si="1"/>
        <v>1776.5</v>
      </c>
    </row>
    <row r="27" spans="1:5" x14ac:dyDescent="0.25">
      <c r="A27">
        <v>130702</v>
      </c>
      <c r="B27" t="s">
        <v>12</v>
      </c>
      <c r="C27">
        <f>'[1]VENTAS CONSOLIDADA 1,0'!C27</f>
        <v>1705</v>
      </c>
      <c r="D27" s="5">
        <f t="shared" ca="1" si="0"/>
        <v>426.25</v>
      </c>
      <c r="E27" s="5">
        <f t="shared" ca="1" si="1"/>
        <v>9377.5</v>
      </c>
    </row>
    <row r="28" spans="1:5" x14ac:dyDescent="0.25">
      <c r="A28">
        <v>130703</v>
      </c>
      <c r="B28" t="s">
        <v>17</v>
      </c>
      <c r="C28">
        <f>'[1]VENTAS CONSOLIDADA 1,0'!C28</f>
        <v>2775</v>
      </c>
      <c r="D28" s="5">
        <f t="shared" ca="1" si="0"/>
        <v>693.75</v>
      </c>
      <c r="E28" s="5">
        <f t="shared" ca="1" si="1"/>
        <v>15262.5</v>
      </c>
    </row>
    <row r="29" spans="1:5" x14ac:dyDescent="0.25">
      <c r="A29">
        <v>130707</v>
      </c>
      <c r="B29" t="s">
        <v>42</v>
      </c>
      <c r="C29">
        <f>'[1]VENTAS CONSOLIDADA 1,0'!C29</f>
        <v>320</v>
      </c>
      <c r="D29" s="5">
        <f t="shared" ca="1" si="0"/>
        <v>80</v>
      </c>
      <c r="E29" s="5">
        <f t="shared" ca="1" si="1"/>
        <v>1760</v>
      </c>
    </row>
    <row r="30" spans="1:5" x14ac:dyDescent="0.25">
      <c r="A30">
        <v>131150</v>
      </c>
      <c r="B30" t="s">
        <v>22</v>
      </c>
      <c r="C30">
        <f>'[1]VENTAS CONSOLIDADA 1,0'!C30</f>
        <v>1831</v>
      </c>
      <c r="D30" s="5">
        <f t="shared" ca="1" si="0"/>
        <v>457.75</v>
      </c>
      <c r="E30" s="5">
        <f t="shared" ca="1" si="1"/>
        <v>10070.5</v>
      </c>
    </row>
    <row r="31" spans="1:5" x14ac:dyDescent="0.25">
      <c r="A31">
        <v>131151</v>
      </c>
      <c r="B31" t="s">
        <v>19</v>
      </c>
      <c r="C31">
        <f>'[1]VENTAS CONSOLIDADA 1,0'!C31</f>
        <v>1708</v>
      </c>
      <c r="D31" s="5">
        <f t="shared" ca="1" si="0"/>
        <v>427</v>
      </c>
      <c r="E31" s="5">
        <f t="shared" ca="1" si="1"/>
        <v>9394</v>
      </c>
    </row>
    <row r="32" spans="1:5" x14ac:dyDescent="0.25">
      <c r="A32">
        <v>131152</v>
      </c>
      <c r="B32" t="s">
        <v>32</v>
      </c>
      <c r="C32">
        <f>'[1]VENTAS CONSOLIDADA 1,0'!C32</f>
        <v>1776</v>
      </c>
      <c r="D32" s="5">
        <f t="shared" ca="1" si="0"/>
        <v>444</v>
      </c>
      <c r="E32" s="5">
        <f t="shared" ca="1" si="1"/>
        <v>9768</v>
      </c>
    </row>
    <row r="33" spans="1:5" x14ac:dyDescent="0.25">
      <c r="A33">
        <v>131153</v>
      </c>
      <c r="B33" t="s">
        <v>11</v>
      </c>
      <c r="C33">
        <f>'[1]VENTAS CONSOLIDADA 1,0'!C33</f>
        <v>1153</v>
      </c>
      <c r="D33" s="5">
        <f t="shared" ca="1" si="0"/>
        <v>288.25</v>
      </c>
      <c r="E33" s="5">
        <f t="shared" ca="1" si="1"/>
        <v>6341.5</v>
      </c>
    </row>
    <row r="34" spans="1:5" x14ac:dyDescent="0.25">
      <c r="A34">
        <v>131154</v>
      </c>
      <c r="B34" t="s">
        <v>48</v>
      </c>
      <c r="C34">
        <f>'[1]VENTAS CONSOLIDADA 1,0'!C34</f>
        <v>846</v>
      </c>
      <c r="D34" s="5">
        <f t="shared" ca="1" si="0"/>
        <v>211.5</v>
      </c>
      <c r="E34" s="5">
        <f t="shared" ca="1" si="1"/>
        <v>4653</v>
      </c>
    </row>
    <row r="35" spans="1:5" x14ac:dyDescent="0.25">
      <c r="A35">
        <v>131155</v>
      </c>
      <c r="B35" t="s">
        <v>57</v>
      </c>
      <c r="C35">
        <f>'[1]VENTAS CONSOLIDADA 1,0'!C35</f>
        <v>927</v>
      </c>
      <c r="D35" s="5">
        <f t="shared" ca="1" si="0"/>
        <v>231.75</v>
      </c>
      <c r="E35" s="5">
        <f t="shared" ca="1" si="1"/>
        <v>5098.5</v>
      </c>
    </row>
    <row r="36" spans="1:5" x14ac:dyDescent="0.25">
      <c r="A36">
        <v>131700</v>
      </c>
      <c r="B36" t="s">
        <v>20</v>
      </c>
      <c r="C36">
        <f>'[1]VENTAS CONSOLIDADA 1,0'!C36</f>
        <v>407</v>
      </c>
      <c r="D36" s="5">
        <f t="shared" ca="1" si="0"/>
        <v>101.75</v>
      </c>
      <c r="E36" s="5">
        <f t="shared" ca="1" si="1"/>
        <v>2238.5</v>
      </c>
    </row>
    <row r="37" spans="1:5" x14ac:dyDescent="0.25">
      <c r="A37">
        <v>131701</v>
      </c>
      <c r="B37" t="s">
        <v>24</v>
      </c>
      <c r="C37">
        <f>'[1]VENTAS CONSOLIDADA 1,0'!C37</f>
        <v>391</v>
      </c>
      <c r="D37" s="5">
        <f t="shared" ca="1" si="0"/>
        <v>97.75</v>
      </c>
      <c r="E37" s="5">
        <f t="shared" ca="1" si="1"/>
        <v>2150.5</v>
      </c>
    </row>
    <row r="38" spans="1:5" x14ac:dyDescent="0.25">
      <c r="A38">
        <v>132150</v>
      </c>
      <c r="B38" t="s">
        <v>25</v>
      </c>
      <c r="C38">
        <f>'[1]VENTAS CONSOLIDADA 1,0'!C38</f>
        <v>2270</v>
      </c>
      <c r="D38" s="5">
        <f t="shared" ca="1" si="0"/>
        <v>567.5</v>
      </c>
      <c r="E38" s="5">
        <f t="shared" ca="1" si="1"/>
        <v>12485</v>
      </c>
    </row>
    <row r="39" spans="1:5" x14ac:dyDescent="0.25">
      <c r="A39">
        <v>132151</v>
      </c>
      <c r="B39" t="s">
        <v>26</v>
      </c>
      <c r="C39">
        <f>'[1]VENTAS CONSOLIDADA 1,0'!C39</f>
        <v>1797</v>
      </c>
      <c r="D39" s="5">
        <f t="shared" ca="1" si="0"/>
        <v>449.25</v>
      </c>
      <c r="E39" s="5">
        <f t="shared" ca="1" si="1"/>
        <v>9883.5</v>
      </c>
    </row>
    <row r="40" spans="1:5" x14ac:dyDescent="0.25">
      <c r="A40">
        <v>132152</v>
      </c>
      <c r="B40" t="s">
        <v>27</v>
      </c>
      <c r="C40">
        <f>'[1]VENTAS CONSOLIDADA 1,0'!C40</f>
        <v>2393</v>
      </c>
      <c r="D40" s="5">
        <f t="shared" ca="1" si="0"/>
        <v>598.25</v>
      </c>
      <c r="E40" s="5">
        <f t="shared" ca="1" si="1"/>
        <v>13161.5</v>
      </c>
    </row>
    <row r="41" spans="1:5" x14ac:dyDescent="0.25">
      <c r="A41">
        <v>132153</v>
      </c>
      <c r="B41" t="s">
        <v>40</v>
      </c>
      <c r="C41">
        <f>'[1]VENTAS CONSOLIDADA 1,0'!C41</f>
        <v>1322</v>
      </c>
      <c r="D41" s="5">
        <f t="shared" ca="1" si="0"/>
        <v>330.5</v>
      </c>
      <c r="E41" s="5">
        <f t="shared" ca="1" si="1"/>
        <v>7271</v>
      </c>
    </row>
    <row r="42" spans="1:5" x14ac:dyDescent="0.25">
      <c r="A42">
        <v>134000</v>
      </c>
      <c r="B42" t="s">
        <v>35</v>
      </c>
      <c r="C42">
        <f>'[1]VENTAS CONSOLIDADA 1,0'!C42</f>
        <v>16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5</v>
      </c>
      <c r="D43" s="5">
        <f t="shared" ca="1" si="0"/>
        <v>1.25</v>
      </c>
      <c r="E43" s="5">
        <f t="shared" ca="1" si="1"/>
        <v>27.5</v>
      </c>
    </row>
    <row r="44" spans="1:5" x14ac:dyDescent="0.25">
      <c r="A44">
        <v>140230</v>
      </c>
      <c r="B44" t="s">
        <v>18</v>
      </c>
      <c r="C44">
        <f>'[1]VENTAS CONSOLIDADA 1,0'!C44</f>
        <v>354</v>
      </c>
      <c r="D44" s="5">
        <f t="shared" ca="1" si="0"/>
        <v>88.5</v>
      </c>
      <c r="E44" s="5">
        <f t="shared" ca="1" si="1"/>
        <v>1947</v>
      </c>
    </row>
    <row r="45" spans="1:5" x14ac:dyDescent="0.25">
      <c r="A45">
        <v>140231</v>
      </c>
      <c r="B45" t="s">
        <v>10</v>
      </c>
      <c r="C45">
        <f>'[1]VENTAS CONSOLIDADA 1,0'!C45</f>
        <v>1532</v>
      </c>
      <c r="D45" s="5">
        <f t="shared" ca="1" si="0"/>
        <v>383</v>
      </c>
      <c r="E45" s="5">
        <f t="shared" ca="1" si="1"/>
        <v>8426</v>
      </c>
    </row>
    <row r="46" spans="1:5" x14ac:dyDescent="0.25">
      <c r="A46">
        <v>140232</v>
      </c>
      <c r="B46" t="s">
        <v>9</v>
      </c>
      <c r="C46">
        <f>'[1]VENTAS CONSOLIDADA 1,0'!C46</f>
        <v>1603</v>
      </c>
      <c r="D46" s="5">
        <f t="shared" ca="1" si="0"/>
        <v>400.75</v>
      </c>
      <c r="E46" s="5">
        <f t="shared" ca="1" si="1"/>
        <v>8816.5</v>
      </c>
    </row>
    <row r="47" spans="1:5" x14ac:dyDescent="0.25">
      <c r="A47">
        <v>150360</v>
      </c>
      <c r="B47" t="s">
        <v>28</v>
      </c>
      <c r="C47">
        <f>'[1]VENTAS CONSOLIDADA 1,0'!C47</f>
        <v>644</v>
      </c>
      <c r="D47" s="5">
        <f t="shared" ca="1" si="0"/>
        <v>161</v>
      </c>
      <c r="E47" s="5">
        <f t="shared" ca="1" si="1"/>
        <v>3542</v>
      </c>
    </row>
    <row r="48" spans="1:5" x14ac:dyDescent="0.25">
      <c r="A48">
        <v>150361</v>
      </c>
      <c r="B48" t="s">
        <v>29</v>
      </c>
      <c r="C48">
        <f>'[1]VENTAS CONSOLIDADA 1,0'!C48</f>
        <v>1051</v>
      </c>
      <c r="D48" s="5">
        <f t="shared" ca="1" si="0"/>
        <v>262.75</v>
      </c>
      <c r="E48" s="5">
        <f t="shared" ca="1" si="1"/>
        <v>5780.5</v>
      </c>
    </row>
    <row r="49" spans="1:5" x14ac:dyDescent="0.25">
      <c r="A49">
        <v>150362</v>
      </c>
      <c r="B49" t="s">
        <v>36</v>
      </c>
      <c r="C49">
        <f>'[1]VENTAS CONSOLIDADA 1,0'!C49</f>
        <v>794</v>
      </c>
      <c r="D49" s="5">
        <f t="shared" ca="1" si="0"/>
        <v>198.5</v>
      </c>
      <c r="E49" s="5">
        <f t="shared" ca="1" si="1"/>
        <v>4367</v>
      </c>
    </row>
    <row r="50" spans="1:5" x14ac:dyDescent="0.25">
      <c r="A50">
        <v>150363</v>
      </c>
      <c r="B50" t="s">
        <v>31</v>
      </c>
      <c r="C50">
        <f>'[1]VENTAS CONSOLIDADA 1,0'!C50</f>
        <v>850</v>
      </c>
      <c r="D50" s="5">
        <f t="shared" ca="1" si="0"/>
        <v>212.5</v>
      </c>
      <c r="E50" s="5">
        <f t="shared" ca="1" si="1"/>
        <v>4675</v>
      </c>
    </row>
    <row r="51" spans="1:5" x14ac:dyDescent="0.25">
      <c r="A51">
        <v>151500</v>
      </c>
      <c r="B51" t="s">
        <v>41</v>
      </c>
      <c r="C51">
        <f>'[1]VENTAS CONSOLIDADA 1,0'!C51</f>
        <v>133</v>
      </c>
      <c r="D51" s="5">
        <f t="shared" ca="1" si="0"/>
        <v>33.25</v>
      </c>
      <c r="E51" s="5">
        <f t="shared" ca="1" si="1"/>
        <v>731.5</v>
      </c>
    </row>
    <row r="52" spans="1:5" x14ac:dyDescent="0.25">
      <c r="A52">
        <v>151501</v>
      </c>
      <c r="B52" t="s">
        <v>33</v>
      </c>
      <c r="C52">
        <f>'[1]VENTAS CONSOLIDADA 1,0'!C52</f>
        <v>204</v>
      </c>
      <c r="D52" s="5">
        <f t="shared" ca="1" si="0"/>
        <v>51</v>
      </c>
      <c r="E52" s="5">
        <f t="shared" ca="1" si="1"/>
        <v>1122</v>
      </c>
    </row>
    <row r="53" spans="1:5" x14ac:dyDescent="0.25">
      <c r="A53">
        <v>151502</v>
      </c>
      <c r="B53" t="s">
        <v>37</v>
      </c>
      <c r="C53">
        <f>'[1]VENTAS CONSOLIDADA 1,0'!C53</f>
        <v>83</v>
      </c>
      <c r="D53" s="5">
        <f t="shared" ca="1" si="0"/>
        <v>20.75</v>
      </c>
      <c r="E53" s="5">
        <f t="shared" ca="1" si="1"/>
        <v>456.5</v>
      </c>
    </row>
    <row r="54" spans="1:5" x14ac:dyDescent="0.25">
      <c r="A54">
        <v>151503</v>
      </c>
      <c r="B54" t="s">
        <v>34</v>
      </c>
      <c r="C54">
        <f>'[1]VENTAS CONSOLIDADA 1,0'!C54</f>
        <v>126</v>
      </c>
      <c r="D54" s="5">
        <f t="shared" ca="1" si="0"/>
        <v>31.5</v>
      </c>
      <c r="E54" s="5">
        <f t="shared" ca="1" si="1"/>
        <v>693</v>
      </c>
    </row>
    <row r="55" spans="1:5" x14ac:dyDescent="0.25">
      <c r="C55">
        <f>SUM(C8:C54)</f>
        <v>85857</v>
      </c>
      <c r="D55" s="5">
        <f ca="1">SUM(D8:D54)</f>
        <v>21464.25</v>
      </c>
      <c r="E55" s="5">
        <f ca="1">SUM(E8:E54)</f>
        <v>472213.5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B2ACCEB-6CC9-4D35-BDF4-AC9EF8C2F118}">
  <ds:schemaRefs/>
</ds:datastoreItem>
</file>

<file path=customXml/itemProps2.xml><?xml version="1.0" encoding="utf-8"?>
<ds:datastoreItem xmlns:ds="http://schemas.openxmlformats.org/officeDocument/2006/customXml" ds:itemID="{CAB6C292-B853-467D-B711-6EBB7D36CC58}">
  <ds:schemaRefs/>
</ds:datastoreItem>
</file>

<file path=customXml/itemProps3.xml><?xml version="1.0" encoding="utf-8"?>
<ds:datastoreItem xmlns:ds="http://schemas.openxmlformats.org/officeDocument/2006/customXml" ds:itemID="{1624F75C-FD6B-41DE-81B8-76266AB6E660}">
  <ds:schemaRefs/>
</ds:datastoreItem>
</file>

<file path=customXml/itemProps4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7AE93A93-CA27-4BDA-AA62-2C35967BA493}">
  <ds:schemaRefs/>
</ds:datastoreItem>
</file>

<file path=customXml/itemProps6.xml><?xml version="1.0" encoding="utf-8"?>
<ds:datastoreItem xmlns:ds="http://schemas.openxmlformats.org/officeDocument/2006/customXml" ds:itemID="{52FA8FE5-D878-4A8D-B664-9568032292DD}">
  <ds:schemaRefs/>
</ds:datastoreItem>
</file>

<file path=customXml/itemProps7.xml><?xml version="1.0" encoding="utf-8"?>
<ds:datastoreItem xmlns:ds="http://schemas.openxmlformats.org/officeDocument/2006/customXml" ds:itemID="{4DF253BA-E348-4CD2-AA4E-97FB2A32A7F0}">
  <ds:schemaRefs/>
</ds:datastoreItem>
</file>

<file path=customXml/itemProps8.xml><?xml version="1.0" encoding="utf-8"?>
<ds:datastoreItem xmlns:ds="http://schemas.openxmlformats.org/officeDocument/2006/customXml" ds:itemID="{2FB7461A-5A6D-4ED3-B35C-48147355CFC0}">
  <ds:schemaRefs/>
</ds:datastoreItem>
</file>

<file path=customXml/itemProps9.xml><?xml version="1.0" encoding="utf-8"?>
<ds:datastoreItem xmlns:ds="http://schemas.openxmlformats.org/officeDocument/2006/customXml" ds:itemID="{65BE5737-5D13-4B92-9A1E-66AAD091BECC}">
  <ds:schemaRefs/>
</ds:datastoreItem>
</file>

<file path=customXml/itemProps10.xml><?xml version="1.0" encoding="utf-8"?>
<ds:datastoreItem xmlns:ds="http://schemas.openxmlformats.org/officeDocument/2006/customXml" ds:itemID="{CFB06E3D-1317-4F60-85DB-890000D02217}">
  <ds:schemaRefs/>
</ds:datastoreItem>
</file>

<file path=customXml/itemProps11.xml><?xml version="1.0" encoding="utf-8"?>
<ds:datastoreItem xmlns:ds="http://schemas.openxmlformats.org/officeDocument/2006/customXml" ds:itemID="{F5D7323A-644E-4D3D-8486-43C2FFAD8146}">
  <ds:schemaRefs/>
</ds:datastoreItem>
</file>

<file path=customXml/itemProps12.xml><?xml version="1.0" encoding="utf-8"?>
<ds:datastoreItem xmlns:ds="http://schemas.openxmlformats.org/officeDocument/2006/customXml" ds:itemID="{084C0BCB-4732-44D2-A228-50E994334BF1}">
  <ds:schemaRefs/>
</ds:datastoreItem>
</file>

<file path=customXml/itemProps13.xml><?xml version="1.0" encoding="utf-8"?>
<ds:datastoreItem xmlns:ds="http://schemas.openxmlformats.org/officeDocument/2006/customXml" ds:itemID="{8E0207D3-36B0-4047-99FA-B78F3EBADFAC}">
  <ds:schemaRefs/>
</ds:datastoreItem>
</file>

<file path=customXml/itemProps14.xml><?xml version="1.0" encoding="utf-8"?>
<ds:datastoreItem xmlns:ds="http://schemas.openxmlformats.org/officeDocument/2006/customXml" ds:itemID="{AF2AF42B-D484-4F26-B929-D7FB2E56F71D}">
  <ds:schemaRefs/>
</ds:datastoreItem>
</file>

<file path=customXml/itemProps15.xml><?xml version="1.0" encoding="utf-8"?>
<ds:datastoreItem xmlns:ds="http://schemas.openxmlformats.org/officeDocument/2006/customXml" ds:itemID="{B0CC2B14-7DD7-4033-8A48-822C26B12A45}">
  <ds:schemaRefs/>
</ds:datastoreItem>
</file>

<file path=customXml/itemProps16.xml><?xml version="1.0" encoding="utf-8"?>
<ds:datastoreItem xmlns:ds="http://schemas.openxmlformats.org/officeDocument/2006/customXml" ds:itemID="{CC2043D8-989E-412C-8862-ACDB973E448B}">
  <ds:schemaRefs/>
</ds:datastoreItem>
</file>

<file path=customXml/itemProps17.xml><?xml version="1.0" encoding="utf-8"?>
<ds:datastoreItem xmlns:ds="http://schemas.openxmlformats.org/officeDocument/2006/customXml" ds:itemID="{0AD6CB95-564A-49A8-92C3-BDDCD21D69FF}">
  <ds:schemaRefs/>
</ds:datastoreItem>
</file>

<file path=customXml/itemProps18.xml><?xml version="1.0" encoding="utf-8"?>
<ds:datastoreItem xmlns:ds="http://schemas.openxmlformats.org/officeDocument/2006/customXml" ds:itemID="{38DB5A37-2218-4EAC-B67D-146D68E76E36}">
  <ds:schemaRefs/>
</ds:datastoreItem>
</file>

<file path=customXml/itemProps19.xml><?xml version="1.0" encoding="utf-8"?>
<ds:datastoreItem xmlns:ds="http://schemas.openxmlformats.org/officeDocument/2006/customXml" ds:itemID="{7845B0CC-F2DA-4435-B3A8-0B67EEA59E3E}">
  <ds:schemaRefs/>
</ds:datastoreItem>
</file>

<file path=customXml/itemProps20.xml><?xml version="1.0" encoding="utf-8"?>
<ds:datastoreItem xmlns:ds="http://schemas.openxmlformats.org/officeDocument/2006/customXml" ds:itemID="{DEFC51E7-3E67-4621-B139-07F56E3C51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2026-09-07T12:01:45Z</dcterms:modified>
</cp:coreProperties>
</file>