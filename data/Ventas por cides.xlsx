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23E4699B-D3CD-4ADC-8E0E-E34EF7A548BE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1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0"/>
  <c r="D2" i="54"/>
  <c r="D2" i="52"/>
  <c r="D2" i="51"/>
  <c r="D2" i="53"/>
  <c r="C55" i="55" l="1"/>
  <c r="D2" i="55"/>
  <c r="E2" i="55"/>
  <c r="E3" i="55"/>
  <c r="E3" i="50"/>
  <c r="E2" i="50"/>
  <c r="D46" i="50" s="1"/>
  <c r="E3" i="51"/>
  <c r="E2" i="51"/>
  <c r="E3" i="52"/>
  <c r="E2" i="52"/>
  <c r="E2" i="54"/>
  <c r="E3" i="54"/>
  <c r="E3" i="53"/>
  <c r="E2" i="53" l="1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<sst xmlns="http://schemas.openxmlformats.org/spreadsheetml/2006/main" count="320" uniqueCount="62">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</sst>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46275</v>
          </cell>
          <cell r="E2">
            <v>7</v>
          </cell>
        </row>
        <row r="3">
          <cell r="C3" t="str">
            <v>FINAL VENTAS</v>
          </cell>
          <cell r="D3">
            <v>46295</v>
          </cell>
          <cell r="E3">
            <v>15</v>
          </cell>
        </row>
        <row r="8">
          <cell r="C8">
            <v>277</v>
          </cell>
        </row>
        <row r="9">
          <cell r="C9">
            <v>36</v>
          </cell>
        </row>
        <row r="10">
          <cell r="C10">
            <v>71</v>
          </cell>
        </row>
        <row r="11">
          <cell r="C11">
            <v>16</v>
          </cell>
        </row>
        <row r="12">
          <cell r="C12">
            <v>5</v>
          </cell>
        </row>
        <row r="13">
          <cell r="C13">
            <v>367</v>
          </cell>
        </row>
        <row r="14">
          <cell r="C14">
            <v>20</v>
          </cell>
        </row>
        <row r="15">
          <cell r="C15">
            <v>53</v>
          </cell>
        </row>
        <row r="16">
          <cell r="C16">
            <v>127</v>
          </cell>
        </row>
        <row r="17">
          <cell r="C17">
            <v>35</v>
          </cell>
        </row>
        <row r="18">
          <cell r="C18">
            <v>937</v>
          </cell>
        </row>
        <row r="19">
          <cell r="C19">
            <v>547</v>
          </cell>
        </row>
        <row r="20">
          <cell r="C20">
            <v>723</v>
          </cell>
        </row>
        <row r="21">
          <cell r="C21">
            <v>522</v>
          </cell>
        </row>
        <row r="22">
          <cell r="C22">
            <v>176</v>
          </cell>
        </row>
        <row r="23">
          <cell r="C23">
            <v>201</v>
          </cell>
        </row>
        <row r="24">
          <cell r="C24">
            <v>193</v>
          </cell>
        </row>
        <row r="25">
          <cell r="C25">
            <v>22</v>
          </cell>
        </row>
        <row r="26">
          <cell r="C26">
            <v>4</v>
          </cell>
        </row>
        <row r="27">
          <cell r="C27">
            <v>62</v>
          </cell>
        </row>
        <row r="28">
          <cell r="C28">
            <v>109</v>
          </cell>
        </row>
        <row r="29">
          <cell r="C29">
            <v>0</v>
          </cell>
        </row>
        <row r="30">
          <cell r="C30">
            <v>221</v>
          </cell>
        </row>
        <row r="31">
          <cell r="C31">
            <v>563</v>
          </cell>
        </row>
        <row r="32">
          <cell r="C32">
            <v>495</v>
          </cell>
        </row>
        <row r="33">
          <cell r="C33">
            <v>114</v>
          </cell>
        </row>
        <row r="34">
          <cell r="C34">
            <v>161</v>
          </cell>
        </row>
        <row r="35">
          <cell r="C35">
            <v>201</v>
          </cell>
        </row>
        <row r="36">
          <cell r="C36">
            <v>7</v>
          </cell>
        </row>
        <row r="37">
          <cell r="C37">
            <v>41</v>
          </cell>
        </row>
        <row r="38">
          <cell r="C38">
            <v>277</v>
          </cell>
        </row>
        <row r="39">
          <cell r="C39">
            <v>204</v>
          </cell>
        </row>
        <row r="40">
          <cell r="C40">
            <v>197</v>
          </cell>
        </row>
        <row r="41">
          <cell r="C41">
            <v>90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52</v>
          </cell>
        </row>
        <row r="45">
          <cell r="C45">
            <v>323</v>
          </cell>
        </row>
        <row r="46">
          <cell r="C46">
            <v>18</v>
          </cell>
        </row>
        <row r="47">
          <cell r="C47">
            <v>57</v>
          </cell>
        </row>
        <row r="48">
          <cell r="C48">
            <v>117</v>
          </cell>
        </row>
        <row r="49">
          <cell r="C49">
            <v>48</v>
          </cell>
        </row>
        <row r="50">
          <cell r="C50">
            <v>70</v>
          </cell>
        </row>
        <row r="51">
          <cell r="C51">
            <v>4</v>
          </cell>
        </row>
        <row r="52">
          <cell r="C52">
            <v>21</v>
          </cell>
        </row>
        <row r="53">
          <cell r="C53">
            <v>0</v>
          </cell>
        </row>
        <row r="54">
          <cell r="C54">
            <v>11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46275</v>
          </cell>
          <cell r="E2">
            <v>7</v>
          </cell>
        </row>
        <row r="3">
          <cell r="C3" t="str">
            <v>FINAL VENTAS</v>
          </cell>
          <cell r="D3">
            <v>46295</v>
          </cell>
          <cell r="E3">
            <v>15</v>
          </cell>
        </row>
        <row r="8">
          <cell r="C8">
            <v>273</v>
          </cell>
        </row>
        <row r="9">
          <cell r="C9">
            <v>3</v>
          </cell>
        </row>
        <row r="10">
          <cell r="C10">
            <v>90</v>
          </cell>
        </row>
        <row r="11">
          <cell r="C11">
            <v>14</v>
          </cell>
        </row>
        <row r="12">
          <cell r="C12">
            <v>0</v>
          </cell>
        </row>
        <row r="13">
          <cell r="C13">
            <v>987</v>
          </cell>
        </row>
        <row r="14">
          <cell r="C14">
            <v>103</v>
          </cell>
        </row>
        <row r="15">
          <cell r="C15">
            <v>83</v>
          </cell>
        </row>
        <row r="16">
          <cell r="C16">
            <v>437</v>
          </cell>
        </row>
        <row r="17">
          <cell r="C17">
            <v>156</v>
          </cell>
        </row>
        <row r="18">
          <cell r="C18">
            <v>3550</v>
          </cell>
        </row>
        <row r="19">
          <cell r="C19">
            <v>1935</v>
          </cell>
        </row>
        <row r="20">
          <cell r="C20">
            <v>1899</v>
          </cell>
        </row>
        <row r="21">
          <cell r="C21">
            <v>2263</v>
          </cell>
        </row>
        <row r="22">
          <cell r="C22">
            <v>792</v>
          </cell>
        </row>
        <row r="23">
          <cell r="C23">
            <v>875</v>
          </cell>
        </row>
        <row r="24">
          <cell r="C24">
            <v>808</v>
          </cell>
        </row>
        <row r="25">
          <cell r="C25">
            <v>171</v>
          </cell>
        </row>
        <row r="26">
          <cell r="C26">
            <v>31</v>
          </cell>
        </row>
        <row r="27">
          <cell r="C27">
            <v>611</v>
          </cell>
        </row>
        <row r="28">
          <cell r="C28">
            <v>762</v>
          </cell>
        </row>
        <row r="29">
          <cell r="C29">
            <v>30</v>
          </cell>
        </row>
        <row r="30">
          <cell r="C30">
            <v>263</v>
          </cell>
        </row>
        <row r="31">
          <cell r="C31">
            <v>665</v>
          </cell>
        </row>
        <row r="32">
          <cell r="C32">
            <v>331</v>
          </cell>
        </row>
        <row r="33">
          <cell r="C33">
            <v>218</v>
          </cell>
        </row>
        <row r="34">
          <cell r="C34">
            <v>338</v>
          </cell>
        </row>
        <row r="35">
          <cell r="C35">
            <v>371</v>
          </cell>
        </row>
        <row r="36">
          <cell r="C36">
            <v>56</v>
          </cell>
        </row>
        <row r="37">
          <cell r="C37">
            <v>96</v>
          </cell>
        </row>
        <row r="38">
          <cell r="C38">
            <v>781</v>
          </cell>
        </row>
        <row r="39">
          <cell r="C39">
            <v>422</v>
          </cell>
        </row>
        <row r="40">
          <cell r="C40">
            <v>682</v>
          </cell>
        </row>
        <row r="41">
          <cell r="C41">
            <v>271</v>
          </cell>
        </row>
        <row r="42">
          <cell r="C42">
            <v>7</v>
          </cell>
        </row>
        <row r="43">
          <cell r="C43">
            <v>0</v>
          </cell>
        </row>
        <row r="44">
          <cell r="C44">
            <v>86</v>
          </cell>
        </row>
        <row r="45">
          <cell r="C45">
            <v>92</v>
          </cell>
        </row>
        <row r="46">
          <cell r="C46">
            <v>226</v>
          </cell>
        </row>
        <row r="47">
          <cell r="C47">
            <v>84</v>
          </cell>
        </row>
        <row r="48">
          <cell r="C48">
            <v>57</v>
          </cell>
        </row>
        <row r="49">
          <cell r="C49">
            <v>81</v>
          </cell>
        </row>
        <row r="50">
          <cell r="C50">
            <v>160</v>
          </cell>
        </row>
        <row r="51">
          <cell r="C51">
            <v>37</v>
          </cell>
        </row>
        <row r="52">
          <cell r="C52">
            <v>113</v>
          </cell>
        </row>
        <row r="53">
          <cell r="C53">
            <v>6</v>
          </cell>
        </row>
        <row r="54">
          <cell r="C54">
            <v>18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46275</v>
          </cell>
          <cell r="E2">
            <v>7</v>
          </cell>
        </row>
        <row r="3">
          <cell r="C3" t="str">
            <v>FINAL VENTAS</v>
          </cell>
          <cell r="D3">
            <v>46295</v>
          </cell>
          <cell r="E3">
            <v>15</v>
          </cell>
        </row>
        <row r="8">
          <cell r="C8">
            <v>5366</v>
          </cell>
        </row>
        <row r="9">
          <cell r="C9">
            <v>331</v>
          </cell>
        </row>
        <row r="10">
          <cell r="C10">
            <v>2395</v>
          </cell>
        </row>
        <row r="11">
          <cell r="C11">
            <v>477</v>
          </cell>
        </row>
        <row r="12">
          <cell r="C12">
            <v>80</v>
          </cell>
        </row>
        <row r="13">
          <cell r="C13">
            <v>5357</v>
          </cell>
        </row>
        <row r="14">
          <cell r="C14">
            <v>390</v>
          </cell>
        </row>
        <row r="15">
          <cell r="C15">
            <v>970</v>
          </cell>
        </row>
        <row r="16">
          <cell r="C16">
            <v>2244</v>
          </cell>
        </row>
        <row r="17">
          <cell r="C17">
            <v>1122</v>
          </cell>
        </row>
        <row r="18">
          <cell r="C18">
            <v>11652</v>
          </cell>
        </row>
        <row r="19">
          <cell r="C19">
            <v>7007</v>
          </cell>
        </row>
        <row r="20">
          <cell r="C20">
            <v>7556</v>
          </cell>
        </row>
        <row r="21">
          <cell r="C21">
            <v>9772</v>
          </cell>
        </row>
        <row r="22">
          <cell r="C22">
            <v>2475</v>
          </cell>
        </row>
        <row r="23">
          <cell r="C23">
            <v>2524</v>
          </cell>
        </row>
        <row r="24">
          <cell r="C24">
            <v>2587</v>
          </cell>
        </row>
        <row r="25">
          <cell r="C25">
            <v>707</v>
          </cell>
        </row>
        <row r="26">
          <cell r="C26">
            <v>297</v>
          </cell>
        </row>
        <row r="27">
          <cell r="C27">
            <v>1668</v>
          </cell>
        </row>
        <row r="28">
          <cell r="C28">
            <v>3032</v>
          </cell>
        </row>
        <row r="29">
          <cell r="C29">
            <v>569</v>
          </cell>
        </row>
        <row r="30">
          <cell r="C30">
            <v>2783</v>
          </cell>
        </row>
        <row r="31">
          <cell r="C31">
            <v>3541</v>
          </cell>
        </row>
        <row r="32">
          <cell r="C32">
            <v>1812</v>
          </cell>
        </row>
        <row r="33">
          <cell r="C33">
            <v>1309</v>
          </cell>
        </row>
        <row r="34">
          <cell r="C34">
            <v>590</v>
          </cell>
        </row>
        <row r="35">
          <cell r="C35">
            <v>711</v>
          </cell>
        </row>
        <row r="36">
          <cell r="C36">
            <v>516</v>
          </cell>
        </row>
        <row r="37">
          <cell r="C37">
            <v>447</v>
          </cell>
        </row>
        <row r="38">
          <cell r="C38">
            <v>2150</v>
          </cell>
        </row>
        <row r="39">
          <cell r="C39">
            <v>2017</v>
          </cell>
        </row>
        <row r="40">
          <cell r="C40">
            <v>2558</v>
          </cell>
        </row>
        <row r="41">
          <cell r="C41">
            <v>1736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279</v>
          </cell>
        </row>
        <row r="45">
          <cell r="C45">
            <v>1960</v>
          </cell>
        </row>
        <row r="46">
          <cell r="C46">
            <v>1468</v>
          </cell>
        </row>
        <row r="47">
          <cell r="C47">
            <v>780</v>
          </cell>
        </row>
        <row r="48">
          <cell r="C48">
            <v>1229</v>
          </cell>
        </row>
        <row r="49">
          <cell r="C49">
            <v>880</v>
          </cell>
        </row>
        <row r="50">
          <cell r="C50">
            <v>855</v>
          </cell>
        </row>
        <row r="51">
          <cell r="C51">
            <v>105</v>
          </cell>
        </row>
        <row r="52">
          <cell r="C52">
            <v>213</v>
          </cell>
        </row>
        <row r="53">
          <cell r="C53">
            <v>130</v>
          </cell>
        </row>
        <row r="54">
          <cell r="C54">
            <v>149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46275</v>
          </cell>
          <cell r="E2">
            <v>7</v>
          </cell>
        </row>
        <row r="3">
          <cell r="C3" t="str">
            <v>FINAL VENTAS</v>
          </cell>
          <cell r="D3">
            <v>46295</v>
          </cell>
          <cell r="E3">
            <v>15</v>
          </cell>
        </row>
        <row r="8">
          <cell r="C8">
            <v>1712</v>
          </cell>
        </row>
        <row r="9">
          <cell r="C9">
            <v>227</v>
          </cell>
        </row>
        <row r="10">
          <cell r="C10">
            <v>533</v>
          </cell>
        </row>
        <row r="11">
          <cell r="C11">
            <v>213</v>
          </cell>
        </row>
        <row r="12">
          <cell r="C12">
            <v>14</v>
          </cell>
        </row>
        <row r="13">
          <cell r="C13">
            <v>2291</v>
          </cell>
        </row>
        <row r="14">
          <cell r="C14">
            <v>331</v>
          </cell>
        </row>
        <row r="15">
          <cell r="C15">
            <v>753</v>
          </cell>
        </row>
        <row r="16">
          <cell r="C16">
            <v>2134</v>
          </cell>
        </row>
        <row r="17">
          <cell r="C17">
            <v>947</v>
          </cell>
        </row>
        <row r="18">
          <cell r="C18">
            <v>6258</v>
          </cell>
        </row>
        <row r="19">
          <cell r="C19">
            <v>4063</v>
          </cell>
        </row>
        <row r="20">
          <cell r="C20">
            <v>4517</v>
          </cell>
        </row>
        <row r="21">
          <cell r="C21">
            <v>4790</v>
          </cell>
        </row>
        <row r="22">
          <cell r="C22">
            <v>1282</v>
          </cell>
        </row>
        <row r="23">
          <cell r="C23">
            <v>1980</v>
          </cell>
        </row>
        <row r="24">
          <cell r="C24">
            <v>1887</v>
          </cell>
        </row>
        <row r="25">
          <cell r="C25">
            <v>802</v>
          </cell>
        </row>
        <row r="26">
          <cell r="C26">
            <v>441</v>
          </cell>
        </row>
        <row r="27">
          <cell r="C27">
            <v>1243</v>
          </cell>
        </row>
        <row r="28">
          <cell r="C28">
            <v>1880</v>
          </cell>
        </row>
        <row r="29">
          <cell r="C29">
            <v>0</v>
          </cell>
        </row>
        <row r="30">
          <cell r="C30">
            <v>1087</v>
          </cell>
        </row>
        <row r="31">
          <cell r="C31">
            <v>1451</v>
          </cell>
        </row>
        <row r="32">
          <cell r="C32">
            <v>632</v>
          </cell>
        </row>
        <row r="33">
          <cell r="C33">
            <v>469</v>
          </cell>
        </row>
        <row r="34">
          <cell r="C34">
            <v>401</v>
          </cell>
        </row>
        <row r="35">
          <cell r="C35">
            <v>451</v>
          </cell>
        </row>
        <row r="36">
          <cell r="C36">
            <v>234</v>
          </cell>
        </row>
        <row r="37">
          <cell r="C37">
            <v>210</v>
          </cell>
        </row>
        <row r="38">
          <cell r="C38">
            <v>1666</v>
          </cell>
        </row>
        <row r="39">
          <cell r="C39">
            <v>1226</v>
          </cell>
        </row>
        <row r="40">
          <cell r="C40">
            <v>1717</v>
          </cell>
        </row>
        <row r="41">
          <cell r="C41">
            <v>932</v>
          </cell>
        </row>
        <row r="42">
          <cell r="C42">
            <v>21</v>
          </cell>
        </row>
        <row r="43">
          <cell r="C43">
            <v>6</v>
          </cell>
        </row>
        <row r="44">
          <cell r="C44">
            <v>471</v>
          </cell>
        </row>
        <row r="45">
          <cell r="C45">
            <v>985</v>
          </cell>
        </row>
        <row r="46">
          <cell r="C46">
            <v>1240</v>
          </cell>
        </row>
        <row r="47">
          <cell r="C47">
            <v>53</v>
          </cell>
        </row>
        <row r="48">
          <cell r="C48">
            <v>565</v>
          </cell>
        </row>
        <row r="49">
          <cell r="C49">
            <v>259</v>
          </cell>
        </row>
        <row r="50">
          <cell r="C50">
            <v>376</v>
          </cell>
        </row>
        <row r="51">
          <cell r="C51">
            <v>58</v>
          </cell>
        </row>
        <row r="52">
          <cell r="C52">
            <v>162</v>
          </cell>
        </row>
        <row r="53">
          <cell r="C53">
            <v>25</v>
          </cell>
        </row>
        <row r="54">
          <cell r="C54">
            <v>47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46275</v>
          </cell>
          <cell r="E2">
            <v>7</v>
          </cell>
        </row>
        <row r="3">
          <cell r="C3" t="str">
            <v>FINAL VENTAS</v>
          </cell>
          <cell r="D3">
            <v>46295</v>
          </cell>
          <cell r="E3">
            <v>15</v>
          </cell>
        </row>
        <row r="8">
          <cell r="C8">
            <v>177</v>
          </cell>
        </row>
        <row r="9">
          <cell r="C9">
            <v>14</v>
          </cell>
        </row>
        <row r="10">
          <cell r="C10">
            <v>41</v>
          </cell>
        </row>
        <row r="11">
          <cell r="C11">
            <v>13</v>
          </cell>
        </row>
        <row r="12">
          <cell r="C12">
            <v>6</v>
          </cell>
        </row>
        <row r="13">
          <cell r="C13">
            <v>87</v>
          </cell>
        </row>
        <row r="14">
          <cell r="C14">
            <v>93</v>
          </cell>
        </row>
        <row r="15">
          <cell r="C15">
            <v>96</v>
          </cell>
        </row>
        <row r="16">
          <cell r="C16">
            <v>151</v>
          </cell>
        </row>
        <row r="17">
          <cell r="C17">
            <v>11</v>
          </cell>
        </row>
        <row r="18">
          <cell r="C18">
            <v>420</v>
          </cell>
        </row>
        <row r="19">
          <cell r="C19">
            <v>291</v>
          </cell>
        </row>
        <row r="20">
          <cell r="C20">
            <v>227</v>
          </cell>
        </row>
        <row r="21">
          <cell r="C21">
            <v>313</v>
          </cell>
        </row>
        <row r="22">
          <cell r="C22">
            <v>89</v>
          </cell>
        </row>
        <row r="23">
          <cell r="C23">
            <v>130</v>
          </cell>
        </row>
        <row r="24">
          <cell r="C24">
            <v>153</v>
          </cell>
        </row>
        <row r="25">
          <cell r="C25">
            <v>28</v>
          </cell>
        </row>
        <row r="26">
          <cell r="C26">
            <v>12</v>
          </cell>
        </row>
        <row r="27">
          <cell r="C27">
            <v>41</v>
          </cell>
        </row>
        <row r="28">
          <cell r="C28">
            <v>82</v>
          </cell>
        </row>
        <row r="29">
          <cell r="C29">
            <v>0</v>
          </cell>
        </row>
        <row r="30">
          <cell r="C30">
            <v>78</v>
          </cell>
        </row>
        <row r="31">
          <cell r="C31">
            <v>193</v>
          </cell>
        </row>
        <row r="32">
          <cell r="C32">
            <v>96</v>
          </cell>
        </row>
        <row r="33">
          <cell r="C33">
            <v>193</v>
          </cell>
        </row>
        <row r="34">
          <cell r="C34">
            <v>37</v>
          </cell>
        </row>
        <row r="35">
          <cell r="C35">
            <v>43</v>
          </cell>
        </row>
        <row r="36">
          <cell r="C36">
            <v>17</v>
          </cell>
        </row>
        <row r="37">
          <cell r="C37">
            <v>39</v>
          </cell>
        </row>
        <row r="38">
          <cell r="C38">
            <v>218</v>
          </cell>
        </row>
        <row r="39">
          <cell r="C39">
            <v>188</v>
          </cell>
        </row>
        <row r="40">
          <cell r="C40">
            <v>209</v>
          </cell>
        </row>
        <row r="41">
          <cell r="C41">
            <v>124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40</v>
          </cell>
        </row>
        <row r="45">
          <cell r="C45">
            <v>99</v>
          </cell>
        </row>
        <row r="46">
          <cell r="C46">
            <v>26</v>
          </cell>
        </row>
        <row r="47">
          <cell r="C47">
            <v>23</v>
          </cell>
        </row>
        <row r="48">
          <cell r="C48">
            <v>35</v>
          </cell>
        </row>
        <row r="49">
          <cell r="C49">
            <v>67</v>
          </cell>
        </row>
        <row r="50">
          <cell r="C50">
            <v>67</v>
          </cell>
        </row>
        <row r="51">
          <cell r="C51">
            <v>12</v>
          </cell>
        </row>
        <row r="52">
          <cell r="C52">
            <v>12</v>
          </cell>
        </row>
        <row r="53">
          <cell r="C53">
            <v>21</v>
          </cell>
        </row>
        <row r="54">
          <cell r="C54">
            <v>12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46275</v>
          </cell>
          <cell r="E2">
            <v>7</v>
          </cell>
        </row>
        <row r="3">
          <cell r="C3" t="str">
            <v>FINAL VENTAS</v>
          </cell>
          <cell r="D3">
            <v>46295</v>
          </cell>
          <cell r="E3">
            <v>15</v>
          </cell>
        </row>
        <row r="8">
          <cell r="C8">
            <v>7805</v>
          </cell>
        </row>
        <row r="9">
          <cell r="C9">
            <v>611</v>
          </cell>
        </row>
        <row r="10">
          <cell r="C10">
            <v>3130</v>
          </cell>
        </row>
        <row r="11">
          <cell r="C11">
            <v>733</v>
          </cell>
        </row>
        <row r="12">
          <cell r="C12">
            <v>105</v>
          </cell>
        </row>
        <row r="13">
          <cell r="C13">
            <v>9089</v>
          </cell>
        </row>
        <row r="14">
          <cell r="C14">
            <v>937</v>
          </cell>
        </row>
        <row r="15">
          <cell r="C15">
            <v>1955</v>
          </cell>
        </row>
        <row r="16">
          <cell r="C16">
            <v>5093</v>
          </cell>
        </row>
        <row r="17">
          <cell r="C17">
            <v>2271</v>
          </cell>
        </row>
        <row r="18">
          <cell r="C18">
            <v>22817</v>
          </cell>
        </row>
        <row r="19">
          <cell r="C19">
            <v>13843</v>
          </cell>
        </row>
        <row r="20">
          <cell r="C20">
            <v>14922</v>
          </cell>
        </row>
        <row r="21">
          <cell r="C21">
            <v>17660</v>
          </cell>
        </row>
        <row r="22">
          <cell r="C22">
            <v>4814</v>
          </cell>
        </row>
        <row r="23">
          <cell r="C23">
            <v>5710</v>
          </cell>
        </row>
        <row r="24">
          <cell r="C24">
            <v>5628</v>
          </cell>
        </row>
        <row r="25">
          <cell r="C25">
            <v>1730</v>
          </cell>
        </row>
        <row r="26">
          <cell r="C26">
            <v>785</v>
          </cell>
        </row>
        <row r="27">
          <cell r="C27">
            <v>3625</v>
          </cell>
        </row>
        <row r="28">
          <cell r="C28">
            <v>5865</v>
          </cell>
        </row>
        <row r="29">
          <cell r="C29">
            <v>599</v>
          </cell>
        </row>
        <row r="30">
          <cell r="C30">
            <v>4432</v>
          </cell>
        </row>
        <row r="31">
          <cell r="C31">
            <v>6413</v>
          </cell>
        </row>
        <row r="32">
          <cell r="C32">
            <v>3366</v>
          </cell>
        </row>
        <row r="33">
          <cell r="C33">
            <v>2303</v>
          </cell>
        </row>
        <row r="34">
          <cell r="C34">
            <v>1527</v>
          </cell>
        </row>
        <row r="35">
          <cell r="C35">
            <v>1777</v>
          </cell>
        </row>
        <row r="36">
          <cell r="C36">
            <v>830</v>
          </cell>
        </row>
        <row r="37">
          <cell r="C37">
            <v>833</v>
          </cell>
        </row>
        <row r="38">
          <cell r="C38">
            <v>5092</v>
          </cell>
        </row>
        <row r="39">
          <cell r="C39">
            <v>4057</v>
          </cell>
        </row>
        <row r="40">
          <cell r="C40">
            <v>5363</v>
          </cell>
        </row>
        <row r="41">
          <cell r="C41">
            <v>3153</v>
          </cell>
        </row>
        <row r="42">
          <cell r="C42">
            <v>28</v>
          </cell>
        </row>
        <row r="43">
          <cell r="C43">
            <v>6</v>
          </cell>
        </row>
        <row r="44">
          <cell r="C44">
            <v>928</v>
          </cell>
        </row>
        <row r="45">
          <cell r="C45">
            <v>3459</v>
          </cell>
        </row>
        <row r="46">
          <cell r="C46">
            <v>2978</v>
          </cell>
        </row>
        <row r="47">
          <cell r="C47">
            <v>997</v>
          </cell>
        </row>
        <row r="48">
          <cell r="C48">
            <v>2003</v>
          </cell>
        </row>
        <row r="49">
          <cell r="C49">
            <v>1335</v>
          </cell>
        </row>
        <row r="50">
          <cell r="C50">
            <v>1528</v>
          </cell>
        </row>
        <row r="51">
          <cell r="C51">
            <v>216</v>
          </cell>
        </row>
        <row r="52">
          <cell r="C52">
            <v>521</v>
          </cell>
        </row>
        <row r="53">
          <cell r="C53">
            <v>182</v>
          </cell>
        </row>
        <row r="54">
          <cell r="C54">
            <v>237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'[1]VENTAS CONSOLIDADA ZULIA'!D2</f>
        <v>46275</v>
      </c>
      <c r="E2" s="4">
        <f ca="1">'[1]VENTAS CONSOLIDADA ZULIA'!E2</f>
        <v>7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 ca="1">'[1]VENTAS CONSOLIDADA ZULIA'!E3</f>
        <v>15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177</v>
      </c>
      <c r="D8" s="5">
        <f t="shared" ref="D8:D54" ca="1" si="0">C8/$E$2</f>
        <v>25.285714285714285</v>
      </c>
      <c r="E8" s="5">
        <f ca="1">D8*($E$2+$E$3)</f>
        <v>556.28571428571422</v>
      </c>
    </row>
    <row r="9" spans="1:5" x14ac:dyDescent="0.25">
      <c r="A9">
        <v>110151</v>
      </c>
      <c r="B9" t="s">
        <v>5</v>
      </c>
      <c r="C9">
        <f>'[1]VENTAS CONSOLIDADA ZULIA'!C9</f>
        <v>14</v>
      </c>
      <c r="D9" s="5">
        <f t="shared" ca="1" si="0"/>
        <v>2</v>
      </c>
      <c r="E9" s="5">
        <f t="shared" ref="E9:E54" ca="1" si="1">D9*($E$2+$E$3)</f>
        <v>44</v>
      </c>
    </row>
    <row r="10" spans="1:5" x14ac:dyDescent="0.25">
      <c r="A10">
        <v>110230</v>
      </c>
      <c r="B10" t="s">
        <v>1</v>
      </c>
      <c r="C10">
        <f>'[1]VENTAS CONSOLIDADA ZULIA'!C10</f>
        <v>41</v>
      </c>
      <c r="D10" s="5">
        <f t="shared" ca="1" si="0"/>
        <v>5.8571428571428568</v>
      </c>
      <c r="E10" s="5">
        <f t="shared" ca="1" si="1"/>
        <v>128.85714285714286</v>
      </c>
    </row>
    <row r="11" spans="1:5" x14ac:dyDescent="0.25">
      <c r="A11">
        <v>110400</v>
      </c>
      <c r="B11" t="s">
        <v>13</v>
      </c>
      <c r="C11">
        <f>'[1]VENTAS CONSOLIDADA ZULIA'!C11</f>
        <v>13</v>
      </c>
      <c r="D11" s="5">
        <f t="shared" ca="1" si="0"/>
        <v>1.8571428571428572</v>
      </c>
      <c r="E11" s="5">
        <f t="shared" ca="1" si="1"/>
        <v>40.857142857142861</v>
      </c>
    </row>
    <row r="12" spans="1:5" x14ac:dyDescent="0.25">
      <c r="A12">
        <v>111000</v>
      </c>
      <c r="B12" t="s">
        <v>14</v>
      </c>
      <c r="C12">
        <f>'[1]VENTAS CONSOLIDADA ZULIA'!C12</f>
        <v>6</v>
      </c>
      <c r="D12" s="5">
        <f t="shared" ca="1" si="0"/>
        <v>0.8571428571428571</v>
      </c>
      <c r="E12" s="5">
        <f t="shared" ca="1" si="1"/>
        <v>18.857142857142858</v>
      </c>
    </row>
    <row r="13" spans="1:5" x14ac:dyDescent="0.25">
      <c r="A13">
        <v>120130</v>
      </c>
      <c r="B13" t="s">
        <v>15</v>
      </c>
      <c r="C13">
        <f>'[1]VENTAS CONSOLIDADA ZULIA'!C13</f>
        <v>87</v>
      </c>
      <c r="D13" s="5">
        <f t="shared" ca="1" si="0"/>
        <v>12.428571428571429</v>
      </c>
      <c r="E13" s="5">
        <f t="shared" ca="1" si="1"/>
        <v>273.42857142857144</v>
      </c>
    </row>
    <row r="14" spans="1:5" x14ac:dyDescent="0.25">
      <c r="A14">
        <v>120131</v>
      </c>
      <c r="B14" t="s">
        <v>23</v>
      </c>
      <c r="C14">
        <f>'[1]VENTAS CONSOLIDADA ZULIA'!C14</f>
        <v>93</v>
      </c>
      <c r="D14" s="5">
        <f t="shared" ca="1" si="0"/>
        <v>13.285714285714286</v>
      </c>
      <c r="E14" s="5">
        <f t="shared" ca="1" si="1"/>
        <v>292.28571428571428</v>
      </c>
    </row>
    <row r="15" spans="1:5" x14ac:dyDescent="0.25">
      <c r="A15">
        <v>120132</v>
      </c>
      <c r="B15" t="s">
        <v>21</v>
      </c>
      <c r="C15">
        <f>'[1]VENTAS CONSOLIDADA ZULIA'!C15</f>
        <v>96</v>
      </c>
      <c r="D15" s="5">
        <f t="shared" ca="1" si="0"/>
        <v>13.714285714285714</v>
      </c>
      <c r="E15" s="5">
        <f t="shared" ca="1" si="1"/>
        <v>301.71428571428572</v>
      </c>
    </row>
    <row r="16" spans="1:5" x14ac:dyDescent="0.25">
      <c r="A16">
        <v>130150</v>
      </c>
      <c r="B16" t="s">
        <v>0</v>
      </c>
      <c r="C16">
        <f>'[1]VENTAS CONSOLIDADA ZULIA'!C16</f>
        <v>151</v>
      </c>
      <c r="D16" s="5">
        <f t="shared" ca="1" si="0"/>
        <v>21.571428571428573</v>
      </c>
      <c r="E16" s="5">
        <f t="shared" ca="1" si="1"/>
        <v>474.57142857142861</v>
      </c>
    </row>
    <row r="17" spans="1:5" x14ac:dyDescent="0.25">
      <c r="A17">
        <v>130151</v>
      </c>
      <c r="B17" t="s">
        <v>4</v>
      </c>
      <c r="C17">
        <f>'[1]VENTAS CONSOLIDADA ZULIA'!C17</f>
        <v>11</v>
      </c>
      <c r="D17" s="5">
        <f t="shared" ca="1" si="0"/>
        <v>1.5714285714285714</v>
      </c>
      <c r="E17" s="5">
        <f t="shared" ca="1" si="1"/>
        <v>34.571428571428569</v>
      </c>
    </row>
    <row r="18" spans="1:5" x14ac:dyDescent="0.25">
      <c r="A18">
        <v>130152</v>
      </c>
      <c r="B18" t="s">
        <v>51</v>
      </c>
      <c r="C18">
        <f>'[1]VENTAS CONSOLIDADA ZULIA'!C18</f>
        <v>420</v>
      </c>
      <c r="D18" s="5">
        <f t="shared" ca="1" si="0"/>
        <v>60</v>
      </c>
      <c r="E18" s="5">
        <f t="shared" ca="1" si="1"/>
        <v>1320</v>
      </c>
    </row>
    <row r="19" spans="1:5" x14ac:dyDescent="0.25">
      <c r="A19">
        <v>130153</v>
      </c>
      <c r="B19" t="s">
        <v>52</v>
      </c>
      <c r="C19">
        <f>'[1]VENTAS CONSOLIDADA ZULIA'!C19</f>
        <v>291</v>
      </c>
      <c r="D19" s="5">
        <f t="shared" ca="1" si="0"/>
        <v>41.571428571428569</v>
      </c>
      <c r="E19" s="5">
        <f t="shared" ca="1" si="1"/>
        <v>914.57142857142856</v>
      </c>
    </row>
    <row r="20" spans="1:5" x14ac:dyDescent="0.25">
      <c r="A20">
        <v>130154</v>
      </c>
      <c r="B20" t="s">
        <v>53</v>
      </c>
      <c r="C20">
        <f>'[1]VENTAS CONSOLIDADA ZULIA'!C20</f>
        <v>227</v>
      </c>
      <c r="D20" s="5">
        <f t="shared" ca="1" si="0"/>
        <v>32.428571428571431</v>
      </c>
      <c r="E20" s="5">
        <f t="shared" ca="1" si="1"/>
        <v>713.42857142857144</v>
      </c>
    </row>
    <row r="21" spans="1:5" x14ac:dyDescent="0.25">
      <c r="A21">
        <v>130155</v>
      </c>
      <c r="B21" t="s">
        <v>16</v>
      </c>
      <c r="C21">
        <f>'[1]VENTAS CONSOLIDADA ZULIA'!C21</f>
        <v>313</v>
      </c>
      <c r="D21" s="5">
        <f t="shared" ca="1" si="0"/>
        <v>44.714285714285715</v>
      </c>
      <c r="E21" s="5">
        <f t="shared" ca="1" si="1"/>
        <v>983.71428571428578</v>
      </c>
    </row>
    <row r="22" spans="1:5" x14ac:dyDescent="0.25">
      <c r="A22">
        <v>130157</v>
      </c>
      <c r="B22" t="s">
        <v>43</v>
      </c>
      <c r="C22">
        <f>'[1]VENTAS CONSOLIDADA ZULIA'!C22</f>
        <v>89</v>
      </c>
      <c r="D22" s="5">
        <f t="shared" ca="1" si="0"/>
        <v>12.714285714285714</v>
      </c>
      <c r="E22" s="5">
        <f t="shared" ca="1" si="1"/>
        <v>279.71428571428572</v>
      </c>
    </row>
    <row r="23" spans="1:5" x14ac:dyDescent="0.25">
      <c r="A23">
        <v>130158</v>
      </c>
      <c r="B23" t="s">
        <v>44</v>
      </c>
      <c r="C23">
        <f>'[1]VENTAS CONSOLIDADA ZULIA'!C23</f>
        <v>130</v>
      </c>
      <c r="D23" s="5">
        <f t="shared" ca="1" si="0"/>
        <v>18.571428571428573</v>
      </c>
      <c r="E23" s="5">
        <f t="shared" ca="1" si="1"/>
        <v>408.57142857142861</v>
      </c>
    </row>
    <row r="24" spans="1:5" x14ac:dyDescent="0.25">
      <c r="A24">
        <v>130159</v>
      </c>
      <c r="B24" t="s">
        <v>45</v>
      </c>
      <c r="C24">
        <f>'[1]VENTAS CONSOLIDADA ZULIA'!C24</f>
        <v>153</v>
      </c>
      <c r="D24" s="5">
        <f t="shared" ca="1" si="0"/>
        <v>21.857142857142858</v>
      </c>
      <c r="E24" s="5">
        <f t="shared" ca="1" si="1"/>
        <v>480.85714285714289</v>
      </c>
    </row>
    <row r="25" spans="1:5" x14ac:dyDescent="0.25">
      <c r="A25">
        <v>130700</v>
      </c>
      <c r="B25" t="s">
        <v>3</v>
      </c>
      <c r="C25">
        <f>'[1]VENTAS CONSOLIDADA ZULIA'!C25</f>
        <v>28</v>
      </c>
      <c r="D25" s="5">
        <f t="shared" ca="1" si="0"/>
        <v>4</v>
      </c>
      <c r="E25" s="5">
        <f t="shared" ca="1" si="1"/>
        <v>88</v>
      </c>
    </row>
    <row r="26" spans="1:5" x14ac:dyDescent="0.25">
      <c r="A26">
        <v>130701</v>
      </c>
      <c r="B26" t="s">
        <v>30</v>
      </c>
      <c r="C26">
        <f>'[1]VENTAS CONSOLIDADA ZULIA'!C26</f>
        <v>12</v>
      </c>
      <c r="D26" s="5">
        <f t="shared" ca="1" si="0"/>
        <v>1.7142857142857142</v>
      </c>
      <c r="E26" s="5">
        <f t="shared" ca="1" si="1"/>
        <v>37.714285714285715</v>
      </c>
    </row>
    <row r="27" spans="1:5" x14ac:dyDescent="0.25">
      <c r="A27">
        <v>130702</v>
      </c>
      <c r="B27" t="s">
        <v>12</v>
      </c>
      <c r="C27">
        <f>'[1]VENTAS CONSOLIDADA ZULIA'!C27</f>
        <v>41</v>
      </c>
      <c r="D27" s="5">
        <f t="shared" ca="1" si="0"/>
        <v>5.8571428571428568</v>
      </c>
      <c r="E27" s="5">
        <f t="shared" ca="1" si="1"/>
        <v>128.85714285714286</v>
      </c>
    </row>
    <row r="28" spans="1:5" x14ac:dyDescent="0.25">
      <c r="A28">
        <v>130703</v>
      </c>
      <c r="B28" t="s">
        <v>17</v>
      </c>
      <c r="C28">
        <f>'[1]VENTAS CONSOLIDADA ZULIA'!C28</f>
        <v>82</v>
      </c>
      <c r="D28" s="5">
        <f t="shared" ca="1" si="0"/>
        <v>11.714285714285714</v>
      </c>
      <c r="E28" s="5">
        <f t="shared" ca="1" si="1"/>
        <v>257.71428571428572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ZULIA'!C30</f>
        <v>78</v>
      </c>
      <c r="D30" s="5">
        <f t="shared" ca="1" si="0"/>
        <v>11.142857142857142</v>
      </c>
      <c r="E30" s="5">
        <f t="shared" ca="1" si="1"/>
        <v>245.14285714285714</v>
      </c>
    </row>
    <row r="31" spans="1:5" x14ac:dyDescent="0.25">
      <c r="A31">
        <v>131151</v>
      </c>
      <c r="B31" t="s">
        <v>19</v>
      </c>
      <c r="C31">
        <f>'[1]VENTAS CONSOLIDADA ZULIA'!C31</f>
        <v>193</v>
      </c>
      <c r="D31" s="5">
        <f t="shared" ca="1" si="0"/>
        <v>27.571428571428573</v>
      </c>
      <c r="E31" s="5">
        <f t="shared" ca="1" si="1"/>
        <v>606.57142857142856</v>
      </c>
    </row>
    <row r="32" spans="1:5" x14ac:dyDescent="0.25">
      <c r="A32">
        <v>131152</v>
      </c>
      <c r="B32" t="s">
        <v>32</v>
      </c>
      <c r="C32">
        <f>'[1]VENTAS CONSOLIDADA ZULIA'!C32</f>
        <v>96</v>
      </c>
      <c r="D32" s="5">
        <f t="shared" ca="1" si="0"/>
        <v>13.714285714285714</v>
      </c>
      <c r="E32" s="5">
        <f t="shared" ca="1" si="1"/>
        <v>301.71428571428572</v>
      </c>
    </row>
    <row r="33" spans="1:5" x14ac:dyDescent="0.25">
      <c r="A33">
        <v>131153</v>
      </c>
      <c r="B33" t="s">
        <v>11</v>
      </c>
      <c r="C33">
        <f>'[1]VENTAS CONSOLIDADA ZULIA'!C33</f>
        <v>193</v>
      </c>
      <c r="D33" s="5">
        <f t="shared" ca="1" si="0"/>
        <v>27.571428571428573</v>
      </c>
      <c r="E33" s="5">
        <f t="shared" ca="1" si="1"/>
        <v>606.57142857142856</v>
      </c>
    </row>
    <row r="34" spans="1:5" x14ac:dyDescent="0.25">
      <c r="A34">
        <v>131154</v>
      </c>
      <c r="B34" t="s">
        <v>48</v>
      </c>
      <c r="C34">
        <f>'[1]VENTAS CONSOLIDADA ZULIA'!C34</f>
        <v>37</v>
      </c>
      <c r="D34" s="5">
        <f t="shared" ca="1" si="0"/>
        <v>5.2857142857142856</v>
      </c>
      <c r="E34" s="5">
        <f t="shared" ca="1" si="1"/>
        <v>116.28571428571428</v>
      </c>
    </row>
    <row r="35" spans="1:5" x14ac:dyDescent="0.25">
      <c r="A35">
        <v>131155</v>
      </c>
      <c r="B35" t="s">
        <v>57</v>
      </c>
      <c r="C35">
        <f>'[1]VENTAS CONSOLIDADA ZULIA'!C35</f>
        <v>43</v>
      </c>
      <c r="D35" s="5">
        <f t="shared" ca="1" si="0"/>
        <v>6.1428571428571432</v>
      </c>
      <c r="E35" s="5">
        <f t="shared" ca="1" si="1"/>
        <v>135.14285714285714</v>
      </c>
    </row>
    <row r="36" spans="1:5" x14ac:dyDescent="0.25">
      <c r="A36">
        <v>131700</v>
      </c>
      <c r="B36" t="s">
        <v>20</v>
      </c>
      <c r="C36">
        <f>'[1]VENTAS CONSOLIDADA ZULIA'!C36</f>
        <v>17</v>
      </c>
      <c r="D36" s="5">
        <f t="shared" ca="1" si="0"/>
        <v>2.4285714285714284</v>
      </c>
      <c r="E36" s="5">
        <f t="shared" ca="1" si="1"/>
        <v>53.428571428571423</v>
      </c>
    </row>
    <row r="37" spans="1:5" x14ac:dyDescent="0.25">
      <c r="A37">
        <v>131701</v>
      </c>
      <c r="B37" t="s">
        <v>24</v>
      </c>
      <c r="C37">
        <f>'[1]VENTAS CONSOLIDADA ZULIA'!C37</f>
        <v>39</v>
      </c>
      <c r="D37" s="5">
        <f t="shared" ca="1" si="0"/>
        <v>5.5714285714285712</v>
      </c>
      <c r="E37" s="5">
        <f t="shared" ca="1" si="1"/>
        <v>122.57142857142857</v>
      </c>
    </row>
    <row r="38" spans="1:5" x14ac:dyDescent="0.25">
      <c r="A38">
        <v>132150</v>
      </c>
      <c r="B38" t="s">
        <v>25</v>
      </c>
      <c r="C38">
        <f>'[1]VENTAS CONSOLIDADA ZULIA'!C38</f>
        <v>218</v>
      </c>
      <c r="D38" s="5">
        <f t="shared" ca="1" si="0"/>
        <v>31.142857142857142</v>
      </c>
      <c r="E38" s="5">
        <f t="shared" ca="1" si="1"/>
        <v>685.14285714285711</v>
      </c>
    </row>
    <row r="39" spans="1:5" x14ac:dyDescent="0.25">
      <c r="A39">
        <v>132151</v>
      </c>
      <c r="B39" t="s">
        <v>26</v>
      </c>
      <c r="C39">
        <f>'[1]VENTAS CONSOLIDADA ZULIA'!C39</f>
        <v>188</v>
      </c>
      <c r="D39" s="5">
        <f t="shared" ca="1" si="0"/>
        <v>26.857142857142858</v>
      </c>
      <c r="E39" s="5">
        <f t="shared" ca="1" si="1"/>
        <v>590.85714285714289</v>
      </c>
    </row>
    <row r="40" spans="1:5" x14ac:dyDescent="0.25">
      <c r="A40">
        <v>132152</v>
      </c>
      <c r="B40" t="s">
        <v>27</v>
      </c>
      <c r="C40">
        <f>'[1]VENTAS CONSOLIDADA ZULIA'!C40</f>
        <v>209</v>
      </c>
      <c r="D40" s="5">
        <f t="shared" ca="1" si="0"/>
        <v>29.857142857142858</v>
      </c>
      <c r="E40" s="5">
        <f t="shared" ca="1" si="1"/>
        <v>656.85714285714289</v>
      </c>
    </row>
    <row r="41" spans="1:5" x14ac:dyDescent="0.25">
      <c r="A41">
        <v>132153</v>
      </c>
      <c r="B41" t="s">
        <v>40</v>
      </c>
      <c r="C41">
        <f>'[1]VENTAS CONSOLIDADA ZULIA'!C41</f>
        <v>124</v>
      </c>
      <c r="D41" s="5">
        <f t="shared" ca="1" si="0"/>
        <v>17.714285714285715</v>
      </c>
      <c r="E41" s="5">
        <f t="shared" ca="1" si="1"/>
        <v>389.71428571428572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ZULIA'!C44</f>
        <v>40</v>
      </c>
      <c r="D44" s="5">
        <f t="shared" ca="1" si="0"/>
        <v>5.7142857142857144</v>
      </c>
      <c r="E44" s="5">
        <f t="shared" ca="1" si="1"/>
        <v>125.71428571428572</v>
      </c>
    </row>
    <row r="45" spans="1:5" x14ac:dyDescent="0.25">
      <c r="A45">
        <v>140231</v>
      </c>
      <c r="B45" t="s">
        <v>10</v>
      </c>
      <c r="C45">
        <f>'[1]VENTAS CONSOLIDADA ZULIA'!C45</f>
        <v>99</v>
      </c>
      <c r="D45" s="5">
        <f t="shared" ca="1" si="0"/>
        <v>14.142857142857142</v>
      </c>
      <c r="E45" s="5">
        <f t="shared" ca="1" si="1"/>
        <v>311.14285714285711</v>
      </c>
    </row>
    <row r="46" spans="1:5" x14ac:dyDescent="0.25">
      <c r="A46">
        <v>140232</v>
      </c>
      <c r="B46" t="s">
        <v>9</v>
      </c>
      <c r="C46">
        <f>'[1]VENTAS CONSOLIDADA ZULIA'!C46</f>
        <v>26</v>
      </c>
      <c r="D46" s="5">
        <f t="shared" ca="1" si="0"/>
        <v>3.7142857142857144</v>
      </c>
      <c r="E46" s="5">
        <f t="shared" ca="1" si="1"/>
        <v>81.714285714285722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t="shared" ca="1" si="0"/>
        <v>3.2857142857142856</v>
      </c>
      <c r="E47" s="5">
        <f t="shared" ca="1" si="1"/>
        <v>72.285714285714278</v>
      </c>
    </row>
    <row r="48" spans="1:5" x14ac:dyDescent="0.25">
      <c r="A48">
        <v>150361</v>
      </c>
      <c r="B48" t="s">
        <v>29</v>
      </c>
      <c r="C48">
        <f>'[1]VENTAS CONSOLIDADA ZULIA'!C48</f>
        <v>35</v>
      </c>
      <c r="D48" s="5">
        <f t="shared" ca="1" si="0"/>
        <v>5</v>
      </c>
      <c r="E48" s="5">
        <f t="shared" ca="1" si="1"/>
        <v>110</v>
      </c>
    </row>
    <row r="49" spans="1:5" x14ac:dyDescent="0.25">
      <c r="A49">
        <v>150362</v>
      </c>
      <c r="B49" t="s">
        <v>36</v>
      </c>
      <c r="C49">
        <f>'[1]VENTAS CONSOLIDADA ZULIA'!C49</f>
        <v>67</v>
      </c>
      <c r="D49" s="5">
        <f t="shared" ca="1" si="0"/>
        <v>9.5714285714285712</v>
      </c>
      <c r="E49" s="5">
        <f t="shared" ca="1" si="1"/>
        <v>210.57142857142856</v>
      </c>
    </row>
    <row r="50" spans="1:5" x14ac:dyDescent="0.25">
      <c r="A50">
        <v>150363</v>
      </c>
      <c r="B50" t="s">
        <v>31</v>
      </c>
      <c r="C50">
        <f>'[1]VENTAS CONSOLIDADA ZULIA'!C50</f>
        <v>67</v>
      </c>
      <c r="D50" s="5">
        <f t="shared" ca="1" si="0"/>
        <v>9.5714285714285712</v>
      </c>
      <c r="E50" s="5">
        <f t="shared" ca="1" si="1"/>
        <v>210.57142857142856</v>
      </c>
    </row>
    <row r="51" spans="1:5" x14ac:dyDescent="0.25">
      <c r="A51">
        <v>151500</v>
      </c>
      <c r="B51" t="s">
        <v>41</v>
      </c>
      <c r="C51">
        <f>'[1]VENTAS CONSOLIDADA ZULIA'!C51</f>
        <v>12</v>
      </c>
      <c r="D51" s="5">
        <f t="shared" ca="1" si="0"/>
        <v>1.7142857142857142</v>
      </c>
      <c r="E51" s="5">
        <f t="shared" ca="1" si="1"/>
        <v>37.714285714285715</v>
      </c>
    </row>
    <row r="52" spans="1:5" x14ac:dyDescent="0.25">
      <c r="A52">
        <v>151501</v>
      </c>
      <c r="B52" t="s">
        <v>33</v>
      </c>
      <c r="C52">
        <f>'[1]VENTAS CONSOLIDADA ZULIA'!C52</f>
        <v>12</v>
      </c>
      <c r="D52" s="5">
        <f t="shared" ca="1" si="0"/>
        <v>1.7142857142857142</v>
      </c>
      <c r="E52" s="5">
        <f t="shared" ca="1" si="1"/>
        <v>37.714285714285715</v>
      </c>
    </row>
    <row r="53" spans="1:5" x14ac:dyDescent="0.25">
      <c r="A53">
        <v>151502</v>
      </c>
      <c r="B53" t="s">
        <v>37</v>
      </c>
      <c r="C53">
        <f>'[1]VENTAS CONSOLIDADA ZULIA'!C53</f>
        <v>21</v>
      </c>
      <c r="D53" s="5">
        <f t="shared" ca="1" si="0"/>
        <v>3</v>
      </c>
      <c r="E53" s="5">
        <f t="shared" ca="1" si="1"/>
        <v>66</v>
      </c>
    </row>
    <row r="54" spans="1:5" x14ac:dyDescent="0.25">
      <c r="A54">
        <v>151503</v>
      </c>
      <c r="B54" t="s">
        <v>34</v>
      </c>
      <c r="C54">
        <f>'[1]VENTAS CONSOLIDADA ZULIA'!C54</f>
        <v>12</v>
      </c>
      <c r="D54" s="5">
        <f t="shared" ca="1" si="0"/>
        <v>1.7142857142857142</v>
      </c>
      <c r="E54" s="5">
        <f t="shared" ca="1" si="1"/>
        <v>37.714285714285715</v>
      </c>
    </row>
    <row r="55" spans="1:5" x14ac:dyDescent="0.25">
      <c r="D55" s="5">
        <f ca="1">SUM(D8:D54)</f>
        <v>617.71428571428544</v>
      </c>
      <c r="E55" s="5">
        <f ca="1">SUM(E8:E54)</f>
        <v>13589.71428571429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'[1]VENTAS CONSOLIDADA VALENCIA'!D2</f>
        <v>46275</v>
      </c>
      <c r="E2" s="4">
        <f ca="1">'[1]VENTAS CONSOLIDADA VALENCIA'!E2</f>
        <v>7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 ca="1">'[1]VENTAS CONSOLIDADA VALENCIA'!E3</f>
        <v>15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1712</v>
      </c>
      <c r="D8" s="5">
        <f t="shared" ref="D8:D54" ca="1" si="0">C8/$E$2</f>
        <v>244.57142857142858</v>
      </c>
      <c r="E8" s="5">
        <f ca="1">D8*($E$2+$E$3)</f>
        <v>5380.5714285714284</v>
      </c>
    </row>
    <row r="9" spans="1:5" x14ac:dyDescent="0.25">
      <c r="A9">
        <v>110151</v>
      </c>
      <c r="B9" t="s">
        <v>5</v>
      </c>
      <c r="C9">
        <f>'[1]VENTAS CONSOLIDADA VALENCIA'!C9</f>
        <v>227</v>
      </c>
      <c r="D9" s="5">
        <f t="shared" ca="1" si="0"/>
        <v>32.428571428571431</v>
      </c>
      <c r="E9" s="5">
        <f t="shared" ref="E9:E54" ca="1" si="1">D9*($E$2+$E$3)</f>
        <v>713.42857142857144</v>
      </c>
    </row>
    <row r="10" spans="1:5" x14ac:dyDescent="0.25">
      <c r="A10">
        <v>110230</v>
      </c>
      <c r="B10" t="s">
        <v>1</v>
      </c>
      <c r="C10">
        <f>'[1]VENTAS CONSOLIDADA VALENCIA'!C10</f>
        <v>533</v>
      </c>
      <c r="D10" s="5">
        <f t="shared" ca="1" si="0"/>
        <v>76.142857142857139</v>
      </c>
      <c r="E10" s="5">
        <f t="shared" ca="1" si="1"/>
        <v>1675.1428571428571</v>
      </c>
    </row>
    <row r="11" spans="1:5" x14ac:dyDescent="0.25">
      <c r="A11">
        <v>110400</v>
      </c>
      <c r="B11" t="s">
        <v>13</v>
      </c>
      <c r="C11">
        <f>'[1]VENTAS CONSOLIDADA VALENCIA'!C11</f>
        <v>213</v>
      </c>
      <c r="D11" s="5">
        <f t="shared" ca="1" si="0"/>
        <v>30.428571428571427</v>
      </c>
      <c r="E11" s="5">
        <f t="shared" ca="1" si="1"/>
        <v>669.42857142857144</v>
      </c>
    </row>
    <row r="12" spans="1:5" x14ac:dyDescent="0.25">
      <c r="A12">
        <v>111000</v>
      </c>
      <c r="B12" t="s">
        <v>14</v>
      </c>
      <c r="C12">
        <f>'[1]VENTAS CONSOLIDADA VALENCIA'!C12</f>
        <v>14</v>
      </c>
      <c r="D12" s="5">
        <f t="shared" ca="1" si="0"/>
        <v>2</v>
      </c>
      <c r="E12" s="5">
        <f t="shared" ca="1" si="1"/>
        <v>44</v>
      </c>
    </row>
    <row r="13" spans="1:5" x14ac:dyDescent="0.25">
      <c r="A13">
        <v>120130</v>
      </c>
      <c r="B13" t="s">
        <v>15</v>
      </c>
      <c r="C13">
        <f>'[1]VENTAS CONSOLIDADA VALENCIA'!C13</f>
        <v>2291</v>
      </c>
      <c r="D13" s="5">
        <f t="shared" ca="1" si="0"/>
        <v>327.28571428571428</v>
      </c>
      <c r="E13" s="5">
        <f t="shared" ca="1" si="1"/>
        <v>7200.2857142857138</v>
      </c>
    </row>
    <row r="14" spans="1:5" x14ac:dyDescent="0.25">
      <c r="A14">
        <v>120131</v>
      </c>
      <c r="B14" t="s">
        <v>23</v>
      </c>
      <c r="C14">
        <f>'[1]VENTAS CONSOLIDADA VALENCIA'!C14</f>
        <v>331</v>
      </c>
      <c r="D14" s="5">
        <f t="shared" ca="1" si="0"/>
        <v>47.285714285714285</v>
      </c>
      <c r="E14" s="5">
        <f t="shared" ca="1" si="1"/>
        <v>1040.2857142857142</v>
      </c>
    </row>
    <row r="15" spans="1:5" x14ac:dyDescent="0.25">
      <c r="A15">
        <v>120132</v>
      </c>
      <c r="B15" t="s">
        <v>21</v>
      </c>
      <c r="C15">
        <f>'[1]VENTAS CONSOLIDADA VALENCIA'!C15</f>
        <v>753</v>
      </c>
      <c r="D15" s="5">
        <f t="shared" ca="1" si="0"/>
        <v>107.57142857142857</v>
      </c>
      <c r="E15" s="5">
        <f t="shared" ca="1" si="1"/>
        <v>2366.5714285714284</v>
      </c>
    </row>
    <row r="16" spans="1:5" x14ac:dyDescent="0.25">
      <c r="A16">
        <v>130150</v>
      </c>
      <c r="B16" t="s">
        <v>0</v>
      </c>
      <c r="C16">
        <f>'[1]VENTAS CONSOLIDADA VALENCIA'!C16</f>
        <v>2134</v>
      </c>
      <c r="D16" s="5">
        <f t="shared" ca="1" si="0"/>
        <v>304.85714285714283</v>
      </c>
      <c r="E16" s="5">
        <f t="shared" ca="1" si="1"/>
        <v>6706.8571428571422</v>
      </c>
    </row>
    <row r="17" spans="1:5" x14ac:dyDescent="0.25">
      <c r="A17">
        <v>130151</v>
      </c>
      <c r="B17" t="s">
        <v>4</v>
      </c>
      <c r="C17">
        <f>'[1]VENTAS CONSOLIDADA VALENCIA'!C17</f>
        <v>947</v>
      </c>
      <c r="D17" s="5">
        <f t="shared" ca="1" si="0"/>
        <v>135.28571428571428</v>
      </c>
      <c r="E17" s="5">
        <f t="shared" ca="1" si="1"/>
        <v>2976.2857142857142</v>
      </c>
    </row>
    <row r="18" spans="1:5" x14ac:dyDescent="0.25">
      <c r="A18">
        <v>130152</v>
      </c>
      <c r="B18" t="s">
        <v>51</v>
      </c>
      <c r="C18">
        <f>'[1]VENTAS CONSOLIDADA VALENCIA'!C18</f>
        <v>6258</v>
      </c>
      <c r="D18" s="5">
        <f t="shared" ca="1" si="0"/>
        <v>894</v>
      </c>
      <c r="E18" s="5">
        <f t="shared" ca="1" si="1"/>
        <v>19668</v>
      </c>
    </row>
    <row r="19" spans="1:5" x14ac:dyDescent="0.25">
      <c r="A19">
        <v>130153</v>
      </c>
      <c r="B19" t="s">
        <v>52</v>
      </c>
      <c r="C19">
        <f>'[1]VENTAS CONSOLIDADA VALENCIA'!C19</f>
        <v>4063</v>
      </c>
      <c r="D19" s="5">
        <f t="shared" ca="1" si="0"/>
        <v>580.42857142857144</v>
      </c>
      <c r="E19" s="5">
        <f t="shared" ca="1" si="1"/>
        <v>12769.428571428572</v>
      </c>
    </row>
    <row r="20" spans="1:5" x14ac:dyDescent="0.25">
      <c r="A20">
        <v>130154</v>
      </c>
      <c r="B20" t="s">
        <v>53</v>
      </c>
      <c r="C20">
        <f>'[1]VENTAS CONSOLIDADA VALENCIA'!C20</f>
        <v>4517</v>
      </c>
      <c r="D20" s="5">
        <f t="shared" ca="1" si="0"/>
        <v>645.28571428571433</v>
      </c>
      <c r="E20" s="5">
        <f t="shared" ca="1" si="1"/>
        <v>14196.285714285716</v>
      </c>
    </row>
    <row r="21" spans="1:5" x14ac:dyDescent="0.25">
      <c r="A21">
        <v>130155</v>
      </c>
      <c r="B21" t="s">
        <v>16</v>
      </c>
      <c r="C21">
        <f>'[1]VENTAS CONSOLIDADA VALENCIA'!C21</f>
        <v>4790</v>
      </c>
      <c r="D21" s="5">
        <f t="shared" ca="1" si="0"/>
        <v>684.28571428571433</v>
      </c>
      <c r="E21" s="5">
        <f t="shared" ca="1" si="1"/>
        <v>15054.285714285716</v>
      </c>
    </row>
    <row r="22" spans="1:5" x14ac:dyDescent="0.25">
      <c r="A22">
        <v>130157</v>
      </c>
      <c r="B22" t="s">
        <v>43</v>
      </c>
      <c r="C22">
        <f>'[1]VENTAS CONSOLIDADA VALENCIA'!C22</f>
        <v>1282</v>
      </c>
      <c r="D22" s="5">
        <f t="shared" ca="1" si="0"/>
        <v>183.14285714285714</v>
      </c>
      <c r="E22" s="5">
        <f t="shared" ca="1" si="1"/>
        <v>4029.1428571428569</v>
      </c>
    </row>
    <row r="23" spans="1:5" x14ac:dyDescent="0.25">
      <c r="A23">
        <v>130158</v>
      </c>
      <c r="B23" t="s">
        <v>44</v>
      </c>
      <c r="C23">
        <f>'[1]VENTAS CONSOLIDADA VALENCIA'!C23</f>
        <v>1980</v>
      </c>
      <c r="D23" s="5">
        <f t="shared" ca="1" si="0"/>
        <v>282.85714285714283</v>
      </c>
      <c r="E23" s="5">
        <f t="shared" ca="1" si="1"/>
        <v>6222.8571428571422</v>
      </c>
    </row>
    <row r="24" spans="1:5" x14ac:dyDescent="0.25">
      <c r="A24">
        <v>130159</v>
      </c>
      <c r="B24" t="s">
        <v>45</v>
      </c>
      <c r="C24">
        <f>'[1]VENTAS CONSOLIDADA VALENCIA'!C24</f>
        <v>1887</v>
      </c>
      <c r="D24" s="5">
        <f t="shared" ca="1" si="0"/>
        <v>269.57142857142856</v>
      </c>
      <c r="E24" s="5">
        <f t="shared" ca="1" si="1"/>
        <v>5930.5714285714284</v>
      </c>
    </row>
    <row r="25" spans="1:5" x14ac:dyDescent="0.25">
      <c r="A25">
        <v>130700</v>
      </c>
      <c r="B25" t="s">
        <v>3</v>
      </c>
      <c r="C25">
        <f>'[1]VENTAS CONSOLIDADA VALENCIA'!C25</f>
        <v>802</v>
      </c>
      <c r="D25" s="5">
        <f t="shared" ca="1" si="0"/>
        <v>114.57142857142857</v>
      </c>
      <c r="E25" s="5">
        <f t="shared" ca="1" si="1"/>
        <v>2520.5714285714284</v>
      </c>
    </row>
    <row r="26" spans="1:5" x14ac:dyDescent="0.25">
      <c r="A26">
        <v>130701</v>
      </c>
      <c r="B26" t="s">
        <v>30</v>
      </c>
      <c r="C26">
        <f>'[1]VENTAS CONSOLIDADA VALENCIA'!C26</f>
        <v>441</v>
      </c>
      <c r="D26" s="5">
        <f t="shared" ca="1" si="0"/>
        <v>63</v>
      </c>
      <c r="E26" s="5">
        <f t="shared" ca="1" si="1"/>
        <v>1386</v>
      </c>
    </row>
    <row r="27" spans="1:5" x14ac:dyDescent="0.25">
      <c r="A27">
        <v>130702</v>
      </c>
      <c r="B27" t="s">
        <v>12</v>
      </c>
      <c r="C27">
        <f>'[1]VENTAS CONSOLIDADA VALENCIA'!C27</f>
        <v>1243</v>
      </c>
      <c r="D27" s="5">
        <f t="shared" ca="1" si="0"/>
        <v>177.57142857142858</v>
      </c>
      <c r="E27" s="5">
        <f t="shared" ca="1" si="1"/>
        <v>3906.5714285714289</v>
      </c>
    </row>
    <row r="28" spans="1:5" x14ac:dyDescent="0.25">
      <c r="A28">
        <v>130703</v>
      </c>
      <c r="B28" t="s">
        <v>17</v>
      </c>
      <c r="C28">
        <f>'[1]VENTAS CONSOLIDADA VALENCIA'!C28</f>
        <v>1880</v>
      </c>
      <c r="D28" s="5">
        <f t="shared" ca="1" si="0"/>
        <v>268.57142857142856</v>
      </c>
      <c r="E28" s="5">
        <f t="shared" ca="1" si="1"/>
        <v>5908.5714285714284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1087</v>
      </c>
      <c r="D30" s="5">
        <f t="shared" ca="1" si="0"/>
        <v>155.28571428571428</v>
      </c>
      <c r="E30" s="5">
        <f t="shared" ca="1" si="1"/>
        <v>3416.2857142857142</v>
      </c>
    </row>
    <row r="31" spans="1:5" x14ac:dyDescent="0.25">
      <c r="A31">
        <v>131151</v>
      </c>
      <c r="B31" t="s">
        <v>19</v>
      </c>
      <c r="C31">
        <f>'[1]VENTAS CONSOLIDADA VALENCIA'!C31</f>
        <v>1451</v>
      </c>
      <c r="D31" s="5">
        <f t="shared" ca="1" si="0"/>
        <v>207.28571428571428</v>
      </c>
      <c r="E31" s="5">
        <f t="shared" ca="1" si="1"/>
        <v>4560.2857142857138</v>
      </c>
    </row>
    <row r="32" spans="1:5" x14ac:dyDescent="0.25">
      <c r="A32">
        <v>131152</v>
      </c>
      <c r="B32" t="s">
        <v>32</v>
      </c>
      <c r="C32">
        <f>'[1]VENTAS CONSOLIDADA VALENCIA'!C32</f>
        <v>632</v>
      </c>
      <c r="D32" s="5">
        <f t="shared" ca="1" si="0"/>
        <v>90.285714285714292</v>
      </c>
      <c r="E32" s="5">
        <f t="shared" ca="1" si="1"/>
        <v>1986.2857142857144</v>
      </c>
    </row>
    <row r="33" spans="1:5" x14ac:dyDescent="0.25">
      <c r="A33">
        <v>131153</v>
      </c>
      <c r="B33" t="s">
        <v>11</v>
      </c>
      <c r="C33">
        <f>'[1]VENTAS CONSOLIDADA VALENCIA'!C33</f>
        <v>469</v>
      </c>
      <c r="D33" s="5">
        <f t="shared" ca="1" si="0"/>
        <v>67</v>
      </c>
      <c r="E33" s="5">
        <f t="shared" ca="1" si="1"/>
        <v>1474</v>
      </c>
    </row>
    <row r="34" spans="1:5" x14ac:dyDescent="0.25">
      <c r="A34">
        <v>131154</v>
      </c>
      <c r="B34" t="s">
        <v>48</v>
      </c>
      <c r="C34">
        <f>'[1]VENTAS CONSOLIDADA VALENCIA'!C34</f>
        <v>401</v>
      </c>
      <c r="D34" s="5">
        <f t="shared" ca="1" si="0"/>
        <v>57.285714285714285</v>
      </c>
      <c r="E34" s="5">
        <f t="shared" ca="1" si="1"/>
        <v>1260.2857142857142</v>
      </c>
    </row>
    <row r="35" spans="1:5" x14ac:dyDescent="0.25">
      <c r="A35">
        <v>131155</v>
      </c>
      <c r="B35" t="s">
        <v>57</v>
      </c>
      <c r="C35">
        <f>'[1]VENTAS CONSOLIDADA VALENCIA'!C35</f>
        <v>451</v>
      </c>
      <c r="D35" s="5">
        <f t="shared" ca="1" si="0"/>
        <v>64.428571428571431</v>
      </c>
      <c r="E35" s="5">
        <f t="shared" ca="1" si="1"/>
        <v>1417.4285714285716</v>
      </c>
    </row>
    <row r="36" spans="1:5" x14ac:dyDescent="0.25">
      <c r="A36">
        <v>131700</v>
      </c>
      <c r="B36" t="s">
        <v>20</v>
      </c>
      <c r="C36">
        <f>'[1]VENTAS CONSOLIDADA VALENCIA'!C36</f>
        <v>234</v>
      </c>
      <c r="D36" s="5">
        <f t="shared" ca="1" si="0"/>
        <v>33.428571428571431</v>
      </c>
      <c r="E36" s="5">
        <f t="shared" ca="1" si="1"/>
        <v>735.42857142857144</v>
      </c>
    </row>
    <row r="37" spans="1:5" x14ac:dyDescent="0.25">
      <c r="A37">
        <v>131701</v>
      </c>
      <c r="B37" t="s">
        <v>24</v>
      </c>
      <c r="C37">
        <f>'[1]VENTAS CONSOLIDADA VALENCIA'!C37</f>
        <v>210</v>
      </c>
      <c r="D37" s="5">
        <f t="shared" ca="1" si="0"/>
        <v>30</v>
      </c>
      <c r="E37" s="5">
        <f t="shared" ca="1" si="1"/>
        <v>660</v>
      </c>
    </row>
    <row r="38" spans="1:5" x14ac:dyDescent="0.25">
      <c r="A38">
        <v>132150</v>
      </c>
      <c r="B38" t="s">
        <v>25</v>
      </c>
      <c r="C38">
        <f>'[1]VENTAS CONSOLIDADA VALENCIA'!C38</f>
        <v>1666</v>
      </c>
      <c r="D38" s="5">
        <f t="shared" ca="1" si="0"/>
        <v>238</v>
      </c>
      <c r="E38" s="5">
        <f t="shared" ca="1" si="1"/>
        <v>5236</v>
      </c>
    </row>
    <row r="39" spans="1:5" x14ac:dyDescent="0.25">
      <c r="A39">
        <v>132151</v>
      </c>
      <c r="B39" t="s">
        <v>26</v>
      </c>
      <c r="C39">
        <f>'[1]VENTAS CONSOLIDADA VALENCIA'!C39</f>
        <v>1226</v>
      </c>
      <c r="D39" s="5">
        <f t="shared" ca="1" si="0"/>
        <v>175.14285714285714</v>
      </c>
      <c r="E39" s="5">
        <f t="shared" ca="1" si="1"/>
        <v>3853.1428571428569</v>
      </c>
    </row>
    <row r="40" spans="1:5" x14ac:dyDescent="0.25">
      <c r="A40">
        <v>132152</v>
      </c>
      <c r="B40" t="s">
        <v>27</v>
      </c>
      <c r="C40">
        <f>'[1]VENTAS CONSOLIDADA VALENCIA'!C40</f>
        <v>1717</v>
      </c>
      <c r="D40" s="5">
        <f t="shared" ca="1" si="0"/>
        <v>245.28571428571428</v>
      </c>
      <c r="E40" s="5">
        <f t="shared" ca="1" si="1"/>
        <v>5396.2857142857138</v>
      </c>
    </row>
    <row r="41" spans="1:5" x14ac:dyDescent="0.25">
      <c r="A41">
        <v>132153</v>
      </c>
      <c r="B41" t="s">
        <v>40</v>
      </c>
      <c r="C41">
        <f>'[1]VENTAS CONSOLIDADA VALENCIA'!C41</f>
        <v>932</v>
      </c>
      <c r="D41" s="5">
        <f t="shared" ca="1" si="0"/>
        <v>133.14285714285714</v>
      </c>
      <c r="E41" s="5">
        <f t="shared" ca="1" si="1"/>
        <v>2929.1428571428569</v>
      </c>
    </row>
    <row r="42" spans="1:5" x14ac:dyDescent="0.25">
      <c r="A42">
        <v>134000</v>
      </c>
      <c r="B42" t="s">
        <v>35</v>
      </c>
      <c r="C42">
        <f>'[1]VENTAS CONSOLIDADA VALENCIA'!C42</f>
        <v>21</v>
      </c>
      <c r="D42" s="5">
        <f t="shared" ca="1" si="0"/>
        <v>3</v>
      </c>
      <c r="E42" s="5">
        <f t="shared" ca="1" si="1"/>
        <v>66</v>
      </c>
    </row>
    <row r="43" spans="1:5" x14ac:dyDescent="0.25">
      <c r="A43">
        <v>134001</v>
      </c>
      <c r="B43" t="s">
        <v>47</v>
      </c>
      <c r="C43">
        <f>'[1]VENTAS CONSOLIDADA VALENCIA'!C43</f>
        <v>6</v>
      </c>
      <c r="D43" s="5">
        <f t="shared" ca="1" si="0"/>
        <v>0.8571428571428571</v>
      </c>
      <c r="E43" s="5">
        <f t="shared" ca="1" si="1"/>
        <v>18.857142857142858</v>
      </c>
    </row>
    <row r="44" spans="1:5" x14ac:dyDescent="0.25">
      <c r="A44">
        <v>140230</v>
      </c>
      <c r="B44" t="s">
        <v>18</v>
      </c>
      <c r="C44">
        <f>'[1]VENTAS CONSOLIDADA VALENCIA'!C44</f>
        <v>471</v>
      </c>
      <c r="D44" s="5">
        <f t="shared" ca="1" si="0"/>
        <v>67.285714285714292</v>
      </c>
      <c r="E44" s="5">
        <f t="shared" ca="1" si="1"/>
        <v>1480.2857142857144</v>
      </c>
    </row>
    <row r="45" spans="1:5" x14ac:dyDescent="0.25">
      <c r="A45">
        <v>140231</v>
      </c>
      <c r="B45" t="s">
        <v>10</v>
      </c>
      <c r="C45">
        <f>'[1]VENTAS CONSOLIDADA VALENCIA'!C45</f>
        <v>985</v>
      </c>
      <c r="D45" s="5">
        <f t="shared" ca="1" si="0"/>
        <v>140.71428571428572</v>
      </c>
      <c r="E45" s="5">
        <f t="shared" ca="1" si="1"/>
        <v>3095.7142857142858</v>
      </c>
    </row>
    <row r="46" spans="1:5" x14ac:dyDescent="0.25">
      <c r="A46">
        <v>140232</v>
      </c>
      <c r="B46" t="s">
        <v>9</v>
      </c>
      <c r="C46">
        <f>'[1]VENTAS CONSOLIDADA VALENCIA'!C46</f>
        <v>1240</v>
      </c>
      <c r="D46" s="5">
        <f t="shared" ca="1" si="0"/>
        <v>177.14285714285714</v>
      </c>
      <c r="E46" s="5">
        <f t="shared" ca="1" si="1"/>
        <v>3897.1428571428569</v>
      </c>
    </row>
    <row r="47" spans="1:5" x14ac:dyDescent="0.25">
      <c r="A47">
        <v>150360</v>
      </c>
      <c r="B47" t="s">
        <v>28</v>
      </c>
      <c r="C47">
        <f>'[1]VENTAS CONSOLIDADA VALENCIA'!C47</f>
        <v>53</v>
      </c>
      <c r="D47" s="5">
        <f t="shared" ca="1" si="0"/>
        <v>7.5714285714285712</v>
      </c>
      <c r="E47" s="5">
        <f t="shared" ca="1" si="1"/>
        <v>166.57142857142856</v>
      </c>
    </row>
    <row r="48" spans="1:5" x14ac:dyDescent="0.25">
      <c r="A48">
        <v>150361</v>
      </c>
      <c r="B48" t="s">
        <v>29</v>
      </c>
      <c r="C48">
        <f>'[1]VENTAS CONSOLIDADA VALENCIA'!C48</f>
        <v>565</v>
      </c>
      <c r="D48" s="5">
        <f t="shared" ca="1" si="0"/>
        <v>80.714285714285708</v>
      </c>
      <c r="E48" s="5">
        <f t="shared" ca="1" si="1"/>
        <v>1775.7142857142856</v>
      </c>
    </row>
    <row r="49" spans="1:5" x14ac:dyDescent="0.25">
      <c r="A49">
        <v>150362</v>
      </c>
      <c r="B49" t="s">
        <v>36</v>
      </c>
      <c r="C49">
        <f>'[1]VENTAS CONSOLIDADA VALENCIA'!C49</f>
        <v>259</v>
      </c>
      <c r="D49" s="5">
        <f t="shared" ca="1" si="0"/>
        <v>37</v>
      </c>
      <c r="E49" s="5">
        <f t="shared" ca="1" si="1"/>
        <v>814</v>
      </c>
    </row>
    <row r="50" spans="1:5" x14ac:dyDescent="0.25">
      <c r="A50">
        <v>150363</v>
      </c>
      <c r="B50" t="s">
        <v>31</v>
      </c>
      <c r="C50">
        <f>'[1]VENTAS CONSOLIDADA VALENCIA'!C50</f>
        <v>376</v>
      </c>
      <c r="D50" s="5">
        <f t="shared" ca="1" si="0"/>
        <v>53.714285714285715</v>
      </c>
      <c r="E50" s="5">
        <f t="shared" ca="1" si="1"/>
        <v>1181.7142857142858</v>
      </c>
    </row>
    <row r="51" spans="1:5" x14ac:dyDescent="0.25">
      <c r="A51">
        <v>151500</v>
      </c>
      <c r="B51" t="s">
        <v>41</v>
      </c>
      <c r="C51">
        <f>'[1]VENTAS CONSOLIDADA VALENCIA'!C51</f>
        <v>58</v>
      </c>
      <c r="D51" s="5">
        <f t="shared" ca="1" si="0"/>
        <v>8.2857142857142865</v>
      </c>
      <c r="E51" s="5">
        <f t="shared" ca="1" si="1"/>
        <v>182.28571428571431</v>
      </c>
    </row>
    <row r="52" spans="1:5" x14ac:dyDescent="0.25">
      <c r="A52">
        <v>151501</v>
      </c>
      <c r="B52" t="s">
        <v>33</v>
      </c>
      <c r="C52">
        <f>'[1]VENTAS CONSOLIDADA VALENCIA'!C52</f>
        <v>162</v>
      </c>
      <c r="D52" s="5">
        <f t="shared" ca="1" si="0"/>
        <v>23.142857142857142</v>
      </c>
      <c r="E52" s="5">
        <f t="shared" ca="1" si="1"/>
        <v>509.14285714285711</v>
      </c>
    </row>
    <row r="53" spans="1:5" x14ac:dyDescent="0.25">
      <c r="A53">
        <v>151502</v>
      </c>
      <c r="B53" t="s">
        <v>37</v>
      </c>
      <c r="C53">
        <f>'[1]VENTAS CONSOLIDADA VALENCIA'!C53</f>
        <v>25</v>
      </c>
      <c r="D53" s="5">
        <f t="shared" ca="1" si="0"/>
        <v>3.5714285714285716</v>
      </c>
      <c r="E53" s="5">
        <f t="shared" ca="1" si="1"/>
        <v>78.571428571428569</v>
      </c>
    </row>
    <row r="54" spans="1:5" x14ac:dyDescent="0.25">
      <c r="A54">
        <v>151503</v>
      </c>
      <c r="B54" t="s">
        <v>34</v>
      </c>
      <c r="C54">
        <f>'[1]VENTAS CONSOLIDADA VALENCIA'!C54</f>
        <v>47</v>
      </c>
      <c r="D54" s="5">
        <f t="shared" ca="1" si="0"/>
        <v>6.7142857142857144</v>
      </c>
      <c r="E54" s="5">
        <f t="shared" ca="1" si="1"/>
        <v>147.71428571428572</v>
      </c>
    </row>
    <row r="55" spans="1:5" x14ac:dyDescent="0.25">
      <c r="D55" s="5">
        <f ca="1">SUM(D8:D54)</f>
        <v>7577.4285714285716</v>
      </c>
      <c r="E55" s="5">
        <f ca="1">SUM(E8:E54)</f>
        <v>166703.42857142861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'[1]VENTAS CONSOLIDADA CARACAS'!D2</f>
        <v>46275</v>
      </c>
      <c r="E2" s="4">
        <f ca="1">'[1]VENTAS CONSOLIDADA CARACAS'!E2</f>
        <v>7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 ca="1">'[1]VENTAS CONSOLIDADA CARACAS'!E3</f>
        <v>15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5366</v>
      </c>
      <c r="D8" s="5">
        <f t="shared" ref="D8:D54" ca="1" si="0">C8/$E$2</f>
        <v>766.57142857142856</v>
      </c>
      <c r="E8" s="5">
        <f ca="1">D8*($E$2+$E$3)</f>
        <v>16864.571428571428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331</v>
      </c>
      <c r="D9" s="5">
        <f t="shared" ca="1" si="0"/>
        <v>47.285714285714285</v>
      </c>
      <c r="E9" s="5">
        <f t="shared" ref="E9:E54" ca="1" si="1">D9*($E$2+$E$3)</f>
        <v>1040.2857142857142</v>
      </c>
    </row>
    <row r="10" spans="1:6" x14ac:dyDescent="0.25">
      <c r="A10">
        <v>110230</v>
      </c>
      <c r="B10" t="s">
        <v>1</v>
      </c>
      <c r="C10">
        <f>'[1]VENTAS CONSOLIDADA CARACAS'!C10</f>
        <v>2395</v>
      </c>
      <c r="D10" s="5">
        <f t="shared" ca="1" si="0"/>
        <v>342.14285714285717</v>
      </c>
      <c r="E10" s="5">
        <f t="shared" ca="1" si="1"/>
        <v>7527.1428571428578</v>
      </c>
    </row>
    <row r="11" spans="1:6" x14ac:dyDescent="0.25">
      <c r="A11">
        <v>110400</v>
      </c>
      <c r="B11" t="s">
        <v>13</v>
      </c>
      <c r="C11">
        <f>'[1]VENTAS CONSOLIDADA CARACAS'!C11</f>
        <v>477</v>
      </c>
      <c r="D11" s="5">
        <f t="shared" ca="1" si="0"/>
        <v>68.142857142857139</v>
      </c>
      <c r="E11" s="5">
        <f t="shared" ca="1" si="1"/>
        <v>1499.1428571428571</v>
      </c>
    </row>
    <row r="12" spans="1:6" x14ac:dyDescent="0.25">
      <c r="A12">
        <v>111000</v>
      </c>
      <c r="B12" t="s">
        <v>14</v>
      </c>
      <c r="C12">
        <f>'[1]VENTAS CONSOLIDADA CARACAS'!C12</f>
        <v>80</v>
      </c>
      <c r="D12" s="5">
        <f t="shared" ca="1" si="0"/>
        <v>11.428571428571429</v>
      </c>
      <c r="E12" s="5">
        <f t="shared" ca="1" si="1"/>
        <v>251.42857142857144</v>
      </c>
    </row>
    <row r="13" spans="1:6" x14ac:dyDescent="0.25">
      <c r="A13">
        <v>120130</v>
      </c>
      <c r="B13" t="s">
        <v>15</v>
      </c>
      <c r="C13">
        <f>'[1]VENTAS CONSOLIDADA CARACAS'!C13</f>
        <v>5357</v>
      </c>
      <c r="D13" s="5">
        <f t="shared" ca="1" si="0"/>
        <v>765.28571428571433</v>
      </c>
      <c r="E13" s="5">
        <f t="shared" ca="1" si="1"/>
        <v>16836.285714285714</v>
      </c>
    </row>
    <row r="14" spans="1:6" x14ac:dyDescent="0.25">
      <c r="A14">
        <v>120131</v>
      </c>
      <c r="B14" t="s">
        <v>23</v>
      </c>
      <c r="C14">
        <f>'[1]VENTAS CONSOLIDADA CARACAS'!C14</f>
        <v>390</v>
      </c>
      <c r="D14" s="5">
        <f t="shared" ca="1" si="0"/>
        <v>55.714285714285715</v>
      </c>
      <c r="E14" s="5">
        <f t="shared" ca="1" si="1"/>
        <v>1225.7142857142858</v>
      </c>
    </row>
    <row r="15" spans="1:6" x14ac:dyDescent="0.25">
      <c r="A15">
        <v>120132</v>
      </c>
      <c r="B15" t="s">
        <v>21</v>
      </c>
      <c r="C15">
        <f>'[1]VENTAS CONSOLIDADA CARACAS'!C15</f>
        <v>970</v>
      </c>
      <c r="D15" s="5">
        <f t="shared" ca="1" si="0"/>
        <v>138.57142857142858</v>
      </c>
      <c r="E15" s="5">
        <f t="shared" ca="1" si="1"/>
        <v>3048.5714285714289</v>
      </c>
    </row>
    <row r="16" spans="1:6" x14ac:dyDescent="0.25">
      <c r="A16">
        <v>130150</v>
      </c>
      <c r="B16" t="s">
        <v>0</v>
      </c>
      <c r="C16">
        <f>'[1]VENTAS CONSOLIDADA CARACAS'!C16</f>
        <v>2244</v>
      </c>
      <c r="D16" s="5">
        <f t="shared" ca="1" si="0"/>
        <v>320.57142857142856</v>
      </c>
      <c r="E16" s="5">
        <f t="shared" ca="1" si="1"/>
        <v>7052.5714285714284</v>
      </c>
    </row>
    <row r="17" spans="1:5" x14ac:dyDescent="0.25">
      <c r="A17">
        <v>130151</v>
      </c>
      <c r="B17" t="s">
        <v>4</v>
      </c>
      <c r="C17">
        <f>'[1]VENTAS CONSOLIDADA CARACAS'!C17</f>
        <v>1122</v>
      </c>
      <c r="D17" s="5">
        <f t="shared" ca="1" si="0"/>
        <v>160.28571428571428</v>
      </c>
      <c r="E17" s="5">
        <f t="shared" ca="1" si="1"/>
        <v>3526.2857142857142</v>
      </c>
    </row>
    <row r="18" spans="1:5" x14ac:dyDescent="0.25">
      <c r="A18">
        <v>130152</v>
      </c>
      <c r="B18" t="s">
        <v>51</v>
      </c>
      <c r="C18">
        <f>'[1]VENTAS CONSOLIDADA CARACAS'!C18</f>
        <v>11652</v>
      </c>
      <c r="D18" s="5">
        <f t="shared" ca="1" si="0"/>
        <v>1664.5714285714287</v>
      </c>
      <c r="E18" s="5">
        <f t="shared" ca="1" si="1"/>
        <v>36620.571428571428</v>
      </c>
    </row>
    <row r="19" spans="1:5" x14ac:dyDescent="0.25">
      <c r="A19">
        <v>130153</v>
      </c>
      <c r="B19" t="s">
        <v>52</v>
      </c>
      <c r="C19">
        <f>'[1]VENTAS CONSOLIDADA CARACAS'!C19</f>
        <v>7007</v>
      </c>
      <c r="D19" s="5">
        <f t="shared" ca="1" si="0"/>
        <v>1001</v>
      </c>
      <c r="E19" s="5">
        <f t="shared" ca="1" si="1"/>
        <v>22022</v>
      </c>
    </row>
    <row r="20" spans="1:5" x14ac:dyDescent="0.25">
      <c r="A20">
        <v>130154</v>
      </c>
      <c r="B20" t="s">
        <v>53</v>
      </c>
      <c r="C20">
        <f>'[1]VENTAS CONSOLIDADA CARACAS'!C20</f>
        <v>7556</v>
      </c>
      <c r="D20" s="5">
        <f t="shared" ca="1" si="0"/>
        <v>1079.4285714285713</v>
      </c>
      <c r="E20" s="5">
        <f t="shared" ca="1" si="1"/>
        <v>23747.428571428569</v>
      </c>
    </row>
    <row r="21" spans="1:5" x14ac:dyDescent="0.25">
      <c r="A21">
        <v>130155</v>
      </c>
      <c r="B21" t="s">
        <v>16</v>
      </c>
      <c r="C21">
        <f>'[1]VENTAS CONSOLIDADA CARACAS'!C21</f>
        <v>9772</v>
      </c>
      <c r="D21" s="5">
        <f t="shared" ca="1" si="0"/>
        <v>1396</v>
      </c>
      <c r="E21" s="5">
        <f t="shared" ca="1" si="1"/>
        <v>30712</v>
      </c>
    </row>
    <row r="22" spans="1:5" x14ac:dyDescent="0.25">
      <c r="A22">
        <v>130157</v>
      </c>
      <c r="B22" t="s">
        <v>43</v>
      </c>
      <c r="C22">
        <f>'[1]VENTAS CONSOLIDADA CARACAS'!C22</f>
        <v>2475</v>
      </c>
      <c r="D22" s="5">
        <f t="shared" ca="1" si="0"/>
        <v>353.57142857142856</v>
      </c>
      <c r="E22" s="5">
        <f t="shared" ca="1" si="1"/>
        <v>7778.5714285714284</v>
      </c>
    </row>
    <row r="23" spans="1:5" x14ac:dyDescent="0.25">
      <c r="A23">
        <v>130158</v>
      </c>
      <c r="B23" t="s">
        <v>44</v>
      </c>
      <c r="C23">
        <f>'[1]VENTAS CONSOLIDADA CARACAS'!C23</f>
        <v>2524</v>
      </c>
      <c r="D23" s="5">
        <f t="shared" ca="1" si="0"/>
        <v>360.57142857142856</v>
      </c>
      <c r="E23" s="5">
        <f t="shared" ca="1" si="1"/>
        <v>7932.5714285714284</v>
      </c>
    </row>
    <row r="24" spans="1:5" x14ac:dyDescent="0.25">
      <c r="A24">
        <v>130159</v>
      </c>
      <c r="B24" t="s">
        <v>45</v>
      </c>
      <c r="C24">
        <f>'[1]VENTAS CONSOLIDADA CARACAS'!C24</f>
        <v>2587</v>
      </c>
      <c r="D24" s="5">
        <f t="shared" ca="1" si="0"/>
        <v>369.57142857142856</v>
      </c>
      <c r="E24" s="5">
        <f t="shared" ca="1" si="1"/>
        <v>8130.5714285714284</v>
      </c>
    </row>
    <row r="25" spans="1:5" x14ac:dyDescent="0.25">
      <c r="A25">
        <v>130700</v>
      </c>
      <c r="B25" t="s">
        <v>3</v>
      </c>
      <c r="C25">
        <f>'[1]VENTAS CONSOLIDADA CARACAS'!C25</f>
        <v>707</v>
      </c>
      <c r="D25" s="5">
        <f t="shared" ca="1" si="0"/>
        <v>101</v>
      </c>
      <c r="E25" s="5">
        <f t="shared" ca="1" si="1"/>
        <v>2222</v>
      </c>
    </row>
    <row r="26" spans="1:5" x14ac:dyDescent="0.25">
      <c r="A26">
        <v>130701</v>
      </c>
      <c r="B26" t="s">
        <v>30</v>
      </c>
      <c r="C26">
        <f>'[1]VENTAS CONSOLIDADA CARACAS'!C26</f>
        <v>297</v>
      </c>
      <c r="D26" s="5">
        <f t="shared" ca="1" si="0"/>
        <v>42.428571428571431</v>
      </c>
      <c r="E26" s="5">
        <f t="shared" ca="1" si="1"/>
        <v>933.42857142857144</v>
      </c>
    </row>
    <row r="27" spans="1:5" x14ac:dyDescent="0.25">
      <c r="A27">
        <v>130702</v>
      </c>
      <c r="B27" t="s">
        <v>12</v>
      </c>
      <c r="C27">
        <f>'[1]VENTAS CONSOLIDADA CARACAS'!C27</f>
        <v>1668</v>
      </c>
      <c r="D27" s="5">
        <f t="shared" ca="1" si="0"/>
        <v>238.28571428571428</v>
      </c>
      <c r="E27" s="5">
        <f t="shared" ca="1" si="1"/>
        <v>5242.2857142857138</v>
      </c>
    </row>
    <row r="28" spans="1:5" x14ac:dyDescent="0.25">
      <c r="A28">
        <v>130703</v>
      </c>
      <c r="B28" t="s">
        <v>17</v>
      </c>
      <c r="C28">
        <f>'[1]VENTAS CONSOLIDADA CARACAS'!C28</f>
        <v>3032</v>
      </c>
      <c r="D28" s="5">
        <f t="shared" ca="1" si="0"/>
        <v>433.14285714285717</v>
      </c>
      <c r="E28" s="5">
        <f t="shared" ca="1" si="1"/>
        <v>9529.1428571428569</v>
      </c>
    </row>
    <row r="29" spans="1:5" x14ac:dyDescent="0.25">
      <c r="A29">
        <v>130707</v>
      </c>
      <c r="B29" t="s">
        <v>42</v>
      </c>
      <c r="C29">
        <f>'[1]VENTAS CONSOLIDADA CARACAS'!C29</f>
        <v>569</v>
      </c>
      <c r="D29" s="5">
        <f t="shared" ca="1" si="0"/>
        <v>81.285714285714292</v>
      </c>
      <c r="E29" s="5">
        <f t="shared" ca="1" si="1"/>
        <v>1788.2857142857144</v>
      </c>
    </row>
    <row r="30" spans="1:5" x14ac:dyDescent="0.25">
      <c r="A30">
        <v>131150</v>
      </c>
      <c r="B30" t="s">
        <v>22</v>
      </c>
      <c r="C30">
        <f>'[1]VENTAS CONSOLIDADA CARACAS'!C30</f>
        <v>2783</v>
      </c>
      <c r="D30" s="5">
        <f t="shared" ca="1" si="0"/>
        <v>397.57142857142856</v>
      </c>
      <c r="E30" s="5">
        <f t="shared" ca="1" si="1"/>
        <v>8746.5714285714275</v>
      </c>
    </row>
    <row r="31" spans="1:5" x14ac:dyDescent="0.25">
      <c r="A31">
        <v>131151</v>
      </c>
      <c r="B31" t="s">
        <v>19</v>
      </c>
      <c r="C31">
        <f>'[1]VENTAS CONSOLIDADA CARACAS'!C31</f>
        <v>3541</v>
      </c>
      <c r="D31" s="5">
        <f t="shared" ca="1" si="0"/>
        <v>505.85714285714283</v>
      </c>
      <c r="E31" s="5">
        <f t="shared" ca="1" si="1"/>
        <v>11128.857142857143</v>
      </c>
    </row>
    <row r="32" spans="1:5" x14ac:dyDescent="0.25">
      <c r="A32">
        <v>131152</v>
      </c>
      <c r="B32" t="s">
        <v>32</v>
      </c>
      <c r="C32">
        <f>'[1]VENTAS CONSOLIDADA CARACAS'!C32</f>
        <v>1812</v>
      </c>
      <c r="D32" s="5">
        <f t="shared" ca="1" si="0"/>
        <v>258.85714285714283</v>
      </c>
      <c r="E32" s="5">
        <f t="shared" ca="1" si="1"/>
        <v>5694.8571428571422</v>
      </c>
    </row>
    <row r="33" spans="1:5" x14ac:dyDescent="0.25">
      <c r="A33">
        <v>131153</v>
      </c>
      <c r="B33" t="s">
        <v>11</v>
      </c>
      <c r="C33">
        <f>'[1]VENTAS CONSOLIDADA CARACAS'!C33</f>
        <v>1309</v>
      </c>
      <c r="D33" s="5">
        <f t="shared" ca="1" si="0"/>
        <v>187</v>
      </c>
      <c r="E33" s="5">
        <f t="shared" ca="1" si="1"/>
        <v>4114</v>
      </c>
    </row>
    <row r="34" spans="1:5" x14ac:dyDescent="0.25">
      <c r="A34">
        <v>131154</v>
      </c>
      <c r="B34" t="s">
        <v>48</v>
      </c>
      <c r="C34">
        <f>'[1]VENTAS CONSOLIDADA CARACAS'!C34</f>
        <v>590</v>
      </c>
      <c r="D34" s="5">
        <f t="shared" ca="1" si="0"/>
        <v>84.285714285714292</v>
      </c>
      <c r="E34" s="5">
        <f t="shared" ca="1" si="1"/>
        <v>1854.2857142857144</v>
      </c>
    </row>
    <row r="35" spans="1:5" x14ac:dyDescent="0.25">
      <c r="A35">
        <v>131155</v>
      </c>
      <c r="B35" t="s">
        <v>57</v>
      </c>
      <c r="C35">
        <f>'[1]VENTAS CONSOLIDADA CARACAS'!C35</f>
        <v>711</v>
      </c>
      <c r="D35" s="5">
        <f t="shared" ca="1" si="0"/>
        <v>101.57142857142857</v>
      </c>
      <c r="E35" s="5">
        <f t="shared" ca="1" si="1"/>
        <v>2234.5714285714284</v>
      </c>
    </row>
    <row r="36" spans="1:5" x14ac:dyDescent="0.25">
      <c r="A36">
        <v>131700</v>
      </c>
      <c r="B36" t="s">
        <v>20</v>
      </c>
      <c r="C36">
        <f>'[1]VENTAS CONSOLIDADA CARACAS'!C36</f>
        <v>516</v>
      </c>
      <c r="D36" s="5">
        <f t="shared" ca="1" si="0"/>
        <v>73.714285714285708</v>
      </c>
      <c r="E36" s="5">
        <f t="shared" ca="1" si="1"/>
        <v>1621.7142857142856</v>
      </c>
    </row>
    <row r="37" spans="1:5" x14ac:dyDescent="0.25">
      <c r="A37">
        <v>131701</v>
      </c>
      <c r="B37" t="s">
        <v>24</v>
      </c>
      <c r="C37">
        <f>'[1]VENTAS CONSOLIDADA CARACAS'!C37</f>
        <v>447</v>
      </c>
      <c r="D37" s="5">
        <f t="shared" ca="1" si="0"/>
        <v>63.857142857142854</v>
      </c>
      <c r="E37" s="5">
        <f t="shared" ca="1" si="1"/>
        <v>1404.8571428571429</v>
      </c>
    </row>
    <row r="38" spans="1:5" x14ac:dyDescent="0.25">
      <c r="A38">
        <v>132150</v>
      </c>
      <c r="B38" t="s">
        <v>25</v>
      </c>
      <c r="C38">
        <f>'[1]VENTAS CONSOLIDADA CARACAS'!C38</f>
        <v>2150</v>
      </c>
      <c r="D38" s="5">
        <f t="shared" ca="1" si="0"/>
        <v>307.14285714285717</v>
      </c>
      <c r="E38" s="5">
        <f t="shared" ca="1" si="1"/>
        <v>6757.1428571428578</v>
      </c>
    </row>
    <row r="39" spans="1:5" x14ac:dyDescent="0.25">
      <c r="A39">
        <v>132151</v>
      </c>
      <c r="B39" t="s">
        <v>26</v>
      </c>
      <c r="C39">
        <f>'[1]VENTAS CONSOLIDADA CARACAS'!C39</f>
        <v>2017</v>
      </c>
      <c r="D39" s="5">
        <f t="shared" ca="1" si="0"/>
        <v>288.14285714285717</v>
      </c>
      <c r="E39" s="5">
        <f t="shared" ca="1" si="1"/>
        <v>6339.1428571428578</v>
      </c>
    </row>
    <row r="40" spans="1:5" x14ac:dyDescent="0.25">
      <c r="A40">
        <v>132152</v>
      </c>
      <c r="B40" t="s">
        <v>27</v>
      </c>
      <c r="C40">
        <f>'[1]VENTAS CONSOLIDADA CARACAS'!C40</f>
        <v>2558</v>
      </c>
      <c r="D40" s="5">
        <f t="shared" ca="1" si="0"/>
        <v>365.42857142857144</v>
      </c>
      <c r="E40" s="5">
        <f t="shared" ca="1" si="1"/>
        <v>8039.4285714285716</v>
      </c>
    </row>
    <row r="41" spans="1:5" x14ac:dyDescent="0.25">
      <c r="A41">
        <v>132153</v>
      </c>
      <c r="B41" t="s">
        <v>40</v>
      </c>
      <c r="C41">
        <f>'[1]VENTAS CONSOLIDADA CARACAS'!C41</f>
        <v>1736</v>
      </c>
      <c r="D41" s="5">
        <f t="shared" ca="1" si="0"/>
        <v>248</v>
      </c>
      <c r="E41" s="5">
        <f t="shared" ca="1" si="1"/>
        <v>5456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CARACAS'!C44</f>
        <v>279</v>
      </c>
      <c r="D44" s="5">
        <f t="shared" ca="1" si="0"/>
        <v>39.857142857142854</v>
      </c>
      <c r="E44" s="5">
        <f t="shared" ca="1" si="1"/>
        <v>876.85714285714278</v>
      </c>
    </row>
    <row r="45" spans="1:5" x14ac:dyDescent="0.25">
      <c r="A45">
        <v>140231</v>
      </c>
      <c r="B45" t="s">
        <v>10</v>
      </c>
      <c r="C45">
        <f>'[1]VENTAS CONSOLIDADA CARACAS'!C45</f>
        <v>1960</v>
      </c>
      <c r="D45" s="5">
        <f t="shared" ca="1" si="0"/>
        <v>280</v>
      </c>
      <c r="E45" s="5">
        <f t="shared" ca="1" si="1"/>
        <v>6160</v>
      </c>
    </row>
    <row r="46" spans="1:5" x14ac:dyDescent="0.25">
      <c r="A46">
        <v>140232</v>
      </c>
      <c r="B46" t="s">
        <v>9</v>
      </c>
      <c r="C46">
        <f>'[1]VENTAS CONSOLIDADA CARACAS'!C46</f>
        <v>1468</v>
      </c>
      <c r="D46" s="5">
        <f t="shared" ca="1" si="0"/>
        <v>209.71428571428572</v>
      </c>
      <c r="E46" s="5">
        <f t="shared" ca="1" si="1"/>
        <v>4613.7142857142862</v>
      </c>
    </row>
    <row r="47" spans="1:5" x14ac:dyDescent="0.25">
      <c r="A47">
        <v>150360</v>
      </c>
      <c r="B47" t="s">
        <v>28</v>
      </c>
      <c r="C47">
        <f>'[1]VENTAS CONSOLIDADA CARACAS'!C47</f>
        <v>780</v>
      </c>
      <c r="D47" s="5">
        <f t="shared" ca="1" si="0"/>
        <v>111.42857142857143</v>
      </c>
      <c r="E47" s="5">
        <f t="shared" ca="1" si="1"/>
        <v>2451.4285714285716</v>
      </c>
    </row>
    <row r="48" spans="1:5" x14ac:dyDescent="0.25">
      <c r="A48">
        <v>150361</v>
      </c>
      <c r="B48" t="s">
        <v>29</v>
      </c>
      <c r="C48">
        <f>'[1]VENTAS CONSOLIDADA CARACAS'!C48</f>
        <v>1229</v>
      </c>
      <c r="D48" s="5">
        <f t="shared" ca="1" si="0"/>
        <v>175.57142857142858</v>
      </c>
      <c r="E48" s="5">
        <f t="shared" ca="1" si="1"/>
        <v>3862.5714285714289</v>
      </c>
    </row>
    <row r="49" spans="1:5" x14ac:dyDescent="0.25">
      <c r="A49">
        <v>150362</v>
      </c>
      <c r="B49" t="s">
        <v>36</v>
      </c>
      <c r="C49">
        <f>'[1]VENTAS CONSOLIDADA CARACAS'!C49</f>
        <v>880</v>
      </c>
      <c r="D49" s="5">
        <f t="shared" ca="1" si="0"/>
        <v>125.71428571428571</v>
      </c>
      <c r="E49" s="5">
        <f t="shared" ca="1" si="1"/>
        <v>2765.7142857142858</v>
      </c>
    </row>
    <row r="50" spans="1:5" x14ac:dyDescent="0.25">
      <c r="A50">
        <v>150363</v>
      </c>
      <c r="B50" t="s">
        <v>31</v>
      </c>
      <c r="C50">
        <f>'[1]VENTAS CONSOLIDADA CARACAS'!C50</f>
        <v>855</v>
      </c>
      <c r="D50" s="5">
        <f t="shared" ca="1" si="0"/>
        <v>122.14285714285714</v>
      </c>
      <c r="E50" s="5">
        <f t="shared" ca="1" si="1"/>
        <v>2687.1428571428569</v>
      </c>
    </row>
    <row r="51" spans="1:5" x14ac:dyDescent="0.25">
      <c r="A51">
        <v>151500</v>
      </c>
      <c r="B51" t="s">
        <v>41</v>
      </c>
      <c r="C51">
        <f>'[1]VENTAS CONSOLIDADA CARACAS'!C51</f>
        <v>105</v>
      </c>
      <c r="D51" s="5">
        <f t="shared" ca="1" si="0"/>
        <v>15</v>
      </c>
      <c r="E51" s="5">
        <f t="shared" ca="1" si="1"/>
        <v>330</v>
      </c>
    </row>
    <row r="52" spans="1:5" x14ac:dyDescent="0.25">
      <c r="A52">
        <v>151501</v>
      </c>
      <c r="B52" t="s">
        <v>33</v>
      </c>
      <c r="C52">
        <f>'[1]VENTAS CONSOLIDADA CARACAS'!C52</f>
        <v>213</v>
      </c>
      <c r="D52" s="5">
        <f t="shared" ca="1" si="0"/>
        <v>30.428571428571427</v>
      </c>
      <c r="E52" s="5">
        <f t="shared" ca="1" si="1"/>
        <v>669.42857142857144</v>
      </c>
    </row>
    <row r="53" spans="1:5" x14ac:dyDescent="0.25">
      <c r="A53">
        <v>151502</v>
      </c>
      <c r="B53" t="s">
        <v>37</v>
      </c>
      <c r="C53">
        <f>'[1]VENTAS CONSOLIDADA CARACAS'!C53</f>
        <v>130</v>
      </c>
      <c r="D53" s="5">
        <f t="shared" ca="1" si="0"/>
        <v>18.571428571428573</v>
      </c>
      <c r="E53" s="5">
        <f t="shared" ca="1" si="1"/>
        <v>408.57142857142861</v>
      </c>
    </row>
    <row r="54" spans="1:5" x14ac:dyDescent="0.25">
      <c r="A54">
        <v>151503</v>
      </c>
      <c r="B54" t="s">
        <v>34</v>
      </c>
      <c r="C54">
        <f>'[1]VENTAS CONSOLIDADA CARACAS'!C54</f>
        <v>149</v>
      </c>
      <c r="D54" s="5">
        <f t="shared" ca="1" si="0"/>
        <v>21.285714285714285</v>
      </c>
      <c r="E54" s="5">
        <f t="shared" ca="1" si="1"/>
        <v>468.28571428571428</v>
      </c>
    </row>
    <row r="55" spans="1:5" x14ac:dyDescent="0.25">
      <c r="D55" s="5">
        <f ca="1">SUM(D8:D54)</f>
        <v>13828</v>
      </c>
      <c r="E55" s="5">
        <f ca="1">SUM(E8:E54)</f>
        <v>304215.99999999994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H21" sqref="H21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'[1]VENTAS CONSOLIDADA LARA'!D2</f>
        <v>46275</v>
      </c>
      <c r="E2" s="4">
        <f ca="1">'[1]VENTAS CONSOLIDADA LARA'!E2</f>
        <v>7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 ca="1">'[1]VENTAS CONSOLIDADA LARA'!E3</f>
        <v>15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273</v>
      </c>
      <c r="D8" s="5">
        <f t="shared" ref="D8:D54" ca="1" si="0">C8/$E$2</f>
        <v>39</v>
      </c>
      <c r="E8" s="5">
        <f ca="1">D8*($E$2+$E$3)</f>
        <v>858</v>
      </c>
    </row>
    <row r="9" spans="1:5" x14ac:dyDescent="0.25">
      <c r="A9">
        <v>110151</v>
      </c>
      <c r="B9" t="s">
        <v>5</v>
      </c>
      <c r="C9">
        <f>'[1]VENTAS CONSOLIDADA LARA'!C9</f>
        <v>3</v>
      </c>
      <c r="D9" s="5">
        <f t="shared" ca="1" si="0"/>
        <v>0.42857142857142855</v>
      </c>
      <c r="E9" s="5">
        <f t="shared" ref="E9:E54" ca="1" si="1">D9*($E$2+$E$3)</f>
        <v>9.4285714285714288</v>
      </c>
    </row>
    <row r="10" spans="1:5" x14ac:dyDescent="0.25">
      <c r="A10">
        <v>110230</v>
      </c>
      <c r="B10" t="s">
        <v>1</v>
      </c>
      <c r="C10">
        <f>'[1]VENTAS CONSOLIDADA LARA'!C10</f>
        <v>90</v>
      </c>
      <c r="D10" s="5">
        <f t="shared" ca="1" si="0"/>
        <v>12.857142857142858</v>
      </c>
      <c r="E10" s="5">
        <f t="shared" ca="1" si="1"/>
        <v>282.85714285714289</v>
      </c>
    </row>
    <row r="11" spans="1:5" x14ac:dyDescent="0.25">
      <c r="A11">
        <v>110400</v>
      </c>
      <c r="B11" t="s">
        <v>13</v>
      </c>
      <c r="C11">
        <f>'[1]VENTAS CONSOLIDADA LARA'!C11</f>
        <v>14</v>
      </c>
      <c r="D11" s="5">
        <f t="shared" ca="1" si="0"/>
        <v>2</v>
      </c>
      <c r="E11" s="5">
        <f t="shared" ca="1" si="1"/>
        <v>44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t="shared" ca="1" si="0"/>
        <v>0</v>
      </c>
      <c r="E12" s="5">
        <f t="shared" ca="1" si="1"/>
        <v>0</v>
      </c>
    </row>
    <row r="13" spans="1:5" x14ac:dyDescent="0.25">
      <c r="A13">
        <v>120130</v>
      </c>
      <c r="B13" t="s">
        <v>15</v>
      </c>
      <c r="C13">
        <f>'[1]VENTAS CONSOLIDADA LARA'!C13</f>
        <v>987</v>
      </c>
      <c r="D13" s="5">
        <f t="shared" ca="1" si="0"/>
        <v>141</v>
      </c>
      <c r="E13" s="5">
        <f t="shared" ca="1" si="1"/>
        <v>3102</v>
      </c>
    </row>
    <row r="14" spans="1:5" x14ac:dyDescent="0.25">
      <c r="A14">
        <v>120131</v>
      </c>
      <c r="B14" t="s">
        <v>23</v>
      </c>
      <c r="C14">
        <f>'[1]VENTAS CONSOLIDADA LARA'!C14</f>
        <v>103</v>
      </c>
      <c r="D14" s="5">
        <f t="shared" ca="1" si="0"/>
        <v>14.714285714285714</v>
      </c>
      <c r="E14" s="5">
        <f t="shared" ca="1" si="1"/>
        <v>323.71428571428572</v>
      </c>
    </row>
    <row r="15" spans="1:5" x14ac:dyDescent="0.25">
      <c r="A15">
        <v>120132</v>
      </c>
      <c r="B15" t="s">
        <v>21</v>
      </c>
      <c r="C15">
        <f>'[1]VENTAS CONSOLIDADA LARA'!C15</f>
        <v>83</v>
      </c>
      <c r="D15" s="5">
        <f t="shared" ca="1" si="0"/>
        <v>11.857142857142858</v>
      </c>
      <c r="E15" s="5">
        <f t="shared" ca="1" si="1"/>
        <v>260.85714285714289</v>
      </c>
    </row>
    <row r="16" spans="1:5" x14ac:dyDescent="0.25">
      <c r="A16">
        <v>130150</v>
      </c>
      <c r="B16" t="s">
        <v>0</v>
      </c>
      <c r="C16">
        <f>'[1]VENTAS CONSOLIDADA LARA'!C16</f>
        <v>437</v>
      </c>
      <c r="D16" s="5">
        <f t="shared" ca="1" si="0"/>
        <v>62.428571428571431</v>
      </c>
      <c r="E16" s="5">
        <f t="shared" ca="1" si="1"/>
        <v>1373.4285714285716</v>
      </c>
    </row>
    <row r="17" spans="1:5" x14ac:dyDescent="0.25">
      <c r="A17">
        <v>130151</v>
      </c>
      <c r="B17" t="s">
        <v>4</v>
      </c>
      <c r="C17">
        <f>'[1]VENTAS CONSOLIDADA LARA'!C17</f>
        <v>156</v>
      </c>
      <c r="D17" s="5">
        <f t="shared" ca="1" si="0"/>
        <v>22.285714285714285</v>
      </c>
      <c r="E17" s="5">
        <f t="shared" ca="1" si="1"/>
        <v>490.28571428571428</v>
      </c>
    </row>
    <row r="18" spans="1:5" x14ac:dyDescent="0.25">
      <c r="A18">
        <v>130152</v>
      </c>
      <c r="B18" t="s">
        <v>51</v>
      </c>
      <c r="C18">
        <f>'[1]VENTAS CONSOLIDADA LARA'!C18</f>
        <v>3550</v>
      </c>
      <c r="D18" s="5">
        <f t="shared" ca="1" si="0"/>
        <v>507.14285714285717</v>
      </c>
      <c r="E18" s="5">
        <f t="shared" ca="1" si="1"/>
        <v>11157.142857142857</v>
      </c>
    </row>
    <row r="19" spans="1:5" x14ac:dyDescent="0.25">
      <c r="A19">
        <v>130153</v>
      </c>
      <c r="B19" t="s">
        <v>52</v>
      </c>
      <c r="C19">
        <f>'[1]VENTAS CONSOLIDADA LARA'!C19</f>
        <v>1935</v>
      </c>
      <c r="D19" s="5">
        <f t="shared" ca="1" si="0"/>
        <v>276.42857142857144</v>
      </c>
      <c r="E19" s="5">
        <f t="shared" ca="1" si="1"/>
        <v>6081.4285714285716</v>
      </c>
    </row>
    <row r="20" spans="1:5" x14ac:dyDescent="0.25">
      <c r="A20">
        <v>130154</v>
      </c>
      <c r="B20" t="s">
        <v>53</v>
      </c>
      <c r="C20">
        <f>'[1]VENTAS CONSOLIDADA LARA'!C20</f>
        <v>1899</v>
      </c>
      <c r="D20" s="5">
        <f t="shared" ca="1" si="0"/>
        <v>271.28571428571428</v>
      </c>
      <c r="E20" s="5">
        <f t="shared" ca="1" si="1"/>
        <v>5968.2857142857138</v>
      </c>
    </row>
    <row r="21" spans="1:5" x14ac:dyDescent="0.25">
      <c r="A21">
        <v>130155</v>
      </c>
      <c r="B21" t="s">
        <v>16</v>
      </c>
      <c r="C21">
        <f>'[1]VENTAS CONSOLIDADA LARA'!C21</f>
        <v>2263</v>
      </c>
      <c r="D21" s="5">
        <f t="shared" ca="1" si="0"/>
        <v>323.28571428571428</v>
      </c>
      <c r="E21" s="5">
        <f t="shared" ca="1" si="1"/>
        <v>7112.2857142857138</v>
      </c>
    </row>
    <row r="22" spans="1:5" x14ac:dyDescent="0.25">
      <c r="A22">
        <v>130157</v>
      </c>
      <c r="B22" t="s">
        <v>43</v>
      </c>
      <c r="C22">
        <f>'[1]VENTAS CONSOLIDADA LARA'!C22</f>
        <v>792</v>
      </c>
      <c r="D22" s="5">
        <f t="shared" ca="1" si="0"/>
        <v>113.14285714285714</v>
      </c>
      <c r="E22" s="5">
        <f t="shared" ca="1" si="1"/>
        <v>2489.1428571428569</v>
      </c>
    </row>
    <row r="23" spans="1:5" x14ac:dyDescent="0.25">
      <c r="A23">
        <v>130158</v>
      </c>
      <c r="B23" t="s">
        <v>44</v>
      </c>
      <c r="C23">
        <f>'[1]VENTAS CONSOLIDADA LARA'!C23</f>
        <v>875</v>
      </c>
      <c r="D23" s="5">
        <f t="shared" ca="1" si="0"/>
        <v>125</v>
      </c>
      <c r="E23" s="5">
        <f t="shared" ca="1" si="1"/>
        <v>2750</v>
      </c>
    </row>
    <row r="24" spans="1:5" x14ac:dyDescent="0.25">
      <c r="A24">
        <v>130159</v>
      </c>
      <c r="B24" t="s">
        <v>45</v>
      </c>
      <c r="C24">
        <f>'[1]VENTAS CONSOLIDADA LARA'!C24</f>
        <v>808</v>
      </c>
      <c r="D24" s="5">
        <f t="shared" ca="1" si="0"/>
        <v>115.42857142857143</v>
      </c>
      <c r="E24" s="5">
        <f t="shared" ca="1" si="1"/>
        <v>2539.4285714285716</v>
      </c>
    </row>
    <row r="25" spans="1:5" x14ac:dyDescent="0.25">
      <c r="A25">
        <v>130700</v>
      </c>
      <c r="B25" t="s">
        <v>3</v>
      </c>
      <c r="C25">
        <f>'[1]VENTAS CONSOLIDADA LARA'!C25</f>
        <v>171</v>
      </c>
      <c r="D25" s="5">
        <f t="shared" ca="1" si="0"/>
        <v>24.428571428571427</v>
      </c>
      <c r="E25" s="5">
        <f t="shared" ca="1" si="1"/>
        <v>537.42857142857144</v>
      </c>
    </row>
    <row r="26" spans="1:5" x14ac:dyDescent="0.25">
      <c r="A26">
        <v>130701</v>
      </c>
      <c r="B26" t="s">
        <v>30</v>
      </c>
      <c r="C26">
        <f>'[1]VENTAS CONSOLIDADA LARA'!C26</f>
        <v>31</v>
      </c>
      <c r="D26" s="5">
        <f t="shared" ca="1" si="0"/>
        <v>4.4285714285714288</v>
      </c>
      <c r="E26" s="5">
        <f t="shared" ca="1" si="1"/>
        <v>97.428571428571431</v>
      </c>
    </row>
    <row r="27" spans="1:5" x14ac:dyDescent="0.25">
      <c r="A27">
        <v>130702</v>
      </c>
      <c r="B27" t="s">
        <v>12</v>
      </c>
      <c r="C27">
        <f>'[1]VENTAS CONSOLIDADA LARA'!C27</f>
        <v>611</v>
      </c>
      <c r="D27" s="5">
        <f t="shared" ca="1" si="0"/>
        <v>87.285714285714292</v>
      </c>
      <c r="E27" s="5">
        <f t="shared" ca="1" si="1"/>
        <v>1920.2857142857144</v>
      </c>
    </row>
    <row r="28" spans="1:5" x14ac:dyDescent="0.25">
      <c r="A28">
        <v>130703</v>
      </c>
      <c r="B28" t="s">
        <v>17</v>
      </c>
      <c r="C28">
        <f>'[1]VENTAS CONSOLIDADA LARA'!C28</f>
        <v>762</v>
      </c>
      <c r="D28" s="5">
        <f t="shared" ca="1" si="0"/>
        <v>108.85714285714286</v>
      </c>
      <c r="E28" s="5">
        <f t="shared" ca="1" si="1"/>
        <v>2394.8571428571431</v>
      </c>
    </row>
    <row r="29" spans="1:5" x14ac:dyDescent="0.25">
      <c r="A29">
        <v>130707</v>
      </c>
      <c r="B29" t="s">
        <v>42</v>
      </c>
      <c r="C29">
        <f>'[1]VENTAS CONSOLIDADA LARA'!C29</f>
        <v>30</v>
      </c>
      <c r="D29" s="5">
        <f t="shared" ca="1" si="0"/>
        <v>4.2857142857142856</v>
      </c>
      <c r="E29" s="5">
        <f t="shared" ca="1" si="1"/>
        <v>94.285714285714278</v>
      </c>
    </row>
    <row r="30" spans="1:5" x14ac:dyDescent="0.25">
      <c r="A30">
        <v>131150</v>
      </c>
      <c r="B30" t="s">
        <v>22</v>
      </c>
      <c r="C30">
        <f>'[1]VENTAS CONSOLIDADA LARA'!C30</f>
        <v>263</v>
      </c>
      <c r="D30" s="5">
        <f t="shared" ca="1" si="0"/>
        <v>37.571428571428569</v>
      </c>
      <c r="E30" s="5">
        <f t="shared" ca="1" si="1"/>
        <v>826.57142857142856</v>
      </c>
    </row>
    <row r="31" spans="1:5" x14ac:dyDescent="0.25">
      <c r="A31">
        <v>131151</v>
      </c>
      <c r="B31" t="s">
        <v>19</v>
      </c>
      <c r="C31">
        <f>'[1]VENTAS CONSOLIDADA LARA'!C31</f>
        <v>665</v>
      </c>
      <c r="D31" s="5">
        <f t="shared" ca="1" si="0"/>
        <v>95</v>
      </c>
      <c r="E31" s="5">
        <f t="shared" ca="1" si="1"/>
        <v>2090</v>
      </c>
    </row>
    <row r="32" spans="1:5" x14ac:dyDescent="0.25">
      <c r="A32">
        <v>131152</v>
      </c>
      <c r="B32" t="s">
        <v>32</v>
      </c>
      <c r="C32">
        <f>'[1]VENTAS CONSOLIDADA LARA'!C32</f>
        <v>331</v>
      </c>
      <c r="D32" s="5">
        <f t="shared" ca="1" si="0"/>
        <v>47.285714285714285</v>
      </c>
      <c r="E32" s="5">
        <f t="shared" ca="1" si="1"/>
        <v>1040.2857142857142</v>
      </c>
    </row>
    <row r="33" spans="1:5" x14ac:dyDescent="0.25">
      <c r="A33">
        <v>131153</v>
      </c>
      <c r="B33" t="s">
        <v>11</v>
      </c>
      <c r="C33">
        <f>'[1]VENTAS CONSOLIDADA LARA'!C33</f>
        <v>218</v>
      </c>
      <c r="D33" s="5">
        <f t="shared" ca="1" si="0"/>
        <v>31.142857142857142</v>
      </c>
      <c r="E33" s="5">
        <f t="shared" ca="1" si="1"/>
        <v>685.14285714285711</v>
      </c>
    </row>
    <row r="34" spans="1:5" x14ac:dyDescent="0.25">
      <c r="A34">
        <v>131154</v>
      </c>
      <c r="B34" t="s">
        <v>48</v>
      </c>
      <c r="C34">
        <f>'[1]VENTAS CONSOLIDADA LARA'!C34</f>
        <v>338</v>
      </c>
      <c r="D34" s="5">
        <f t="shared" ca="1" si="0"/>
        <v>48.285714285714285</v>
      </c>
      <c r="E34" s="5">
        <f t="shared" ca="1" si="1"/>
        <v>1062.2857142857142</v>
      </c>
    </row>
    <row r="35" spans="1:5" x14ac:dyDescent="0.25">
      <c r="A35">
        <v>131155</v>
      </c>
      <c r="B35" t="s">
        <v>57</v>
      </c>
      <c r="C35">
        <f>'[1]VENTAS CONSOLIDADA LARA'!C35</f>
        <v>371</v>
      </c>
      <c r="D35" s="5">
        <f t="shared" ca="1" si="0"/>
        <v>53</v>
      </c>
      <c r="E35" s="5">
        <f t="shared" ca="1" si="1"/>
        <v>1166</v>
      </c>
    </row>
    <row r="36" spans="1:5" x14ac:dyDescent="0.25">
      <c r="A36">
        <v>131700</v>
      </c>
      <c r="B36" t="s">
        <v>20</v>
      </c>
      <c r="C36">
        <f>'[1]VENTAS CONSOLIDADA LARA'!C36</f>
        <v>56</v>
      </c>
      <c r="D36" s="5">
        <f t="shared" ca="1" si="0"/>
        <v>8</v>
      </c>
      <c r="E36" s="5">
        <f t="shared" ca="1" si="1"/>
        <v>176</v>
      </c>
    </row>
    <row r="37" spans="1:5" x14ac:dyDescent="0.25">
      <c r="A37">
        <v>131701</v>
      </c>
      <c r="B37" t="s">
        <v>24</v>
      </c>
      <c r="C37">
        <f>'[1]VENTAS CONSOLIDADA LARA'!C37</f>
        <v>96</v>
      </c>
      <c r="D37" s="5">
        <f t="shared" ca="1" si="0"/>
        <v>13.714285714285714</v>
      </c>
      <c r="E37" s="5">
        <f t="shared" ca="1" si="1"/>
        <v>301.71428571428572</v>
      </c>
    </row>
    <row r="38" spans="1:5" x14ac:dyDescent="0.25">
      <c r="A38">
        <v>132150</v>
      </c>
      <c r="B38" t="s">
        <v>25</v>
      </c>
      <c r="C38">
        <f>'[1]VENTAS CONSOLIDADA LARA'!C38</f>
        <v>781</v>
      </c>
      <c r="D38" s="5">
        <f t="shared" ca="1" si="0"/>
        <v>111.57142857142857</v>
      </c>
      <c r="E38" s="5">
        <f t="shared" ca="1" si="1"/>
        <v>2454.5714285714284</v>
      </c>
    </row>
    <row r="39" spans="1:5" x14ac:dyDescent="0.25">
      <c r="A39">
        <v>132151</v>
      </c>
      <c r="B39" t="s">
        <v>26</v>
      </c>
      <c r="C39">
        <f>'[1]VENTAS CONSOLIDADA LARA'!C39</f>
        <v>422</v>
      </c>
      <c r="D39" s="5">
        <f t="shared" ca="1" si="0"/>
        <v>60.285714285714285</v>
      </c>
      <c r="E39" s="5">
        <f t="shared" ca="1" si="1"/>
        <v>1326.2857142857142</v>
      </c>
    </row>
    <row r="40" spans="1:5" x14ac:dyDescent="0.25">
      <c r="A40">
        <v>132152</v>
      </c>
      <c r="B40" t="s">
        <v>27</v>
      </c>
      <c r="C40">
        <f>'[1]VENTAS CONSOLIDADA LARA'!C40</f>
        <v>682</v>
      </c>
      <c r="D40" s="5">
        <f t="shared" ca="1" si="0"/>
        <v>97.428571428571431</v>
      </c>
      <c r="E40" s="5">
        <f t="shared" ca="1" si="1"/>
        <v>2143.4285714285716</v>
      </c>
    </row>
    <row r="41" spans="1:5" x14ac:dyDescent="0.25">
      <c r="A41">
        <v>132153</v>
      </c>
      <c r="B41" t="s">
        <v>40</v>
      </c>
      <c r="C41">
        <f>'[1]VENTAS CONSOLIDADA LARA'!C41</f>
        <v>271</v>
      </c>
      <c r="D41" s="5">
        <f t="shared" ca="1" si="0"/>
        <v>38.714285714285715</v>
      </c>
      <c r="E41" s="5">
        <f t="shared" ca="1" si="1"/>
        <v>851.71428571428578</v>
      </c>
    </row>
    <row r="42" spans="1:5" x14ac:dyDescent="0.25">
      <c r="A42">
        <v>134000</v>
      </c>
      <c r="B42" t="s">
        <v>35</v>
      </c>
      <c r="C42">
        <f>'[1]VENTAS CONSOLIDADA LARA'!C42</f>
        <v>7</v>
      </c>
      <c r="D42" s="5">
        <f t="shared" ca="1" si="0"/>
        <v>1</v>
      </c>
      <c r="E42" s="5">
        <f t="shared" ca="1" si="1"/>
        <v>22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LARA'!C44</f>
        <v>86</v>
      </c>
      <c r="D44" s="5">
        <f t="shared" ca="1" si="0"/>
        <v>12.285714285714286</v>
      </c>
      <c r="E44" s="5">
        <f t="shared" ca="1" si="1"/>
        <v>270.28571428571428</v>
      </c>
    </row>
    <row r="45" spans="1:5" x14ac:dyDescent="0.25">
      <c r="A45">
        <v>140231</v>
      </c>
      <c r="B45" t="s">
        <v>10</v>
      </c>
      <c r="C45">
        <f>'[1]VENTAS CONSOLIDADA LARA'!C45</f>
        <v>92</v>
      </c>
      <c r="D45" s="5">
        <f t="shared" ca="1" si="0"/>
        <v>13.142857142857142</v>
      </c>
      <c r="E45" s="5">
        <f t="shared" ca="1" si="1"/>
        <v>289.14285714285711</v>
      </c>
    </row>
    <row r="46" spans="1:5" x14ac:dyDescent="0.25">
      <c r="A46">
        <v>140232</v>
      </c>
      <c r="B46" t="s">
        <v>9</v>
      </c>
      <c r="C46">
        <f>'[1]VENTAS CONSOLIDADA LARA'!C46</f>
        <v>226</v>
      </c>
      <c r="D46" s="5">
        <f t="shared" ca="1" si="0"/>
        <v>32.285714285714285</v>
      </c>
      <c r="E46" s="5">
        <f t="shared" ca="1" si="1"/>
        <v>710.28571428571422</v>
      </c>
    </row>
    <row r="47" spans="1:5" x14ac:dyDescent="0.25">
      <c r="A47">
        <v>150360</v>
      </c>
      <c r="B47" t="s">
        <v>28</v>
      </c>
      <c r="C47">
        <f>'[1]VENTAS CONSOLIDADA LARA'!C47</f>
        <v>84</v>
      </c>
      <c r="D47" s="5">
        <f t="shared" ca="1" si="0"/>
        <v>12</v>
      </c>
      <c r="E47" s="5">
        <f t="shared" ca="1" si="1"/>
        <v>264</v>
      </c>
    </row>
    <row r="48" spans="1:5" x14ac:dyDescent="0.25">
      <c r="A48">
        <v>150361</v>
      </c>
      <c r="B48" t="s">
        <v>29</v>
      </c>
      <c r="C48">
        <f>'[1]VENTAS CONSOLIDADA LARA'!C48</f>
        <v>57</v>
      </c>
      <c r="D48" s="5">
        <f t="shared" ca="1" si="0"/>
        <v>8.1428571428571423</v>
      </c>
      <c r="E48" s="5">
        <f t="shared" ca="1" si="1"/>
        <v>179.14285714285714</v>
      </c>
    </row>
    <row r="49" spans="1:5" x14ac:dyDescent="0.25">
      <c r="A49">
        <v>150362</v>
      </c>
      <c r="B49" t="s">
        <v>36</v>
      </c>
      <c r="C49">
        <f>'[1]VENTAS CONSOLIDADA LARA'!C49</f>
        <v>81</v>
      </c>
      <c r="D49" s="5">
        <f t="shared" ca="1" si="0"/>
        <v>11.571428571428571</v>
      </c>
      <c r="E49" s="5">
        <f t="shared" ca="1" si="1"/>
        <v>254.57142857142856</v>
      </c>
    </row>
    <row r="50" spans="1:5" x14ac:dyDescent="0.25">
      <c r="A50">
        <v>150363</v>
      </c>
      <c r="B50" t="s">
        <v>31</v>
      </c>
      <c r="C50">
        <f>'[1]VENTAS CONSOLIDADA LARA'!C50</f>
        <v>160</v>
      </c>
      <c r="D50" s="5">
        <f t="shared" ca="1" si="0"/>
        <v>22.857142857142858</v>
      </c>
      <c r="E50" s="5">
        <f t="shared" ca="1" si="1"/>
        <v>502.85714285714289</v>
      </c>
    </row>
    <row r="51" spans="1:5" x14ac:dyDescent="0.25">
      <c r="A51">
        <v>151500</v>
      </c>
      <c r="B51" t="s">
        <v>41</v>
      </c>
      <c r="C51">
        <f>'[1]VENTAS CONSOLIDADA LARA'!C51</f>
        <v>37</v>
      </c>
      <c r="D51" s="5">
        <f t="shared" ca="1" si="0"/>
        <v>5.2857142857142856</v>
      </c>
      <c r="E51" s="5">
        <f t="shared" ca="1" si="1"/>
        <v>116.28571428571428</v>
      </c>
    </row>
    <row r="52" spans="1:5" x14ac:dyDescent="0.25">
      <c r="A52">
        <v>151501</v>
      </c>
      <c r="B52" t="s">
        <v>33</v>
      </c>
      <c r="C52">
        <f>'[1]VENTAS CONSOLIDADA LARA'!C52</f>
        <v>113</v>
      </c>
      <c r="D52" s="5">
        <f t="shared" ca="1" si="0"/>
        <v>16.142857142857142</v>
      </c>
      <c r="E52" s="5">
        <f t="shared" ca="1" si="1"/>
        <v>355.14285714285711</v>
      </c>
    </row>
    <row r="53" spans="1:5" x14ac:dyDescent="0.25">
      <c r="A53">
        <v>151502</v>
      </c>
      <c r="B53" t="s">
        <v>37</v>
      </c>
      <c r="C53">
        <f>'[1]VENTAS CONSOLIDADA LARA'!C53</f>
        <v>6</v>
      </c>
      <c r="D53" s="5">
        <f t="shared" ca="1" si="0"/>
        <v>0.8571428571428571</v>
      </c>
      <c r="E53" s="5">
        <f t="shared" ca="1" si="1"/>
        <v>18.857142857142858</v>
      </c>
    </row>
    <row r="54" spans="1:5" x14ac:dyDescent="0.25">
      <c r="A54">
        <v>151503</v>
      </c>
      <c r="B54" t="s">
        <v>34</v>
      </c>
      <c r="C54">
        <f>'[1]VENTAS CONSOLIDADA LARA'!C54</f>
        <v>18</v>
      </c>
      <c r="D54" s="5">
        <f t="shared" ca="1" si="0"/>
        <v>2.5714285714285716</v>
      </c>
      <c r="E54" s="5">
        <f t="shared" ca="1" si="1"/>
        <v>56.571428571428577</v>
      </c>
    </row>
    <row r="55" spans="1:5" x14ac:dyDescent="0.25">
      <c r="D55" s="5">
        <f ca="1">SUM(D8:D54)</f>
        <v>3047.7142857142853</v>
      </c>
      <c r="E55" s="5">
        <f ca="1">SUM(E8:E54)</f>
        <v>67049.714285714319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'[1]VENTAS CONSOLIDADA ANZOATEGUI'!D2</f>
        <v>46275</v>
      </c>
      <c r="E2" s="4">
        <f ca="1">'[1]VENTAS CONSOLIDADA ANZOATEGUI'!E2</f>
        <v>7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 ca="1">'[1]VENTAS CONSOLIDADA ANZOATEGUI'!E3</f>
        <v>15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277</v>
      </c>
      <c r="D8" s="5">
        <f t="shared" ref="D8:D54" ca="1" si="0">C8/$E$2</f>
        <v>39.571428571428569</v>
      </c>
      <c r="E8" s="5">
        <f t="shared" ref="E8:E54" ca="1" si="1">D8*($E$2+$E$3)</f>
        <v>870.57142857142856</v>
      </c>
    </row>
    <row r="9" spans="1:5" x14ac:dyDescent="0.25">
      <c r="A9">
        <v>110151</v>
      </c>
      <c r="B9" t="s">
        <v>5</v>
      </c>
      <c r="C9">
        <f>'[1]VENTAS CONSOLIDADA ANZOATEGUI'!C9</f>
        <v>36</v>
      </c>
      <c r="D9" s="5">
        <f t="shared" ca="1" si="0"/>
        <v>5.1428571428571432</v>
      </c>
      <c r="E9" s="5">
        <f t="shared" ca="1" si="1"/>
        <v>113.14285714285715</v>
      </c>
    </row>
    <row r="10" spans="1:5" x14ac:dyDescent="0.25">
      <c r="A10">
        <v>110230</v>
      </c>
      <c r="B10" t="s">
        <v>1</v>
      </c>
      <c r="C10">
        <f>'[1]VENTAS CONSOLIDADA ANZOATEGUI'!C10</f>
        <v>71</v>
      </c>
      <c r="D10" s="5">
        <f t="shared" ca="1" si="0"/>
        <v>10.142857142857142</v>
      </c>
      <c r="E10" s="5">
        <f t="shared" ca="1" si="1"/>
        <v>223.14285714285714</v>
      </c>
    </row>
    <row r="11" spans="1:5" x14ac:dyDescent="0.25">
      <c r="A11">
        <v>110400</v>
      </c>
      <c r="B11" t="s">
        <v>13</v>
      </c>
      <c r="C11">
        <f>'[1]VENTAS CONSOLIDADA ANZOATEGUI'!C11</f>
        <v>16</v>
      </c>
      <c r="D11" s="5">
        <f t="shared" ca="1" si="0"/>
        <v>2.2857142857142856</v>
      </c>
      <c r="E11" s="5">
        <f t="shared" ca="1" si="1"/>
        <v>50.285714285714285</v>
      </c>
    </row>
    <row r="12" spans="1:5" x14ac:dyDescent="0.25">
      <c r="A12">
        <v>111000</v>
      </c>
      <c r="B12" t="s">
        <v>14</v>
      </c>
      <c r="C12">
        <f>'[1]VENTAS CONSOLIDADA ANZOATEGUI'!C12</f>
        <v>5</v>
      </c>
      <c r="D12" s="5">
        <f t="shared" ca="1" si="0"/>
        <v>0.7142857142857143</v>
      </c>
      <c r="E12" s="5">
        <f t="shared" ca="1" si="1"/>
        <v>15.714285714285715</v>
      </c>
    </row>
    <row r="13" spans="1:5" x14ac:dyDescent="0.25">
      <c r="A13">
        <v>120130</v>
      </c>
      <c r="B13" t="s">
        <v>15</v>
      </c>
      <c r="C13">
        <f>'[1]VENTAS CONSOLIDADA ANZOATEGUI'!C13</f>
        <v>367</v>
      </c>
      <c r="D13" s="5">
        <f t="shared" ca="1" si="0"/>
        <v>52.428571428571431</v>
      </c>
      <c r="E13" s="5">
        <f t="shared" ca="1" si="1"/>
        <v>1153.4285714285716</v>
      </c>
    </row>
    <row r="14" spans="1:5" x14ac:dyDescent="0.25">
      <c r="A14">
        <v>120131</v>
      </c>
      <c r="B14" t="s">
        <v>23</v>
      </c>
      <c r="C14">
        <f>'[1]VENTAS CONSOLIDADA ANZOATEGUI'!C14</f>
        <v>20</v>
      </c>
      <c r="D14" s="5">
        <f t="shared" ca="1" si="0"/>
        <v>2.8571428571428572</v>
      </c>
      <c r="E14" s="5">
        <f t="shared" ca="1" si="1"/>
        <v>62.857142857142861</v>
      </c>
    </row>
    <row r="15" spans="1:5" x14ac:dyDescent="0.25">
      <c r="A15">
        <v>120132</v>
      </c>
      <c r="B15" t="s">
        <v>21</v>
      </c>
      <c r="C15">
        <f>'[1]VENTAS CONSOLIDADA ANZOATEGUI'!C15</f>
        <v>53</v>
      </c>
      <c r="D15" s="5">
        <f t="shared" ca="1" si="0"/>
        <v>7.5714285714285712</v>
      </c>
      <c r="E15" s="5">
        <f t="shared" ca="1" si="1"/>
        <v>166.57142857142856</v>
      </c>
    </row>
    <row r="16" spans="1:5" x14ac:dyDescent="0.25">
      <c r="A16">
        <v>130150</v>
      </c>
      <c r="B16" t="s">
        <v>0</v>
      </c>
      <c r="C16">
        <f>'[1]VENTAS CONSOLIDADA ANZOATEGUI'!C16</f>
        <v>127</v>
      </c>
      <c r="D16" s="5">
        <f t="shared" ca="1" si="0"/>
        <v>18.142857142857142</v>
      </c>
      <c r="E16" s="5">
        <f t="shared" ca="1" si="1"/>
        <v>399.14285714285711</v>
      </c>
    </row>
    <row r="17" spans="1:5" x14ac:dyDescent="0.25">
      <c r="A17">
        <v>130151</v>
      </c>
      <c r="B17" t="s">
        <v>4</v>
      </c>
      <c r="C17">
        <f>'[1]VENTAS CONSOLIDADA ANZOATEGUI'!C17</f>
        <v>35</v>
      </c>
      <c r="D17" s="5">
        <f t="shared" ca="1" si="0"/>
        <v>5</v>
      </c>
      <c r="E17" s="5">
        <f t="shared" ca="1" si="1"/>
        <v>110</v>
      </c>
    </row>
    <row r="18" spans="1:5" x14ac:dyDescent="0.25">
      <c r="A18">
        <v>130152</v>
      </c>
      <c r="B18" t="s">
        <v>51</v>
      </c>
      <c r="C18">
        <f>'[1]VENTAS CONSOLIDADA ANZOATEGUI'!C18</f>
        <v>937</v>
      </c>
      <c r="D18" s="5">
        <f t="shared" ca="1" si="0"/>
        <v>133.85714285714286</v>
      </c>
      <c r="E18" s="5">
        <f t="shared" ca="1" si="1"/>
        <v>2944.8571428571431</v>
      </c>
    </row>
    <row r="19" spans="1:5" x14ac:dyDescent="0.25">
      <c r="A19">
        <v>130153</v>
      </c>
      <c r="B19" t="s">
        <v>52</v>
      </c>
      <c r="C19">
        <f>'[1]VENTAS CONSOLIDADA ANZOATEGUI'!C19</f>
        <v>547</v>
      </c>
      <c r="D19" s="5">
        <f t="shared" ca="1" si="0"/>
        <v>78.142857142857139</v>
      </c>
      <c r="E19" s="5">
        <f t="shared" ca="1" si="1"/>
        <v>1719.1428571428571</v>
      </c>
    </row>
    <row r="20" spans="1:5" x14ac:dyDescent="0.25">
      <c r="A20">
        <v>130154</v>
      </c>
      <c r="B20" t="s">
        <v>53</v>
      </c>
      <c r="C20">
        <f>'[1]VENTAS CONSOLIDADA ANZOATEGUI'!C20</f>
        <v>723</v>
      </c>
      <c r="D20" s="5">
        <f t="shared" ca="1" si="0"/>
        <v>103.28571428571429</v>
      </c>
      <c r="E20" s="5">
        <f t="shared" ca="1" si="1"/>
        <v>2272.2857142857142</v>
      </c>
    </row>
    <row r="21" spans="1:5" x14ac:dyDescent="0.25">
      <c r="A21">
        <v>130155</v>
      </c>
      <c r="B21" t="s">
        <v>16</v>
      </c>
      <c r="C21">
        <f>'[1]VENTAS CONSOLIDADA ANZOATEGUI'!C21</f>
        <v>522</v>
      </c>
      <c r="D21" s="5">
        <f t="shared" ca="1" si="0"/>
        <v>74.571428571428569</v>
      </c>
      <c r="E21" s="5">
        <f t="shared" ca="1" si="1"/>
        <v>1640.5714285714284</v>
      </c>
    </row>
    <row r="22" spans="1:5" x14ac:dyDescent="0.25">
      <c r="A22">
        <v>130157</v>
      </c>
      <c r="B22" t="s">
        <v>43</v>
      </c>
      <c r="C22">
        <f>'[1]VENTAS CONSOLIDADA ANZOATEGUI'!C22</f>
        <v>176</v>
      </c>
      <c r="D22" s="5">
        <f t="shared" ca="1" si="0"/>
        <v>25.142857142857142</v>
      </c>
      <c r="E22" s="5">
        <f t="shared" ca="1" si="1"/>
        <v>553.14285714285711</v>
      </c>
    </row>
    <row r="23" spans="1:5" x14ac:dyDescent="0.25">
      <c r="A23">
        <v>130158</v>
      </c>
      <c r="B23" t="s">
        <v>44</v>
      </c>
      <c r="C23">
        <f>'[1]VENTAS CONSOLIDADA ANZOATEGUI'!C23</f>
        <v>201</v>
      </c>
      <c r="D23" s="5">
        <f t="shared" ca="1" si="0"/>
        <v>28.714285714285715</v>
      </c>
      <c r="E23" s="5">
        <f t="shared" ca="1" si="1"/>
        <v>631.71428571428578</v>
      </c>
    </row>
    <row r="24" spans="1:5" x14ac:dyDescent="0.25">
      <c r="A24">
        <v>130159</v>
      </c>
      <c r="B24" t="s">
        <v>45</v>
      </c>
      <c r="C24">
        <f>'[1]VENTAS CONSOLIDADA ANZOATEGUI'!C24</f>
        <v>193</v>
      </c>
      <c r="D24" s="5">
        <f t="shared" ca="1" si="0"/>
        <v>27.571428571428573</v>
      </c>
      <c r="E24" s="5">
        <f t="shared" ca="1" si="1"/>
        <v>606.57142857142856</v>
      </c>
    </row>
    <row r="25" spans="1:5" x14ac:dyDescent="0.25">
      <c r="A25">
        <v>130700</v>
      </c>
      <c r="B25" t="s">
        <v>3</v>
      </c>
      <c r="C25">
        <f>'[1]VENTAS CONSOLIDADA ANZOATEGUI'!C25</f>
        <v>22</v>
      </c>
      <c r="D25" s="5">
        <f t="shared" ca="1" si="0"/>
        <v>3.1428571428571428</v>
      </c>
      <c r="E25" s="5">
        <f t="shared" ca="1" si="1"/>
        <v>69.142857142857139</v>
      </c>
    </row>
    <row r="26" spans="1:5" x14ac:dyDescent="0.25">
      <c r="A26">
        <v>130701</v>
      </c>
      <c r="B26" t="s">
        <v>30</v>
      </c>
      <c r="C26">
        <f>'[1]VENTAS CONSOLIDADA ANZOATEGUI'!C26</f>
        <v>4</v>
      </c>
      <c r="D26" s="5">
        <f t="shared" ca="1" si="0"/>
        <v>0.5714285714285714</v>
      </c>
      <c r="E26" s="5">
        <f t="shared" ca="1" si="1"/>
        <v>12.571428571428571</v>
      </c>
    </row>
    <row r="27" spans="1:5" x14ac:dyDescent="0.25">
      <c r="A27">
        <v>130702</v>
      </c>
      <c r="B27" t="s">
        <v>12</v>
      </c>
      <c r="C27">
        <f>'[1]VENTAS CONSOLIDADA ANZOATEGUI'!C27</f>
        <v>62</v>
      </c>
      <c r="D27" s="5">
        <f t="shared" ca="1" si="0"/>
        <v>8.8571428571428577</v>
      </c>
      <c r="E27" s="5">
        <f t="shared" ca="1" si="1"/>
        <v>194.85714285714286</v>
      </c>
    </row>
    <row r="28" spans="1:5" x14ac:dyDescent="0.25">
      <c r="A28">
        <v>130703</v>
      </c>
      <c r="B28" t="s">
        <v>17</v>
      </c>
      <c r="C28">
        <f>'[1]VENTAS CONSOLIDADA ANZOATEGUI'!C28</f>
        <v>109</v>
      </c>
      <c r="D28" s="5">
        <f t="shared" ca="1" si="0"/>
        <v>15.571428571428571</v>
      </c>
      <c r="E28" s="5">
        <f t="shared" ca="1" si="1"/>
        <v>342.57142857142856</v>
      </c>
    </row>
    <row r="29" spans="1:5" x14ac:dyDescent="0.25">
      <c r="A29">
        <v>130707</v>
      </c>
      <c r="B29" t="s">
        <v>42</v>
      </c>
      <c r="C29">
        <f>'[1]VENTAS CONSOLIDADA ANZOATEGUI'!C29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ANZOATEGUI'!C30</f>
        <v>221</v>
      </c>
      <c r="D30" s="5">
        <f t="shared" ca="1" si="0"/>
        <v>31.571428571428573</v>
      </c>
      <c r="E30" s="5">
        <f t="shared" ca="1" si="1"/>
        <v>694.57142857142856</v>
      </c>
    </row>
    <row r="31" spans="1:5" x14ac:dyDescent="0.25">
      <c r="A31">
        <v>131151</v>
      </c>
      <c r="B31" t="s">
        <v>19</v>
      </c>
      <c r="C31">
        <f>'[1]VENTAS CONSOLIDADA ANZOATEGUI'!C31</f>
        <v>563</v>
      </c>
      <c r="D31" s="5">
        <f t="shared" ca="1" si="0"/>
        <v>80.428571428571431</v>
      </c>
      <c r="E31" s="5">
        <f t="shared" ca="1" si="1"/>
        <v>1769.4285714285716</v>
      </c>
    </row>
    <row r="32" spans="1:5" x14ac:dyDescent="0.25">
      <c r="A32">
        <v>131152</v>
      </c>
      <c r="B32" t="s">
        <v>32</v>
      </c>
      <c r="C32">
        <f>'[1]VENTAS CONSOLIDADA ANZOATEGUI'!C32</f>
        <v>495</v>
      </c>
      <c r="D32" s="5">
        <f t="shared" ca="1" si="0"/>
        <v>70.714285714285708</v>
      </c>
      <c r="E32" s="5">
        <f t="shared" ca="1" si="1"/>
        <v>1555.7142857142856</v>
      </c>
    </row>
    <row r="33" spans="1:5" x14ac:dyDescent="0.25">
      <c r="A33">
        <v>131153</v>
      </c>
      <c r="B33" t="s">
        <v>11</v>
      </c>
      <c r="C33">
        <f>'[1]VENTAS CONSOLIDADA ANZOATEGUI'!C33</f>
        <v>114</v>
      </c>
      <c r="D33" s="5">
        <f t="shared" ca="1" si="0"/>
        <v>16.285714285714285</v>
      </c>
      <c r="E33" s="5">
        <f t="shared" ca="1" si="1"/>
        <v>358.28571428571428</v>
      </c>
    </row>
    <row r="34" spans="1:5" x14ac:dyDescent="0.25">
      <c r="A34">
        <v>131154</v>
      </c>
      <c r="B34" t="s">
        <v>48</v>
      </c>
      <c r="C34">
        <f>'[1]VENTAS CONSOLIDADA ANZOATEGUI'!C34</f>
        <v>161</v>
      </c>
      <c r="D34" s="5">
        <f t="shared" ca="1" si="0"/>
        <v>23</v>
      </c>
      <c r="E34" s="5">
        <f t="shared" ca="1" si="1"/>
        <v>506</v>
      </c>
    </row>
    <row r="35" spans="1:5" x14ac:dyDescent="0.25">
      <c r="A35">
        <v>131155</v>
      </c>
      <c r="B35" t="s">
        <v>57</v>
      </c>
      <c r="C35">
        <f>'[1]VENTAS CONSOLIDADA ANZOATEGUI'!C35</f>
        <v>201</v>
      </c>
      <c r="D35" s="5">
        <f t="shared" ca="1" si="0"/>
        <v>28.714285714285715</v>
      </c>
      <c r="E35" s="5">
        <f t="shared" ca="1" si="1"/>
        <v>631.71428571428578</v>
      </c>
    </row>
    <row r="36" spans="1:5" x14ac:dyDescent="0.25">
      <c r="A36">
        <v>131700</v>
      </c>
      <c r="B36" t="s">
        <v>20</v>
      </c>
      <c r="C36">
        <f>'[1]VENTAS CONSOLIDADA ANZOATEGUI'!C36</f>
        <v>7</v>
      </c>
      <c r="D36" s="5">
        <f t="shared" ca="1" si="0"/>
        <v>1</v>
      </c>
      <c r="E36" s="5">
        <f t="shared" ca="1" si="1"/>
        <v>22</v>
      </c>
    </row>
    <row r="37" spans="1:5" x14ac:dyDescent="0.25">
      <c r="A37">
        <v>131701</v>
      </c>
      <c r="B37" t="s">
        <v>24</v>
      </c>
      <c r="C37">
        <f>'[1]VENTAS CONSOLIDADA ANZOATEGUI'!C37</f>
        <v>41</v>
      </c>
      <c r="D37" s="5">
        <f t="shared" ca="1" si="0"/>
        <v>5.8571428571428568</v>
      </c>
      <c r="E37" s="5">
        <f t="shared" ca="1" si="1"/>
        <v>128.85714285714286</v>
      </c>
    </row>
    <row r="38" spans="1:5" x14ac:dyDescent="0.25">
      <c r="A38">
        <v>132150</v>
      </c>
      <c r="B38" t="s">
        <v>25</v>
      </c>
      <c r="C38">
        <f>'[1]VENTAS CONSOLIDADA ANZOATEGUI'!C38</f>
        <v>277</v>
      </c>
      <c r="D38" s="5">
        <f t="shared" ca="1" si="0"/>
        <v>39.571428571428569</v>
      </c>
      <c r="E38" s="5">
        <f t="shared" ca="1" si="1"/>
        <v>870.57142857142856</v>
      </c>
    </row>
    <row r="39" spans="1:5" x14ac:dyDescent="0.25">
      <c r="A39">
        <v>132151</v>
      </c>
      <c r="B39" t="s">
        <v>26</v>
      </c>
      <c r="C39">
        <f>'[1]VENTAS CONSOLIDADA ANZOATEGUI'!C39</f>
        <v>204</v>
      </c>
      <c r="D39" s="5">
        <f t="shared" ca="1" si="0"/>
        <v>29.142857142857142</v>
      </c>
      <c r="E39" s="5">
        <f t="shared" ca="1" si="1"/>
        <v>641.14285714285711</v>
      </c>
    </row>
    <row r="40" spans="1:5" x14ac:dyDescent="0.25">
      <c r="A40">
        <v>132152</v>
      </c>
      <c r="B40" t="s">
        <v>27</v>
      </c>
      <c r="C40">
        <f>'[1]VENTAS CONSOLIDADA ANZOATEGUI'!C40</f>
        <v>197</v>
      </c>
      <c r="D40" s="5">
        <f t="shared" ca="1" si="0"/>
        <v>28.142857142857142</v>
      </c>
      <c r="E40" s="5">
        <f t="shared" ca="1" si="1"/>
        <v>619.14285714285711</v>
      </c>
    </row>
    <row r="41" spans="1:5" x14ac:dyDescent="0.25">
      <c r="A41">
        <v>132153</v>
      </c>
      <c r="B41" t="s">
        <v>40</v>
      </c>
      <c r="C41">
        <f>'[1]VENTAS CONSOLIDADA ANZOATEGUI'!C41</f>
        <v>90</v>
      </c>
      <c r="D41" s="5">
        <f t="shared" ca="1" si="0"/>
        <v>12.857142857142858</v>
      </c>
      <c r="E41" s="5">
        <f t="shared" ca="1" si="1"/>
        <v>282.85714285714289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52</v>
      </c>
      <c r="D44" s="5">
        <f t="shared" ca="1" si="0"/>
        <v>7.4285714285714288</v>
      </c>
      <c r="E44" s="5">
        <f t="shared" ca="1" si="1"/>
        <v>163.42857142857144</v>
      </c>
    </row>
    <row r="45" spans="1:5" x14ac:dyDescent="0.25">
      <c r="A45">
        <v>140231</v>
      </c>
      <c r="B45" t="s">
        <v>10</v>
      </c>
      <c r="C45">
        <f>'[1]VENTAS CONSOLIDADA ANZOATEGUI'!C45</f>
        <v>323</v>
      </c>
      <c r="D45" s="5">
        <f t="shared" ca="1" si="0"/>
        <v>46.142857142857146</v>
      </c>
      <c r="E45" s="5">
        <f t="shared" ca="1" si="1"/>
        <v>1015.1428571428572</v>
      </c>
    </row>
    <row r="46" spans="1:5" x14ac:dyDescent="0.25">
      <c r="A46">
        <v>140232</v>
      </c>
      <c r="B46" t="s">
        <v>9</v>
      </c>
      <c r="C46">
        <f>'[1]VENTAS CONSOLIDADA ANZOATEGUI'!C46</f>
        <v>18</v>
      </c>
      <c r="D46" s="5">
        <f t="shared" ca="1" si="0"/>
        <v>2.5714285714285716</v>
      </c>
      <c r="E46" s="5">
        <f t="shared" ca="1" si="1"/>
        <v>56.571428571428577</v>
      </c>
    </row>
    <row r="47" spans="1:5" x14ac:dyDescent="0.25">
      <c r="A47">
        <v>150360</v>
      </c>
      <c r="B47" t="s">
        <v>28</v>
      </c>
      <c r="C47">
        <f>'[1]VENTAS CONSOLIDADA ANZOATEGUI'!C47</f>
        <v>57</v>
      </c>
      <c r="D47" s="5">
        <f t="shared" ca="1" si="0"/>
        <v>8.1428571428571423</v>
      </c>
      <c r="E47" s="5">
        <f t="shared" ca="1" si="1"/>
        <v>179.14285714285714</v>
      </c>
    </row>
    <row r="48" spans="1:5" x14ac:dyDescent="0.25">
      <c r="A48">
        <v>150361</v>
      </c>
      <c r="B48" t="s">
        <v>29</v>
      </c>
      <c r="C48">
        <f>'[1]VENTAS CONSOLIDADA ANZOATEGUI'!C48</f>
        <v>117</v>
      </c>
      <c r="D48" s="5">
        <f t="shared" ca="1" si="0"/>
        <v>16.714285714285715</v>
      </c>
      <c r="E48" s="5">
        <f t="shared" ca="1" si="1"/>
        <v>367.71428571428572</v>
      </c>
    </row>
    <row r="49" spans="1:5" x14ac:dyDescent="0.25">
      <c r="A49">
        <v>150362</v>
      </c>
      <c r="B49" t="s">
        <v>36</v>
      </c>
      <c r="C49">
        <f>'[1]VENTAS CONSOLIDADA ANZOATEGUI'!C49</f>
        <v>48</v>
      </c>
      <c r="D49" s="5">
        <f t="shared" ca="1" si="0"/>
        <v>6.8571428571428568</v>
      </c>
      <c r="E49" s="5">
        <f t="shared" ca="1" si="1"/>
        <v>150.85714285714286</v>
      </c>
    </row>
    <row r="50" spans="1:5" x14ac:dyDescent="0.25">
      <c r="A50">
        <v>150363</v>
      </c>
      <c r="B50" t="s">
        <v>31</v>
      </c>
      <c r="C50">
        <f>'[1]VENTAS CONSOLIDADA ANZOATEGUI'!C50</f>
        <v>70</v>
      </c>
      <c r="D50" s="5">
        <f t="shared" ca="1" si="0"/>
        <v>10</v>
      </c>
      <c r="E50" s="5">
        <f t="shared" ca="1" si="1"/>
        <v>220</v>
      </c>
    </row>
    <row r="51" spans="1:5" x14ac:dyDescent="0.25">
      <c r="A51">
        <v>151500</v>
      </c>
      <c r="B51" t="s">
        <v>41</v>
      </c>
      <c r="C51">
        <f>'[1]VENTAS CONSOLIDADA ANZOATEGUI'!C51</f>
        <v>4</v>
      </c>
      <c r="D51" s="5">
        <f t="shared" ca="1" si="0"/>
        <v>0.5714285714285714</v>
      </c>
      <c r="E51" s="5">
        <f t="shared" ca="1" si="1"/>
        <v>12.571428571428571</v>
      </c>
    </row>
    <row r="52" spans="1:5" x14ac:dyDescent="0.25">
      <c r="A52">
        <v>151501</v>
      </c>
      <c r="B52" t="s">
        <v>33</v>
      </c>
      <c r="C52">
        <f>'[1]VENTAS CONSOLIDADA ANZOATEGUI'!C52</f>
        <v>21</v>
      </c>
      <c r="D52" s="5">
        <f t="shared" ca="1" si="0"/>
        <v>3</v>
      </c>
      <c r="E52" s="5">
        <f t="shared" ca="1" si="1"/>
        <v>66</v>
      </c>
    </row>
    <row r="53" spans="1:5" x14ac:dyDescent="0.25">
      <c r="A53">
        <v>151502</v>
      </c>
      <c r="B53" t="s">
        <v>37</v>
      </c>
      <c r="C53">
        <f>'[1]VENTAS CONSOLIDADA ANZOATEGUI'!C53</f>
        <v>0</v>
      </c>
      <c r="D53" s="5">
        <f t="shared" ca="1" si="0"/>
        <v>0</v>
      </c>
      <c r="E53" s="5">
        <f t="shared" ca="1" si="1"/>
        <v>0</v>
      </c>
    </row>
    <row r="54" spans="1:5" x14ac:dyDescent="0.25">
      <c r="A54">
        <v>151503</v>
      </c>
      <c r="B54" t="s">
        <v>34</v>
      </c>
      <c r="C54">
        <f>'[1]VENTAS CONSOLIDADA ANZOATEGUI'!C54</f>
        <v>11</v>
      </c>
      <c r="D54" s="5">
        <f t="shared" ca="1" si="0"/>
        <v>1.5714285714285714</v>
      </c>
      <c r="E54" s="5">
        <f t="shared" ca="1" si="1"/>
        <v>34.571428571428569</v>
      </c>
    </row>
    <row r="55" spans="1:5" x14ac:dyDescent="0.25">
      <c r="D55" s="7">
        <f ca="1">SUM(D8:D54)</f>
        <v>1113.5714285714289</v>
      </c>
      <c r="E55" s="7">
        <f ca="1">SUM(E8:E54)</f>
        <v>24498.571428571431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G16" sqref="G16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'[1]VENTAS CONSOLIDADA 1,0'!D2</f>
        <v>46275</v>
      </c>
      <c r="E2" s="4">
        <f ca="1">'[1]VENTAS CONSOLIDADA 1,0'!E2</f>
        <v>7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 ca="1">'[1]VENTAS CONSOLIDADA 1,0'!E3</f>
        <v>15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7805</v>
      </c>
      <c r="D8" s="5">
        <f t="shared" ref="D8:D54" ca="1" si="0">C8/$E$2</f>
        <v>1115</v>
      </c>
      <c r="E8" s="5">
        <f ca="1">D8*($E$2+$E$3)</f>
        <v>24530</v>
      </c>
    </row>
    <row r="9" spans="1:5" x14ac:dyDescent="0.25">
      <c r="A9">
        <v>110151</v>
      </c>
      <c r="B9" t="s">
        <v>5</v>
      </c>
      <c r="C9">
        <f>'[1]VENTAS CONSOLIDADA 1,0'!C9</f>
        <v>611</v>
      </c>
      <c r="D9" s="5">
        <f t="shared" ca="1" si="0"/>
        <v>87.285714285714292</v>
      </c>
      <c r="E9" s="5">
        <f t="shared" ref="E9:E54" ca="1" si="1">D9*($E$2+$E$3)</f>
        <v>1920.2857142857144</v>
      </c>
    </row>
    <row r="10" spans="1:5" x14ac:dyDescent="0.25">
      <c r="A10">
        <v>110230</v>
      </c>
      <c r="B10" t="s">
        <v>1</v>
      </c>
      <c r="C10">
        <f>'[1]VENTAS CONSOLIDADA 1,0'!C10</f>
        <v>3130</v>
      </c>
      <c r="D10" s="5">
        <f t="shared" ca="1" si="0"/>
        <v>447.14285714285717</v>
      </c>
      <c r="E10" s="5">
        <f t="shared" ca="1" si="1"/>
        <v>9837.1428571428569</v>
      </c>
    </row>
    <row r="11" spans="1:5" x14ac:dyDescent="0.25">
      <c r="A11">
        <v>110400</v>
      </c>
      <c r="B11" t="s">
        <v>13</v>
      </c>
      <c r="C11">
        <f>'[1]VENTAS CONSOLIDADA 1,0'!C11</f>
        <v>733</v>
      </c>
      <c r="D11" s="5">
        <f t="shared" ca="1" si="0"/>
        <v>104.71428571428571</v>
      </c>
      <c r="E11" s="5">
        <f t="shared" ca="1" si="1"/>
        <v>2303.7142857142858</v>
      </c>
    </row>
    <row r="12" spans="1:5" x14ac:dyDescent="0.25">
      <c r="A12">
        <v>111000</v>
      </c>
      <c r="B12" t="s">
        <v>14</v>
      </c>
      <c r="C12">
        <f>'[1]VENTAS CONSOLIDADA 1,0'!C12</f>
        <v>105</v>
      </c>
      <c r="D12" s="5">
        <f t="shared" ca="1" si="0"/>
        <v>15</v>
      </c>
      <c r="E12" s="5">
        <f t="shared" ca="1" si="1"/>
        <v>330</v>
      </c>
    </row>
    <row r="13" spans="1:5" x14ac:dyDescent="0.25">
      <c r="A13">
        <v>120130</v>
      </c>
      <c r="B13" t="s">
        <v>15</v>
      </c>
      <c r="C13">
        <f>'[1]VENTAS CONSOLIDADA 1,0'!C13</f>
        <v>9089</v>
      </c>
      <c r="D13" s="5">
        <f t="shared" ca="1" si="0"/>
        <v>1298.4285714285713</v>
      </c>
      <c r="E13" s="5">
        <f t="shared" ca="1" si="1"/>
        <v>28565.428571428569</v>
      </c>
    </row>
    <row r="14" spans="1:5" x14ac:dyDescent="0.25">
      <c r="A14">
        <v>120131</v>
      </c>
      <c r="B14" t="s">
        <v>23</v>
      </c>
      <c r="C14">
        <f>'[1]VENTAS CONSOLIDADA 1,0'!C14</f>
        <v>937</v>
      </c>
      <c r="D14" s="5">
        <f t="shared" ca="1" si="0"/>
        <v>133.85714285714286</v>
      </c>
      <c r="E14" s="5">
        <f t="shared" ca="1" si="1"/>
        <v>2944.8571428571431</v>
      </c>
    </row>
    <row r="15" spans="1:5" x14ac:dyDescent="0.25">
      <c r="A15">
        <v>120132</v>
      </c>
      <c r="B15" t="s">
        <v>21</v>
      </c>
      <c r="C15">
        <f>'[1]VENTAS CONSOLIDADA 1,0'!C15</f>
        <v>1955</v>
      </c>
      <c r="D15" s="5">
        <f t="shared" ca="1" si="0"/>
        <v>279.28571428571428</v>
      </c>
      <c r="E15" s="5">
        <f t="shared" ca="1" si="1"/>
        <v>6144.2857142857138</v>
      </c>
    </row>
    <row r="16" spans="1:5" x14ac:dyDescent="0.25">
      <c r="A16">
        <v>130150</v>
      </c>
      <c r="B16" t="s">
        <v>0</v>
      </c>
      <c r="C16">
        <f>'[1]VENTAS CONSOLIDADA 1,0'!C16</f>
        <v>5093</v>
      </c>
      <c r="D16" s="5">
        <f t="shared" ca="1" si="0"/>
        <v>727.57142857142856</v>
      </c>
      <c r="E16" s="5">
        <f t="shared" ca="1" si="1"/>
        <v>16006.571428571428</v>
      </c>
    </row>
    <row r="17" spans="1:5" x14ac:dyDescent="0.25">
      <c r="A17">
        <v>130151</v>
      </c>
      <c r="B17" t="s">
        <v>4</v>
      </c>
      <c r="C17">
        <f>'[1]VENTAS CONSOLIDADA 1,0'!C17</f>
        <v>2271</v>
      </c>
      <c r="D17" s="5">
        <f t="shared" ca="1" si="0"/>
        <v>324.42857142857144</v>
      </c>
      <c r="E17" s="5">
        <f t="shared" ca="1" si="1"/>
        <v>7137.4285714285716</v>
      </c>
    </row>
    <row r="18" spans="1:5" x14ac:dyDescent="0.25">
      <c r="A18">
        <v>130152</v>
      </c>
      <c r="B18" t="s">
        <v>51</v>
      </c>
      <c r="C18">
        <f>'[1]VENTAS CONSOLIDADA 1,0'!C18</f>
        <v>22817</v>
      </c>
      <c r="D18" s="5">
        <f t="shared" ca="1" si="0"/>
        <v>3259.5714285714284</v>
      </c>
      <c r="E18" s="5">
        <f t="shared" ca="1" si="1"/>
        <v>71710.57142857142</v>
      </c>
    </row>
    <row r="19" spans="1:5" x14ac:dyDescent="0.25">
      <c r="A19">
        <v>130153</v>
      </c>
      <c r="B19" t="s">
        <v>52</v>
      </c>
      <c r="C19">
        <f>'[1]VENTAS CONSOLIDADA 1,0'!C19</f>
        <v>13843</v>
      </c>
      <c r="D19" s="5">
        <f t="shared" ca="1" si="0"/>
        <v>1977.5714285714287</v>
      </c>
      <c r="E19" s="5">
        <f t="shared" ca="1" si="1"/>
        <v>43506.571428571428</v>
      </c>
    </row>
    <row r="20" spans="1:5" x14ac:dyDescent="0.25">
      <c r="A20">
        <v>130154</v>
      </c>
      <c r="B20" t="s">
        <v>53</v>
      </c>
      <c r="C20">
        <f>'[1]VENTAS CONSOLIDADA 1,0'!C20</f>
        <v>14922</v>
      </c>
      <c r="D20" s="5">
        <f t="shared" ca="1" si="0"/>
        <v>2131.7142857142858</v>
      </c>
      <c r="E20" s="5">
        <f t="shared" ca="1" si="1"/>
        <v>46897.71428571429</v>
      </c>
    </row>
    <row r="21" spans="1:5" x14ac:dyDescent="0.25">
      <c r="A21">
        <v>130155</v>
      </c>
      <c r="B21" t="s">
        <v>16</v>
      </c>
      <c r="C21">
        <f>'[1]VENTAS CONSOLIDADA 1,0'!C21</f>
        <v>17660</v>
      </c>
      <c r="D21" s="5">
        <f t="shared" ca="1" si="0"/>
        <v>2522.8571428571427</v>
      </c>
      <c r="E21" s="5">
        <f t="shared" ca="1" si="1"/>
        <v>55502.857142857138</v>
      </c>
    </row>
    <row r="22" spans="1:5" x14ac:dyDescent="0.25">
      <c r="A22">
        <v>130157</v>
      </c>
      <c r="B22" t="s">
        <v>43</v>
      </c>
      <c r="C22">
        <f>'[1]VENTAS CONSOLIDADA 1,0'!C22</f>
        <v>4814</v>
      </c>
      <c r="D22" s="5">
        <f t="shared" ca="1" si="0"/>
        <v>687.71428571428567</v>
      </c>
      <c r="E22" s="5">
        <f t="shared" ca="1" si="1"/>
        <v>15129.714285714284</v>
      </c>
    </row>
    <row r="23" spans="1:5" x14ac:dyDescent="0.25">
      <c r="A23">
        <v>130158</v>
      </c>
      <c r="B23" t="s">
        <v>44</v>
      </c>
      <c r="C23">
        <f>'[1]VENTAS CONSOLIDADA 1,0'!C23</f>
        <v>5710</v>
      </c>
      <c r="D23" s="5">
        <f t="shared" ca="1" si="0"/>
        <v>815.71428571428567</v>
      </c>
      <c r="E23" s="5">
        <f t="shared" ca="1" si="1"/>
        <v>17945.714285714286</v>
      </c>
    </row>
    <row r="24" spans="1:5" x14ac:dyDescent="0.25">
      <c r="A24">
        <v>130159</v>
      </c>
      <c r="B24" t="s">
        <v>45</v>
      </c>
      <c r="C24">
        <f>'[1]VENTAS CONSOLIDADA 1,0'!C24</f>
        <v>5628</v>
      </c>
      <c r="D24" s="5">
        <f t="shared" ca="1" si="0"/>
        <v>804</v>
      </c>
      <c r="E24" s="5">
        <f t="shared" ca="1" si="1"/>
        <v>17688</v>
      </c>
    </row>
    <row r="25" spans="1:5" x14ac:dyDescent="0.25">
      <c r="A25">
        <v>130700</v>
      </c>
      <c r="B25" t="s">
        <v>3</v>
      </c>
      <c r="C25">
        <f>'[1]VENTAS CONSOLIDADA 1,0'!C25</f>
        <v>1730</v>
      </c>
      <c r="D25" s="5">
        <f t="shared" ca="1" si="0"/>
        <v>247.14285714285714</v>
      </c>
      <c r="E25" s="5">
        <f t="shared" ca="1" si="1"/>
        <v>5437.1428571428569</v>
      </c>
    </row>
    <row r="26" spans="1:5" x14ac:dyDescent="0.25">
      <c r="A26">
        <v>130701</v>
      </c>
      <c r="B26" t="s">
        <v>30</v>
      </c>
      <c r="C26">
        <f>'[1]VENTAS CONSOLIDADA 1,0'!C26</f>
        <v>785</v>
      </c>
      <c r="D26" s="5">
        <f t="shared" ca="1" si="0"/>
        <v>112.14285714285714</v>
      </c>
      <c r="E26" s="5">
        <f t="shared" ca="1" si="1"/>
        <v>2467.1428571428569</v>
      </c>
    </row>
    <row r="27" spans="1:5" x14ac:dyDescent="0.25">
      <c r="A27">
        <v>130702</v>
      </c>
      <c r="B27" t="s">
        <v>12</v>
      </c>
      <c r="C27">
        <f>'[1]VENTAS CONSOLIDADA 1,0'!C27</f>
        <v>3625</v>
      </c>
      <c r="D27" s="5">
        <f t="shared" ca="1" si="0"/>
        <v>517.85714285714289</v>
      </c>
      <c r="E27" s="5">
        <f t="shared" ca="1" si="1"/>
        <v>11392.857142857143</v>
      </c>
    </row>
    <row r="28" spans="1:5" x14ac:dyDescent="0.25">
      <c r="A28">
        <v>130703</v>
      </c>
      <c r="B28" t="s">
        <v>17</v>
      </c>
      <c r="C28">
        <f>'[1]VENTAS CONSOLIDADA 1,0'!C28</f>
        <v>5865</v>
      </c>
      <c r="D28" s="5">
        <f t="shared" ca="1" si="0"/>
        <v>837.85714285714289</v>
      </c>
      <c r="E28" s="5">
        <f t="shared" ca="1" si="1"/>
        <v>18432.857142857145</v>
      </c>
    </row>
    <row r="29" spans="1:5" x14ac:dyDescent="0.25">
      <c r="A29">
        <v>130707</v>
      </c>
      <c r="B29" t="s">
        <v>42</v>
      </c>
      <c r="C29">
        <f>'[1]VENTAS CONSOLIDADA 1,0'!C29</f>
        <v>599</v>
      </c>
      <c r="D29" s="5">
        <f t="shared" ca="1" si="0"/>
        <v>85.571428571428569</v>
      </c>
      <c r="E29" s="5">
        <f t="shared" ca="1" si="1"/>
        <v>1882.5714285714284</v>
      </c>
    </row>
    <row r="30" spans="1:5" x14ac:dyDescent="0.25">
      <c r="A30">
        <v>131150</v>
      </c>
      <c r="B30" t="s">
        <v>22</v>
      </c>
      <c r="C30">
        <f>'[1]VENTAS CONSOLIDADA 1,0'!C30</f>
        <v>4432</v>
      </c>
      <c r="D30" s="5">
        <f t="shared" ca="1" si="0"/>
        <v>633.14285714285711</v>
      </c>
      <c r="E30" s="5">
        <f t="shared" ca="1" si="1"/>
        <v>13929.142857142857</v>
      </c>
    </row>
    <row r="31" spans="1:5" x14ac:dyDescent="0.25">
      <c r="A31">
        <v>131151</v>
      </c>
      <c r="B31" t="s">
        <v>19</v>
      </c>
      <c r="C31">
        <f>'[1]VENTAS CONSOLIDADA 1,0'!C31</f>
        <v>6413</v>
      </c>
      <c r="D31" s="5">
        <f t="shared" ca="1" si="0"/>
        <v>916.14285714285711</v>
      </c>
      <c r="E31" s="5">
        <f t="shared" ca="1" si="1"/>
        <v>20155.142857142855</v>
      </c>
    </row>
    <row r="32" spans="1:5" x14ac:dyDescent="0.25">
      <c r="A32">
        <v>131152</v>
      </c>
      <c r="B32" t="s">
        <v>32</v>
      </c>
      <c r="C32">
        <f>'[1]VENTAS CONSOLIDADA 1,0'!C32</f>
        <v>3366</v>
      </c>
      <c r="D32" s="5">
        <f t="shared" ca="1" si="0"/>
        <v>480.85714285714283</v>
      </c>
      <c r="E32" s="5">
        <f t="shared" ca="1" si="1"/>
        <v>10578.857142857143</v>
      </c>
    </row>
    <row r="33" spans="1:5" x14ac:dyDescent="0.25">
      <c r="A33">
        <v>131153</v>
      </c>
      <c r="B33" t="s">
        <v>11</v>
      </c>
      <c r="C33">
        <f>'[1]VENTAS CONSOLIDADA 1,0'!C33</f>
        <v>2303</v>
      </c>
      <c r="D33" s="5">
        <f t="shared" ca="1" si="0"/>
        <v>329</v>
      </c>
      <c r="E33" s="5">
        <f t="shared" ca="1" si="1"/>
        <v>7238</v>
      </c>
    </row>
    <row r="34" spans="1:5" x14ac:dyDescent="0.25">
      <c r="A34">
        <v>131154</v>
      </c>
      <c r="B34" t="s">
        <v>48</v>
      </c>
      <c r="C34">
        <f>'[1]VENTAS CONSOLIDADA 1,0'!C34</f>
        <v>1527</v>
      </c>
      <c r="D34" s="5">
        <f t="shared" ca="1" si="0"/>
        <v>218.14285714285714</v>
      </c>
      <c r="E34" s="5">
        <f t="shared" ca="1" si="1"/>
        <v>4799.1428571428569</v>
      </c>
    </row>
    <row r="35" spans="1:5" x14ac:dyDescent="0.25">
      <c r="A35">
        <v>131155</v>
      </c>
      <c r="B35" t="s">
        <v>57</v>
      </c>
      <c r="C35">
        <f>'[1]VENTAS CONSOLIDADA 1,0'!C35</f>
        <v>1777</v>
      </c>
      <c r="D35" s="5">
        <f t="shared" ca="1" si="0"/>
        <v>253.85714285714286</v>
      </c>
      <c r="E35" s="5">
        <f t="shared" ca="1" si="1"/>
        <v>5584.8571428571431</v>
      </c>
    </row>
    <row r="36" spans="1:5" x14ac:dyDescent="0.25">
      <c r="A36">
        <v>131700</v>
      </c>
      <c r="B36" t="s">
        <v>20</v>
      </c>
      <c r="C36">
        <f>'[1]VENTAS CONSOLIDADA 1,0'!C36</f>
        <v>830</v>
      </c>
      <c r="D36" s="5">
        <f t="shared" ca="1" si="0"/>
        <v>118.57142857142857</v>
      </c>
      <c r="E36" s="5">
        <f t="shared" ca="1" si="1"/>
        <v>2608.5714285714284</v>
      </c>
    </row>
    <row r="37" spans="1:5" x14ac:dyDescent="0.25">
      <c r="A37">
        <v>131701</v>
      </c>
      <c r="B37" t="s">
        <v>24</v>
      </c>
      <c r="C37">
        <f>'[1]VENTAS CONSOLIDADA 1,0'!C37</f>
        <v>833</v>
      </c>
      <c r="D37" s="5">
        <f t="shared" ca="1" si="0"/>
        <v>119</v>
      </c>
      <c r="E37" s="5">
        <f t="shared" ca="1" si="1"/>
        <v>2618</v>
      </c>
    </row>
    <row r="38" spans="1:5" x14ac:dyDescent="0.25">
      <c r="A38">
        <v>132150</v>
      </c>
      <c r="B38" t="s">
        <v>25</v>
      </c>
      <c r="C38">
        <f>'[1]VENTAS CONSOLIDADA 1,0'!C38</f>
        <v>5092</v>
      </c>
      <c r="D38" s="5">
        <f t="shared" ca="1" si="0"/>
        <v>727.42857142857144</v>
      </c>
      <c r="E38" s="5">
        <f t="shared" ca="1" si="1"/>
        <v>16003.428571428572</v>
      </c>
    </row>
    <row r="39" spans="1:5" x14ac:dyDescent="0.25">
      <c r="A39">
        <v>132151</v>
      </c>
      <c r="B39" t="s">
        <v>26</v>
      </c>
      <c r="C39">
        <f>'[1]VENTAS CONSOLIDADA 1,0'!C39</f>
        <v>4057</v>
      </c>
      <c r="D39" s="5">
        <f t="shared" ca="1" si="0"/>
        <v>579.57142857142856</v>
      </c>
      <c r="E39" s="5">
        <f t="shared" ca="1" si="1"/>
        <v>12750.571428571428</v>
      </c>
    </row>
    <row r="40" spans="1:5" x14ac:dyDescent="0.25">
      <c r="A40">
        <v>132152</v>
      </c>
      <c r="B40" t="s">
        <v>27</v>
      </c>
      <c r="C40">
        <f>'[1]VENTAS CONSOLIDADA 1,0'!C40</f>
        <v>5363</v>
      </c>
      <c r="D40" s="5">
        <f t="shared" ca="1" si="0"/>
        <v>766.14285714285711</v>
      </c>
      <c r="E40" s="5">
        <f t="shared" ca="1" si="1"/>
        <v>16855.142857142855</v>
      </c>
    </row>
    <row r="41" spans="1:5" x14ac:dyDescent="0.25">
      <c r="A41">
        <v>132153</v>
      </c>
      <c r="B41" t="s">
        <v>40</v>
      </c>
      <c r="C41">
        <f>'[1]VENTAS CONSOLIDADA 1,0'!C41</f>
        <v>3153</v>
      </c>
      <c r="D41" s="5">
        <f t="shared" ca="1" si="0"/>
        <v>450.42857142857144</v>
      </c>
      <c r="E41" s="5">
        <f t="shared" ca="1" si="1"/>
        <v>9909.4285714285725</v>
      </c>
    </row>
    <row r="42" spans="1:5" x14ac:dyDescent="0.25">
      <c r="A42">
        <v>134000</v>
      </c>
      <c r="B42" t="s">
        <v>35</v>
      </c>
      <c r="C42">
        <f>'[1]VENTAS CONSOLIDADA 1,0'!C42</f>
        <v>28</v>
      </c>
      <c r="D42" s="5">
        <f t="shared" ca="1" si="0"/>
        <v>4</v>
      </c>
      <c r="E42" s="5">
        <f t="shared" ca="1" si="1"/>
        <v>88</v>
      </c>
    </row>
    <row r="43" spans="1:5" x14ac:dyDescent="0.25">
      <c r="A43">
        <v>134001</v>
      </c>
      <c r="B43" t="s">
        <v>47</v>
      </c>
      <c r="C43">
        <f>'[1]VENTAS CONSOLIDADA 1,0'!C43</f>
        <v>6</v>
      </c>
      <c r="D43" s="5">
        <f t="shared" ca="1" si="0"/>
        <v>0.8571428571428571</v>
      </c>
      <c r="E43" s="5">
        <f t="shared" ca="1" si="1"/>
        <v>18.857142857142858</v>
      </c>
    </row>
    <row r="44" spans="1:5" x14ac:dyDescent="0.25">
      <c r="A44">
        <v>140230</v>
      </c>
      <c r="B44" t="s">
        <v>18</v>
      </c>
      <c r="C44">
        <f>'[1]VENTAS CONSOLIDADA 1,0'!C44</f>
        <v>928</v>
      </c>
      <c r="D44" s="5">
        <f t="shared" ca="1" si="0"/>
        <v>132.57142857142858</v>
      </c>
      <c r="E44" s="5">
        <f t="shared" ca="1" si="1"/>
        <v>2916.5714285714289</v>
      </c>
    </row>
    <row r="45" spans="1:5" x14ac:dyDescent="0.25">
      <c r="A45">
        <v>140231</v>
      </c>
      <c r="B45" t="s">
        <v>10</v>
      </c>
      <c r="C45">
        <f>'[1]VENTAS CONSOLIDADA 1,0'!C45</f>
        <v>3459</v>
      </c>
      <c r="D45" s="5">
        <f t="shared" ca="1" si="0"/>
        <v>494.14285714285717</v>
      </c>
      <c r="E45" s="5">
        <f t="shared" ca="1" si="1"/>
        <v>10871.142857142857</v>
      </c>
    </row>
    <row r="46" spans="1:5" x14ac:dyDescent="0.25">
      <c r="A46">
        <v>140232</v>
      </c>
      <c r="B46" t="s">
        <v>9</v>
      </c>
      <c r="C46">
        <f>'[1]VENTAS CONSOLIDADA 1,0'!C46</f>
        <v>2978</v>
      </c>
      <c r="D46" s="5">
        <f t="shared" ca="1" si="0"/>
        <v>425.42857142857144</v>
      </c>
      <c r="E46" s="5">
        <f t="shared" ca="1" si="1"/>
        <v>9359.4285714285725</v>
      </c>
    </row>
    <row r="47" spans="1:5" x14ac:dyDescent="0.25">
      <c r="A47">
        <v>150360</v>
      </c>
      <c r="B47" t="s">
        <v>28</v>
      </c>
      <c r="C47">
        <f>'[1]VENTAS CONSOLIDADA 1,0'!C47</f>
        <v>997</v>
      </c>
      <c r="D47" s="5">
        <f t="shared" ca="1" si="0"/>
        <v>142.42857142857142</v>
      </c>
      <c r="E47" s="5">
        <f t="shared" ca="1" si="1"/>
        <v>3133.4285714285711</v>
      </c>
    </row>
    <row r="48" spans="1:5" x14ac:dyDescent="0.25">
      <c r="A48">
        <v>150361</v>
      </c>
      <c r="B48" t="s">
        <v>29</v>
      </c>
      <c r="C48">
        <f>'[1]VENTAS CONSOLIDADA 1,0'!C48</f>
        <v>2003</v>
      </c>
      <c r="D48" s="5">
        <f t="shared" ca="1" si="0"/>
        <v>286.14285714285717</v>
      </c>
      <c r="E48" s="5">
        <f t="shared" ca="1" si="1"/>
        <v>6295.1428571428578</v>
      </c>
    </row>
    <row r="49" spans="1:5" x14ac:dyDescent="0.25">
      <c r="A49">
        <v>150362</v>
      </c>
      <c r="B49" t="s">
        <v>36</v>
      </c>
      <c r="C49">
        <f>'[1]VENTAS CONSOLIDADA 1,0'!C49</f>
        <v>1335</v>
      </c>
      <c r="D49" s="5">
        <f t="shared" ca="1" si="0"/>
        <v>190.71428571428572</v>
      </c>
      <c r="E49" s="5">
        <f t="shared" ca="1" si="1"/>
        <v>4195.7142857142862</v>
      </c>
    </row>
    <row r="50" spans="1:5" x14ac:dyDescent="0.25">
      <c r="A50">
        <v>150363</v>
      </c>
      <c r="B50" t="s">
        <v>31</v>
      </c>
      <c r="C50">
        <f>'[1]VENTAS CONSOLIDADA 1,0'!C50</f>
        <v>1528</v>
      </c>
      <c r="D50" s="5">
        <f t="shared" ca="1" si="0"/>
        <v>218.28571428571428</v>
      </c>
      <c r="E50" s="5">
        <f t="shared" ca="1" si="1"/>
        <v>4802.2857142857138</v>
      </c>
    </row>
    <row r="51" spans="1:5" x14ac:dyDescent="0.25">
      <c r="A51">
        <v>151500</v>
      </c>
      <c r="B51" t="s">
        <v>41</v>
      </c>
      <c r="C51">
        <f>'[1]VENTAS CONSOLIDADA 1,0'!C51</f>
        <v>216</v>
      </c>
      <c r="D51" s="5">
        <f t="shared" ca="1" si="0"/>
        <v>30.857142857142858</v>
      </c>
      <c r="E51" s="5">
        <f t="shared" ca="1" si="1"/>
        <v>678.85714285714289</v>
      </c>
    </row>
    <row r="52" spans="1:5" x14ac:dyDescent="0.25">
      <c r="A52">
        <v>151501</v>
      </c>
      <c r="B52" t="s">
        <v>33</v>
      </c>
      <c r="C52">
        <f>'[1]VENTAS CONSOLIDADA 1,0'!C52</f>
        <v>521</v>
      </c>
      <c r="D52" s="5">
        <f t="shared" ca="1" si="0"/>
        <v>74.428571428571431</v>
      </c>
      <c r="E52" s="5">
        <f t="shared" ca="1" si="1"/>
        <v>1637.4285714285716</v>
      </c>
    </row>
    <row r="53" spans="1:5" x14ac:dyDescent="0.25">
      <c r="A53">
        <v>151502</v>
      </c>
      <c r="B53" t="s">
        <v>37</v>
      </c>
      <c r="C53">
        <f>'[1]VENTAS CONSOLIDADA 1,0'!C53</f>
        <v>182</v>
      </c>
      <c r="D53" s="5">
        <f t="shared" ca="1" si="0"/>
        <v>26</v>
      </c>
      <c r="E53" s="5">
        <f t="shared" ca="1" si="1"/>
        <v>572</v>
      </c>
    </row>
    <row r="54" spans="1:5" x14ac:dyDescent="0.25">
      <c r="A54">
        <v>151503</v>
      </c>
      <c r="B54" t="s">
        <v>34</v>
      </c>
      <c r="C54">
        <f>'[1]VENTAS CONSOLIDADA 1,0'!C54</f>
        <v>237</v>
      </c>
      <c r="D54" s="5">
        <f t="shared" ca="1" si="0"/>
        <v>33.857142857142854</v>
      </c>
      <c r="E54" s="5">
        <f t="shared" ca="1" si="1"/>
        <v>744.85714285714278</v>
      </c>
    </row>
    <row r="55" spans="1:5" x14ac:dyDescent="0.25">
      <c r="C55">
        <f>SUM(C8:C54)</f>
        <v>183291</v>
      </c>
      <c r="D55" s="5">
        <f ca="1">SUM(D8:D54)</f>
        <v>26184.428571428576</v>
      </c>
      <c r="E55" s="5">
        <f ca="1">SUM(E8:E54)</f>
        <v>576057.42857142829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7AE93A93-CA27-4BDA-AA62-2C35967BA493}">
  <ds:schemaRefs/>
</ds:datastoreItem>
</file>

<file path=customXml/itemProps2.xml><?xml version="1.0" encoding="utf-8"?>
<ds:datastoreItem xmlns:ds="http://schemas.openxmlformats.org/officeDocument/2006/customXml" ds:itemID="{AF2AF42B-D484-4F26-B929-D7FB2E56F71D}">
  <ds:schemaRefs/>
</ds:datastoreItem>
</file>

<file path=customXml/itemProps3.xml><?xml version="1.0" encoding="utf-8"?>
<ds:datastoreItem xmlns:ds="http://schemas.openxmlformats.org/officeDocument/2006/customXml" ds:itemID="{52FA8FE5-D878-4A8D-B664-9568032292DD}">
  <ds:schemaRefs/>
</ds:datastoreItem>
</file>

<file path=customXml/itemProps4.xml><?xml version="1.0" encoding="utf-8"?>
<ds:datastoreItem xmlns:ds="http://schemas.openxmlformats.org/officeDocument/2006/customXml" ds:itemID="{CAB6C292-B853-467D-B711-6EBB7D36CC58}">
  <ds:schemaRefs/>
</ds:datastoreItem>
</file>

<file path=customXml/itemProps5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DB2ACCEB-6CC9-4D35-BDF4-AC9EF8C2F118}">
  <ds:schemaRefs/>
</ds:datastoreItem>
</file>

<file path=customXml/itemProps7.xml><?xml version="1.0" encoding="utf-8"?>
<ds:datastoreItem xmlns:ds="http://schemas.openxmlformats.org/officeDocument/2006/customXml" ds:itemID="{0AD6CB95-564A-49A8-92C3-BDDCD21D69FF}">
  <ds:schemaRefs/>
</ds:datastoreItem>
</file>

<file path=customXml/itemProps8.xml><?xml version="1.0" encoding="utf-8"?>
<ds:datastoreItem xmlns:ds="http://schemas.openxmlformats.org/officeDocument/2006/customXml" ds:itemID="{2FB7461A-5A6D-4ED3-B35C-48147355CFC0}">
  <ds:schemaRefs/>
</ds:datastoreItem>
</file>

<file path=customXml/itemProps9.xml><?xml version="1.0" encoding="utf-8"?>
<ds:datastoreItem xmlns:ds="http://schemas.openxmlformats.org/officeDocument/2006/customXml" ds:itemID="{084C0BCB-4732-44D2-A228-50E994334BF1}">
  <ds:schemaRefs/>
</ds:datastoreItem>
</file>

<file path=customXml/itemProps10.xml><?xml version="1.0" encoding="utf-8"?>
<ds:datastoreItem xmlns:ds="http://schemas.openxmlformats.org/officeDocument/2006/customXml" ds:itemID="{8E0207D3-36B0-4047-99FA-B78F3EBADFAC}">
  <ds:schemaRefs/>
</ds:datastoreItem>
</file>

<file path=customXml/itemProps11.xml><?xml version="1.0" encoding="utf-8"?>
<ds:datastoreItem xmlns:ds="http://schemas.openxmlformats.org/officeDocument/2006/customXml" ds:itemID="{F5D7323A-644E-4D3D-8486-43C2FFAD8146}">
  <ds:schemaRefs/>
</ds:datastoreItem>
</file>

<file path=customXml/itemProps12.xml><?xml version="1.0" encoding="utf-8"?>
<ds:datastoreItem xmlns:ds="http://schemas.openxmlformats.org/officeDocument/2006/customXml" ds:itemID="{65BE5737-5D13-4B92-9A1E-66AAD091BECC}">
  <ds:schemaRefs/>
</ds:datastoreItem>
</file>

<file path=customXml/itemProps13.xml><?xml version="1.0" encoding="utf-8"?>
<ds:datastoreItem xmlns:ds="http://schemas.openxmlformats.org/officeDocument/2006/customXml" ds:itemID="{DEFC51E7-3E67-4621-B139-07F56E3C51B6}">
  <ds:schemaRefs/>
</ds:datastoreItem>
</file>

<file path=customXml/itemProps14.xml><?xml version="1.0" encoding="utf-8"?>
<ds:datastoreItem xmlns:ds="http://schemas.openxmlformats.org/officeDocument/2006/customXml" ds:itemID="{1624F75C-FD6B-41DE-81B8-76266AB6E660}">
  <ds:schemaRefs/>
</ds:datastoreItem>
</file>

<file path=customXml/itemProps15.xml><?xml version="1.0" encoding="utf-8"?>
<ds:datastoreItem xmlns:ds="http://schemas.openxmlformats.org/officeDocument/2006/customXml" ds:itemID="{CC2043D8-989E-412C-8862-ACDB973E448B}">
  <ds:schemaRefs/>
</ds:datastoreItem>
</file>

<file path=customXml/itemProps16.xml><?xml version="1.0" encoding="utf-8"?>
<ds:datastoreItem xmlns:ds="http://schemas.openxmlformats.org/officeDocument/2006/customXml" ds:itemID="{B0CC2B14-7DD7-4033-8A48-822C26B12A45}">
  <ds:schemaRefs/>
</ds:datastoreItem>
</file>

<file path=customXml/itemProps17.xml><?xml version="1.0" encoding="utf-8"?>
<ds:datastoreItem xmlns:ds="http://schemas.openxmlformats.org/officeDocument/2006/customXml" ds:itemID="{CFB06E3D-1317-4F60-85DB-890000D02217}">
  <ds:schemaRefs/>
</ds:datastoreItem>
</file>

<file path=customXml/itemProps18.xml><?xml version="1.0" encoding="utf-8"?>
<ds:datastoreItem xmlns:ds="http://schemas.openxmlformats.org/officeDocument/2006/customXml" ds:itemID="{4DF253BA-E348-4CD2-AA4E-97FB2A32A7F0}">
  <ds:schemaRefs/>
</ds:datastoreItem>
</file>

<file path=customXml/itemProps19.xml><?xml version="1.0" encoding="utf-8"?>
<ds:datastoreItem xmlns:ds="http://schemas.openxmlformats.org/officeDocument/2006/customXml" ds:itemID="{38DB5A37-2218-4EAC-B67D-146D68E76E36}">
  <ds:schemaRefs/>
</ds:datastoreItem>
</file>

<file path=customXml/itemProps20.xml><?xml version="1.0" encoding="utf-8"?>
<ds:datastoreItem xmlns:ds="http://schemas.openxmlformats.org/officeDocument/2006/customXml" ds:itemID="{7845B0CC-F2DA-4435-B3A8-0B67EEA59E3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2026-09-10T11:27:31Z</dcterms:modified>
</cp:coreProperties>
</file>