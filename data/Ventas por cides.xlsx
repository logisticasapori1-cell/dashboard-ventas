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3C70D84-4ED1-4EAB-9C94-F1868492E782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1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<sst xmlns="http://schemas.openxmlformats.org/spreadsheetml/2006/main" count="320" uniqueCount="62">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</sst>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354</v>
          </cell>
        </row>
        <row r="9">
          <cell r="C9">
            <v>38</v>
          </cell>
        </row>
        <row r="10">
          <cell r="C10">
            <v>97</v>
          </cell>
        </row>
        <row r="11">
          <cell r="C11">
            <v>16</v>
          </cell>
        </row>
        <row r="12">
          <cell r="C12">
            <v>5</v>
          </cell>
        </row>
        <row r="13">
          <cell r="C13">
            <v>508</v>
          </cell>
        </row>
        <row r="14">
          <cell r="C14">
            <v>20</v>
          </cell>
        </row>
        <row r="15">
          <cell r="C15">
            <v>59</v>
          </cell>
        </row>
        <row r="16">
          <cell r="C16">
            <v>173</v>
          </cell>
        </row>
        <row r="17">
          <cell r="C17">
            <v>42</v>
          </cell>
        </row>
        <row r="18">
          <cell r="C18">
            <v>1213</v>
          </cell>
        </row>
        <row r="19">
          <cell r="C19">
            <v>704</v>
          </cell>
        </row>
        <row r="20">
          <cell r="C20">
            <v>944</v>
          </cell>
        </row>
        <row r="21">
          <cell r="C21">
            <v>681</v>
          </cell>
        </row>
        <row r="22">
          <cell r="C22">
            <v>199</v>
          </cell>
        </row>
        <row r="23">
          <cell r="C23">
            <v>265</v>
          </cell>
        </row>
        <row r="24">
          <cell r="C24">
            <v>269</v>
          </cell>
        </row>
        <row r="25">
          <cell r="C25">
            <v>22</v>
          </cell>
        </row>
        <row r="26">
          <cell r="C26">
            <v>4</v>
          </cell>
        </row>
        <row r="27">
          <cell r="C27">
            <v>67</v>
          </cell>
        </row>
        <row r="28">
          <cell r="C28">
            <v>122</v>
          </cell>
        </row>
        <row r="29">
          <cell r="C29">
            <v>0</v>
          </cell>
        </row>
        <row r="30">
          <cell r="C30">
            <v>257</v>
          </cell>
        </row>
        <row r="31">
          <cell r="C31">
            <v>713</v>
          </cell>
        </row>
        <row r="32">
          <cell r="C32">
            <v>557</v>
          </cell>
        </row>
        <row r="33">
          <cell r="C33">
            <v>174</v>
          </cell>
        </row>
        <row r="34">
          <cell r="C34">
            <v>211</v>
          </cell>
        </row>
        <row r="35">
          <cell r="C35">
            <v>266</v>
          </cell>
        </row>
        <row r="36">
          <cell r="C36">
            <v>29</v>
          </cell>
        </row>
        <row r="37">
          <cell r="C37">
            <v>62</v>
          </cell>
        </row>
        <row r="38">
          <cell r="C38">
            <v>319</v>
          </cell>
        </row>
        <row r="39">
          <cell r="C39">
            <v>218</v>
          </cell>
        </row>
        <row r="40">
          <cell r="C40">
            <v>215</v>
          </cell>
        </row>
        <row r="41">
          <cell r="C41">
            <v>96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52</v>
          </cell>
        </row>
        <row r="45">
          <cell r="C45">
            <v>389</v>
          </cell>
        </row>
        <row r="46">
          <cell r="C46">
            <v>43</v>
          </cell>
        </row>
        <row r="47">
          <cell r="C47">
            <v>57</v>
          </cell>
        </row>
        <row r="48">
          <cell r="C48">
            <v>191</v>
          </cell>
        </row>
        <row r="49">
          <cell r="C49">
            <v>55</v>
          </cell>
        </row>
        <row r="50">
          <cell r="C50">
            <v>78</v>
          </cell>
        </row>
        <row r="51">
          <cell r="C51">
            <v>4</v>
          </cell>
        </row>
        <row r="52">
          <cell r="C52">
            <v>21</v>
          </cell>
        </row>
        <row r="53">
          <cell r="C53">
            <v>0</v>
          </cell>
        </row>
        <row r="54">
          <cell r="C54">
            <v>11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469</v>
          </cell>
        </row>
        <row r="9">
          <cell r="C9">
            <v>15</v>
          </cell>
        </row>
        <row r="10">
          <cell r="C10">
            <v>108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1500</v>
          </cell>
        </row>
        <row r="14">
          <cell r="C14">
            <v>126</v>
          </cell>
        </row>
        <row r="15">
          <cell r="C15">
            <v>83</v>
          </cell>
        </row>
        <row r="16">
          <cell r="C16">
            <v>663</v>
          </cell>
        </row>
        <row r="17">
          <cell r="C17">
            <v>203</v>
          </cell>
        </row>
        <row r="18">
          <cell r="C18">
            <v>5261</v>
          </cell>
        </row>
        <row r="19">
          <cell r="C19">
            <v>2897</v>
          </cell>
        </row>
        <row r="20">
          <cell r="C20">
            <v>2825</v>
          </cell>
        </row>
        <row r="21">
          <cell r="C21">
            <v>3464</v>
          </cell>
        </row>
        <row r="22">
          <cell r="C22">
            <v>1232</v>
          </cell>
        </row>
        <row r="23">
          <cell r="C23">
            <v>1382</v>
          </cell>
        </row>
        <row r="24">
          <cell r="C24">
            <v>1302</v>
          </cell>
        </row>
        <row r="25">
          <cell r="C25">
            <v>265</v>
          </cell>
        </row>
        <row r="26">
          <cell r="C26">
            <v>84</v>
          </cell>
        </row>
        <row r="27">
          <cell r="C27">
            <v>768</v>
          </cell>
        </row>
        <row r="28">
          <cell r="C28">
            <v>902</v>
          </cell>
        </row>
        <row r="29">
          <cell r="C29">
            <v>30</v>
          </cell>
        </row>
        <row r="30">
          <cell r="C30">
            <v>362</v>
          </cell>
        </row>
        <row r="31">
          <cell r="C31">
            <v>1020</v>
          </cell>
        </row>
        <row r="32">
          <cell r="C32">
            <v>496</v>
          </cell>
        </row>
        <row r="33">
          <cell r="C33">
            <v>326</v>
          </cell>
        </row>
        <row r="34">
          <cell r="C34">
            <v>418</v>
          </cell>
        </row>
        <row r="35">
          <cell r="C35">
            <v>477</v>
          </cell>
        </row>
        <row r="36">
          <cell r="C36">
            <v>82</v>
          </cell>
        </row>
        <row r="37">
          <cell r="C37">
            <v>138</v>
          </cell>
        </row>
        <row r="38">
          <cell r="C38">
            <v>1114</v>
          </cell>
        </row>
        <row r="39">
          <cell r="C39">
            <v>583</v>
          </cell>
        </row>
        <row r="40">
          <cell r="C40">
            <v>913</v>
          </cell>
        </row>
        <row r="41">
          <cell r="C41">
            <v>373</v>
          </cell>
        </row>
        <row r="42">
          <cell r="C42">
            <v>11</v>
          </cell>
        </row>
        <row r="43">
          <cell r="C43">
            <v>0</v>
          </cell>
        </row>
        <row r="44">
          <cell r="C44">
            <v>144</v>
          </cell>
        </row>
        <row r="45">
          <cell r="C45">
            <v>92</v>
          </cell>
        </row>
        <row r="46">
          <cell r="C46">
            <v>355</v>
          </cell>
        </row>
        <row r="47">
          <cell r="C47">
            <v>102</v>
          </cell>
        </row>
        <row r="48">
          <cell r="C48">
            <v>168</v>
          </cell>
        </row>
        <row r="49">
          <cell r="C49">
            <v>136</v>
          </cell>
        </row>
        <row r="50">
          <cell r="C50">
            <v>193</v>
          </cell>
        </row>
        <row r="51">
          <cell r="C51">
            <v>51</v>
          </cell>
        </row>
        <row r="52">
          <cell r="C52">
            <v>143</v>
          </cell>
        </row>
        <row r="53">
          <cell r="C53">
            <v>33</v>
          </cell>
        </row>
        <row r="54">
          <cell r="C54">
            <v>27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6528</v>
          </cell>
        </row>
        <row r="9">
          <cell r="C9">
            <v>384</v>
          </cell>
        </row>
        <row r="10">
          <cell r="C10">
            <v>2921</v>
          </cell>
        </row>
        <row r="11">
          <cell r="C11">
            <v>578</v>
          </cell>
        </row>
        <row r="12">
          <cell r="C12">
            <v>86</v>
          </cell>
        </row>
        <row r="13">
          <cell r="C13">
            <v>6645</v>
          </cell>
        </row>
        <row r="14">
          <cell r="C14">
            <v>486</v>
          </cell>
        </row>
        <row r="15">
          <cell r="C15">
            <v>1143</v>
          </cell>
        </row>
        <row r="16">
          <cell r="C16">
            <v>2604</v>
          </cell>
        </row>
        <row r="17">
          <cell r="C17">
            <v>1331</v>
          </cell>
        </row>
        <row r="18">
          <cell r="C18">
            <v>13903</v>
          </cell>
        </row>
        <row r="19">
          <cell r="C19">
            <v>8681</v>
          </cell>
        </row>
        <row r="20">
          <cell r="C20">
            <v>9071</v>
          </cell>
        </row>
        <row r="21">
          <cell r="C21">
            <v>11665</v>
          </cell>
        </row>
        <row r="22">
          <cell r="C22">
            <v>2892</v>
          </cell>
        </row>
        <row r="23">
          <cell r="C23">
            <v>2873</v>
          </cell>
        </row>
        <row r="24">
          <cell r="C24">
            <v>3027</v>
          </cell>
        </row>
        <row r="25">
          <cell r="C25">
            <v>827</v>
          </cell>
        </row>
        <row r="26">
          <cell r="C26">
            <v>372</v>
          </cell>
        </row>
        <row r="27">
          <cell r="C27">
            <v>1963</v>
          </cell>
        </row>
        <row r="28">
          <cell r="C28">
            <v>3643</v>
          </cell>
        </row>
        <row r="29">
          <cell r="C29">
            <v>590</v>
          </cell>
        </row>
        <row r="30">
          <cell r="C30">
            <v>3582</v>
          </cell>
        </row>
        <row r="31">
          <cell r="C31">
            <v>4599</v>
          </cell>
        </row>
        <row r="32">
          <cell r="C32">
            <v>2209</v>
          </cell>
        </row>
        <row r="33">
          <cell r="C33">
            <v>1553</v>
          </cell>
        </row>
        <row r="34">
          <cell r="C34">
            <v>686</v>
          </cell>
        </row>
        <row r="35">
          <cell r="C35">
            <v>867</v>
          </cell>
        </row>
        <row r="36">
          <cell r="C36">
            <v>595</v>
          </cell>
        </row>
        <row r="37">
          <cell r="C37">
            <v>562</v>
          </cell>
        </row>
        <row r="38">
          <cell r="C38">
            <v>2738</v>
          </cell>
        </row>
        <row r="39">
          <cell r="C39">
            <v>2392</v>
          </cell>
        </row>
        <row r="40">
          <cell r="C40">
            <v>3161</v>
          </cell>
        </row>
        <row r="41">
          <cell r="C41">
            <v>2208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374</v>
          </cell>
        </row>
        <row r="45">
          <cell r="C45">
            <v>2399</v>
          </cell>
        </row>
        <row r="46">
          <cell r="C46">
            <v>1768</v>
          </cell>
        </row>
        <row r="47">
          <cell r="C47">
            <v>1287</v>
          </cell>
        </row>
        <row r="48">
          <cell r="C48">
            <v>2738</v>
          </cell>
        </row>
        <row r="49">
          <cell r="C49">
            <v>1922</v>
          </cell>
        </row>
        <row r="50">
          <cell r="C50">
            <v>968</v>
          </cell>
        </row>
        <row r="51">
          <cell r="C51">
            <v>147</v>
          </cell>
        </row>
        <row r="52">
          <cell r="C52">
            <v>515</v>
          </cell>
        </row>
        <row r="53">
          <cell r="C53">
            <v>310</v>
          </cell>
        </row>
        <row r="54">
          <cell r="C54">
            <v>436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2212</v>
          </cell>
        </row>
        <row r="9">
          <cell r="C9">
            <v>245</v>
          </cell>
        </row>
        <row r="10">
          <cell r="C10">
            <v>539</v>
          </cell>
        </row>
        <row r="11">
          <cell r="C11">
            <v>241</v>
          </cell>
        </row>
        <row r="12">
          <cell r="C12">
            <v>16</v>
          </cell>
        </row>
        <row r="13">
          <cell r="C13">
            <v>2910</v>
          </cell>
        </row>
        <row r="14">
          <cell r="C14">
            <v>433</v>
          </cell>
        </row>
        <row r="15">
          <cell r="C15">
            <v>1016</v>
          </cell>
        </row>
        <row r="16">
          <cell r="C16">
            <v>2404</v>
          </cell>
        </row>
        <row r="17">
          <cell r="C17">
            <v>1168</v>
          </cell>
        </row>
        <row r="18">
          <cell r="C18">
            <v>8139</v>
          </cell>
        </row>
        <row r="19">
          <cell r="C19">
            <v>5219</v>
          </cell>
        </row>
        <row r="20">
          <cell r="C20">
            <v>5676</v>
          </cell>
        </row>
        <row r="21">
          <cell r="C21">
            <v>6196</v>
          </cell>
        </row>
        <row r="22">
          <cell r="C22">
            <v>1650</v>
          </cell>
        </row>
        <row r="23">
          <cell r="C23">
            <v>2579</v>
          </cell>
        </row>
        <row r="24">
          <cell r="C24">
            <v>2387</v>
          </cell>
        </row>
        <row r="25">
          <cell r="C25">
            <v>1017</v>
          </cell>
        </row>
        <row r="26">
          <cell r="C26">
            <v>570</v>
          </cell>
        </row>
        <row r="27">
          <cell r="C27">
            <v>1604</v>
          </cell>
        </row>
        <row r="28">
          <cell r="C28">
            <v>2396</v>
          </cell>
        </row>
        <row r="29">
          <cell r="C29">
            <v>0</v>
          </cell>
        </row>
        <row r="30">
          <cell r="C30">
            <v>1464</v>
          </cell>
        </row>
        <row r="31">
          <cell r="C31">
            <v>1940</v>
          </cell>
        </row>
        <row r="32">
          <cell r="C32">
            <v>1045</v>
          </cell>
        </row>
        <row r="33">
          <cell r="C33">
            <v>734</v>
          </cell>
        </row>
        <row r="34">
          <cell r="C34">
            <v>499</v>
          </cell>
        </row>
        <row r="35">
          <cell r="C35">
            <v>551</v>
          </cell>
        </row>
        <row r="36">
          <cell r="C36">
            <v>323</v>
          </cell>
        </row>
        <row r="37">
          <cell r="C37">
            <v>303</v>
          </cell>
        </row>
        <row r="38">
          <cell r="C38">
            <v>2088</v>
          </cell>
        </row>
        <row r="39">
          <cell r="C39">
            <v>1581</v>
          </cell>
        </row>
        <row r="40">
          <cell r="C40">
            <v>2194</v>
          </cell>
        </row>
        <row r="41">
          <cell r="C41">
            <v>1283</v>
          </cell>
        </row>
        <row r="42">
          <cell r="C42">
            <v>35</v>
          </cell>
        </row>
        <row r="43">
          <cell r="C43">
            <v>6</v>
          </cell>
        </row>
        <row r="44">
          <cell r="C44">
            <v>646</v>
          </cell>
        </row>
        <row r="45">
          <cell r="C45">
            <v>1522</v>
          </cell>
        </row>
        <row r="46">
          <cell r="C46">
            <v>1490</v>
          </cell>
        </row>
        <row r="47">
          <cell r="C47">
            <v>53</v>
          </cell>
        </row>
        <row r="48">
          <cell r="C48">
            <v>911</v>
          </cell>
        </row>
        <row r="49">
          <cell r="C49">
            <v>439</v>
          </cell>
        </row>
        <row r="50">
          <cell r="C50">
            <v>586</v>
          </cell>
        </row>
        <row r="51">
          <cell r="C51">
            <v>86</v>
          </cell>
        </row>
        <row r="52">
          <cell r="C52">
            <v>226</v>
          </cell>
        </row>
        <row r="53">
          <cell r="C53">
            <v>42</v>
          </cell>
        </row>
        <row r="54">
          <cell r="C54">
            <v>95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225</v>
          </cell>
        </row>
        <row r="9">
          <cell r="C9">
            <v>14</v>
          </cell>
        </row>
        <row r="10">
          <cell r="C10">
            <v>47</v>
          </cell>
        </row>
        <row r="11">
          <cell r="C11">
            <v>13</v>
          </cell>
        </row>
        <row r="12">
          <cell r="C12">
            <v>6</v>
          </cell>
        </row>
        <row r="13">
          <cell r="C13">
            <v>98</v>
          </cell>
        </row>
        <row r="14">
          <cell r="C14">
            <v>102</v>
          </cell>
        </row>
        <row r="15">
          <cell r="C15">
            <v>106</v>
          </cell>
        </row>
        <row r="16">
          <cell r="C16">
            <v>179</v>
          </cell>
        </row>
        <row r="17">
          <cell r="C17">
            <v>17</v>
          </cell>
        </row>
        <row r="18">
          <cell r="C18">
            <v>536</v>
          </cell>
        </row>
        <row r="19">
          <cell r="C19">
            <v>343</v>
          </cell>
        </row>
        <row r="20">
          <cell r="C20">
            <v>240</v>
          </cell>
        </row>
        <row r="21">
          <cell r="C21">
            <v>388</v>
          </cell>
        </row>
        <row r="22">
          <cell r="C22">
            <v>106</v>
          </cell>
        </row>
        <row r="23">
          <cell r="C23">
            <v>150</v>
          </cell>
        </row>
        <row r="24">
          <cell r="C24">
            <v>176</v>
          </cell>
        </row>
        <row r="25">
          <cell r="C25">
            <v>40</v>
          </cell>
        </row>
        <row r="26">
          <cell r="C26">
            <v>12</v>
          </cell>
        </row>
        <row r="27">
          <cell r="C27">
            <v>41</v>
          </cell>
        </row>
        <row r="28">
          <cell r="C28">
            <v>112</v>
          </cell>
        </row>
        <row r="29">
          <cell r="C29">
            <v>0</v>
          </cell>
        </row>
        <row r="30">
          <cell r="C30">
            <v>87</v>
          </cell>
        </row>
        <row r="31">
          <cell r="C31">
            <v>214</v>
          </cell>
        </row>
        <row r="32">
          <cell r="C32">
            <v>141</v>
          </cell>
        </row>
        <row r="33">
          <cell r="C33">
            <v>254</v>
          </cell>
        </row>
        <row r="34">
          <cell r="C34">
            <v>38</v>
          </cell>
        </row>
        <row r="35">
          <cell r="C35">
            <v>43</v>
          </cell>
        </row>
        <row r="36">
          <cell r="C36">
            <v>40</v>
          </cell>
        </row>
        <row r="37">
          <cell r="C37">
            <v>45</v>
          </cell>
        </row>
        <row r="38">
          <cell r="C38">
            <v>259</v>
          </cell>
        </row>
        <row r="39">
          <cell r="C39">
            <v>226</v>
          </cell>
        </row>
        <row r="40">
          <cell r="C40">
            <v>251</v>
          </cell>
        </row>
        <row r="41">
          <cell r="C41">
            <v>182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42</v>
          </cell>
        </row>
        <row r="45">
          <cell r="C45">
            <v>110</v>
          </cell>
        </row>
        <row r="46">
          <cell r="C46">
            <v>37</v>
          </cell>
        </row>
        <row r="47">
          <cell r="C47">
            <v>23</v>
          </cell>
        </row>
        <row r="48">
          <cell r="C48">
            <v>66</v>
          </cell>
        </row>
        <row r="49">
          <cell r="C49">
            <v>80</v>
          </cell>
        </row>
        <row r="50">
          <cell r="C50">
            <v>83</v>
          </cell>
        </row>
        <row r="51">
          <cell r="C51">
            <v>18</v>
          </cell>
        </row>
        <row r="52">
          <cell r="C52">
            <v>24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46279</v>
          </cell>
          <cell r="E2">
            <v>9</v>
          </cell>
        </row>
        <row r="3">
          <cell r="C3" t="str">
            <v>FINAL VENTAS</v>
          </cell>
          <cell r="D3">
            <v>46295</v>
          </cell>
          <cell r="E3">
            <v>13</v>
          </cell>
        </row>
        <row r="8">
          <cell r="C8">
            <v>10060</v>
          </cell>
        </row>
        <row r="9">
          <cell r="C9">
            <v>699</v>
          </cell>
        </row>
        <row r="10">
          <cell r="C10">
            <v>3800</v>
          </cell>
        </row>
        <row r="11">
          <cell r="C11">
            <v>875</v>
          </cell>
        </row>
        <row r="12">
          <cell r="C12">
            <v>119</v>
          </cell>
        </row>
        <row r="13">
          <cell r="C13">
            <v>11835</v>
          </cell>
        </row>
        <row r="14">
          <cell r="C14">
            <v>1188</v>
          </cell>
        </row>
        <row r="15">
          <cell r="C15">
            <v>2450</v>
          </cell>
        </row>
        <row r="16">
          <cell r="C16">
            <v>6188</v>
          </cell>
        </row>
        <row r="17">
          <cell r="C17">
            <v>2885</v>
          </cell>
        </row>
        <row r="18">
          <cell r="C18">
            <v>29472</v>
          </cell>
        </row>
        <row r="19">
          <cell r="C19">
            <v>18119</v>
          </cell>
        </row>
        <row r="20">
          <cell r="C20">
            <v>19042</v>
          </cell>
        </row>
        <row r="21">
          <cell r="C21">
            <v>22752</v>
          </cell>
        </row>
        <row r="22">
          <cell r="C22">
            <v>6107</v>
          </cell>
        </row>
        <row r="23">
          <cell r="C23">
            <v>7290</v>
          </cell>
        </row>
        <row r="24">
          <cell r="C24">
            <v>7201</v>
          </cell>
        </row>
        <row r="25">
          <cell r="C25">
            <v>2275</v>
          </cell>
        </row>
        <row r="26">
          <cell r="C26">
            <v>1072</v>
          </cell>
        </row>
        <row r="27">
          <cell r="C27">
            <v>4508</v>
          </cell>
        </row>
        <row r="28">
          <cell r="C28">
            <v>7394</v>
          </cell>
        </row>
        <row r="29">
          <cell r="C29">
            <v>620</v>
          </cell>
        </row>
        <row r="30">
          <cell r="C30">
            <v>5936</v>
          </cell>
        </row>
        <row r="31">
          <cell r="C31">
            <v>8619</v>
          </cell>
        </row>
        <row r="32">
          <cell r="C32">
            <v>4587</v>
          </cell>
        </row>
        <row r="33">
          <cell r="C33">
            <v>3399</v>
          </cell>
        </row>
        <row r="34">
          <cell r="C34">
            <v>1919</v>
          </cell>
        </row>
        <row r="35">
          <cell r="C35">
            <v>2232</v>
          </cell>
        </row>
        <row r="36">
          <cell r="C36">
            <v>1112</v>
          </cell>
        </row>
        <row r="37">
          <cell r="C37">
            <v>1148</v>
          </cell>
        </row>
        <row r="38">
          <cell r="C38">
            <v>6731</v>
          </cell>
        </row>
        <row r="39">
          <cell r="C39">
            <v>5173</v>
          </cell>
        </row>
        <row r="40">
          <cell r="C40">
            <v>6824</v>
          </cell>
        </row>
        <row r="41">
          <cell r="C41">
            <v>4256</v>
          </cell>
        </row>
        <row r="42">
          <cell r="C42">
            <v>46</v>
          </cell>
        </row>
        <row r="43">
          <cell r="C43">
            <v>6</v>
          </cell>
        </row>
        <row r="44">
          <cell r="C44">
            <v>1295</v>
          </cell>
        </row>
        <row r="45">
          <cell r="C45">
            <v>4583</v>
          </cell>
        </row>
        <row r="46">
          <cell r="C46">
            <v>3741</v>
          </cell>
        </row>
        <row r="47">
          <cell r="C47">
            <v>1599</v>
          </cell>
        </row>
        <row r="48">
          <cell r="C48">
            <v>4152</v>
          </cell>
        </row>
        <row r="49">
          <cell r="C49">
            <v>2662</v>
          </cell>
        </row>
        <row r="50">
          <cell r="C50">
            <v>1894</v>
          </cell>
        </row>
        <row r="51">
          <cell r="C51">
            <v>284</v>
          </cell>
        </row>
        <row r="52">
          <cell r="C52">
            <v>973</v>
          </cell>
        </row>
        <row r="53">
          <cell r="C53">
            <v>410</v>
          </cell>
        </row>
        <row r="54">
          <cell r="C54">
            <v>585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46279</v>
      </c>
      <c r="E2" s="4">
        <f ca="1">'[1]VENTAS CONSOLIDADA ZULIA'!E2</f>
        <v>9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225</v>
      </c>
      <c r="D8" s="5">
        <f t="shared" ref="D8:D54" ca="1" si="0">C8/$E$2</f>
        <v>25</v>
      </c>
      <c r="E8" s="5">
        <f ca="1">D8*($E$2+$E$3)</f>
        <v>550</v>
      </c>
    </row>
    <row r="9" spans="1:5" x14ac:dyDescent="0.25">
      <c r="A9">
        <v>110151</v>
      </c>
      <c r="B9" t="s">
        <v>5</v>
      </c>
      <c r="C9">
        <f>'[1]VENTAS CONSOLIDADA ZULIA'!C9</f>
        <v>14</v>
      </c>
      <c r="D9" s="5">
        <f t="shared" ca="1" si="0"/>
        <v>1.5555555555555556</v>
      </c>
      <c r="E9" s="5">
        <f t="shared" ref="E9:E54" ca="1" si="1">D9*($E$2+$E$3)</f>
        <v>34.222222222222221</v>
      </c>
    </row>
    <row r="10" spans="1:5" x14ac:dyDescent="0.25">
      <c r="A10">
        <v>110230</v>
      </c>
      <c r="B10" t="s">
        <v>1</v>
      </c>
      <c r="C10">
        <f>'[1]VENTAS CONSOLIDADA ZULIA'!C10</f>
        <v>47</v>
      </c>
      <c r="D10" s="5">
        <f t="shared" ca="1" si="0"/>
        <v>5.2222222222222223</v>
      </c>
      <c r="E10" s="5">
        <f t="shared" ca="1" si="1"/>
        <v>114.88888888888889</v>
      </c>
    </row>
    <row r="11" spans="1:5" x14ac:dyDescent="0.25">
      <c r="A11">
        <v>110400</v>
      </c>
      <c r="B11" t="s">
        <v>13</v>
      </c>
      <c r="C11">
        <f>'[1]VENTAS CONSOLIDADA ZULIA'!C11</f>
        <v>13</v>
      </c>
      <c r="D11" s="5">
        <f t="shared" ca="1" si="0"/>
        <v>1.4444444444444444</v>
      </c>
      <c r="E11" s="5">
        <f t="shared" ca="1" si="1"/>
        <v>31.777777777777779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0.66666666666666663</v>
      </c>
      <c r="E12" s="5">
        <f t="shared" ca="1" si="1"/>
        <v>14.666666666666666</v>
      </c>
    </row>
    <row r="13" spans="1:5" x14ac:dyDescent="0.25">
      <c r="A13">
        <v>120130</v>
      </c>
      <c r="B13" t="s">
        <v>15</v>
      </c>
      <c r="C13">
        <f>'[1]VENTAS CONSOLIDADA ZULIA'!C13</f>
        <v>98</v>
      </c>
      <c r="D13" s="5">
        <f t="shared" ca="1" si="0"/>
        <v>10.888888888888889</v>
      </c>
      <c r="E13" s="5">
        <f t="shared" ca="1" si="1"/>
        <v>239.55555555555557</v>
      </c>
    </row>
    <row r="14" spans="1:5" x14ac:dyDescent="0.25">
      <c r="A14">
        <v>120131</v>
      </c>
      <c r="B14" t="s">
        <v>23</v>
      </c>
      <c r="C14">
        <f>'[1]VENTAS CONSOLIDADA ZULIA'!C14</f>
        <v>102</v>
      </c>
      <c r="D14" s="5">
        <f t="shared" ca="1" si="0"/>
        <v>11.333333333333334</v>
      </c>
      <c r="E14" s="5">
        <f t="shared" ca="1" si="1"/>
        <v>249.33333333333334</v>
      </c>
    </row>
    <row r="15" spans="1:5" x14ac:dyDescent="0.25">
      <c r="A15">
        <v>120132</v>
      </c>
      <c r="B15" t="s">
        <v>21</v>
      </c>
      <c r="C15">
        <f>'[1]VENTAS CONSOLIDADA ZULIA'!C15</f>
        <v>106</v>
      </c>
      <c r="D15" s="5">
        <f t="shared" ca="1" si="0"/>
        <v>11.777777777777779</v>
      </c>
      <c r="E15" s="5">
        <f t="shared" ca="1" si="1"/>
        <v>259.11111111111114</v>
      </c>
    </row>
    <row r="16" spans="1:5" x14ac:dyDescent="0.25">
      <c r="A16">
        <v>130150</v>
      </c>
      <c r="B16" t="s">
        <v>0</v>
      </c>
      <c r="C16">
        <f>'[1]VENTAS CONSOLIDADA ZULIA'!C16</f>
        <v>179</v>
      </c>
      <c r="D16" s="5">
        <f t="shared" ca="1" si="0"/>
        <v>19.888888888888889</v>
      </c>
      <c r="E16" s="5">
        <f t="shared" ca="1" si="1"/>
        <v>437.55555555555554</v>
      </c>
    </row>
    <row r="17" spans="1:5" x14ac:dyDescent="0.25">
      <c r="A17">
        <v>130151</v>
      </c>
      <c r="B17" t="s">
        <v>4</v>
      </c>
      <c r="C17">
        <f>'[1]VENTAS CONSOLIDADA ZULIA'!C17</f>
        <v>17</v>
      </c>
      <c r="D17" s="5">
        <f t="shared" ca="1" si="0"/>
        <v>1.8888888888888888</v>
      </c>
      <c r="E17" s="5">
        <f t="shared" ca="1" si="1"/>
        <v>41.555555555555557</v>
      </c>
    </row>
    <row r="18" spans="1:5" x14ac:dyDescent="0.25">
      <c r="A18">
        <v>130152</v>
      </c>
      <c r="B18" t="s">
        <v>51</v>
      </c>
      <c r="C18">
        <f>'[1]VENTAS CONSOLIDADA ZULIA'!C18</f>
        <v>536</v>
      </c>
      <c r="D18" s="5">
        <f t="shared" ca="1" si="0"/>
        <v>59.555555555555557</v>
      </c>
      <c r="E18" s="5">
        <f t="shared" ca="1" si="1"/>
        <v>1310.2222222222222</v>
      </c>
    </row>
    <row r="19" spans="1:5" x14ac:dyDescent="0.25">
      <c r="A19">
        <v>130153</v>
      </c>
      <c r="B19" t="s">
        <v>52</v>
      </c>
      <c r="C19">
        <f>'[1]VENTAS CONSOLIDADA ZULIA'!C19</f>
        <v>343</v>
      </c>
      <c r="D19" s="5">
        <f t="shared" ca="1" si="0"/>
        <v>38.111111111111114</v>
      </c>
      <c r="E19" s="5">
        <f t="shared" ca="1" si="1"/>
        <v>838.44444444444457</v>
      </c>
    </row>
    <row r="20" spans="1:5" x14ac:dyDescent="0.25">
      <c r="A20">
        <v>130154</v>
      </c>
      <c r="B20" t="s">
        <v>53</v>
      </c>
      <c r="C20">
        <f>'[1]VENTAS CONSOLIDADA ZULIA'!C20</f>
        <v>240</v>
      </c>
      <c r="D20" s="5">
        <f t="shared" ca="1" si="0"/>
        <v>26.666666666666668</v>
      </c>
      <c r="E20" s="5">
        <f t="shared" ca="1" si="1"/>
        <v>586.66666666666674</v>
      </c>
    </row>
    <row r="21" spans="1:5" x14ac:dyDescent="0.25">
      <c r="A21">
        <v>130155</v>
      </c>
      <c r="B21" t="s">
        <v>16</v>
      </c>
      <c r="C21">
        <f>'[1]VENTAS CONSOLIDADA ZULIA'!C21</f>
        <v>388</v>
      </c>
      <c r="D21" s="5">
        <f t="shared" ca="1" si="0"/>
        <v>43.111111111111114</v>
      </c>
      <c r="E21" s="5">
        <f t="shared" ca="1" si="1"/>
        <v>948.44444444444457</v>
      </c>
    </row>
    <row r="22" spans="1:5" x14ac:dyDescent="0.25">
      <c r="A22">
        <v>130157</v>
      </c>
      <c r="B22" t="s">
        <v>43</v>
      </c>
      <c r="C22">
        <f>'[1]VENTAS CONSOLIDADA ZULIA'!C22</f>
        <v>106</v>
      </c>
      <c r="D22" s="5">
        <f t="shared" ca="1" si="0"/>
        <v>11.777777777777779</v>
      </c>
      <c r="E22" s="5">
        <f t="shared" ca="1" si="1"/>
        <v>259.11111111111114</v>
      </c>
    </row>
    <row r="23" spans="1:5" x14ac:dyDescent="0.25">
      <c r="A23">
        <v>130158</v>
      </c>
      <c r="B23" t="s">
        <v>44</v>
      </c>
      <c r="C23">
        <f>'[1]VENTAS CONSOLIDADA ZULIA'!C23</f>
        <v>150</v>
      </c>
      <c r="D23" s="5">
        <f t="shared" ca="1" si="0"/>
        <v>16.666666666666668</v>
      </c>
      <c r="E23" s="5">
        <f t="shared" ca="1" si="1"/>
        <v>366.66666666666669</v>
      </c>
    </row>
    <row r="24" spans="1:5" x14ac:dyDescent="0.25">
      <c r="A24">
        <v>130159</v>
      </c>
      <c r="B24" t="s">
        <v>45</v>
      </c>
      <c r="C24">
        <f>'[1]VENTAS CONSOLIDADA ZULIA'!C24</f>
        <v>176</v>
      </c>
      <c r="D24" s="5">
        <f t="shared" ca="1" si="0"/>
        <v>19.555555555555557</v>
      </c>
      <c r="E24" s="5">
        <f t="shared" ca="1" si="1"/>
        <v>430.22222222222229</v>
      </c>
    </row>
    <row r="25" spans="1:5" x14ac:dyDescent="0.25">
      <c r="A25">
        <v>130700</v>
      </c>
      <c r="B25" t="s">
        <v>3</v>
      </c>
      <c r="C25">
        <f>'[1]VENTAS CONSOLIDADA ZULIA'!C25</f>
        <v>40</v>
      </c>
      <c r="D25" s="5">
        <f t="shared" ca="1" si="0"/>
        <v>4.4444444444444446</v>
      </c>
      <c r="E25" s="5">
        <f t="shared" ca="1" si="1"/>
        <v>97.777777777777786</v>
      </c>
    </row>
    <row r="26" spans="1:5" x14ac:dyDescent="0.25">
      <c r="A26">
        <v>130701</v>
      </c>
      <c r="B26" t="s">
        <v>30</v>
      </c>
      <c r="C26">
        <f>'[1]VENTAS CONSOLIDADA ZULIA'!C26</f>
        <v>12</v>
      </c>
      <c r="D26" s="5">
        <f t="shared" ca="1" si="0"/>
        <v>1.3333333333333333</v>
      </c>
      <c r="E26" s="5">
        <f t="shared" ca="1" si="1"/>
        <v>29.333333333333332</v>
      </c>
    </row>
    <row r="27" spans="1:5" x14ac:dyDescent="0.25">
      <c r="A27">
        <v>130702</v>
      </c>
      <c r="B27" t="s">
        <v>12</v>
      </c>
      <c r="C27">
        <f>'[1]VENTAS CONSOLIDADA ZULIA'!C27</f>
        <v>41</v>
      </c>
      <c r="D27" s="5">
        <f t="shared" ca="1" si="0"/>
        <v>4.5555555555555554</v>
      </c>
      <c r="E27" s="5">
        <f t="shared" ca="1" si="1"/>
        <v>100.22222222222221</v>
      </c>
    </row>
    <row r="28" spans="1:5" x14ac:dyDescent="0.25">
      <c r="A28">
        <v>130703</v>
      </c>
      <c r="B28" t="s">
        <v>17</v>
      </c>
      <c r="C28">
        <f>'[1]VENTAS CONSOLIDADA ZULIA'!C28</f>
        <v>112</v>
      </c>
      <c r="D28" s="5">
        <f t="shared" ca="1" si="0"/>
        <v>12.444444444444445</v>
      </c>
      <c r="E28" s="5">
        <f t="shared" ca="1" si="1"/>
        <v>273.77777777777777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87</v>
      </c>
      <c r="D30" s="5">
        <f t="shared" ca="1" si="0"/>
        <v>9.6666666666666661</v>
      </c>
      <c r="E30" s="5">
        <f t="shared" ca="1" si="1"/>
        <v>212.66666666666666</v>
      </c>
    </row>
    <row r="31" spans="1:5" x14ac:dyDescent="0.25">
      <c r="A31">
        <v>131151</v>
      </c>
      <c r="B31" t="s">
        <v>19</v>
      </c>
      <c r="C31">
        <f>'[1]VENTAS CONSOLIDADA ZULIA'!C31</f>
        <v>214</v>
      </c>
      <c r="D31" s="5">
        <f t="shared" ca="1" si="0"/>
        <v>23.777777777777779</v>
      </c>
      <c r="E31" s="5">
        <f t="shared" ca="1" si="1"/>
        <v>523.11111111111109</v>
      </c>
    </row>
    <row r="32" spans="1:5" x14ac:dyDescent="0.25">
      <c r="A32">
        <v>131152</v>
      </c>
      <c r="B32" t="s">
        <v>32</v>
      </c>
      <c r="C32">
        <f>'[1]VENTAS CONSOLIDADA ZULIA'!C32</f>
        <v>141</v>
      </c>
      <c r="D32" s="5">
        <f t="shared" ca="1" si="0"/>
        <v>15.666666666666666</v>
      </c>
      <c r="E32" s="5">
        <f t="shared" ca="1" si="1"/>
        <v>344.66666666666663</v>
      </c>
    </row>
    <row r="33" spans="1:5" x14ac:dyDescent="0.25">
      <c r="A33">
        <v>131153</v>
      </c>
      <c r="B33" t="s">
        <v>11</v>
      </c>
      <c r="C33">
        <f>'[1]VENTAS CONSOLIDADA ZULIA'!C33</f>
        <v>254</v>
      </c>
      <c r="D33" s="5">
        <f t="shared" ca="1" si="0"/>
        <v>28.222222222222221</v>
      </c>
      <c r="E33" s="5">
        <f t="shared" ca="1" si="1"/>
        <v>620.88888888888891</v>
      </c>
    </row>
    <row r="34" spans="1:5" x14ac:dyDescent="0.25">
      <c r="A34">
        <v>131154</v>
      </c>
      <c r="B34" t="s">
        <v>48</v>
      </c>
      <c r="C34">
        <f>'[1]VENTAS CONSOLIDADA ZULIA'!C34</f>
        <v>38</v>
      </c>
      <c r="D34" s="5">
        <f t="shared" ca="1" si="0"/>
        <v>4.2222222222222223</v>
      </c>
      <c r="E34" s="5">
        <f t="shared" ca="1" si="1"/>
        <v>92.888888888888886</v>
      </c>
    </row>
    <row r="35" spans="1:5" x14ac:dyDescent="0.25">
      <c r="A35">
        <v>131155</v>
      </c>
      <c r="B35" t="s">
        <v>57</v>
      </c>
      <c r="C35">
        <f>'[1]VENTAS CONSOLIDADA ZULIA'!C35</f>
        <v>43</v>
      </c>
      <c r="D35" s="5">
        <f t="shared" ca="1" si="0"/>
        <v>4.7777777777777777</v>
      </c>
      <c r="E35" s="5">
        <f t="shared" ca="1" si="1"/>
        <v>105.11111111111111</v>
      </c>
    </row>
    <row r="36" spans="1:5" x14ac:dyDescent="0.25">
      <c r="A36">
        <v>131700</v>
      </c>
      <c r="B36" t="s">
        <v>20</v>
      </c>
      <c r="C36">
        <f>'[1]VENTAS CONSOLIDADA ZULIA'!C36</f>
        <v>40</v>
      </c>
      <c r="D36" s="5">
        <f t="shared" ca="1" si="0"/>
        <v>4.4444444444444446</v>
      </c>
      <c r="E36" s="5">
        <f t="shared" ca="1" si="1"/>
        <v>97.777777777777786</v>
      </c>
    </row>
    <row r="37" spans="1:5" x14ac:dyDescent="0.25">
      <c r="A37">
        <v>131701</v>
      </c>
      <c r="B37" t="s">
        <v>24</v>
      </c>
      <c r="C37">
        <f>'[1]VENTAS CONSOLIDADA ZULIA'!C37</f>
        <v>45</v>
      </c>
      <c r="D37" s="5">
        <f t="shared" ca="1" si="0"/>
        <v>5</v>
      </c>
      <c r="E37" s="5">
        <f t="shared" ca="1" si="1"/>
        <v>110</v>
      </c>
    </row>
    <row r="38" spans="1:5" x14ac:dyDescent="0.25">
      <c r="A38">
        <v>132150</v>
      </c>
      <c r="B38" t="s">
        <v>25</v>
      </c>
      <c r="C38">
        <f>'[1]VENTAS CONSOLIDADA ZULIA'!C38</f>
        <v>259</v>
      </c>
      <c r="D38" s="5">
        <f t="shared" ca="1" si="0"/>
        <v>28.777777777777779</v>
      </c>
      <c r="E38" s="5">
        <f t="shared" ca="1" si="1"/>
        <v>633.11111111111109</v>
      </c>
    </row>
    <row r="39" spans="1:5" x14ac:dyDescent="0.25">
      <c r="A39">
        <v>132151</v>
      </c>
      <c r="B39" t="s">
        <v>26</v>
      </c>
      <c r="C39">
        <f>'[1]VENTAS CONSOLIDADA ZULIA'!C39</f>
        <v>226</v>
      </c>
      <c r="D39" s="5">
        <f t="shared" ca="1" si="0"/>
        <v>25.111111111111111</v>
      </c>
      <c r="E39" s="5">
        <f t="shared" ca="1" si="1"/>
        <v>552.44444444444446</v>
      </c>
    </row>
    <row r="40" spans="1:5" x14ac:dyDescent="0.25">
      <c r="A40">
        <v>132152</v>
      </c>
      <c r="B40" t="s">
        <v>27</v>
      </c>
      <c r="C40">
        <f>'[1]VENTAS CONSOLIDADA ZULIA'!C40</f>
        <v>251</v>
      </c>
      <c r="D40" s="5">
        <f t="shared" ca="1" si="0"/>
        <v>27.888888888888889</v>
      </c>
      <c r="E40" s="5">
        <f t="shared" ca="1" si="1"/>
        <v>613.55555555555554</v>
      </c>
    </row>
    <row r="41" spans="1:5" x14ac:dyDescent="0.25">
      <c r="A41">
        <v>132153</v>
      </c>
      <c r="B41" t="s">
        <v>40</v>
      </c>
      <c r="C41">
        <f>'[1]VENTAS CONSOLIDADA ZULIA'!C41</f>
        <v>182</v>
      </c>
      <c r="D41" s="5">
        <f t="shared" ca="1" si="0"/>
        <v>20.222222222222221</v>
      </c>
      <c r="E41" s="5">
        <f t="shared" ca="1" si="1"/>
        <v>444.88888888888886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42</v>
      </c>
      <c r="D44" s="5">
        <f t="shared" ca="1" si="0"/>
        <v>4.666666666666667</v>
      </c>
      <c r="E44" s="5">
        <f t="shared" ca="1" si="1"/>
        <v>102.66666666666667</v>
      </c>
    </row>
    <row r="45" spans="1:5" x14ac:dyDescent="0.25">
      <c r="A45">
        <v>140231</v>
      </c>
      <c r="B45" t="s">
        <v>10</v>
      </c>
      <c r="C45">
        <f>'[1]VENTAS CONSOLIDADA ZULIA'!C45</f>
        <v>110</v>
      </c>
      <c r="D45" s="5">
        <f t="shared" ca="1" si="0"/>
        <v>12.222222222222221</v>
      </c>
      <c r="E45" s="5">
        <f t="shared" ca="1" si="1"/>
        <v>268.88888888888886</v>
      </c>
    </row>
    <row r="46" spans="1:5" x14ac:dyDescent="0.25">
      <c r="A46">
        <v>140232</v>
      </c>
      <c r="B46" t="s">
        <v>9</v>
      </c>
      <c r="C46">
        <f>'[1]VENTAS CONSOLIDADA ZULIA'!C46</f>
        <v>37</v>
      </c>
      <c r="D46" s="5">
        <f t="shared" ca="1" si="0"/>
        <v>4.1111111111111107</v>
      </c>
      <c r="E46" s="5">
        <f t="shared" ca="1" si="1"/>
        <v>90.444444444444429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2.5555555555555554</v>
      </c>
      <c r="E47" s="5">
        <f t="shared" ca="1" si="1"/>
        <v>56.222222222222214</v>
      </c>
    </row>
    <row r="48" spans="1:5" x14ac:dyDescent="0.25">
      <c r="A48">
        <v>150361</v>
      </c>
      <c r="B48" t="s">
        <v>29</v>
      </c>
      <c r="C48">
        <f>'[1]VENTAS CONSOLIDADA ZULIA'!C48</f>
        <v>66</v>
      </c>
      <c r="D48" s="5">
        <f t="shared" ca="1" si="0"/>
        <v>7.333333333333333</v>
      </c>
      <c r="E48" s="5">
        <f t="shared" ca="1" si="1"/>
        <v>161.33333333333331</v>
      </c>
    </row>
    <row r="49" spans="1:5" x14ac:dyDescent="0.25">
      <c r="A49">
        <v>150362</v>
      </c>
      <c r="B49" t="s">
        <v>36</v>
      </c>
      <c r="C49">
        <f>'[1]VENTAS CONSOLIDADA ZULIA'!C49</f>
        <v>80</v>
      </c>
      <c r="D49" s="5">
        <f t="shared" ca="1" si="0"/>
        <v>8.8888888888888893</v>
      </c>
      <c r="E49" s="5">
        <f t="shared" ca="1" si="1"/>
        <v>195.55555555555557</v>
      </c>
    </row>
    <row r="50" spans="1:5" x14ac:dyDescent="0.25">
      <c r="A50">
        <v>150363</v>
      </c>
      <c r="B50" t="s">
        <v>31</v>
      </c>
      <c r="C50">
        <f>'[1]VENTAS CONSOLIDADA ZULIA'!C50</f>
        <v>83</v>
      </c>
      <c r="D50" s="5">
        <f t="shared" ca="1" si="0"/>
        <v>9.2222222222222214</v>
      </c>
      <c r="E50" s="5">
        <f t="shared" ca="1" si="1"/>
        <v>202.88888888888886</v>
      </c>
    </row>
    <row r="51" spans="1:5" x14ac:dyDescent="0.25">
      <c r="A51">
        <v>151500</v>
      </c>
      <c r="B51" t="s">
        <v>41</v>
      </c>
      <c r="C51">
        <f>'[1]VENTAS CONSOLIDADA ZULIA'!C51</f>
        <v>18</v>
      </c>
      <c r="D51" s="5">
        <f t="shared" ca="1" si="0"/>
        <v>2</v>
      </c>
      <c r="E51" s="5">
        <f t="shared" ca="1" si="1"/>
        <v>44</v>
      </c>
    </row>
    <row r="52" spans="1:5" x14ac:dyDescent="0.25">
      <c r="A52">
        <v>151501</v>
      </c>
      <c r="B52" t="s">
        <v>33</v>
      </c>
      <c r="C52">
        <f>'[1]VENTAS CONSOLIDADA ZULIA'!C52</f>
        <v>24</v>
      </c>
      <c r="D52" s="5">
        <f t="shared" ca="1" si="0"/>
        <v>2.6666666666666665</v>
      </c>
      <c r="E52" s="5">
        <f t="shared" ca="1" si="1"/>
        <v>58.666666666666664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2.3333333333333335</v>
      </c>
      <c r="E53" s="5">
        <f t="shared" ca="1" si="1"/>
        <v>51.333333333333336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1.3333333333333333</v>
      </c>
      <c r="E54" s="5">
        <f t="shared" ca="1" si="1"/>
        <v>29.333333333333332</v>
      </c>
    </row>
    <row r="55" spans="1:5" x14ac:dyDescent="0.25">
      <c r="D55" s="5">
        <f ca="1">SUM(D8:D54)</f>
        <v>582.99999999999989</v>
      </c>
      <c r="E55" s="5">
        <f ca="1">SUM(E8:E54)</f>
        <v>12826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46279</v>
      </c>
      <c r="E2" s="4">
        <f ca="1">'[1]VENTAS CONSOLIDADA VALENCIA'!E2</f>
        <v>9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2212</v>
      </c>
      <c r="D8" s="5">
        <f t="shared" ref="D8:D54" ca="1" si="0">C8/$E$2</f>
        <v>245.77777777777777</v>
      </c>
      <c r="E8" s="5">
        <f ca="1">D8*($E$2+$E$3)</f>
        <v>5407.1111111111113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27.222222222222221</v>
      </c>
      <c r="E9" s="5">
        <f t="shared" ref="E9:E54" ca="1" si="1">D9*($E$2+$E$3)</f>
        <v>598.88888888888891</v>
      </c>
    </row>
    <row r="10" spans="1:5" x14ac:dyDescent="0.25">
      <c r="A10">
        <v>110230</v>
      </c>
      <c r="B10" t="s">
        <v>1</v>
      </c>
      <c r="C10">
        <f>'[1]VENTAS CONSOLIDADA VALENCIA'!C10</f>
        <v>539</v>
      </c>
      <c r="D10" s="5">
        <f t="shared" ca="1" si="0"/>
        <v>59.888888888888886</v>
      </c>
      <c r="E10" s="5">
        <f t="shared" ca="1" si="1"/>
        <v>1317.5555555555554</v>
      </c>
    </row>
    <row r="11" spans="1:5" x14ac:dyDescent="0.25">
      <c r="A11">
        <v>110400</v>
      </c>
      <c r="B11" t="s">
        <v>13</v>
      </c>
      <c r="C11">
        <f>'[1]VENTAS CONSOLIDADA VALENCIA'!C11</f>
        <v>241</v>
      </c>
      <c r="D11" s="5">
        <f t="shared" ca="1" si="0"/>
        <v>26.777777777777779</v>
      </c>
      <c r="E11" s="5">
        <f t="shared" ca="1" si="1"/>
        <v>589.11111111111109</v>
      </c>
    </row>
    <row r="12" spans="1:5" x14ac:dyDescent="0.25">
      <c r="A12">
        <v>111000</v>
      </c>
      <c r="B12" t="s">
        <v>14</v>
      </c>
      <c r="C12">
        <f>'[1]VENTAS CONSOLIDADA VALENCIA'!C12</f>
        <v>16</v>
      </c>
      <c r="D12" s="5">
        <f t="shared" ca="1" si="0"/>
        <v>1.7777777777777777</v>
      </c>
      <c r="E12" s="5">
        <f t="shared" ca="1" si="1"/>
        <v>39.111111111111107</v>
      </c>
    </row>
    <row r="13" spans="1:5" x14ac:dyDescent="0.25">
      <c r="A13">
        <v>120130</v>
      </c>
      <c r="B13" t="s">
        <v>15</v>
      </c>
      <c r="C13">
        <f>'[1]VENTAS CONSOLIDADA VALENCIA'!C13</f>
        <v>2910</v>
      </c>
      <c r="D13" s="5">
        <f t="shared" ca="1" si="0"/>
        <v>323.33333333333331</v>
      </c>
      <c r="E13" s="5">
        <f t="shared" ca="1" si="1"/>
        <v>7113.333333333333</v>
      </c>
    </row>
    <row r="14" spans="1:5" x14ac:dyDescent="0.25">
      <c r="A14">
        <v>120131</v>
      </c>
      <c r="B14" t="s">
        <v>23</v>
      </c>
      <c r="C14">
        <f>'[1]VENTAS CONSOLIDADA VALENCIA'!C14</f>
        <v>433</v>
      </c>
      <c r="D14" s="5">
        <f t="shared" ca="1" si="0"/>
        <v>48.111111111111114</v>
      </c>
      <c r="E14" s="5">
        <f t="shared" ca="1" si="1"/>
        <v>1058.4444444444446</v>
      </c>
    </row>
    <row r="15" spans="1:5" x14ac:dyDescent="0.25">
      <c r="A15">
        <v>120132</v>
      </c>
      <c r="B15" t="s">
        <v>21</v>
      </c>
      <c r="C15">
        <f>'[1]VENTAS CONSOLIDADA VALENCIA'!C15</f>
        <v>1016</v>
      </c>
      <c r="D15" s="5">
        <f t="shared" ca="1" si="0"/>
        <v>112.88888888888889</v>
      </c>
      <c r="E15" s="5">
        <f t="shared" ca="1" si="1"/>
        <v>2483.5555555555557</v>
      </c>
    </row>
    <row r="16" spans="1:5" x14ac:dyDescent="0.25">
      <c r="A16">
        <v>130150</v>
      </c>
      <c r="B16" t="s">
        <v>0</v>
      </c>
      <c r="C16">
        <f>'[1]VENTAS CONSOLIDADA VALENCIA'!C16</f>
        <v>2404</v>
      </c>
      <c r="D16" s="5">
        <f t="shared" ca="1" si="0"/>
        <v>267.11111111111109</v>
      </c>
      <c r="E16" s="5">
        <f t="shared" ca="1" si="1"/>
        <v>5876.4444444444434</v>
      </c>
    </row>
    <row r="17" spans="1:5" x14ac:dyDescent="0.25">
      <c r="A17">
        <v>130151</v>
      </c>
      <c r="B17" t="s">
        <v>4</v>
      </c>
      <c r="C17">
        <f>'[1]VENTAS CONSOLIDADA VALENCIA'!C17</f>
        <v>1168</v>
      </c>
      <c r="D17" s="5">
        <f t="shared" ca="1" si="0"/>
        <v>129.77777777777777</v>
      </c>
      <c r="E17" s="5">
        <f t="shared" ca="1" si="1"/>
        <v>2855.1111111111109</v>
      </c>
    </row>
    <row r="18" spans="1:5" x14ac:dyDescent="0.25">
      <c r="A18">
        <v>130152</v>
      </c>
      <c r="B18" t="s">
        <v>51</v>
      </c>
      <c r="C18">
        <f>'[1]VENTAS CONSOLIDADA VALENCIA'!C18</f>
        <v>8139</v>
      </c>
      <c r="D18" s="5">
        <f t="shared" ca="1" si="0"/>
        <v>904.33333333333337</v>
      </c>
      <c r="E18" s="5">
        <f t="shared" ca="1" si="1"/>
        <v>19895.333333333336</v>
      </c>
    </row>
    <row r="19" spans="1:5" x14ac:dyDescent="0.25">
      <c r="A19">
        <v>130153</v>
      </c>
      <c r="B19" t="s">
        <v>52</v>
      </c>
      <c r="C19">
        <f>'[1]VENTAS CONSOLIDADA VALENCIA'!C19</f>
        <v>5219</v>
      </c>
      <c r="D19" s="5">
        <f t="shared" ca="1" si="0"/>
        <v>579.88888888888891</v>
      </c>
      <c r="E19" s="5">
        <f t="shared" ca="1" si="1"/>
        <v>12757.555555555557</v>
      </c>
    </row>
    <row r="20" spans="1:5" x14ac:dyDescent="0.25">
      <c r="A20">
        <v>130154</v>
      </c>
      <c r="B20" t="s">
        <v>53</v>
      </c>
      <c r="C20">
        <f>'[1]VENTAS CONSOLIDADA VALENCIA'!C20</f>
        <v>5676</v>
      </c>
      <c r="D20" s="5">
        <f t="shared" ca="1" si="0"/>
        <v>630.66666666666663</v>
      </c>
      <c r="E20" s="5">
        <f t="shared" ca="1" si="1"/>
        <v>13874.666666666666</v>
      </c>
    </row>
    <row r="21" spans="1:5" x14ac:dyDescent="0.25">
      <c r="A21">
        <v>130155</v>
      </c>
      <c r="B21" t="s">
        <v>16</v>
      </c>
      <c r="C21">
        <f>'[1]VENTAS CONSOLIDADA VALENCIA'!C21</f>
        <v>6196</v>
      </c>
      <c r="D21" s="5">
        <f t="shared" ca="1" si="0"/>
        <v>688.44444444444446</v>
      </c>
      <c r="E21" s="5">
        <f t="shared" ca="1" si="1"/>
        <v>15145.777777777777</v>
      </c>
    </row>
    <row r="22" spans="1:5" x14ac:dyDescent="0.25">
      <c r="A22">
        <v>130157</v>
      </c>
      <c r="B22" t="s">
        <v>43</v>
      </c>
      <c r="C22">
        <f>'[1]VENTAS CONSOLIDADA VALENCIA'!C22</f>
        <v>1650</v>
      </c>
      <c r="D22" s="5">
        <f t="shared" ca="1" si="0"/>
        <v>183.33333333333334</v>
      </c>
      <c r="E22" s="5">
        <f t="shared" ca="1" si="1"/>
        <v>4033.3333333333335</v>
      </c>
    </row>
    <row r="23" spans="1:5" x14ac:dyDescent="0.25">
      <c r="A23">
        <v>130158</v>
      </c>
      <c r="B23" t="s">
        <v>44</v>
      </c>
      <c r="C23">
        <f>'[1]VENTAS CONSOLIDADA VALENCIA'!C23</f>
        <v>2579</v>
      </c>
      <c r="D23" s="5">
        <f t="shared" ca="1" si="0"/>
        <v>286.55555555555554</v>
      </c>
      <c r="E23" s="5">
        <f t="shared" ca="1" si="1"/>
        <v>6304.2222222222217</v>
      </c>
    </row>
    <row r="24" spans="1:5" x14ac:dyDescent="0.25">
      <c r="A24">
        <v>130159</v>
      </c>
      <c r="B24" t="s">
        <v>45</v>
      </c>
      <c r="C24">
        <f>'[1]VENTAS CONSOLIDADA VALENCIA'!C24</f>
        <v>2387</v>
      </c>
      <c r="D24" s="5">
        <f t="shared" ca="1" si="0"/>
        <v>265.22222222222223</v>
      </c>
      <c r="E24" s="5">
        <f t="shared" ca="1" si="1"/>
        <v>5834.8888888888887</v>
      </c>
    </row>
    <row r="25" spans="1:5" x14ac:dyDescent="0.25">
      <c r="A25">
        <v>130700</v>
      </c>
      <c r="B25" t="s">
        <v>3</v>
      </c>
      <c r="C25">
        <f>'[1]VENTAS CONSOLIDADA VALENCIA'!C25</f>
        <v>1017</v>
      </c>
      <c r="D25" s="5">
        <f t="shared" ca="1" si="0"/>
        <v>113</v>
      </c>
      <c r="E25" s="5">
        <f t="shared" ca="1" si="1"/>
        <v>2486</v>
      </c>
    </row>
    <row r="26" spans="1:5" x14ac:dyDescent="0.25">
      <c r="A26">
        <v>130701</v>
      </c>
      <c r="B26" t="s">
        <v>30</v>
      </c>
      <c r="C26">
        <f>'[1]VENTAS CONSOLIDADA VALENCIA'!C26</f>
        <v>570</v>
      </c>
      <c r="D26" s="5">
        <f t="shared" ca="1" si="0"/>
        <v>63.333333333333336</v>
      </c>
      <c r="E26" s="5">
        <f t="shared" ca="1" si="1"/>
        <v>1393.3333333333335</v>
      </c>
    </row>
    <row r="27" spans="1:5" x14ac:dyDescent="0.25">
      <c r="A27">
        <v>130702</v>
      </c>
      <c r="B27" t="s">
        <v>12</v>
      </c>
      <c r="C27">
        <f>'[1]VENTAS CONSOLIDADA VALENCIA'!C27</f>
        <v>1604</v>
      </c>
      <c r="D27" s="5">
        <f t="shared" ca="1" si="0"/>
        <v>178.22222222222223</v>
      </c>
      <c r="E27" s="5">
        <f t="shared" ca="1" si="1"/>
        <v>3920.8888888888891</v>
      </c>
    </row>
    <row r="28" spans="1:5" x14ac:dyDescent="0.25">
      <c r="A28">
        <v>130703</v>
      </c>
      <c r="B28" t="s">
        <v>17</v>
      </c>
      <c r="C28">
        <f>'[1]VENTAS CONSOLIDADA VALENCIA'!C28</f>
        <v>2396</v>
      </c>
      <c r="D28" s="5">
        <f t="shared" ca="1" si="0"/>
        <v>266.22222222222223</v>
      </c>
      <c r="E28" s="5">
        <f t="shared" ca="1" si="1"/>
        <v>5856.8888888888887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1464</v>
      </c>
      <c r="D30" s="5">
        <f t="shared" ca="1" si="0"/>
        <v>162.66666666666666</v>
      </c>
      <c r="E30" s="5">
        <f t="shared" ca="1" si="1"/>
        <v>3578.6666666666665</v>
      </c>
    </row>
    <row r="31" spans="1:5" x14ac:dyDescent="0.25">
      <c r="A31">
        <v>131151</v>
      </c>
      <c r="B31" t="s">
        <v>19</v>
      </c>
      <c r="C31">
        <f>'[1]VENTAS CONSOLIDADA VALENCIA'!C31</f>
        <v>1940</v>
      </c>
      <c r="D31" s="5">
        <f t="shared" ca="1" si="0"/>
        <v>215.55555555555554</v>
      </c>
      <c r="E31" s="5">
        <f t="shared" ca="1" si="1"/>
        <v>4742.2222222222217</v>
      </c>
    </row>
    <row r="32" spans="1:5" x14ac:dyDescent="0.25">
      <c r="A32">
        <v>131152</v>
      </c>
      <c r="B32" t="s">
        <v>32</v>
      </c>
      <c r="C32">
        <f>'[1]VENTAS CONSOLIDADA VALENCIA'!C32</f>
        <v>1045</v>
      </c>
      <c r="D32" s="5">
        <f t="shared" ca="1" si="0"/>
        <v>116.11111111111111</v>
      </c>
      <c r="E32" s="5">
        <f t="shared" ca="1" si="1"/>
        <v>2554.4444444444443</v>
      </c>
    </row>
    <row r="33" spans="1:5" x14ac:dyDescent="0.25">
      <c r="A33">
        <v>131153</v>
      </c>
      <c r="B33" t="s">
        <v>11</v>
      </c>
      <c r="C33">
        <f>'[1]VENTAS CONSOLIDADA VALENCIA'!C33</f>
        <v>734</v>
      </c>
      <c r="D33" s="5">
        <f t="shared" ca="1" si="0"/>
        <v>81.555555555555557</v>
      </c>
      <c r="E33" s="5">
        <f t="shared" ca="1" si="1"/>
        <v>1794.2222222222222</v>
      </c>
    </row>
    <row r="34" spans="1:5" x14ac:dyDescent="0.25">
      <c r="A34">
        <v>131154</v>
      </c>
      <c r="B34" t="s">
        <v>48</v>
      </c>
      <c r="C34">
        <f>'[1]VENTAS CONSOLIDADA VALENCIA'!C34</f>
        <v>499</v>
      </c>
      <c r="D34" s="5">
        <f t="shared" ca="1" si="0"/>
        <v>55.444444444444443</v>
      </c>
      <c r="E34" s="5">
        <f t="shared" ca="1" si="1"/>
        <v>1219.7777777777778</v>
      </c>
    </row>
    <row r="35" spans="1:5" x14ac:dyDescent="0.25">
      <c r="A35">
        <v>131155</v>
      </c>
      <c r="B35" t="s">
        <v>57</v>
      </c>
      <c r="C35">
        <f>'[1]VENTAS CONSOLIDADA VALENCIA'!C35</f>
        <v>551</v>
      </c>
      <c r="D35" s="5">
        <f t="shared" ca="1" si="0"/>
        <v>61.222222222222221</v>
      </c>
      <c r="E35" s="5">
        <f t="shared" ca="1" si="1"/>
        <v>1346.8888888888889</v>
      </c>
    </row>
    <row r="36" spans="1:5" x14ac:dyDescent="0.25">
      <c r="A36">
        <v>131700</v>
      </c>
      <c r="B36" t="s">
        <v>20</v>
      </c>
      <c r="C36">
        <f>'[1]VENTAS CONSOLIDADA VALENCIA'!C36</f>
        <v>323</v>
      </c>
      <c r="D36" s="5">
        <f t="shared" ca="1" si="0"/>
        <v>35.888888888888886</v>
      </c>
      <c r="E36" s="5">
        <f t="shared" ca="1" si="1"/>
        <v>789.55555555555543</v>
      </c>
    </row>
    <row r="37" spans="1:5" x14ac:dyDescent="0.25">
      <c r="A37">
        <v>131701</v>
      </c>
      <c r="B37" t="s">
        <v>24</v>
      </c>
      <c r="C37">
        <f>'[1]VENTAS CONSOLIDADA VALENCIA'!C37</f>
        <v>303</v>
      </c>
      <c r="D37" s="5">
        <f t="shared" ca="1" si="0"/>
        <v>33.666666666666664</v>
      </c>
      <c r="E37" s="5">
        <f t="shared" ca="1" si="1"/>
        <v>740.66666666666663</v>
      </c>
    </row>
    <row r="38" spans="1:5" x14ac:dyDescent="0.25">
      <c r="A38">
        <v>132150</v>
      </c>
      <c r="B38" t="s">
        <v>25</v>
      </c>
      <c r="C38">
        <f>'[1]VENTAS CONSOLIDADA VALENCIA'!C38</f>
        <v>2088</v>
      </c>
      <c r="D38" s="5">
        <f t="shared" ca="1" si="0"/>
        <v>232</v>
      </c>
      <c r="E38" s="5">
        <f t="shared" ca="1" si="1"/>
        <v>5104</v>
      </c>
    </row>
    <row r="39" spans="1:5" x14ac:dyDescent="0.25">
      <c r="A39">
        <v>132151</v>
      </c>
      <c r="B39" t="s">
        <v>26</v>
      </c>
      <c r="C39">
        <f>'[1]VENTAS CONSOLIDADA VALENCIA'!C39</f>
        <v>1581</v>
      </c>
      <c r="D39" s="5">
        <f t="shared" ca="1" si="0"/>
        <v>175.66666666666666</v>
      </c>
      <c r="E39" s="5">
        <f t="shared" ca="1" si="1"/>
        <v>3864.6666666666665</v>
      </c>
    </row>
    <row r="40" spans="1:5" x14ac:dyDescent="0.25">
      <c r="A40">
        <v>132152</v>
      </c>
      <c r="B40" t="s">
        <v>27</v>
      </c>
      <c r="C40">
        <f>'[1]VENTAS CONSOLIDADA VALENCIA'!C40</f>
        <v>2194</v>
      </c>
      <c r="D40" s="5">
        <f t="shared" ca="1" si="0"/>
        <v>243.77777777777777</v>
      </c>
      <c r="E40" s="5">
        <f t="shared" ca="1" si="1"/>
        <v>5363.1111111111113</v>
      </c>
    </row>
    <row r="41" spans="1:5" x14ac:dyDescent="0.25">
      <c r="A41">
        <v>132153</v>
      </c>
      <c r="B41" t="s">
        <v>40</v>
      </c>
      <c r="C41">
        <f>'[1]VENTAS CONSOLIDADA VALENCIA'!C41</f>
        <v>1283</v>
      </c>
      <c r="D41" s="5">
        <f t="shared" ca="1" si="0"/>
        <v>142.55555555555554</v>
      </c>
      <c r="E41" s="5">
        <f t="shared" ca="1" si="1"/>
        <v>3136.2222222222217</v>
      </c>
    </row>
    <row r="42" spans="1:5" x14ac:dyDescent="0.25">
      <c r="A42">
        <v>134000</v>
      </c>
      <c r="B42" t="s">
        <v>35</v>
      </c>
      <c r="C42">
        <f>'[1]VENTAS CONSOLIDADA VALENCIA'!C42</f>
        <v>35</v>
      </c>
      <c r="D42" s="5">
        <f t="shared" ca="1" si="0"/>
        <v>3.8888888888888888</v>
      </c>
      <c r="E42" s="5">
        <f t="shared" ca="1" si="1"/>
        <v>85.555555555555557</v>
      </c>
    </row>
    <row r="43" spans="1:5" x14ac:dyDescent="0.25">
      <c r="A43">
        <v>134001</v>
      </c>
      <c r="B43" t="s">
        <v>47</v>
      </c>
      <c r="C43">
        <f>'[1]VENTAS CONSOLIDADA VALENCIA'!C43</f>
        <v>6</v>
      </c>
      <c r="D43" s="5">
        <f t="shared" ca="1" si="0"/>
        <v>0.66666666666666663</v>
      </c>
      <c r="E43" s="5">
        <f t="shared" ca="1" si="1"/>
        <v>14.666666666666666</v>
      </c>
    </row>
    <row r="44" spans="1:5" x14ac:dyDescent="0.25">
      <c r="A44">
        <v>140230</v>
      </c>
      <c r="B44" t="s">
        <v>18</v>
      </c>
      <c r="C44">
        <f>'[1]VENTAS CONSOLIDADA VALENCIA'!C44</f>
        <v>646</v>
      </c>
      <c r="D44" s="5">
        <f t="shared" ca="1" si="0"/>
        <v>71.777777777777771</v>
      </c>
      <c r="E44" s="5">
        <f t="shared" ca="1" si="1"/>
        <v>1579.1111111111109</v>
      </c>
    </row>
    <row r="45" spans="1:5" x14ac:dyDescent="0.25">
      <c r="A45">
        <v>140231</v>
      </c>
      <c r="B45" t="s">
        <v>10</v>
      </c>
      <c r="C45">
        <f>'[1]VENTAS CONSOLIDADA VALENCIA'!C45</f>
        <v>1522</v>
      </c>
      <c r="D45" s="5">
        <f t="shared" ca="1" si="0"/>
        <v>169.11111111111111</v>
      </c>
      <c r="E45" s="5">
        <f t="shared" ca="1" si="1"/>
        <v>3720.4444444444443</v>
      </c>
    </row>
    <row r="46" spans="1:5" x14ac:dyDescent="0.25">
      <c r="A46">
        <v>140232</v>
      </c>
      <c r="B46" t="s">
        <v>9</v>
      </c>
      <c r="C46">
        <f>'[1]VENTAS CONSOLIDADA VALENCIA'!C46</f>
        <v>1490</v>
      </c>
      <c r="D46" s="5">
        <f t="shared" ca="1" si="0"/>
        <v>165.55555555555554</v>
      </c>
      <c r="E46" s="5">
        <f t="shared" ca="1" si="1"/>
        <v>3642.2222222222217</v>
      </c>
    </row>
    <row r="47" spans="1:5" x14ac:dyDescent="0.25">
      <c r="A47">
        <v>150360</v>
      </c>
      <c r="B47" t="s">
        <v>28</v>
      </c>
      <c r="C47">
        <f>'[1]VENTAS CONSOLIDADA VALENCIA'!C47</f>
        <v>53</v>
      </c>
      <c r="D47" s="5">
        <f t="shared" ca="1" si="0"/>
        <v>5.8888888888888893</v>
      </c>
      <c r="E47" s="5">
        <f t="shared" ca="1" si="1"/>
        <v>129.55555555555557</v>
      </c>
    </row>
    <row r="48" spans="1:5" x14ac:dyDescent="0.25">
      <c r="A48">
        <v>150361</v>
      </c>
      <c r="B48" t="s">
        <v>29</v>
      </c>
      <c r="C48">
        <f>'[1]VENTAS CONSOLIDADA VALENCIA'!C48</f>
        <v>911</v>
      </c>
      <c r="D48" s="5">
        <f t="shared" ca="1" si="0"/>
        <v>101.22222222222223</v>
      </c>
      <c r="E48" s="5">
        <f t="shared" ca="1" si="1"/>
        <v>2226.8888888888891</v>
      </c>
    </row>
    <row r="49" spans="1:5" x14ac:dyDescent="0.25">
      <c r="A49">
        <v>150362</v>
      </c>
      <c r="B49" t="s">
        <v>36</v>
      </c>
      <c r="C49">
        <f>'[1]VENTAS CONSOLIDADA VALENCIA'!C49</f>
        <v>439</v>
      </c>
      <c r="D49" s="5">
        <f t="shared" ca="1" si="0"/>
        <v>48.777777777777779</v>
      </c>
      <c r="E49" s="5">
        <f t="shared" ca="1" si="1"/>
        <v>1073.1111111111111</v>
      </c>
    </row>
    <row r="50" spans="1:5" x14ac:dyDescent="0.25">
      <c r="A50">
        <v>150363</v>
      </c>
      <c r="B50" t="s">
        <v>31</v>
      </c>
      <c r="C50">
        <f>'[1]VENTAS CONSOLIDADA VALENCIA'!C50</f>
        <v>586</v>
      </c>
      <c r="D50" s="5">
        <f t="shared" ca="1" si="0"/>
        <v>65.111111111111114</v>
      </c>
      <c r="E50" s="5">
        <f t="shared" ca="1" si="1"/>
        <v>1432.4444444444446</v>
      </c>
    </row>
    <row r="51" spans="1:5" x14ac:dyDescent="0.25">
      <c r="A51">
        <v>151500</v>
      </c>
      <c r="B51" t="s">
        <v>41</v>
      </c>
      <c r="C51">
        <f>'[1]VENTAS CONSOLIDADA VALENCIA'!C51</f>
        <v>86</v>
      </c>
      <c r="D51" s="5">
        <f t="shared" ca="1" si="0"/>
        <v>9.5555555555555554</v>
      </c>
      <c r="E51" s="5">
        <f t="shared" ca="1" si="1"/>
        <v>210.22222222222223</v>
      </c>
    </row>
    <row r="52" spans="1:5" x14ac:dyDescent="0.25">
      <c r="A52">
        <v>151501</v>
      </c>
      <c r="B52" t="s">
        <v>33</v>
      </c>
      <c r="C52">
        <f>'[1]VENTAS CONSOLIDADA VALENCIA'!C52</f>
        <v>226</v>
      </c>
      <c r="D52" s="5">
        <f t="shared" ca="1" si="0"/>
        <v>25.111111111111111</v>
      </c>
      <c r="E52" s="5">
        <f t="shared" ca="1" si="1"/>
        <v>552.44444444444446</v>
      </c>
    </row>
    <row r="53" spans="1:5" x14ac:dyDescent="0.25">
      <c r="A53">
        <v>151502</v>
      </c>
      <c r="B53" t="s">
        <v>37</v>
      </c>
      <c r="C53">
        <f>'[1]VENTAS CONSOLIDADA VALENCIA'!C53</f>
        <v>42</v>
      </c>
      <c r="D53" s="5">
        <f t="shared" ca="1" si="0"/>
        <v>4.666666666666667</v>
      </c>
      <c r="E53" s="5">
        <f t="shared" ca="1" si="1"/>
        <v>102.66666666666667</v>
      </c>
    </row>
    <row r="54" spans="1:5" x14ac:dyDescent="0.25">
      <c r="A54">
        <v>151503</v>
      </c>
      <c r="B54" t="s">
        <v>34</v>
      </c>
      <c r="C54">
        <f>'[1]VENTAS CONSOLIDADA VALENCIA'!C54</f>
        <v>95</v>
      </c>
      <c r="D54" s="5">
        <f t="shared" ca="1" si="0"/>
        <v>10.555555555555555</v>
      </c>
      <c r="E54" s="5">
        <f t="shared" ca="1" si="1"/>
        <v>232.22222222222223</v>
      </c>
    </row>
    <row r="55" spans="1:5" x14ac:dyDescent="0.25">
      <c r="D55" s="5">
        <f ca="1">SUM(D8:D54)</f>
        <v>7639.8888888888914</v>
      </c>
      <c r="E55" s="5">
        <f ca="1">SUM(E8:E54)</f>
        <v>168077.5555555555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46279</v>
      </c>
      <c r="E2" s="4">
        <f ca="1">'[1]VENTAS CONSOLIDADA CARACAS'!E2</f>
        <v>9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13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6528</v>
      </c>
      <c r="D8" s="5">
        <f t="shared" ref="D8:D54" ca="1" si="0">C8/$E$2</f>
        <v>725.33333333333337</v>
      </c>
      <c r="E8" s="5">
        <f ca="1">D8*($E$2+$E$3)</f>
        <v>15957.333333333334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384</v>
      </c>
      <c r="D9" s="5">
        <f t="shared" ca="1" si="0"/>
        <v>42.666666666666664</v>
      </c>
      <c r="E9" s="5">
        <f t="shared" ref="E9:E54" ca="1" si="1">D9*($E$2+$E$3)</f>
        <v>938.66666666666663</v>
      </c>
    </row>
    <row r="10" spans="1:6" x14ac:dyDescent="0.25">
      <c r="A10">
        <v>110230</v>
      </c>
      <c r="B10" t="s">
        <v>1</v>
      </c>
      <c r="C10">
        <f>'[1]VENTAS CONSOLIDADA CARACAS'!C10</f>
        <v>2921</v>
      </c>
      <c r="D10" s="5">
        <f t="shared" ca="1" si="0"/>
        <v>324.55555555555554</v>
      </c>
      <c r="E10" s="5">
        <f t="shared" ca="1" si="1"/>
        <v>7140.2222222222217</v>
      </c>
    </row>
    <row r="11" spans="1:6" x14ac:dyDescent="0.25">
      <c r="A11">
        <v>110400</v>
      </c>
      <c r="B11" t="s">
        <v>13</v>
      </c>
      <c r="C11">
        <f>'[1]VENTAS CONSOLIDADA CARACAS'!C11</f>
        <v>578</v>
      </c>
      <c r="D11" s="5">
        <f t="shared" ca="1" si="0"/>
        <v>64.222222222222229</v>
      </c>
      <c r="E11" s="5">
        <f t="shared" ca="1" si="1"/>
        <v>1412.8888888888891</v>
      </c>
    </row>
    <row r="12" spans="1:6" x14ac:dyDescent="0.25">
      <c r="A12">
        <v>111000</v>
      </c>
      <c r="B12" t="s">
        <v>14</v>
      </c>
      <c r="C12">
        <f>'[1]VENTAS CONSOLIDADA CARACAS'!C12</f>
        <v>86</v>
      </c>
      <c r="D12" s="5">
        <f t="shared" ca="1" si="0"/>
        <v>9.5555555555555554</v>
      </c>
      <c r="E12" s="5">
        <f t="shared" ca="1" si="1"/>
        <v>210.22222222222223</v>
      </c>
    </row>
    <row r="13" spans="1:6" x14ac:dyDescent="0.25">
      <c r="A13">
        <v>120130</v>
      </c>
      <c r="B13" t="s">
        <v>15</v>
      </c>
      <c r="C13">
        <f>'[1]VENTAS CONSOLIDADA CARACAS'!C13</f>
        <v>6645</v>
      </c>
      <c r="D13" s="5">
        <f t="shared" ca="1" si="0"/>
        <v>738.33333333333337</v>
      </c>
      <c r="E13" s="5">
        <f t="shared" ca="1" si="1"/>
        <v>16243.333333333334</v>
      </c>
    </row>
    <row r="14" spans="1:6" x14ac:dyDescent="0.25">
      <c r="A14">
        <v>120131</v>
      </c>
      <c r="B14" t="s">
        <v>23</v>
      </c>
      <c r="C14">
        <f>'[1]VENTAS CONSOLIDADA CARACAS'!C14</f>
        <v>486</v>
      </c>
      <c r="D14" s="5">
        <f t="shared" ca="1" si="0"/>
        <v>54</v>
      </c>
      <c r="E14" s="5">
        <f t="shared" ca="1" si="1"/>
        <v>1188</v>
      </c>
    </row>
    <row r="15" spans="1:6" x14ac:dyDescent="0.25">
      <c r="A15">
        <v>120132</v>
      </c>
      <c r="B15" t="s">
        <v>21</v>
      </c>
      <c r="C15">
        <f>'[1]VENTAS CONSOLIDADA CARACAS'!C15</f>
        <v>1143</v>
      </c>
      <c r="D15" s="5">
        <f t="shared" ca="1" si="0"/>
        <v>127</v>
      </c>
      <c r="E15" s="5">
        <f t="shared" ca="1" si="1"/>
        <v>2794</v>
      </c>
    </row>
    <row r="16" spans="1:6" x14ac:dyDescent="0.25">
      <c r="A16">
        <v>130150</v>
      </c>
      <c r="B16" t="s">
        <v>0</v>
      </c>
      <c r="C16">
        <f>'[1]VENTAS CONSOLIDADA CARACAS'!C16</f>
        <v>2604</v>
      </c>
      <c r="D16" s="5">
        <f t="shared" ca="1" si="0"/>
        <v>289.33333333333331</v>
      </c>
      <c r="E16" s="5">
        <f t="shared" ca="1" si="1"/>
        <v>6365.333333333333</v>
      </c>
    </row>
    <row r="17" spans="1:5" x14ac:dyDescent="0.25">
      <c r="A17">
        <v>130151</v>
      </c>
      <c r="B17" t="s">
        <v>4</v>
      </c>
      <c r="C17">
        <f>'[1]VENTAS CONSOLIDADA CARACAS'!C17</f>
        <v>1331</v>
      </c>
      <c r="D17" s="5">
        <f t="shared" ca="1" si="0"/>
        <v>147.88888888888889</v>
      </c>
      <c r="E17" s="5">
        <f t="shared" ca="1" si="1"/>
        <v>3253.5555555555557</v>
      </c>
    </row>
    <row r="18" spans="1:5" x14ac:dyDescent="0.25">
      <c r="A18">
        <v>130152</v>
      </c>
      <c r="B18" t="s">
        <v>51</v>
      </c>
      <c r="C18">
        <f>'[1]VENTAS CONSOLIDADA CARACAS'!C18</f>
        <v>13903</v>
      </c>
      <c r="D18" s="5">
        <f t="shared" ca="1" si="0"/>
        <v>1544.7777777777778</v>
      </c>
      <c r="E18" s="5">
        <f t="shared" ca="1" si="1"/>
        <v>33985.111111111109</v>
      </c>
    </row>
    <row r="19" spans="1:5" x14ac:dyDescent="0.25">
      <c r="A19">
        <v>130153</v>
      </c>
      <c r="B19" t="s">
        <v>52</v>
      </c>
      <c r="C19">
        <f>'[1]VENTAS CONSOLIDADA CARACAS'!C19</f>
        <v>8681</v>
      </c>
      <c r="D19" s="5">
        <f t="shared" ca="1" si="0"/>
        <v>964.55555555555554</v>
      </c>
      <c r="E19" s="5">
        <f t="shared" ca="1" si="1"/>
        <v>21220.222222222223</v>
      </c>
    </row>
    <row r="20" spans="1:5" x14ac:dyDescent="0.25">
      <c r="A20">
        <v>130154</v>
      </c>
      <c r="B20" t="s">
        <v>53</v>
      </c>
      <c r="C20">
        <f>'[1]VENTAS CONSOLIDADA CARACAS'!C20</f>
        <v>9071</v>
      </c>
      <c r="D20" s="5">
        <f t="shared" ca="1" si="0"/>
        <v>1007.8888888888889</v>
      </c>
      <c r="E20" s="5">
        <f t="shared" ca="1" si="1"/>
        <v>22173.555555555555</v>
      </c>
    </row>
    <row r="21" spans="1:5" x14ac:dyDescent="0.25">
      <c r="A21">
        <v>130155</v>
      </c>
      <c r="B21" t="s">
        <v>16</v>
      </c>
      <c r="C21">
        <f>'[1]VENTAS CONSOLIDADA CARACAS'!C21</f>
        <v>11665</v>
      </c>
      <c r="D21" s="5">
        <f t="shared" ca="1" si="0"/>
        <v>1296.1111111111111</v>
      </c>
      <c r="E21" s="5">
        <f t="shared" ca="1" si="1"/>
        <v>28514.444444444445</v>
      </c>
    </row>
    <row r="22" spans="1:5" x14ac:dyDescent="0.25">
      <c r="A22">
        <v>130157</v>
      </c>
      <c r="B22" t="s">
        <v>43</v>
      </c>
      <c r="C22">
        <f>'[1]VENTAS CONSOLIDADA CARACAS'!C22</f>
        <v>2892</v>
      </c>
      <c r="D22" s="5">
        <f t="shared" ca="1" si="0"/>
        <v>321.33333333333331</v>
      </c>
      <c r="E22" s="5">
        <f t="shared" ca="1" si="1"/>
        <v>7069.333333333333</v>
      </c>
    </row>
    <row r="23" spans="1:5" x14ac:dyDescent="0.25">
      <c r="A23">
        <v>130158</v>
      </c>
      <c r="B23" t="s">
        <v>44</v>
      </c>
      <c r="C23">
        <f>'[1]VENTAS CONSOLIDADA CARACAS'!C23</f>
        <v>2873</v>
      </c>
      <c r="D23" s="5">
        <f t="shared" ca="1" si="0"/>
        <v>319.22222222222223</v>
      </c>
      <c r="E23" s="5">
        <f t="shared" ca="1" si="1"/>
        <v>7022.8888888888887</v>
      </c>
    </row>
    <row r="24" spans="1:5" x14ac:dyDescent="0.25">
      <c r="A24">
        <v>130159</v>
      </c>
      <c r="B24" t="s">
        <v>45</v>
      </c>
      <c r="C24">
        <f>'[1]VENTAS CONSOLIDADA CARACAS'!C24</f>
        <v>3027</v>
      </c>
      <c r="D24" s="5">
        <f t="shared" ca="1" si="0"/>
        <v>336.33333333333331</v>
      </c>
      <c r="E24" s="5">
        <f t="shared" ca="1" si="1"/>
        <v>7399.333333333333</v>
      </c>
    </row>
    <row r="25" spans="1:5" x14ac:dyDescent="0.25">
      <c r="A25">
        <v>130700</v>
      </c>
      <c r="B25" t="s">
        <v>3</v>
      </c>
      <c r="C25">
        <f>'[1]VENTAS CONSOLIDADA CARACAS'!C25</f>
        <v>827</v>
      </c>
      <c r="D25" s="5">
        <f t="shared" ca="1" si="0"/>
        <v>91.888888888888886</v>
      </c>
      <c r="E25" s="5">
        <f t="shared" ca="1" si="1"/>
        <v>2021.5555555555554</v>
      </c>
    </row>
    <row r="26" spans="1:5" x14ac:dyDescent="0.25">
      <c r="A26">
        <v>130701</v>
      </c>
      <c r="B26" t="s">
        <v>30</v>
      </c>
      <c r="C26">
        <f>'[1]VENTAS CONSOLIDADA CARACAS'!C26</f>
        <v>372</v>
      </c>
      <c r="D26" s="5">
        <f t="shared" ca="1" si="0"/>
        <v>41.333333333333336</v>
      </c>
      <c r="E26" s="5">
        <f t="shared" ca="1" si="1"/>
        <v>909.33333333333337</v>
      </c>
    </row>
    <row r="27" spans="1:5" x14ac:dyDescent="0.25">
      <c r="A27">
        <v>130702</v>
      </c>
      <c r="B27" t="s">
        <v>12</v>
      </c>
      <c r="C27">
        <f>'[1]VENTAS CONSOLIDADA CARACAS'!C27</f>
        <v>1963</v>
      </c>
      <c r="D27" s="5">
        <f t="shared" ca="1" si="0"/>
        <v>218.11111111111111</v>
      </c>
      <c r="E27" s="5">
        <f t="shared" ca="1" si="1"/>
        <v>4798.4444444444443</v>
      </c>
    </row>
    <row r="28" spans="1:5" x14ac:dyDescent="0.25">
      <c r="A28">
        <v>130703</v>
      </c>
      <c r="B28" t="s">
        <v>17</v>
      </c>
      <c r="C28">
        <f>'[1]VENTAS CONSOLIDADA CARACAS'!C28</f>
        <v>3643</v>
      </c>
      <c r="D28" s="5">
        <f t="shared" ca="1" si="0"/>
        <v>404.77777777777777</v>
      </c>
      <c r="E28" s="5">
        <f t="shared" ca="1" si="1"/>
        <v>8905.1111111111113</v>
      </c>
    </row>
    <row r="29" spans="1:5" x14ac:dyDescent="0.25">
      <c r="A29">
        <v>130707</v>
      </c>
      <c r="B29" t="s">
        <v>42</v>
      </c>
      <c r="C29">
        <f>'[1]VENTAS CONSOLIDADA CARACAS'!C29</f>
        <v>590</v>
      </c>
      <c r="D29" s="5">
        <f t="shared" ca="1" si="0"/>
        <v>65.555555555555557</v>
      </c>
      <c r="E29" s="5">
        <f t="shared" ca="1" si="1"/>
        <v>1442.2222222222222</v>
      </c>
    </row>
    <row r="30" spans="1:5" x14ac:dyDescent="0.25">
      <c r="A30">
        <v>131150</v>
      </c>
      <c r="B30" t="s">
        <v>22</v>
      </c>
      <c r="C30">
        <f>'[1]VENTAS CONSOLIDADA CARACAS'!C30</f>
        <v>3582</v>
      </c>
      <c r="D30" s="5">
        <f t="shared" ca="1" si="0"/>
        <v>398</v>
      </c>
      <c r="E30" s="5">
        <f t="shared" ca="1" si="1"/>
        <v>8756</v>
      </c>
    </row>
    <row r="31" spans="1:5" x14ac:dyDescent="0.25">
      <c r="A31">
        <v>131151</v>
      </c>
      <c r="B31" t="s">
        <v>19</v>
      </c>
      <c r="C31">
        <f>'[1]VENTAS CONSOLIDADA CARACAS'!C31</f>
        <v>4599</v>
      </c>
      <c r="D31" s="5">
        <f t="shared" ca="1" si="0"/>
        <v>511</v>
      </c>
      <c r="E31" s="5">
        <f t="shared" ca="1" si="1"/>
        <v>11242</v>
      </c>
    </row>
    <row r="32" spans="1:5" x14ac:dyDescent="0.25">
      <c r="A32">
        <v>131152</v>
      </c>
      <c r="B32" t="s">
        <v>32</v>
      </c>
      <c r="C32">
        <f>'[1]VENTAS CONSOLIDADA CARACAS'!C32</f>
        <v>2209</v>
      </c>
      <c r="D32" s="5">
        <f t="shared" ca="1" si="0"/>
        <v>245.44444444444446</v>
      </c>
      <c r="E32" s="5">
        <f t="shared" ca="1" si="1"/>
        <v>5399.7777777777783</v>
      </c>
    </row>
    <row r="33" spans="1:5" x14ac:dyDescent="0.25">
      <c r="A33">
        <v>131153</v>
      </c>
      <c r="B33" t="s">
        <v>11</v>
      </c>
      <c r="C33">
        <f>'[1]VENTAS CONSOLIDADA CARACAS'!C33</f>
        <v>1553</v>
      </c>
      <c r="D33" s="5">
        <f t="shared" ca="1" si="0"/>
        <v>172.55555555555554</v>
      </c>
      <c r="E33" s="5">
        <f t="shared" ca="1" si="1"/>
        <v>3796.2222222222217</v>
      </c>
    </row>
    <row r="34" spans="1:5" x14ac:dyDescent="0.25">
      <c r="A34">
        <v>131154</v>
      </c>
      <c r="B34" t="s">
        <v>48</v>
      </c>
      <c r="C34">
        <f>'[1]VENTAS CONSOLIDADA CARACAS'!C34</f>
        <v>686</v>
      </c>
      <c r="D34" s="5">
        <f t="shared" ca="1" si="0"/>
        <v>76.222222222222229</v>
      </c>
      <c r="E34" s="5">
        <f t="shared" ca="1" si="1"/>
        <v>1676.8888888888891</v>
      </c>
    </row>
    <row r="35" spans="1:5" x14ac:dyDescent="0.25">
      <c r="A35">
        <v>131155</v>
      </c>
      <c r="B35" t="s">
        <v>57</v>
      </c>
      <c r="C35">
        <f>'[1]VENTAS CONSOLIDADA CARACAS'!C35</f>
        <v>867</v>
      </c>
      <c r="D35" s="5">
        <f t="shared" ca="1" si="0"/>
        <v>96.333333333333329</v>
      </c>
      <c r="E35" s="5">
        <f t="shared" ca="1" si="1"/>
        <v>2119.333333333333</v>
      </c>
    </row>
    <row r="36" spans="1:5" x14ac:dyDescent="0.25">
      <c r="A36">
        <v>131700</v>
      </c>
      <c r="B36" t="s">
        <v>20</v>
      </c>
      <c r="C36">
        <f>'[1]VENTAS CONSOLIDADA CARACAS'!C36</f>
        <v>595</v>
      </c>
      <c r="D36" s="5">
        <f t="shared" ca="1" si="0"/>
        <v>66.111111111111114</v>
      </c>
      <c r="E36" s="5">
        <f t="shared" ca="1" si="1"/>
        <v>1454.4444444444446</v>
      </c>
    </row>
    <row r="37" spans="1:5" x14ac:dyDescent="0.25">
      <c r="A37">
        <v>131701</v>
      </c>
      <c r="B37" t="s">
        <v>24</v>
      </c>
      <c r="C37">
        <f>'[1]VENTAS CONSOLIDADA CARACAS'!C37</f>
        <v>562</v>
      </c>
      <c r="D37" s="5">
        <f t="shared" ca="1" si="0"/>
        <v>62.444444444444443</v>
      </c>
      <c r="E37" s="5">
        <f t="shared" ca="1" si="1"/>
        <v>1373.7777777777778</v>
      </c>
    </row>
    <row r="38" spans="1:5" x14ac:dyDescent="0.25">
      <c r="A38">
        <v>132150</v>
      </c>
      <c r="B38" t="s">
        <v>25</v>
      </c>
      <c r="C38">
        <f>'[1]VENTAS CONSOLIDADA CARACAS'!C38</f>
        <v>2738</v>
      </c>
      <c r="D38" s="5">
        <f t="shared" ca="1" si="0"/>
        <v>304.22222222222223</v>
      </c>
      <c r="E38" s="5">
        <f t="shared" ca="1" si="1"/>
        <v>6692.8888888888887</v>
      </c>
    </row>
    <row r="39" spans="1:5" x14ac:dyDescent="0.25">
      <c r="A39">
        <v>132151</v>
      </c>
      <c r="B39" t="s">
        <v>26</v>
      </c>
      <c r="C39">
        <f>'[1]VENTAS CONSOLIDADA CARACAS'!C39</f>
        <v>2392</v>
      </c>
      <c r="D39" s="5">
        <f t="shared" ca="1" si="0"/>
        <v>265.77777777777777</v>
      </c>
      <c r="E39" s="5">
        <f t="shared" ca="1" si="1"/>
        <v>5847.1111111111113</v>
      </c>
    </row>
    <row r="40" spans="1:5" x14ac:dyDescent="0.25">
      <c r="A40">
        <v>132152</v>
      </c>
      <c r="B40" t="s">
        <v>27</v>
      </c>
      <c r="C40">
        <f>'[1]VENTAS CONSOLIDADA CARACAS'!C40</f>
        <v>3161</v>
      </c>
      <c r="D40" s="5">
        <f t="shared" ca="1" si="0"/>
        <v>351.22222222222223</v>
      </c>
      <c r="E40" s="5">
        <f t="shared" ca="1" si="1"/>
        <v>7726.8888888888887</v>
      </c>
    </row>
    <row r="41" spans="1:5" x14ac:dyDescent="0.25">
      <c r="A41">
        <v>132153</v>
      </c>
      <c r="B41" t="s">
        <v>40</v>
      </c>
      <c r="C41">
        <f>'[1]VENTAS CONSOLIDADA CARACAS'!C41</f>
        <v>2208</v>
      </c>
      <c r="D41" s="5">
        <f t="shared" ca="1" si="0"/>
        <v>245.33333333333334</v>
      </c>
      <c r="E41" s="5">
        <f t="shared" ca="1" si="1"/>
        <v>5397.3333333333339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374</v>
      </c>
      <c r="D44" s="5">
        <f t="shared" ca="1" si="0"/>
        <v>41.555555555555557</v>
      </c>
      <c r="E44" s="5">
        <f t="shared" ca="1" si="1"/>
        <v>914.22222222222229</v>
      </c>
    </row>
    <row r="45" spans="1:5" x14ac:dyDescent="0.25">
      <c r="A45">
        <v>140231</v>
      </c>
      <c r="B45" t="s">
        <v>10</v>
      </c>
      <c r="C45">
        <f>'[1]VENTAS CONSOLIDADA CARACAS'!C45</f>
        <v>2399</v>
      </c>
      <c r="D45" s="5">
        <f t="shared" ca="1" si="0"/>
        <v>266.55555555555554</v>
      </c>
      <c r="E45" s="5">
        <f t="shared" ca="1" si="1"/>
        <v>5864.2222222222217</v>
      </c>
    </row>
    <row r="46" spans="1:5" x14ac:dyDescent="0.25">
      <c r="A46">
        <v>140232</v>
      </c>
      <c r="B46" t="s">
        <v>9</v>
      </c>
      <c r="C46">
        <f>'[1]VENTAS CONSOLIDADA CARACAS'!C46</f>
        <v>1768</v>
      </c>
      <c r="D46" s="5">
        <f t="shared" ca="1" si="0"/>
        <v>196.44444444444446</v>
      </c>
      <c r="E46" s="5">
        <f t="shared" ca="1" si="1"/>
        <v>4321.7777777777783</v>
      </c>
    </row>
    <row r="47" spans="1:5" x14ac:dyDescent="0.25">
      <c r="A47">
        <v>150360</v>
      </c>
      <c r="B47" t="s">
        <v>28</v>
      </c>
      <c r="C47">
        <f>'[1]VENTAS CONSOLIDADA CARACAS'!C47</f>
        <v>1287</v>
      </c>
      <c r="D47" s="5">
        <f t="shared" ca="1" si="0"/>
        <v>143</v>
      </c>
      <c r="E47" s="5">
        <f t="shared" ca="1" si="1"/>
        <v>3146</v>
      </c>
    </row>
    <row r="48" spans="1:5" x14ac:dyDescent="0.25">
      <c r="A48">
        <v>150361</v>
      </c>
      <c r="B48" t="s">
        <v>29</v>
      </c>
      <c r="C48">
        <f>'[1]VENTAS CONSOLIDADA CARACAS'!C48</f>
        <v>2738</v>
      </c>
      <c r="D48" s="5">
        <f t="shared" ca="1" si="0"/>
        <v>304.22222222222223</v>
      </c>
      <c r="E48" s="5">
        <f t="shared" ca="1" si="1"/>
        <v>6692.8888888888887</v>
      </c>
    </row>
    <row r="49" spans="1:5" x14ac:dyDescent="0.25">
      <c r="A49">
        <v>150362</v>
      </c>
      <c r="B49" t="s">
        <v>36</v>
      </c>
      <c r="C49">
        <f>'[1]VENTAS CONSOLIDADA CARACAS'!C49</f>
        <v>1922</v>
      </c>
      <c r="D49" s="5">
        <f t="shared" ca="1" si="0"/>
        <v>213.55555555555554</v>
      </c>
      <c r="E49" s="5">
        <f t="shared" ca="1" si="1"/>
        <v>4698.2222222222217</v>
      </c>
    </row>
    <row r="50" spans="1:5" x14ac:dyDescent="0.25">
      <c r="A50">
        <v>150363</v>
      </c>
      <c r="B50" t="s">
        <v>31</v>
      </c>
      <c r="C50">
        <f>'[1]VENTAS CONSOLIDADA CARACAS'!C50</f>
        <v>968</v>
      </c>
      <c r="D50" s="5">
        <f t="shared" ca="1" si="0"/>
        <v>107.55555555555556</v>
      </c>
      <c r="E50" s="5">
        <f t="shared" ca="1" si="1"/>
        <v>2366.2222222222222</v>
      </c>
    </row>
    <row r="51" spans="1:5" x14ac:dyDescent="0.25">
      <c r="A51">
        <v>151500</v>
      </c>
      <c r="B51" t="s">
        <v>41</v>
      </c>
      <c r="C51">
        <f>'[1]VENTAS CONSOLIDADA CARACAS'!C51</f>
        <v>147</v>
      </c>
      <c r="D51" s="5">
        <f t="shared" ca="1" si="0"/>
        <v>16.333333333333332</v>
      </c>
      <c r="E51" s="5">
        <f t="shared" ca="1" si="1"/>
        <v>359.33333333333331</v>
      </c>
    </row>
    <row r="52" spans="1:5" x14ac:dyDescent="0.25">
      <c r="A52">
        <v>151501</v>
      </c>
      <c r="B52" t="s">
        <v>33</v>
      </c>
      <c r="C52">
        <f>'[1]VENTAS CONSOLIDADA CARACAS'!C52</f>
        <v>515</v>
      </c>
      <c r="D52" s="5">
        <f t="shared" ca="1" si="0"/>
        <v>57.222222222222221</v>
      </c>
      <c r="E52" s="5">
        <f t="shared" ca="1" si="1"/>
        <v>1258.8888888888889</v>
      </c>
    </row>
    <row r="53" spans="1:5" x14ac:dyDescent="0.25">
      <c r="A53">
        <v>151502</v>
      </c>
      <c r="B53" t="s">
        <v>37</v>
      </c>
      <c r="C53">
        <f>'[1]VENTAS CONSOLIDADA CARACAS'!C53</f>
        <v>310</v>
      </c>
      <c r="D53" s="5">
        <f t="shared" ca="1" si="0"/>
        <v>34.444444444444443</v>
      </c>
      <c r="E53" s="5">
        <f t="shared" ca="1" si="1"/>
        <v>757.77777777777771</v>
      </c>
    </row>
    <row r="54" spans="1:5" x14ac:dyDescent="0.25">
      <c r="A54">
        <v>151503</v>
      </c>
      <c r="B54" t="s">
        <v>34</v>
      </c>
      <c r="C54">
        <f>'[1]VENTAS CONSOLIDADA CARACAS'!C54</f>
        <v>436</v>
      </c>
      <c r="D54" s="5">
        <f t="shared" ca="1" si="0"/>
        <v>48.444444444444443</v>
      </c>
      <c r="E54" s="5">
        <f t="shared" ca="1" si="1"/>
        <v>1065.7777777777778</v>
      </c>
    </row>
    <row r="55" spans="1:5" x14ac:dyDescent="0.25">
      <c r="D55" s="5">
        <f ca="1">SUM(D8:D54)</f>
        <v>13358.777777777781</v>
      </c>
      <c r="E55" s="5">
        <f ca="1">SUM(E8:E54)</f>
        <v>293893.11111111107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46279</v>
      </c>
      <c r="E2" s="4">
        <f ca="1">'[1]VENTAS CONSOLIDADA LARA'!E2</f>
        <v>9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469</v>
      </c>
      <c r="D8" s="5">
        <f t="shared" ref="D8:D54" ca="1" si="0">C8/$E$2</f>
        <v>52.111111111111114</v>
      </c>
      <c r="E8" s="5">
        <f ca="1">D8*($E$2+$E$3)</f>
        <v>1146.4444444444446</v>
      </c>
    </row>
    <row r="9" spans="1:5" x14ac:dyDescent="0.25">
      <c r="A9">
        <v>110151</v>
      </c>
      <c r="B9" t="s">
        <v>5</v>
      </c>
      <c r="C9">
        <f>'[1]VENTAS CONSOLIDADA LARA'!C9</f>
        <v>15</v>
      </c>
      <c r="D9" s="5">
        <f t="shared" ca="1" si="0"/>
        <v>1.6666666666666667</v>
      </c>
      <c r="E9" s="5">
        <f t="shared" ref="E9:E54" ca="1" si="1">D9*($E$2+$E$3)</f>
        <v>36.666666666666671</v>
      </c>
    </row>
    <row r="10" spans="1:5" x14ac:dyDescent="0.25">
      <c r="A10">
        <v>110230</v>
      </c>
      <c r="B10" t="s">
        <v>1</v>
      </c>
      <c r="C10">
        <f>'[1]VENTAS CONSOLIDADA LARA'!C10</f>
        <v>108</v>
      </c>
      <c r="D10" s="5">
        <f t="shared" ca="1" si="0"/>
        <v>12</v>
      </c>
      <c r="E10" s="5">
        <f t="shared" ca="1" si="1"/>
        <v>264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1.5555555555555556</v>
      </c>
      <c r="E11" s="5">
        <f t="shared" ca="1" si="1"/>
        <v>34.222222222222221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1500</v>
      </c>
      <c r="D13" s="5">
        <f t="shared" ca="1" si="0"/>
        <v>166.66666666666666</v>
      </c>
      <c r="E13" s="5">
        <f t="shared" ca="1" si="1"/>
        <v>3666.6666666666665</v>
      </c>
    </row>
    <row r="14" spans="1:5" x14ac:dyDescent="0.25">
      <c r="A14">
        <v>120131</v>
      </c>
      <c r="B14" t="s">
        <v>23</v>
      </c>
      <c r="C14">
        <f>'[1]VENTAS CONSOLIDADA LARA'!C14</f>
        <v>126</v>
      </c>
      <c r="D14" s="5">
        <f t="shared" ca="1" si="0"/>
        <v>14</v>
      </c>
      <c r="E14" s="5">
        <f t="shared" ca="1" si="1"/>
        <v>308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9.2222222222222214</v>
      </c>
      <c r="E15" s="5">
        <f t="shared" ca="1" si="1"/>
        <v>202.88888888888886</v>
      </c>
    </row>
    <row r="16" spans="1:5" x14ac:dyDescent="0.25">
      <c r="A16">
        <v>130150</v>
      </c>
      <c r="B16" t="s">
        <v>0</v>
      </c>
      <c r="C16">
        <f>'[1]VENTAS CONSOLIDADA LARA'!C16</f>
        <v>663</v>
      </c>
      <c r="D16" s="5">
        <f t="shared" ca="1" si="0"/>
        <v>73.666666666666671</v>
      </c>
      <c r="E16" s="5">
        <f t="shared" ca="1" si="1"/>
        <v>1620.6666666666667</v>
      </c>
    </row>
    <row r="17" spans="1:5" x14ac:dyDescent="0.25">
      <c r="A17">
        <v>130151</v>
      </c>
      <c r="B17" t="s">
        <v>4</v>
      </c>
      <c r="C17">
        <f>'[1]VENTAS CONSOLIDADA LARA'!C17</f>
        <v>203</v>
      </c>
      <c r="D17" s="5">
        <f t="shared" ca="1" si="0"/>
        <v>22.555555555555557</v>
      </c>
      <c r="E17" s="5">
        <f t="shared" ca="1" si="1"/>
        <v>496.22222222222229</v>
      </c>
    </row>
    <row r="18" spans="1:5" x14ac:dyDescent="0.25">
      <c r="A18">
        <v>130152</v>
      </c>
      <c r="B18" t="s">
        <v>51</v>
      </c>
      <c r="C18">
        <f>'[1]VENTAS CONSOLIDADA LARA'!C18</f>
        <v>5261</v>
      </c>
      <c r="D18" s="5">
        <f t="shared" ca="1" si="0"/>
        <v>584.55555555555554</v>
      </c>
      <c r="E18" s="5">
        <f t="shared" ca="1" si="1"/>
        <v>12860.222222222223</v>
      </c>
    </row>
    <row r="19" spans="1:5" x14ac:dyDescent="0.25">
      <c r="A19">
        <v>130153</v>
      </c>
      <c r="B19" t="s">
        <v>52</v>
      </c>
      <c r="C19">
        <f>'[1]VENTAS CONSOLIDADA LARA'!C19</f>
        <v>2897</v>
      </c>
      <c r="D19" s="5">
        <f t="shared" ca="1" si="0"/>
        <v>321.88888888888891</v>
      </c>
      <c r="E19" s="5">
        <f t="shared" ca="1" si="1"/>
        <v>7081.5555555555566</v>
      </c>
    </row>
    <row r="20" spans="1:5" x14ac:dyDescent="0.25">
      <c r="A20">
        <v>130154</v>
      </c>
      <c r="B20" t="s">
        <v>53</v>
      </c>
      <c r="C20">
        <f>'[1]VENTAS CONSOLIDADA LARA'!C20</f>
        <v>2825</v>
      </c>
      <c r="D20" s="5">
        <f t="shared" ca="1" si="0"/>
        <v>313.88888888888891</v>
      </c>
      <c r="E20" s="5">
        <f t="shared" ca="1" si="1"/>
        <v>6905.5555555555566</v>
      </c>
    </row>
    <row r="21" spans="1:5" x14ac:dyDescent="0.25">
      <c r="A21">
        <v>130155</v>
      </c>
      <c r="B21" t="s">
        <v>16</v>
      </c>
      <c r="C21">
        <f>'[1]VENTAS CONSOLIDADA LARA'!C21</f>
        <v>3464</v>
      </c>
      <c r="D21" s="5">
        <f t="shared" ca="1" si="0"/>
        <v>384.88888888888891</v>
      </c>
      <c r="E21" s="5">
        <f t="shared" ca="1" si="1"/>
        <v>8467.5555555555566</v>
      </c>
    </row>
    <row r="22" spans="1:5" x14ac:dyDescent="0.25">
      <c r="A22">
        <v>130157</v>
      </c>
      <c r="B22" t="s">
        <v>43</v>
      </c>
      <c r="C22">
        <f>'[1]VENTAS CONSOLIDADA LARA'!C22</f>
        <v>1232</v>
      </c>
      <c r="D22" s="5">
        <f t="shared" ca="1" si="0"/>
        <v>136.88888888888889</v>
      </c>
      <c r="E22" s="5">
        <f t="shared" ca="1" si="1"/>
        <v>3011.5555555555557</v>
      </c>
    </row>
    <row r="23" spans="1:5" x14ac:dyDescent="0.25">
      <c r="A23">
        <v>130158</v>
      </c>
      <c r="B23" t="s">
        <v>44</v>
      </c>
      <c r="C23">
        <f>'[1]VENTAS CONSOLIDADA LARA'!C23</f>
        <v>1382</v>
      </c>
      <c r="D23" s="5">
        <f t="shared" ca="1" si="0"/>
        <v>153.55555555555554</v>
      </c>
      <c r="E23" s="5">
        <f t="shared" ca="1" si="1"/>
        <v>3378.2222222222217</v>
      </c>
    </row>
    <row r="24" spans="1:5" x14ac:dyDescent="0.25">
      <c r="A24">
        <v>130159</v>
      </c>
      <c r="B24" t="s">
        <v>45</v>
      </c>
      <c r="C24">
        <f>'[1]VENTAS CONSOLIDADA LARA'!C24</f>
        <v>1302</v>
      </c>
      <c r="D24" s="5">
        <f t="shared" ca="1" si="0"/>
        <v>144.66666666666666</v>
      </c>
      <c r="E24" s="5">
        <f t="shared" ca="1" si="1"/>
        <v>3182.6666666666665</v>
      </c>
    </row>
    <row r="25" spans="1:5" x14ac:dyDescent="0.25">
      <c r="A25">
        <v>130700</v>
      </c>
      <c r="B25" t="s">
        <v>3</v>
      </c>
      <c r="C25">
        <f>'[1]VENTAS CONSOLIDADA LARA'!C25</f>
        <v>265</v>
      </c>
      <c r="D25" s="5">
        <f t="shared" ca="1" si="0"/>
        <v>29.444444444444443</v>
      </c>
      <c r="E25" s="5">
        <f t="shared" ca="1" si="1"/>
        <v>647.77777777777771</v>
      </c>
    </row>
    <row r="26" spans="1:5" x14ac:dyDescent="0.25">
      <c r="A26">
        <v>130701</v>
      </c>
      <c r="B26" t="s">
        <v>30</v>
      </c>
      <c r="C26">
        <f>'[1]VENTAS CONSOLIDADA LARA'!C26</f>
        <v>84</v>
      </c>
      <c r="D26" s="5">
        <f t="shared" ca="1" si="0"/>
        <v>9.3333333333333339</v>
      </c>
      <c r="E26" s="5">
        <f t="shared" ca="1" si="1"/>
        <v>205.33333333333334</v>
      </c>
    </row>
    <row r="27" spans="1:5" x14ac:dyDescent="0.25">
      <c r="A27">
        <v>130702</v>
      </c>
      <c r="B27" t="s">
        <v>12</v>
      </c>
      <c r="C27">
        <f>'[1]VENTAS CONSOLIDADA LARA'!C27</f>
        <v>768</v>
      </c>
      <c r="D27" s="5">
        <f t="shared" ca="1" si="0"/>
        <v>85.333333333333329</v>
      </c>
      <c r="E27" s="5">
        <f t="shared" ca="1" si="1"/>
        <v>1877.3333333333333</v>
      </c>
    </row>
    <row r="28" spans="1:5" x14ac:dyDescent="0.25">
      <c r="A28">
        <v>130703</v>
      </c>
      <c r="B28" t="s">
        <v>17</v>
      </c>
      <c r="C28">
        <f>'[1]VENTAS CONSOLIDADA LARA'!C28</f>
        <v>902</v>
      </c>
      <c r="D28" s="5">
        <f t="shared" ca="1" si="0"/>
        <v>100.22222222222223</v>
      </c>
      <c r="E28" s="5">
        <f t="shared" ca="1" si="1"/>
        <v>2204.8888888888891</v>
      </c>
    </row>
    <row r="29" spans="1:5" x14ac:dyDescent="0.25">
      <c r="A29">
        <v>130707</v>
      </c>
      <c r="B29" t="s">
        <v>42</v>
      </c>
      <c r="C29">
        <f>'[1]VENTAS CONSOLIDADA LARA'!C29</f>
        <v>30</v>
      </c>
      <c r="D29" s="5">
        <f t="shared" ca="1" si="0"/>
        <v>3.3333333333333335</v>
      </c>
      <c r="E29" s="5">
        <f t="shared" ca="1" si="1"/>
        <v>73.333333333333343</v>
      </c>
    </row>
    <row r="30" spans="1:5" x14ac:dyDescent="0.25">
      <c r="A30">
        <v>131150</v>
      </c>
      <c r="B30" t="s">
        <v>22</v>
      </c>
      <c r="C30">
        <f>'[1]VENTAS CONSOLIDADA LARA'!C30</f>
        <v>362</v>
      </c>
      <c r="D30" s="5">
        <f t="shared" ca="1" si="0"/>
        <v>40.222222222222221</v>
      </c>
      <c r="E30" s="5">
        <f t="shared" ca="1" si="1"/>
        <v>884.88888888888891</v>
      </c>
    </row>
    <row r="31" spans="1:5" x14ac:dyDescent="0.25">
      <c r="A31">
        <v>131151</v>
      </c>
      <c r="B31" t="s">
        <v>19</v>
      </c>
      <c r="C31">
        <f>'[1]VENTAS CONSOLIDADA LARA'!C31</f>
        <v>1020</v>
      </c>
      <c r="D31" s="5">
        <f t="shared" ca="1" si="0"/>
        <v>113.33333333333333</v>
      </c>
      <c r="E31" s="5">
        <f t="shared" ca="1" si="1"/>
        <v>2493.333333333333</v>
      </c>
    </row>
    <row r="32" spans="1:5" x14ac:dyDescent="0.25">
      <c r="A32">
        <v>131152</v>
      </c>
      <c r="B32" t="s">
        <v>32</v>
      </c>
      <c r="C32">
        <f>'[1]VENTAS CONSOLIDADA LARA'!C32</f>
        <v>496</v>
      </c>
      <c r="D32" s="5">
        <f t="shared" ca="1" si="0"/>
        <v>55.111111111111114</v>
      </c>
      <c r="E32" s="5">
        <f t="shared" ca="1" si="1"/>
        <v>1212.4444444444446</v>
      </c>
    </row>
    <row r="33" spans="1:5" x14ac:dyDescent="0.25">
      <c r="A33">
        <v>131153</v>
      </c>
      <c r="B33" t="s">
        <v>11</v>
      </c>
      <c r="C33">
        <f>'[1]VENTAS CONSOLIDADA LARA'!C33</f>
        <v>326</v>
      </c>
      <c r="D33" s="5">
        <f t="shared" ca="1" si="0"/>
        <v>36.222222222222221</v>
      </c>
      <c r="E33" s="5">
        <f t="shared" ca="1" si="1"/>
        <v>796.88888888888891</v>
      </c>
    </row>
    <row r="34" spans="1:5" x14ac:dyDescent="0.25">
      <c r="A34">
        <v>131154</v>
      </c>
      <c r="B34" t="s">
        <v>48</v>
      </c>
      <c r="C34">
        <f>'[1]VENTAS CONSOLIDADA LARA'!C34</f>
        <v>418</v>
      </c>
      <c r="D34" s="5">
        <f t="shared" ca="1" si="0"/>
        <v>46.444444444444443</v>
      </c>
      <c r="E34" s="5">
        <f t="shared" ca="1" si="1"/>
        <v>1021.7777777777777</v>
      </c>
    </row>
    <row r="35" spans="1:5" x14ac:dyDescent="0.25">
      <c r="A35">
        <v>131155</v>
      </c>
      <c r="B35" t="s">
        <v>57</v>
      </c>
      <c r="C35">
        <f>'[1]VENTAS CONSOLIDADA LARA'!C35</f>
        <v>477</v>
      </c>
      <c r="D35" s="5">
        <f t="shared" ca="1" si="0"/>
        <v>53</v>
      </c>
      <c r="E35" s="5">
        <f t="shared" ca="1" si="1"/>
        <v>1166</v>
      </c>
    </row>
    <row r="36" spans="1:5" x14ac:dyDescent="0.25">
      <c r="A36">
        <v>131700</v>
      </c>
      <c r="B36" t="s">
        <v>20</v>
      </c>
      <c r="C36">
        <f>'[1]VENTAS CONSOLIDADA LARA'!C36</f>
        <v>82</v>
      </c>
      <c r="D36" s="5">
        <f t="shared" ca="1" si="0"/>
        <v>9.1111111111111107</v>
      </c>
      <c r="E36" s="5">
        <f t="shared" ca="1" si="1"/>
        <v>200.44444444444443</v>
      </c>
    </row>
    <row r="37" spans="1:5" x14ac:dyDescent="0.25">
      <c r="A37">
        <v>131701</v>
      </c>
      <c r="B37" t="s">
        <v>24</v>
      </c>
      <c r="C37">
        <f>'[1]VENTAS CONSOLIDADA LARA'!C37</f>
        <v>138</v>
      </c>
      <c r="D37" s="5">
        <f t="shared" ca="1" si="0"/>
        <v>15.333333333333334</v>
      </c>
      <c r="E37" s="5">
        <f t="shared" ca="1" si="1"/>
        <v>337.33333333333337</v>
      </c>
    </row>
    <row r="38" spans="1:5" x14ac:dyDescent="0.25">
      <c r="A38">
        <v>132150</v>
      </c>
      <c r="B38" t="s">
        <v>25</v>
      </c>
      <c r="C38">
        <f>'[1]VENTAS CONSOLIDADA LARA'!C38</f>
        <v>1114</v>
      </c>
      <c r="D38" s="5">
        <f t="shared" ca="1" si="0"/>
        <v>123.77777777777777</v>
      </c>
      <c r="E38" s="5">
        <f t="shared" ca="1" si="1"/>
        <v>2723.1111111111109</v>
      </c>
    </row>
    <row r="39" spans="1:5" x14ac:dyDescent="0.25">
      <c r="A39">
        <v>132151</v>
      </c>
      <c r="B39" t="s">
        <v>26</v>
      </c>
      <c r="C39">
        <f>'[1]VENTAS CONSOLIDADA LARA'!C39</f>
        <v>583</v>
      </c>
      <c r="D39" s="5">
        <f t="shared" ca="1" si="0"/>
        <v>64.777777777777771</v>
      </c>
      <c r="E39" s="5">
        <f t="shared" ca="1" si="1"/>
        <v>1425.1111111111109</v>
      </c>
    </row>
    <row r="40" spans="1:5" x14ac:dyDescent="0.25">
      <c r="A40">
        <v>132152</v>
      </c>
      <c r="B40" t="s">
        <v>27</v>
      </c>
      <c r="C40">
        <f>'[1]VENTAS CONSOLIDADA LARA'!C40</f>
        <v>913</v>
      </c>
      <c r="D40" s="5">
        <f t="shared" ca="1" si="0"/>
        <v>101.44444444444444</v>
      </c>
      <c r="E40" s="5">
        <f t="shared" ca="1" si="1"/>
        <v>2231.7777777777778</v>
      </c>
    </row>
    <row r="41" spans="1:5" x14ac:dyDescent="0.25">
      <c r="A41">
        <v>132153</v>
      </c>
      <c r="B41" t="s">
        <v>40</v>
      </c>
      <c r="C41">
        <f>'[1]VENTAS CONSOLIDADA LARA'!C41</f>
        <v>373</v>
      </c>
      <c r="D41" s="5">
        <f t="shared" ca="1" si="0"/>
        <v>41.444444444444443</v>
      </c>
      <c r="E41" s="5">
        <f t="shared" ca="1" si="1"/>
        <v>911.77777777777771</v>
      </c>
    </row>
    <row r="42" spans="1:5" x14ac:dyDescent="0.25">
      <c r="A42">
        <v>134000</v>
      </c>
      <c r="B42" t="s">
        <v>35</v>
      </c>
      <c r="C42">
        <f>'[1]VENTAS CONSOLIDADA LARA'!C42</f>
        <v>11</v>
      </c>
      <c r="D42" s="5">
        <f t="shared" ca="1" si="0"/>
        <v>1.2222222222222223</v>
      </c>
      <c r="E42" s="5">
        <f t="shared" ca="1" si="1"/>
        <v>26.888888888888893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144</v>
      </c>
      <c r="D44" s="5">
        <f t="shared" ca="1" si="0"/>
        <v>16</v>
      </c>
      <c r="E44" s="5">
        <f t="shared" ca="1" si="1"/>
        <v>352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10.222222222222221</v>
      </c>
      <c r="E45" s="5">
        <f t="shared" ca="1" si="1"/>
        <v>224.88888888888886</v>
      </c>
    </row>
    <row r="46" spans="1:5" x14ac:dyDescent="0.25">
      <c r="A46">
        <v>140232</v>
      </c>
      <c r="B46" t="s">
        <v>9</v>
      </c>
      <c r="C46">
        <f>'[1]VENTAS CONSOLIDADA LARA'!C46</f>
        <v>355</v>
      </c>
      <c r="D46" s="5">
        <f t="shared" ca="1" si="0"/>
        <v>39.444444444444443</v>
      </c>
      <c r="E46" s="5">
        <f t="shared" ca="1" si="1"/>
        <v>867.77777777777771</v>
      </c>
    </row>
    <row r="47" spans="1:5" x14ac:dyDescent="0.25">
      <c r="A47">
        <v>150360</v>
      </c>
      <c r="B47" t="s">
        <v>28</v>
      </c>
      <c r="C47">
        <f>'[1]VENTAS CONSOLIDADA LARA'!C47</f>
        <v>102</v>
      </c>
      <c r="D47" s="5">
        <f t="shared" ca="1" si="0"/>
        <v>11.333333333333334</v>
      </c>
      <c r="E47" s="5">
        <f t="shared" ca="1" si="1"/>
        <v>249.33333333333334</v>
      </c>
    </row>
    <row r="48" spans="1:5" x14ac:dyDescent="0.25">
      <c r="A48">
        <v>150361</v>
      </c>
      <c r="B48" t="s">
        <v>29</v>
      </c>
      <c r="C48">
        <f>'[1]VENTAS CONSOLIDADA LARA'!C48</f>
        <v>168</v>
      </c>
      <c r="D48" s="5">
        <f t="shared" ca="1" si="0"/>
        <v>18.666666666666668</v>
      </c>
      <c r="E48" s="5">
        <f t="shared" ca="1" si="1"/>
        <v>410.66666666666669</v>
      </c>
    </row>
    <row r="49" spans="1:5" x14ac:dyDescent="0.25">
      <c r="A49">
        <v>150362</v>
      </c>
      <c r="B49" t="s">
        <v>36</v>
      </c>
      <c r="C49">
        <f>'[1]VENTAS CONSOLIDADA LARA'!C49</f>
        <v>136</v>
      </c>
      <c r="D49" s="5">
        <f t="shared" ca="1" si="0"/>
        <v>15.111111111111111</v>
      </c>
      <c r="E49" s="5">
        <f t="shared" ca="1" si="1"/>
        <v>332.44444444444446</v>
      </c>
    </row>
    <row r="50" spans="1:5" x14ac:dyDescent="0.25">
      <c r="A50">
        <v>150363</v>
      </c>
      <c r="B50" t="s">
        <v>31</v>
      </c>
      <c r="C50">
        <f>'[1]VENTAS CONSOLIDADA LARA'!C50</f>
        <v>193</v>
      </c>
      <c r="D50" s="5">
        <f t="shared" ca="1" si="0"/>
        <v>21.444444444444443</v>
      </c>
      <c r="E50" s="5">
        <f t="shared" ca="1" si="1"/>
        <v>471.77777777777771</v>
      </c>
    </row>
    <row r="51" spans="1:5" x14ac:dyDescent="0.25">
      <c r="A51">
        <v>151500</v>
      </c>
      <c r="B51" t="s">
        <v>41</v>
      </c>
      <c r="C51">
        <f>'[1]VENTAS CONSOLIDADA LARA'!C51</f>
        <v>51</v>
      </c>
      <c r="D51" s="5">
        <f t="shared" ca="1" si="0"/>
        <v>5.666666666666667</v>
      </c>
      <c r="E51" s="5">
        <f t="shared" ca="1" si="1"/>
        <v>124.66666666666667</v>
      </c>
    </row>
    <row r="52" spans="1:5" x14ac:dyDescent="0.25">
      <c r="A52">
        <v>151501</v>
      </c>
      <c r="B52" t="s">
        <v>33</v>
      </c>
      <c r="C52">
        <f>'[1]VENTAS CONSOLIDADA LARA'!C52</f>
        <v>143</v>
      </c>
      <c r="D52" s="5">
        <f t="shared" ca="1" si="0"/>
        <v>15.888888888888889</v>
      </c>
      <c r="E52" s="5">
        <f t="shared" ca="1" si="1"/>
        <v>349.55555555555554</v>
      </c>
    </row>
    <row r="53" spans="1:5" x14ac:dyDescent="0.25">
      <c r="A53">
        <v>151502</v>
      </c>
      <c r="B53" t="s">
        <v>37</v>
      </c>
      <c r="C53">
        <f>'[1]VENTAS CONSOLIDADA LARA'!C53</f>
        <v>33</v>
      </c>
      <c r="D53" s="5">
        <f t="shared" ca="1" si="0"/>
        <v>3.6666666666666665</v>
      </c>
      <c r="E53" s="5">
        <f t="shared" ca="1" si="1"/>
        <v>80.666666666666657</v>
      </c>
    </row>
    <row r="54" spans="1:5" x14ac:dyDescent="0.25">
      <c r="A54">
        <v>151503</v>
      </c>
      <c r="B54" t="s">
        <v>34</v>
      </c>
      <c r="C54">
        <f>'[1]VENTAS CONSOLIDADA LARA'!C54</f>
        <v>27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5">
        <f ca="1">SUM(D8:D54)</f>
        <v>3483.3333333333335</v>
      </c>
      <c r="E55" s="5">
        <f ca="1">SUM(E8:E54)</f>
        <v>76633.333333333372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46279</v>
      </c>
      <c r="E2" s="4">
        <f ca="1">'[1]VENTAS CONSOLIDADA ANZOATEGUI'!E2</f>
        <v>9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354</v>
      </c>
      <c r="D8" s="5">
        <f t="shared" ref="D8:D54" ca="1" si="0">C8/$E$2</f>
        <v>39.333333333333336</v>
      </c>
      <c r="E8" s="5">
        <f t="shared" ref="E8:E54" ca="1" si="1">D8*($E$2+$E$3)</f>
        <v>865.33333333333337</v>
      </c>
    </row>
    <row r="9" spans="1:5" x14ac:dyDescent="0.25">
      <c r="A9">
        <v>110151</v>
      </c>
      <c r="B9" t="s">
        <v>5</v>
      </c>
      <c r="C9">
        <f>'[1]VENTAS CONSOLIDADA ANZOATEGUI'!C9</f>
        <v>38</v>
      </c>
      <c r="D9" s="5">
        <f t="shared" ca="1" si="0"/>
        <v>4.2222222222222223</v>
      </c>
      <c r="E9" s="5">
        <f t="shared" ca="1" si="1"/>
        <v>92.888888888888886</v>
      </c>
    </row>
    <row r="10" spans="1:5" x14ac:dyDescent="0.25">
      <c r="A10">
        <v>110230</v>
      </c>
      <c r="B10" t="s">
        <v>1</v>
      </c>
      <c r="C10">
        <f>'[1]VENTAS CONSOLIDADA ANZOATEGUI'!C10</f>
        <v>97</v>
      </c>
      <c r="D10" s="5">
        <f t="shared" ca="1" si="0"/>
        <v>10.777777777777779</v>
      </c>
      <c r="E10" s="5">
        <f t="shared" ca="1" si="1"/>
        <v>237.11111111111114</v>
      </c>
    </row>
    <row r="11" spans="1:5" x14ac:dyDescent="0.25">
      <c r="A11">
        <v>110400</v>
      </c>
      <c r="B11" t="s">
        <v>13</v>
      </c>
      <c r="C11">
        <f>'[1]VENTAS CONSOLIDADA ANZOATEGUI'!C11</f>
        <v>16</v>
      </c>
      <c r="D11" s="5">
        <f t="shared" ca="1" si="0"/>
        <v>1.7777777777777777</v>
      </c>
      <c r="E11" s="5">
        <f t="shared" ca="1" si="1"/>
        <v>39.111111111111107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0.55555555555555558</v>
      </c>
      <c r="E12" s="5">
        <f t="shared" ca="1" si="1"/>
        <v>12.222222222222223</v>
      </c>
    </row>
    <row r="13" spans="1:5" x14ac:dyDescent="0.25">
      <c r="A13">
        <v>120130</v>
      </c>
      <c r="B13" t="s">
        <v>15</v>
      </c>
      <c r="C13">
        <f>'[1]VENTAS CONSOLIDADA ANZOATEGUI'!C13</f>
        <v>508</v>
      </c>
      <c r="D13" s="5">
        <f t="shared" ca="1" si="0"/>
        <v>56.444444444444443</v>
      </c>
      <c r="E13" s="5">
        <f t="shared" ca="1" si="1"/>
        <v>1241.7777777777778</v>
      </c>
    </row>
    <row r="14" spans="1:5" x14ac:dyDescent="0.25">
      <c r="A14">
        <v>120131</v>
      </c>
      <c r="B14" t="s">
        <v>23</v>
      </c>
      <c r="C14">
        <f>'[1]VENTAS CONSOLIDADA ANZOATEGUI'!C14</f>
        <v>20</v>
      </c>
      <c r="D14" s="5">
        <f t="shared" ca="1" si="0"/>
        <v>2.2222222222222223</v>
      </c>
      <c r="E14" s="5">
        <f t="shared" ca="1" si="1"/>
        <v>48.888888888888893</v>
      </c>
    </row>
    <row r="15" spans="1:5" x14ac:dyDescent="0.25">
      <c r="A15">
        <v>120132</v>
      </c>
      <c r="B15" t="s">
        <v>21</v>
      </c>
      <c r="C15">
        <f>'[1]VENTAS CONSOLIDADA ANZOATEGUI'!C15</f>
        <v>59</v>
      </c>
      <c r="D15" s="5">
        <f t="shared" ca="1" si="0"/>
        <v>6.5555555555555554</v>
      </c>
      <c r="E15" s="5">
        <f t="shared" ca="1" si="1"/>
        <v>144.22222222222223</v>
      </c>
    </row>
    <row r="16" spans="1:5" x14ac:dyDescent="0.25">
      <c r="A16">
        <v>130150</v>
      </c>
      <c r="B16" t="s">
        <v>0</v>
      </c>
      <c r="C16">
        <f>'[1]VENTAS CONSOLIDADA ANZOATEGUI'!C16</f>
        <v>173</v>
      </c>
      <c r="D16" s="5">
        <f t="shared" ca="1" si="0"/>
        <v>19.222222222222221</v>
      </c>
      <c r="E16" s="5">
        <f t="shared" ca="1" si="1"/>
        <v>422.88888888888886</v>
      </c>
    </row>
    <row r="17" spans="1:5" x14ac:dyDescent="0.25">
      <c r="A17">
        <v>130151</v>
      </c>
      <c r="B17" t="s">
        <v>4</v>
      </c>
      <c r="C17">
        <f>'[1]VENTAS CONSOLIDADA ANZOATEGUI'!C17</f>
        <v>42</v>
      </c>
      <c r="D17" s="5">
        <f t="shared" ca="1" si="0"/>
        <v>4.666666666666667</v>
      </c>
      <c r="E17" s="5">
        <f t="shared" ca="1" si="1"/>
        <v>102.66666666666667</v>
      </c>
    </row>
    <row r="18" spans="1:5" x14ac:dyDescent="0.25">
      <c r="A18">
        <v>130152</v>
      </c>
      <c r="B18" t="s">
        <v>51</v>
      </c>
      <c r="C18">
        <f>'[1]VENTAS CONSOLIDADA ANZOATEGUI'!C18</f>
        <v>1213</v>
      </c>
      <c r="D18" s="5">
        <f t="shared" ca="1" si="0"/>
        <v>134.77777777777777</v>
      </c>
      <c r="E18" s="5">
        <f t="shared" ca="1" si="1"/>
        <v>2965.1111111111109</v>
      </c>
    </row>
    <row r="19" spans="1:5" x14ac:dyDescent="0.25">
      <c r="A19">
        <v>130153</v>
      </c>
      <c r="B19" t="s">
        <v>52</v>
      </c>
      <c r="C19">
        <f>'[1]VENTAS CONSOLIDADA ANZOATEGUI'!C19</f>
        <v>704</v>
      </c>
      <c r="D19" s="5">
        <f t="shared" ca="1" si="0"/>
        <v>78.222222222222229</v>
      </c>
      <c r="E19" s="5">
        <f t="shared" ca="1" si="1"/>
        <v>1720.8888888888891</v>
      </c>
    </row>
    <row r="20" spans="1:5" x14ac:dyDescent="0.25">
      <c r="A20">
        <v>130154</v>
      </c>
      <c r="B20" t="s">
        <v>53</v>
      </c>
      <c r="C20">
        <f>'[1]VENTAS CONSOLIDADA ANZOATEGUI'!C20</f>
        <v>944</v>
      </c>
      <c r="D20" s="5">
        <f t="shared" ca="1" si="0"/>
        <v>104.88888888888889</v>
      </c>
      <c r="E20" s="5">
        <f t="shared" ca="1" si="1"/>
        <v>2307.5555555555557</v>
      </c>
    </row>
    <row r="21" spans="1:5" x14ac:dyDescent="0.25">
      <c r="A21">
        <v>130155</v>
      </c>
      <c r="B21" t="s">
        <v>16</v>
      </c>
      <c r="C21">
        <f>'[1]VENTAS CONSOLIDADA ANZOATEGUI'!C21</f>
        <v>681</v>
      </c>
      <c r="D21" s="5">
        <f t="shared" ca="1" si="0"/>
        <v>75.666666666666671</v>
      </c>
      <c r="E21" s="5">
        <f t="shared" ca="1" si="1"/>
        <v>1664.6666666666667</v>
      </c>
    </row>
    <row r="22" spans="1:5" x14ac:dyDescent="0.25">
      <c r="A22">
        <v>130157</v>
      </c>
      <c r="B22" t="s">
        <v>43</v>
      </c>
      <c r="C22">
        <f>'[1]VENTAS CONSOLIDADA ANZOATEGUI'!C22</f>
        <v>199</v>
      </c>
      <c r="D22" s="5">
        <f t="shared" ca="1" si="0"/>
        <v>22.111111111111111</v>
      </c>
      <c r="E22" s="5">
        <f t="shared" ca="1" si="1"/>
        <v>486.44444444444446</v>
      </c>
    </row>
    <row r="23" spans="1:5" x14ac:dyDescent="0.25">
      <c r="A23">
        <v>130158</v>
      </c>
      <c r="B23" t="s">
        <v>44</v>
      </c>
      <c r="C23">
        <f>'[1]VENTAS CONSOLIDADA ANZOATEGUI'!C23</f>
        <v>265</v>
      </c>
      <c r="D23" s="5">
        <f t="shared" ca="1" si="0"/>
        <v>29.444444444444443</v>
      </c>
      <c r="E23" s="5">
        <f t="shared" ca="1" si="1"/>
        <v>647.77777777777771</v>
      </c>
    </row>
    <row r="24" spans="1:5" x14ac:dyDescent="0.25">
      <c r="A24">
        <v>130159</v>
      </c>
      <c r="B24" t="s">
        <v>45</v>
      </c>
      <c r="C24">
        <f>'[1]VENTAS CONSOLIDADA ANZOATEGUI'!C24</f>
        <v>269</v>
      </c>
      <c r="D24" s="5">
        <f t="shared" ca="1" si="0"/>
        <v>29.888888888888889</v>
      </c>
      <c r="E24" s="5">
        <f t="shared" ca="1" si="1"/>
        <v>657.55555555555554</v>
      </c>
    </row>
    <row r="25" spans="1:5" x14ac:dyDescent="0.25">
      <c r="A25">
        <v>130700</v>
      </c>
      <c r="B25" t="s">
        <v>3</v>
      </c>
      <c r="C25">
        <f>'[1]VENTAS CONSOLIDADA ANZOATEGUI'!C25</f>
        <v>22</v>
      </c>
      <c r="D25" s="5">
        <f t="shared" ca="1" si="0"/>
        <v>2.4444444444444446</v>
      </c>
      <c r="E25" s="5">
        <f t="shared" ca="1" si="1"/>
        <v>53.777777777777786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0.44444444444444442</v>
      </c>
      <c r="E26" s="5">
        <f t="shared" ca="1" si="1"/>
        <v>9.7777777777777768</v>
      </c>
    </row>
    <row r="27" spans="1:5" x14ac:dyDescent="0.25">
      <c r="A27">
        <v>130702</v>
      </c>
      <c r="B27" t="s">
        <v>12</v>
      </c>
      <c r="C27">
        <f>'[1]VENTAS CONSOLIDADA ANZOATEGUI'!C27</f>
        <v>67</v>
      </c>
      <c r="D27" s="5">
        <f t="shared" ca="1" si="0"/>
        <v>7.4444444444444446</v>
      </c>
      <c r="E27" s="5">
        <f t="shared" ca="1" si="1"/>
        <v>163.77777777777777</v>
      </c>
    </row>
    <row r="28" spans="1:5" x14ac:dyDescent="0.25">
      <c r="A28">
        <v>130703</v>
      </c>
      <c r="B28" t="s">
        <v>17</v>
      </c>
      <c r="C28">
        <f>'[1]VENTAS CONSOLIDADA ANZOATEGUI'!C28</f>
        <v>122</v>
      </c>
      <c r="D28" s="5">
        <f t="shared" ca="1" si="0"/>
        <v>13.555555555555555</v>
      </c>
      <c r="E28" s="5">
        <f t="shared" ca="1" si="1"/>
        <v>298.22222222222223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257</v>
      </c>
      <c r="D30" s="5">
        <f t="shared" ca="1" si="0"/>
        <v>28.555555555555557</v>
      </c>
      <c r="E30" s="5">
        <f t="shared" ca="1" si="1"/>
        <v>628.22222222222229</v>
      </c>
    </row>
    <row r="31" spans="1:5" x14ac:dyDescent="0.25">
      <c r="A31">
        <v>131151</v>
      </c>
      <c r="B31" t="s">
        <v>19</v>
      </c>
      <c r="C31">
        <f>'[1]VENTAS CONSOLIDADA ANZOATEGUI'!C31</f>
        <v>713</v>
      </c>
      <c r="D31" s="5">
        <f t="shared" ca="1" si="0"/>
        <v>79.222222222222229</v>
      </c>
      <c r="E31" s="5">
        <f t="shared" ca="1" si="1"/>
        <v>1742.8888888888891</v>
      </c>
    </row>
    <row r="32" spans="1:5" x14ac:dyDescent="0.25">
      <c r="A32">
        <v>131152</v>
      </c>
      <c r="B32" t="s">
        <v>32</v>
      </c>
      <c r="C32">
        <f>'[1]VENTAS CONSOLIDADA ANZOATEGUI'!C32</f>
        <v>557</v>
      </c>
      <c r="D32" s="5">
        <f t="shared" ca="1" si="0"/>
        <v>61.888888888888886</v>
      </c>
      <c r="E32" s="5">
        <f t="shared" ca="1" si="1"/>
        <v>1361.5555555555554</v>
      </c>
    </row>
    <row r="33" spans="1:5" x14ac:dyDescent="0.25">
      <c r="A33">
        <v>131153</v>
      </c>
      <c r="B33" t="s">
        <v>11</v>
      </c>
      <c r="C33">
        <f>'[1]VENTAS CONSOLIDADA ANZOATEGUI'!C33</f>
        <v>174</v>
      </c>
      <c r="D33" s="5">
        <f t="shared" ca="1" si="0"/>
        <v>19.333333333333332</v>
      </c>
      <c r="E33" s="5">
        <f t="shared" ca="1" si="1"/>
        <v>425.33333333333331</v>
      </c>
    </row>
    <row r="34" spans="1:5" x14ac:dyDescent="0.25">
      <c r="A34">
        <v>131154</v>
      </c>
      <c r="B34" t="s">
        <v>48</v>
      </c>
      <c r="C34">
        <f>'[1]VENTAS CONSOLIDADA ANZOATEGUI'!C34</f>
        <v>211</v>
      </c>
      <c r="D34" s="5">
        <f t="shared" ca="1" si="0"/>
        <v>23.444444444444443</v>
      </c>
      <c r="E34" s="5">
        <f t="shared" ca="1" si="1"/>
        <v>515.77777777777771</v>
      </c>
    </row>
    <row r="35" spans="1:5" x14ac:dyDescent="0.25">
      <c r="A35">
        <v>131155</v>
      </c>
      <c r="B35" t="s">
        <v>57</v>
      </c>
      <c r="C35">
        <f>'[1]VENTAS CONSOLIDADA ANZOATEGUI'!C35</f>
        <v>266</v>
      </c>
      <c r="D35" s="5">
        <f t="shared" ca="1" si="0"/>
        <v>29.555555555555557</v>
      </c>
      <c r="E35" s="5">
        <f t="shared" ca="1" si="1"/>
        <v>650.22222222222229</v>
      </c>
    </row>
    <row r="36" spans="1:5" x14ac:dyDescent="0.25">
      <c r="A36">
        <v>131700</v>
      </c>
      <c r="B36" t="s">
        <v>20</v>
      </c>
      <c r="C36">
        <f>'[1]VENTAS CONSOLIDADA ANZOATEGUI'!C36</f>
        <v>29</v>
      </c>
      <c r="D36" s="5">
        <f t="shared" ca="1" si="0"/>
        <v>3.2222222222222223</v>
      </c>
      <c r="E36" s="5">
        <f t="shared" ca="1" si="1"/>
        <v>70.888888888888886</v>
      </c>
    </row>
    <row r="37" spans="1:5" x14ac:dyDescent="0.25">
      <c r="A37">
        <v>131701</v>
      </c>
      <c r="B37" t="s">
        <v>24</v>
      </c>
      <c r="C37">
        <f>'[1]VENTAS CONSOLIDADA ANZOATEGUI'!C37</f>
        <v>62</v>
      </c>
      <c r="D37" s="5">
        <f t="shared" ca="1" si="0"/>
        <v>6.8888888888888893</v>
      </c>
      <c r="E37" s="5">
        <f t="shared" ca="1" si="1"/>
        <v>151.55555555555557</v>
      </c>
    </row>
    <row r="38" spans="1:5" x14ac:dyDescent="0.25">
      <c r="A38">
        <v>132150</v>
      </c>
      <c r="B38" t="s">
        <v>25</v>
      </c>
      <c r="C38">
        <f>'[1]VENTAS CONSOLIDADA ANZOATEGUI'!C38</f>
        <v>319</v>
      </c>
      <c r="D38" s="5">
        <f t="shared" ca="1" si="0"/>
        <v>35.444444444444443</v>
      </c>
      <c r="E38" s="5">
        <f t="shared" ca="1" si="1"/>
        <v>779.77777777777771</v>
      </c>
    </row>
    <row r="39" spans="1:5" x14ac:dyDescent="0.25">
      <c r="A39">
        <v>132151</v>
      </c>
      <c r="B39" t="s">
        <v>26</v>
      </c>
      <c r="C39">
        <f>'[1]VENTAS CONSOLIDADA ANZOATEGUI'!C39</f>
        <v>218</v>
      </c>
      <c r="D39" s="5">
        <f t="shared" ca="1" si="0"/>
        <v>24.222222222222221</v>
      </c>
      <c r="E39" s="5">
        <f t="shared" ca="1" si="1"/>
        <v>532.88888888888891</v>
      </c>
    </row>
    <row r="40" spans="1:5" x14ac:dyDescent="0.25">
      <c r="A40">
        <v>132152</v>
      </c>
      <c r="B40" t="s">
        <v>27</v>
      </c>
      <c r="C40">
        <f>'[1]VENTAS CONSOLIDADA ANZOATEGUI'!C40</f>
        <v>215</v>
      </c>
      <c r="D40" s="5">
        <f t="shared" ca="1" si="0"/>
        <v>23.888888888888889</v>
      </c>
      <c r="E40" s="5">
        <f t="shared" ca="1" si="1"/>
        <v>525.55555555555554</v>
      </c>
    </row>
    <row r="41" spans="1:5" x14ac:dyDescent="0.25">
      <c r="A41">
        <v>132153</v>
      </c>
      <c r="B41" t="s">
        <v>40</v>
      </c>
      <c r="C41">
        <f>'[1]VENTAS CONSOLIDADA ANZOATEGUI'!C41</f>
        <v>96</v>
      </c>
      <c r="D41" s="5">
        <f t="shared" ca="1" si="0"/>
        <v>10.666666666666666</v>
      </c>
      <c r="E41" s="5">
        <f t="shared" ca="1" si="1"/>
        <v>234.66666666666666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52</v>
      </c>
      <c r="D44" s="5">
        <f t="shared" ca="1" si="0"/>
        <v>5.7777777777777777</v>
      </c>
      <c r="E44" s="5">
        <f t="shared" ca="1" si="1"/>
        <v>127.11111111111111</v>
      </c>
    </row>
    <row r="45" spans="1:5" x14ac:dyDescent="0.25">
      <c r="A45">
        <v>140231</v>
      </c>
      <c r="B45" t="s">
        <v>10</v>
      </c>
      <c r="C45">
        <f>'[1]VENTAS CONSOLIDADA ANZOATEGUI'!C45</f>
        <v>389</v>
      </c>
      <c r="D45" s="5">
        <f t="shared" ca="1" si="0"/>
        <v>43.222222222222221</v>
      </c>
      <c r="E45" s="5">
        <f t="shared" ca="1" si="1"/>
        <v>950.88888888888891</v>
      </c>
    </row>
    <row r="46" spans="1:5" x14ac:dyDescent="0.25">
      <c r="A46">
        <v>140232</v>
      </c>
      <c r="B46" t="s">
        <v>9</v>
      </c>
      <c r="C46">
        <f>'[1]VENTAS CONSOLIDADA ANZOATEGUI'!C46</f>
        <v>43</v>
      </c>
      <c r="D46" s="5">
        <f t="shared" ca="1" si="0"/>
        <v>4.7777777777777777</v>
      </c>
      <c r="E46" s="5">
        <f t="shared" ca="1" si="1"/>
        <v>105.11111111111111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6.333333333333333</v>
      </c>
      <c r="E47" s="5">
        <f t="shared" ca="1" si="1"/>
        <v>139.33333333333331</v>
      </c>
    </row>
    <row r="48" spans="1:5" x14ac:dyDescent="0.25">
      <c r="A48">
        <v>150361</v>
      </c>
      <c r="B48" t="s">
        <v>29</v>
      </c>
      <c r="C48">
        <f>'[1]VENTAS CONSOLIDADA ANZOATEGUI'!C48</f>
        <v>191</v>
      </c>
      <c r="D48" s="5">
        <f t="shared" ca="1" si="0"/>
        <v>21.222222222222221</v>
      </c>
      <c r="E48" s="5">
        <f t="shared" ca="1" si="1"/>
        <v>466.88888888888886</v>
      </c>
    </row>
    <row r="49" spans="1:5" x14ac:dyDescent="0.25">
      <c r="A49">
        <v>150362</v>
      </c>
      <c r="B49" t="s">
        <v>36</v>
      </c>
      <c r="C49">
        <f>'[1]VENTAS CONSOLIDADA ANZOATEGUI'!C49</f>
        <v>55</v>
      </c>
      <c r="D49" s="5">
        <f t="shared" ca="1" si="0"/>
        <v>6.1111111111111107</v>
      </c>
      <c r="E49" s="5">
        <f t="shared" ca="1" si="1"/>
        <v>134.44444444444443</v>
      </c>
    </row>
    <row r="50" spans="1:5" x14ac:dyDescent="0.25">
      <c r="A50">
        <v>150363</v>
      </c>
      <c r="B50" t="s">
        <v>31</v>
      </c>
      <c r="C50">
        <f>'[1]VENTAS CONSOLIDADA ANZOATEGUI'!C50</f>
        <v>78</v>
      </c>
      <c r="D50" s="5">
        <f t="shared" ca="1" si="0"/>
        <v>8.6666666666666661</v>
      </c>
      <c r="E50" s="5">
        <f t="shared" ca="1" si="1"/>
        <v>190.66666666666666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0.44444444444444442</v>
      </c>
      <c r="E51" s="5">
        <f t="shared" ca="1" si="1"/>
        <v>9.7777777777777768</v>
      </c>
    </row>
    <row r="52" spans="1:5" x14ac:dyDescent="0.25">
      <c r="A52">
        <v>151501</v>
      </c>
      <c r="B52" t="s">
        <v>33</v>
      </c>
      <c r="C52">
        <f>'[1]VENTAS CONSOLIDADA ANZOATEGUI'!C52</f>
        <v>21</v>
      </c>
      <c r="D52" s="5">
        <f t="shared" ca="1" si="0"/>
        <v>2.3333333333333335</v>
      </c>
      <c r="E52" s="5">
        <f t="shared" ca="1" si="1"/>
        <v>51.333333333333336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11</v>
      </c>
      <c r="D54" s="5">
        <f t="shared" ca="1" si="0"/>
        <v>1.2222222222222223</v>
      </c>
      <c r="E54" s="5">
        <f t="shared" ca="1" si="1"/>
        <v>26.888888888888893</v>
      </c>
    </row>
    <row r="55" spans="1:5" x14ac:dyDescent="0.25">
      <c r="D55" s="7">
        <f ca="1">SUM(D8:D54)</f>
        <v>1091.1111111111109</v>
      </c>
      <c r="E55" s="7">
        <f ca="1">SUM(E8:E54)</f>
        <v>24004.444444444442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G23" sqref="G23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46279</v>
      </c>
      <c r="E2" s="4">
        <f ca="1">'[1]VENTAS CONSOLIDADA 1,0'!E2</f>
        <v>9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13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10060</v>
      </c>
      <c r="D8" s="5">
        <f t="shared" ref="D8:D54" ca="1" si="0">C8/$E$2</f>
        <v>1117.7777777777778</v>
      </c>
      <c r="E8" s="5">
        <f ca="1">D8*($E$2+$E$3)</f>
        <v>24591.111111111113</v>
      </c>
    </row>
    <row r="9" spans="1:5" x14ac:dyDescent="0.25">
      <c r="A9">
        <v>110151</v>
      </c>
      <c r="B9" t="s">
        <v>5</v>
      </c>
      <c r="C9">
        <f>'[1]VENTAS CONSOLIDADA 1,0'!C9</f>
        <v>699</v>
      </c>
      <c r="D9" s="5">
        <f t="shared" ca="1" si="0"/>
        <v>77.666666666666671</v>
      </c>
      <c r="E9" s="5">
        <f t="shared" ref="E9:E54" ca="1" si="1">D9*($E$2+$E$3)</f>
        <v>1708.6666666666667</v>
      </c>
    </row>
    <row r="10" spans="1:5" x14ac:dyDescent="0.25">
      <c r="A10">
        <v>110230</v>
      </c>
      <c r="B10" t="s">
        <v>1</v>
      </c>
      <c r="C10">
        <f>'[1]VENTAS CONSOLIDADA 1,0'!C10</f>
        <v>3800</v>
      </c>
      <c r="D10" s="5">
        <f t="shared" ca="1" si="0"/>
        <v>422.22222222222223</v>
      </c>
      <c r="E10" s="5">
        <f t="shared" ca="1" si="1"/>
        <v>9288.8888888888887</v>
      </c>
    </row>
    <row r="11" spans="1:5" x14ac:dyDescent="0.25">
      <c r="A11">
        <v>110400</v>
      </c>
      <c r="B11" t="s">
        <v>13</v>
      </c>
      <c r="C11">
        <f>'[1]VENTAS CONSOLIDADA 1,0'!C11</f>
        <v>875</v>
      </c>
      <c r="D11" s="5">
        <f t="shared" ca="1" si="0"/>
        <v>97.222222222222229</v>
      </c>
      <c r="E11" s="5">
        <f t="shared" ca="1" si="1"/>
        <v>2138.8888888888891</v>
      </c>
    </row>
    <row r="12" spans="1:5" x14ac:dyDescent="0.25">
      <c r="A12">
        <v>111000</v>
      </c>
      <c r="B12" t="s">
        <v>14</v>
      </c>
      <c r="C12">
        <f>'[1]VENTAS CONSOLIDADA 1,0'!C12</f>
        <v>119</v>
      </c>
      <c r="D12" s="5">
        <f t="shared" ca="1" si="0"/>
        <v>13.222222222222221</v>
      </c>
      <c r="E12" s="5">
        <f t="shared" ca="1" si="1"/>
        <v>290.88888888888886</v>
      </c>
    </row>
    <row r="13" spans="1:5" x14ac:dyDescent="0.25">
      <c r="A13">
        <v>120130</v>
      </c>
      <c r="B13" t="s">
        <v>15</v>
      </c>
      <c r="C13">
        <f>'[1]VENTAS CONSOLIDADA 1,0'!C13</f>
        <v>11835</v>
      </c>
      <c r="D13" s="5">
        <f t="shared" ca="1" si="0"/>
        <v>1315</v>
      </c>
      <c r="E13" s="5">
        <f t="shared" ca="1" si="1"/>
        <v>28930</v>
      </c>
    </row>
    <row r="14" spans="1:5" x14ac:dyDescent="0.25">
      <c r="A14">
        <v>120131</v>
      </c>
      <c r="B14" t="s">
        <v>23</v>
      </c>
      <c r="C14">
        <f>'[1]VENTAS CONSOLIDADA 1,0'!C14</f>
        <v>1188</v>
      </c>
      <c r="D14" s="5">
        <f t="shared" ca="1" si="0"/>
        <v>132</v>
      </c>
      <c r="E14" s="5">
        <f t="shared" ca="1" si="1"/>
        <v>2904</v>
      </c>
    </row>
    <row r="15" spans="1:5" x14ac:dyDescent="0.25">
      <c r="A15">
        <v>120132</v>
      </c>
      <c r="B15" t="s">
        <v>21</v>
      </c>
      <c r="C15">
        <f>'[1]VENTAS CONSOLIDADA 1,0'!C15</f>
        <v>2450</v>
      </c>
      <c r="D15" s="5">
        <f t="shared" ca="1" si="0"/>
        <v>272.22222222222223</v>
      </c>
      <c r="E15" s="5">
        <f t="shared" ca="1" si="1"/>
        <v>5988.8888888888887</v>
      </c>
    </row>
    <row r="16" spans="1:5" x14ac:dyDescent="0.25">
      <c r="A16">
        <v>130150</v>
      </c>
      <c r="B16" t="s">
        <v>0</v>
      </c>
      <c r="C16">
        <f>'[1]VENTAS CONSOLIDADA 1,0'!C16</f>
        <v>6188</v>
      </c>
      <c r="D16" s="5">
        <f t="shared" ca="1" si="0"/>
        <v>687.55555555555554</v>
      </c>
      <c r="E16" s="5">
        <f t="shared" ca="1" si="1"/>
        <v>15126.222222222223</v>
      </c>
    </row>
    <row r="17" spans="1:5" x14ac:dyDescent="0.25">
      <c r="A17">
        <v>130151</v>
      </c>
      <c r="B17" t="s">
        <v>4</v>
      </c>
      <c r="C17">
        <f>'[1]VENTAS CONSOLIDADA 1,0'!C17</f>
        <v>2885</v>
      </c>
      <c r="D17" s="5">
        <f t="shared" ca="1" si="0"/>
        <v>320.55555555555554</v>
      </c>
      <c r="E17" s="5">
        <f t="shared" ca="1" si="1"/>
        <v>7052.2222222222217</v>
      </c>
    </row>
    <row r="18" spans="1:5" x14ac:dyDescent="0.25">
      <c r="A18">
        <v>130152</v>
      </c>
      <c r="B18" t="s">
        <v>51</v>
      </c>
      <c r="C18">
        <f>'[1]VENTAS CONSOLIDADA 1,0'!C18</f>
        <v>29472</v>
      </c>
      <c r="D18" s="5">
        <f t="shared" ca="1" si="0"/>
        <v>3274.6666666666665</v>
      </c>
      <c r="E18" s="5">
        <f t="shared" ca="1" si="1"/>
        <v>72042.666666666657</v>
      </c>
    </row>
    <row r="19" spans="1:5" x14ac:dyDescent="0.25">
      <c r="A19">
        <v>130153</v>
      </c>
      <c r="B19" t="s">
        <v>52</v>
      </c>
      <c r="C19">
        <f>'[1]VENTAS CONSOLIDADA 1,0'!C19</f>
        <v>18119</v>
      </c>
      <c r="D19" s="5">
        <f t="shared" ca="1" si="0"/>
        <v>2013.2222222222222</v>
      </c>
      <c r="E19" s="5">
        <f t="shared" ca="1" si="1"/>
        <v>44290.888888888891</v>
      </c>
    </row>
    <row r="20" spans="1:5" x14ac:dyDescent="0.25">
      <c r="A20">
        <v>130154</v>
      </c>
      <c r="B20" t="s">
        <v>53</v>
      </c>
      <c r="C20">
        <f>'[1]VENTAS CONSOLIDADA 1,0'!C20</f>
        <v>19042</v>
      </c>
      <c r="D20" s="5">
        <f t="shared" ca="1" si="0"/>
        <v>2115.7777777777778</v>
      </c>
      <c r="E20" s="5">
        <f t="shared" ca="1" si="1"/>
        <v>46547.111111111109</v>
      </c>
    </row>
    <row r="21" spans="1:5" x14ac:dyDescent="0.25">
      <c r="A21">
        <v>130155</v>
      </c>
      <c r="B21" t="s">
        <v>16</v>
      </c>
      <c r="C21">
        <f>'[1]VENTAS CONSOLIDADA 1,0'!C21</f>
        <v>22752</v>
      </c>
      <c r="D21" s="5">
        <f t="shared" ca="1" si="0"/>
        <v>2528</v>
      </c>
      <c r="E21" s="5">
        <f t="shared" ca="1" si="1"/>
        <v>55616</v>
      </c>
    </row>
    <row r="22" spans="1:5" x14ac:dyDescent="0.25">
      <c r="A22">
        <v>130157</v>
      </c>
      <c r="B22" t="s">
        <v>43</v>
      </c>
      <c r="C22">
        <f>'[1]VENTAS CONSOLIDADA 1,0'!C22</f>
        <v>6107</v>
      </c>
      <c r="D22" s="5">
        <f t="shared" ca="1" si="0"/>
        <v>678.55555555555554</v>
      </c>
      <c r="E22" s="5">
        <f t="shared" ca="1" si="1"/>
        <v>14928.222222222223</v>
      </c>
    </row>
    <row r="23" spans="1:5" x14ac:dyDescent="0.25">
      <c r="A23">
        <v>130158</v>
      </c>
      <c r="B23" t="s">
        <v>44</v>
      </c>
      <c r="C23">
        <f>'[1]VENTAS CONSOLIDADA 1,0'!C23</f>
        <v>7290</v>
      </c>
      <c r="D23" s="5">
        <f t="shared" ca="1" si="0"/>
        <v>810</v>
      </c>
      <c r="E23" s="5">
        <f t="shared" ca="1" si="1"/>
        <v>17820</v>
      </c>
    </row>
    <row r="24" spans="1:5" x14ac:dyDescent="0.25">
      <c r="A24">
        <v>130159</v>
      </c>
      <c r="B24" t="s">
        <v>45</v>
      </c>
      <c r="C24">
        <f>'[1]VENTAS CONSOLIDADA 1,0'!C24</f>
        <v>7201</v>
      </c>
      <c r="D24" s="5">
        <f t="shared" ca="1" si="0"/>
        <v>800.11111111111109</v>
      </c>
      <c r="E24" s="5">
        <f t="shared" ca="1" si="1"/>
        <v>17602.444444444445</v>
      </c>
    </row>
    <row r="25" spans="1:5" x14ac:dyDescent="0.25">
      <c r="A25">
        <v>130700</v>
      </c>
      <c r="B25" t="s">
        <v>3</v>
      </c>
      <c r="C25">
        <f>'[1]VENTAS CONSOLIDADA 1,0'!C25</f>
        <v>2275</v>
      </c>
      <c r="D25" s="5">
        <f t="shared" ca="1" si="0"/>
        <v>252.77777777777777</v>
      </c>
      <c r="E25" s="5">
        <f t="shared" ca="1" si="1"/>
        <v>5561.1111111111113</v>
      </c>
    </row>
    <row r="26" spans="1:5" x14ac:dyDescent="0.25">
      <c r="A26">
        <v>130701</v>
      </c>
      <c r="B26" t="s">
        <v>30</v>
      </c>
      <c r="C26">
        <f>'[1]VENTAS CONSOLIDADA 1,0'!C26</f>
        <v>1072</v>
      </c>
      <c r="D26" s="5">
        <f t="shared" ca="1" si="0"/>
        <v>119.11111111111111</v>
      </c>
      <c r="E26" s="5">
        <f t="shared" ca="1" si="1"/>
        <v>2620.4444444444443</v>
      </c>
    </row>
    <row r="27" spans="1:5" x14ac:dyDescent="0.25">
      <c r="A27">
        <v>130702</v>
      </c>
      <c r="B27" t="s">
        <v>12</v>
      </c>
      <c r="C27">
        <f>'[1]VENTAS CONSOLIDADA 1,0'!C27</f>
        <v>4508</v>
      </c>
      <c r="D27" s="5">
        <f t="shared" ca="1" si="0"/>
        <v>500.88888888888891</v>
      </c>
      <c r="E27" s="5">
        <f t="shared" ca="1" si="1"/>
        <v>11019.555555555557</v>
      </c>
    </row>
    <row r="28" spans="1:5" x14ac:dyDescent="0.25">
      <c r="A28">
        <v>130703</v>
      </c>
      <c r="B28" t="s">
        <v>17</v>
      </c>
      <c r="C28">
        <f>'[1]VENTAS CONSOLIDADA 1,0'!C28</f>
        <v>7394</v>
      </c>
      <c r="D28" s="5">
        <f t="shared" ca="1" si="0"/>
        <v>821.55555555555554</v>
      </c>
      <c r="E28" s="5">
        <f t="shared" ca="1" si="1"/>
        <v>18074.222222222223</v>
      </c>
    </row>
    <row r="29" spans="1:5" x14ac:dyDescent="0.25">
      <c r="A29">
        <v>130707</v>
      </c>
      <c r="B29" t="s">
        <v>42</v>
      </c>
      <c r="C29">
        <f>'[1]VENTAS CONSOLIDADA 1,0'!C29</f>
        <v>620</v>
      </c>
      <c r="D29" s="5">
        <f t="shared" ca="1" si="0"/>
        <v>68.888888888888886</v>
      </c>
      <c r="E29" s="5">
        <f t="shared" ca="1" si="1"/>
        <v>1515.5555555555554</v>
      </c>
    </row>
    <row r="30" spans="1:5" x14ac:dyDescent="0.25">
      <c r="A30">
        <v>131150</v>
      </c>
      <c r="B30" t="s">
        <v>22</v>
      </c>
      <c r="C30">
        <f>'[1]VENTAS CONSOLIDADA 1,0'!C30</f>
        <v>5936</v>
      </c>
      <c r="D30" s="5">
        <f t="shared" ca="1" si="0"/>
        <v>659.55555555555554</v>
      </c>
      <c r="E30" s="5">
        <f t="shared" ca="1" si="1"/>
        <v>14510.222222222223</v>
      </c>
    </row>
    <row r="31" spans="1:5" x14ac:dyDescent="0.25">
      <c r="A31">
        <v>131151</v>
      </c>
      <c r="B31" t="s">
        <v>19</v>
      </c>
      <c r="C31">
        <f>'[1]VENTAS CONSOLIDADA 1,0'!C31</f>
        <v>8619</v>
      </c>
      <c r="D31" s="5">
        <f t="shared" ca="1" si="0"/>
        <v>957.66666666666663</v>
      </c>
      <c r="E31" s="5">
        <f t="shared" ca="1" si="1"/>
        <v>21068.666666666664</v>
      </c>
    </row>
    <row r="32" spans="1:5" x14ac:dyDescent="0.25">
      <c r="A32">
        <v>131152</v>
      </c>
      <c r="B32" t="s">
        <v>32</v>
      </c>
      <c r="C32">
        <f>'[1]VENTAS CONSOLIDADA 1,0'!C32</f>
        <v>4587</v>
      </c>
      <c r="D32" s="5">
        <f t="shared" ca="1" si="0"/>
        <v>509.66666666666669</v>
      </c>
      <c r="E32" s="5">
        <f t="shared" ca="1" si="1"/>
        <v>11212.666666666668</v>
      </c>
    </row>
    <row r="33" spans="1:5" x14ac:dyDescent="0.25">
      <c r="A33">
        <v>131153</v>
      </c>
      <c r="B33" t="s">
        <v>11</v>
      </c>
      <c r="C33">
        <f>'[1]VENTAS CONSOLIDADA 1,0'!C33</f>
        <v>3399</v>
      </c>
      <c r="D33" s="5">
        <f t="shared" ca="1" si="0"/>
        <v>377.66666666666669</v>
      </c>
      <c r="E33" s="5">
        <f t="shared" ca="1" si="1"/>
        <v>8308.6666666666679</v>
      </c>
    </row>
    <row r="34" spans="1:5" x14ac:dyDescent="0.25">
      <c r="A34">
        <v>131154</v>
      </c>
      <c r="B34" t="s">
        <v>48</v>
      </c>
      <c r="C34">
        <f>'[1]VENTAS CONSOLIDADA 1,0'!C34</f>
        <v>1919</v>
      </c>
      <c r="D34" s="5">
        <f t="shared" ca="1" si="0"/>
        <v>213.22222222222223</v>
      </c>
      <c r="E34" s="5">
        <f t="shared" ca="1" si="1"/>
        <v>4690.8888888888887</v>
      </c>
    </row>
    <row r="35" spans="1:5" x14ac:dyDescent="0.25">
      <c r="A35">
        <v>131155</v>
      </c>
      <c r="B35" t="s">
        <v>57</v>
      </c>
      <c r="C35">
        <f>'[1]VENTAS CONSOLIDADA 1,0'!C35</f>
        <v>2232</v>
      </c>
      <c r="D35" s="5">
        <f t="shared" ca="1" si="0"/>
        <v>248</v>
      </c>
      <c r="E35" s="5">
        <f t="shared" ca="1" si="1"/>
        <v>5456</v>
      </c>
    </row>
    <row r="36" spans="1:5" x14ac:dyDescent="0.25">
      <c r="A36">
        <v>131700</v>
      </c>
      <c r="B36" t="s">
        <v>20</v>
      </c>
      <c r="C36">
        <f>'[1]VENTAS CONSOLIDADA 1,0'!C36</f>
        <v>1112</v>
      </c>
      <c r="D36" s="5">
        <f t="shared" ca="1" si="0"/>
        <v>123.55555555555556</v>
      </c>
      <c r="E36" s="5">
        <f t="shared" ca="1" si="1"/>
        <v>2718.2222222222222</v>
      </c>
    </row>
    <row r="37" spans="1:5" x14ac:dyDescent="0.25">
      <c r="A37">
        <v>131701</v>
      </c>
      <c r="B37" t="s">
        <v>24</v>
      </c>
      <c r="C37">
        <f>'[1]VENTAS CONSOLIDADA 1,0'!C37</f>
        <v>1148</v>
      </c>
      <c r="D37" s="5">
        <f t="shared" ca="1" si="0"/>
        <v>127.55555555555556</v>
      </c>
      <c r="E37" s="5">
        <f t="shared" ca="1" si="1"/>
        <v>2806.2222222222222</v>
      </c>
    </row>
    <row r="38" spans="1:5" x14ac:dyDescent="0.25">
      <c r="A38">
        <v>132150</v>
      </c>
      <c r="B38" t="s">
        <v>25</v>
      </c>
      <c r="C38">
        <f>'[1]VENTAS CONSOLIDADA 1,0'!C38</f>
        <v>6731</v>
      </c>
      <c r="D38" s="5">
        <f t="shared" ca="1" si="0"/>
        <v>747.88888888888891</v>
      </c>
      <c r="E38" s="5">
        <f t="shared" ca="1" si="1"/>
        <v>16453.555555555555</v>
      </c>
    </row>
    <row r="39" spans="1:5" x14ac:dyDescent="0.25">
      <c r="A39">
        <v>132151</v>
      </c>
      <c r="B39" t="s">
        <v>26</v>
      </c>
      <c r="C39">
        <f>'[1]VENTAS CONSOLIDADA 1,0'!C39</f>
        <v>5173</v>
      </c>
      <c r="D39" s="5">
        <f t="shared" ca="1" si="0"/>
        <v>574.77777777777783</v>
      </c>
      <c r="E39" s="5">
        <f t="shared" ca="1" si="1"/>
        <v>12645.111111111113</v>
      </c>
    </row>
    <row r="40" spans="1:5" x14ac:dyDescent="0.25">
      <c r="A40">
        <v>132152</v>
      </c>
      <c r="B40" t="s">
        <v>27</v>
      </c>
      <c r="C40">
        <f>'[1]VENTAS CONSOLIDADA 1,0'!C40</f>
        <v>6824</v>
      </c>
      <c r="D40" s="5">
        <f t="shared" ca="1" si="0"/>
        <v>758.22222222222217</v>
      </c>
      <c r="E40" s="5">
        <f t="shared" ca="1" si="1"/>
        <v>16680.888888888887</v>
      </c>
    </row>
    <row r="41" spans="1:5" x14ac:dyDescent="0.25">
      <c r="A41">
        <v>132153</v>
      </c>
      <c r="B41" t="s">
        <v>40</v>
      </c>
      <c r="C41">
        <f>'[1]VENTAS CONSOLIDADA 1,0'!C41</f>
        <v>4256</v>
      </c>
      <c r="D41" s="5">
        <f t="shared" ca="1" si="0"/>
        <v>472.88888888888891</v>
      </c>
      <c r="E41" s="5">
        <f t="shared" ca="1" si="1"/>
        <v>10403.555555555557</v>
      </c>
    </row>
    <row r="42" spans="1:5" x14ac:dyDescent="0.25">
      <c r="A42">
        <v>134000</v>
      </c>
      <c r="B42" t="s">
        <v>35</v>
      </c>
      <c r="C42">
        <f>'[1]VENTAS CONSOLIDADA 1,0'!C42</f>
        <v>46</v>
      </c>
      <c r="D42" s="5">
        <f t="shared" ca="1" si="0"/>
        <v>5.1111111111111107</v>
      </c>
      <c r="E42" s="5">
        <f t="shared" ca="1" si="1"/>
        <v>112.44444444444443</v>
      </c>
    </row>
    <row r="43" spans="1:5" x14ac:dyDescent="0.25">
      <c r="A43">
        <v>134001</v>
      </c>
      <c r="B43" t="s">
        <v>47</v>
      </c>
      <c r="C43">
        <f>'[1]VENTAS CONSOLIDADA 1,0'!C43</f>
        <v>6</v>
      </c>
      <c r="D43" s="5">
        <f t="shared" ca="1" si="0"/>
        <v>0.66666666666666663</v>
      </c>
      <c r="E43" s="5">
        <f t="shared" ca="1" si="1"/>
        <v>14.666666666666666</v>
      </c>
    </row>
    <row r="44" spans="1:5" x14ac:dyDescent="0.25">
      <c r="A44">
        <v>140230</v>
      </c>
      <c r="B44" t="s">
        <v>18</v>
      </c>
      <c r="C44">
        <f>'[1]VENTAS CONSOLIDADA 1,0'!C44</f>
        <v>1295</v>
      </c>
      <c r="D44" s="5">
        <f t="shared" ca="1" si="0"/>
        <v>143.88888888888889</v>
      </c>
      <c r="E44" s="5">
        <f t="shared" ca="1" si="1"/>
        <v>3165.5555555555557</v>
      </c>
    </row>
    <row r="45" spans="1:5" x14ac:dyDescent="0.25">
      <c r="A45">
        <v>140231</v>
      </c>
      <c r="B45" t="s">
        <v>10</v>
      </c>
      <c r="C45">
        <f>'[1]VENTAS CONSOLIDADA 1,0'!C45</f>
        <v>4583</v>
      </c>
      <c r="D45" s="5">
        <f t="shared" ca="1" si="0"/>
        <v>509.22222222222223</v>
      </c>
      <c r="E45" s="5">
        <f t="shared" ca="1" si="1"/>
        <v>11202.888888888889</v>
      </c>
    </row>
    <row r="46" spans="1:5" x14ac:dyDescent="0.25">
      <c r="A46">
        <v>140232</v>
      </c>
      <c r="B46" t="s">
        <v>9</v>
      </c>
      <c r="C46">
        <f>'[1]VENTAS CONSOLIDADA 1,0'!C46</f>
        <v>3741</v>
      </c>
      <c r="D46" s="5">
        <f t="shared" ca="1" si="0"/>
        <v>415.66666666666669</v>
      </c>
      <c r="E46" s="5">
        <f t="shared" ca="1" si="1"/>
        <v>9144.6666666666679</v>
      </c>
    </row>
    <row r="47" spans="1:5" x14ac:dyDescent="0.25">
      <c r="A47">
        <v>150360</v>
      </c>
      <c r="B47" t="s">
        <v>28</v>
      </c>
      <c r="C47">
        <f>'[1]VENTAS CONSOLIDADA 1,0'!C47</f>
        <v>1599</v>
      </c>
      <c r="D47" s="5">
        <f t="shared" ca="1" si="0"/>
        <v>177.66666666666666</v>
      </c>
      <c r="E47" s="5">
        <f t="shared" ca="1" si="1"/>
        <v>3908.6666666666665</v>
      </c>
    </row>
    <row r="48" spans="1:5" x14ac:dyDescent="0.25">
      <c r="A48">
        <v>150361</v>
      </c>
      <c r="B48" t="s">
        <v>29</v>
      </c>
      <c r="C48">
        <f>'[1]VENTAS CONSOLIDADA 1,0'!C48</f>
        <v>4152</v>
      </c>
      <c r="D48" s="5">
        <f t="shared" ca="1" si="0"/>
        <v>461.33333333333331</v>
      </c>
      <c r="E48" s="5">
        <f t="shared" ca="1" si="1"/>
        <v>10149.333333333332</v>
      </c>
    </row>
    <row r="49" spans="1:5" x14ac:dyDescent="0.25">
      <c r="A49">
        <v>150362</v>
      </c>
      <c r="B49" t="s">
        <v>36</v>
      </c>
      <c r="C49">
        <f>'[1]VENTAS CONSOLIDADA 1,0'!C49</f>
        <v>2662</v>
      </c>
      <c r="D49" s="5">
        <f t="shared" ca="1" si="0"/>
        <v>295.77777777777777</v>
      </c>
      <c r="E49" s="5">
        <f t="shared" ca="1" si="1"/>
        <v>6507.1111111111113</v>
      </c>
    </row>
    <row r="50" spans="1:5" x14ac:dyDescent="0.25">
      <c r="A50">
        <v>150363</v>
      </c>
      <c r="B50" t="s">
        <v>31</v>
      </c>
      <c r="C50">
        <f>'[1]VENTAS CONSOLIDADA 1,0'!C50</f>
        <v>1894</v>
      </c>
      <c r="D50" s="5">
        <f t="shared" ca="1" si="0"/>
        <v>210.44444444444446</v>
      </c>
      <c r="E50" s="5">
        <f t="shared" ca="1" si="1"/>
        <v>4629.7777777777783</v>
      </c>
    </row>
    <row r="51" spans="1:5" x14ac:dyDescent="0.25">
      <c r="A51">
        <v>151500</v>
      </c>
      <c r="B51" t="s">
        <v>41</v>
      </c>
      <c r="C51">
        <f>'[1]VENTAS CONSOLIDADA 1,0'!C51</f>
        <v>284</v>
      </c>
      <c r="D51" s="5">
        <f t="shared" ca="1" si="0"/>
        <v>31.555555555555557</v>
      </c>
      <c r="E51" s="5">
        <f t="shared" ca="1" si="1"/>
        <v>694.22222222222229</v>
      </c>
    </row>
    <row r="52" spans="1:5" x14ac:dyDescent="0.25">
      <c r="A52">
        <v>151501</v>
      </c>
      <c r="B52" t="s">
        <v>33</v>
      </c>
      <c r="C52">
        <f>'[1]VENTAS CONSOLIDADA 1,0'!C52</f>
        <v>973</v>
      </c>
      <c r="D52" s="5">
        <f t="shared" ca="1" si="0"/>
        <v>108.11111111111111</v>
      </c>
      <c r="E52" s="5">
        <f t="shared" ca="1" si="1"/>
        <v>2378.4444444444443</v>
      </c>
    </row>
    <row r="53" spans="1:5" x14ac:dyDescent="0.25">
      <c r="A53">
        <v>151502</v>
      </c>
      <c r="B53" t="s">
        <v>37</v>
      </c>
      <c r="C53">
        <f>'[1]VENTAS CONSOLIDADA 1,0'!C53</f>
        <v>410</v>
      </c>
      <c r="D53" s="5">
        <f t="shared" ca="1" si="0"/>
        <v>45.555555555555557</v>
      </c>
      <c r="E53" s="5">
        <f t="shared" ca="1" si="1"/>
        <v>1002.2222222222223</v>
      </c>
    </row>
    <row r="54" spans="1:5" x14ac:dyDescent="0.25">
      <c r="A54">
        <v>151503</v>
      </c>
      <c r="B54" t="s">
        <v>34</v>
      </c>
      <c r="C54">
        <f>'[1]VENTAS CONSOLIDADA 1,0'!C54</f>
        <v>585</v>
      </c>
      <c r="D54" s="5">
        <f t="shared" ca="1" si="0"/>
        <v>65</v>
      </c>
      <c r="E54" s="5">
        <f t="shared" ca="1" si="1"/>
        <v>1430</v>
      </c>
    </row>
    <row r="55" spans="1:5" x14ac:dyDescent="0.25">
      <c r="C55">
        <f>SUM(C8:C54)</f>
        <v>240117</v>
      </c>
      <c r="D55" s="5">
        <f ca="1">SUM(D8:D54)</f>
        <v>26679.666666666672</v>
      </c>
      <c r="E55" s="5">
        <f ca="1">SUM(E8:E54)</f>
        <v>586952.66666666686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AE93A93-CA27-4BDA-AA62-2C35967BA493}">
  <ds:schemaRefs/>
</ds:datastoreItem>
</file>

<file path=customXml/itemProps2.xml><?xml version="1.0" encoding="utf-8"?>
<ds:datastoreItem xmlns:ds="http://schemas.openxmlformats.org/officeDocument/2006/customXml" ds:itemID="{CAB6C292-B853-467D-B711-6EBB7D36CC58}">
  <ds:schemaRefs/>
</ds:datastoreItem>
</file>

<file path=customXml/itemProps3.xml><?xml version="1.0" encoding="utf-8"?>
<ds:datastoreItem xmlns:ds="http://schemas.openxmlformats.org/officeDocument/2006/customXml" ds:itemID="{7845B0CC-F2DA-4435-B3A8-0B67EEA59E3E}">
  <ds:schemaRefs/>
</ds:datastoreItem>
</file>

<file path=customXml/itemProps4.xml><?xml version="1.0" encoding="utf-8"?>
<ds:datastoreItem xmlns:ds="http://schemas.openxmlformats.org/officeDocument/2006/customXml" ds:itemID="{4DF253BA-E348-4CD2-AA4E-97FB2A32A7F0}">
  <ds:schemaRefs/>
</ds:datastoreItem>
</file>

<file path=customXml/itemProps5.xml><?xml version="1.0" encoding="utf-8"?>
<ds:datastoreItem xmlns:ds="http://schemas.openxmlformats.org/officeDocument/2006/customXml" ds:itemID="{CFB06E3D-1317-4F60-85DB-890000D02217}">
  <ds:schemaRefs/>
</ds:datastoreItem>
</file>

<file path=customXml/itemProps6.xml><?xml version="1.0" encoding="utf-8"?>
<ds:datastoreItem xmlns:ds="http://schemas.openxmlformats.org/officeDocument/2006/customXml" ds:itemID="{AF2AF42B-D484-4F26-B929-D7FB2E56F71D}">
  <ds:schemaRefs/>
</ds:datastoreItem>
</file>

<file path=customXml/itemProps7.xml><?xml version="1.0" encoding="utf-8"?>
<ds:datastoreItem xmlns:ds="http://schemas.openxmlformats.org/officeDocument/2006/customXml" ds:itemID="{B0CC2B14-7DD7-4033-8A48-822C26B12A45}">
  <ds:schemaRefs/>
</ds:datastoreItem>
</file>

<file path=customXml/itemProps8.xml><?xml version="1.0" encoding="utf-8"?>
<ds:datastoreItem xmlns:ds="http://schemas.openxmlformats.org/officeDocument/2006/customXml" ds:itemID="{8E0207D3-36B0-4047-99FA-B78F3EBADFAC}">
  <ds:schemaRefs/>
</ds:datastoreItem>
</file>

<file path=customXml/itemProps9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DEFC51E7-3E67-4621-B139-07F56E3C51B6}">
  <ds:schemaRefs/>
</ds:datastoreItem>
</file>

<file path=customXml/itemProps11.xml><?xml version="1.0" encoding="utf-8"?>
<ds:datastoreItem xmlns:ds="http://schemas.openxmlformats.org/officeDocument/2006/customXml" ds:itemID="{38DB5A37-2218-4EAC-B67D-146D68E76E36}">
  <ds:schemaRefs/>
</ds:datastoreItem>
</file>

<file path=customXml/itemProps12.xml><?xml version="1.0" encoding="utf-8"?>
<ds:datastoreItem xmlns:ds="http://schemas.openxmlformats.org/officeDocument/2006/customXml" ds:itemID="{1624F75C-FD6B-41DE-81B8-76266AB6E660}">
  <ds:schemaRefs/>
</ds:datastoreItem>
</file>

<file path=customXml/itemProps13.xml><?xml version="1.0" encoding="utf-8"?>
<ds:datastoreItem xmlns:ds="http://schemas.openxmlformats.org/officeDocument/2006/customXml" ds:itemID="{CC2043D8-989E-412C-8862-ACDB973E448B}">
  <ds:schemaRefs/>
</ds:datastoreItem>
</file>

<file path=customXml/itemProps14.xml><?xml version="1.0" encoding="utf-8"?>
<ds:datastoreItem xmlns:ds="http://schemas.openxmlformats.org/officeDocument/2006/customXml" ds:itemID="{0AD6CB95-564A-49A8-92C3-BDDCD21D69FF}">
  <ds:schemaRefs/>
</ds:datastoreItem>
</file>

<file path=customXml/itemProps15.xml><?xml version="1.0" encoding="utf-8"?>
<ds:datastoreItem xmlns:ds="http://schemas.openxmlformats.org/officeDocument/2006/customXml" ds:itemID="{F5D7323A-644E-4D3D-8486-43C2FFAD8146}">
  <ds:schemaRefs/>
</ds:datastoreItem>
</file>

<file path=customXml/itemProps16.xml><?xml version="1.0" encoding="utf-8"?>
<ds:datastoreItem xmlns:ds="http://schemas.openxmlformats.org/officeDocument/2006/customXml" ds:itemID="{084C0BCB-4732-44D2-A228-50E994334BF1}">
  <ds:schemaRefs/>
</ds:datastoreItem>
</file>

<file path=customXml/itemProps17.xml><?xml version="1.0" encoding="utf-8"?>
<ds:datastoreItem xmlns:ds="http://schemas.openxmlformats.org/officeDocument/2006/customXml" ds:itemID="{65BE5737-5D13-4B92-9A1E-66AAD091BECC}">
  <ds:schemaRefs/>
</ds:datastoreItem>
</file>

<file path=customXml/itemProps18.xml><?xml version="1.0" encoding="utf-8"?>
<ds:datastoreItem xmlns:ds="http://schemas.openxmlformats.org/officeDocument/2006/customXml" ds:itemID="{52FA8FE5-D878-4A8D-B664-9568032292DD}">
  <ds:schemaRefs/>
</ds:datastoreItem>
</file>

<file path=customXml/itemProps19.xml><?xml version="1.0" encoding="utf-8"?>
<ds:datastoreItem xmlns:ds="http://schemas.openxmlformats.org/officeDocument/2006/customXml" ds:itemID="{DB2ACCEB-6CC9-4D35-BDF4-AC9EF8C2F118}">
  <ds:schemaRefs/>
</ds:datastoreItem>
</file>

<file path=customXml/itemProps20.xml><?xml version="1.0" encoding="utf-8"?>
<ds:datastoreItem xmlns:ds="http://schemas.openxmlformats.org/officeDocument/2006/customXml" ds:itemID="{2FB7461A-5A6D-4ED3-B35C-48147355CF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2026-09-14T12:25:35Z</dcterms:modified>
</cp:coreProperties>
</file>