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6C878C9-CBE3-436B-91AA-0B48CEB21E46}" xr6:coauthVersionLast="47" xr6:coauthVersionMax="47" xr10:uidLastSave="{00000000-0000-0000-0000-000000000000}"/>
  <bookViews>
    <workbookView xWindow="-120" yWindow="-120" windowWidth="29040" windowHeight="15720" firstSheet="6" activeTab="9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2" l="1"/>
  <c r="H3" i="12"/>
  <c r="H4" i="11"/>
  <c r="H3" i="11"/>
  <c r="H4" i="10"/>
  <c r="H3" i="10"/>
  <c r="G3" i="10"/>
  <c r="F3" i="10"/>
  <c r="E3" i="10"/>
  <c r="D3" i="10"/>
  <c r="C3" i="10"/>
  <c r="B3" i="10"/>
  <c r="A3" i="10"/>
  <c r="H4" i="9"/>
  <c r="H3" i="9"/>
  <c r="H4" i="8"/>
  <c r="H3" i="8"/>
  <c r="G3" i="8"/>
  <c r="H4" i="7"/>
  <c r="H3" i="7"/>
  <c r="H4" i="6"/>
  <c r="H3" i="6"/>
  <c r="G3" i="6"/>
  <c r="H3" i="4"/>
  <c r="H3" i="2"/>
  <c r="G3" i="2"/>
  <c r="B3" i="1"/>
  <c r="C3" i="1"/>
  <c r="D3" i="1"/>
  <c r="E3" i="1"/>
  <c r="F3" i="1"/>
  <c r="G3" i="1"/>
  <c r="B4" i="1"/>
  <c r="C4" i="1"/>
  <c r="D4" i="1"/>
  <c r="E4" i="1"/>
  <c r="F4" i="1"/>
  <c r="G4" i="1"/>
  <c r="H3" i="1"/>
  <c r="H4" i="2"/>
  <c r="H4" i="1"/>
  <c r="G3" i="4"/>
  <c r="H4" i="4" s="1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<sst xmlns="http://schemas.openxmlformats.org/spreadsheetml/2006/main" count="10" uniqueCount="10">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</sst>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K12">
            <v>80002</v>
          </cell>
        </row>
      </sheetData>
      <sheetData sheetId="1" refreshError="1"/>
      <sheetData sheetId="2"/>
      <sheetData sheetId="3">
        <row r="9">
          <cell r="V9">
            <v>500217</v>
          </cell>
          <cell r="W9">
            <v>56225</v>
          </cell>
        </row>
      </sheetData>
      <sheetData sheetId="4">
        <row r="9">
          <cell r="L9">
            <v>56225</v>
          </cell>
        </row>
      </sheetData>
      <sheetData sheetId="5" refreshError="1"/>
      <sheetData sheetId="6">
        <row r="7">
          <cell r="K7">
            <v>44970</v>
          </cell>
          <cell r="L7">
            <v>7791</v>
          </cell>
        </row>
      </sheetData>
      <sheetData sheetId="7">
        <row r="10">
          <cell r="K10">
            <v>162</v>
          </cell>
        </row>
      </sheetData>
      <sheetData sheetId="8">
        <row r="6">
          <cell r="I6">
            <v>15181</v>
          </cell>
          <cell r="J6">
            <v>4068</v>
          </cell>
        </row>
        <row r="7">
          <cell r="J7">
            <v>0</v>
          </cell>
        </row>
        <row r="8">
          <cell r="I8">
            <v>24605</v>
          </cell>
          <cell r="J8">
            <v>5962</v>
          </cell>
        </row>
        <row r="9">
          <cell r="J9">
            <v>469</v>
          </cell>
        </row>
        <row r="10">
          <cell r="I10">
            <v>12002</v>
          </cell>
          <cell r="J10">
            <v>0</v>
          </cell>
        </row>
        <row r="11">
          <cell r="I11">
            <v>12086</v>
          </cell>
          <cell r="J11">
            <v>0</v>
          </cell>
        </row>
        <row r="12">
          <cell r="I12">
            <v>7967</v>
          </cell>
          <cell r="J12">
            <v>0</v>
          </cell>
        </row>
        <row r="13">
          <cell r="I13">
            <v>7892</v>
          </cell>
          <cell r="J13">
            <v>0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21861</v>
          </cell>
        </row>
      </sheetData>
      <sheetData sheetId="10">
        <row r="11">
          <cell r="L11">
            <v>11529</v>
          </cell>
        </row>
      </sheetData>
      <sheetData sheetId="11">
        <row r="13">
          <cell r="L13">
            <v>11249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'[3]Sapori Pruccion Mensual'!$K$12</f>
        <v>80002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-0.86167462882179124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'[3]Total Cremigurt Unidades'!$V$9</f>
        <v>500217</v>
      </c>
      <c r="H3" s="2">
        <f>'[3]Total Cremigurt Unidades'!$W$9</f>
        <v>56225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-0.88759878212855625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'[2]PRODUCCION DIARIA AGOSTO 2026'!$AD$88</f>
        <v>437902</v>
      </c>
      <c r="H3" s="2">
        <f>'[3]150 gr'!$L$9</f>
        <v>56225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-0.87160369215029843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'[3]700 gr'!$K$7</f>
        <v>44970</v>
      </c>
      <c r="H3" s="2">
        <f>'[3]700 gr'!$L$7</f>
        <v>7791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-0.82675116744496335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'[3]Linea Azul'!$K$10</f>
        <v>162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-0.99730022498125159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[3]POWER!$I$6+[3]POWER!$I$8+[3]POWER!$I$10+[3]POWER!$I$11+[3]POWER!$I$12+[3]POWER!$I$13</f>
        <v>79733</v>
      </c>
      <c r="H3" s="2">
        <f>[3]POWER!$J$6+[3]POWER!$J$8+[3]POWER!$J$10+[3]POWER!$J$11+[3]POWER!$J$12+[3]POWER!$J$13</f>
        <v>10030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-0.87420515972056745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[3]POWER!$J$7+[3]POWER!$J$9</f>
        <v>469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-0.92307692307692313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[3]Frutas!$E$18</f>
        <v>222793</v>
      </c>
      <c r="B3" s="2">
        <f>[3]Frutas!$F$18</f>
        <v>98244</v>
      </c>
      <c r="C3" s="2">
        <f>[3]Frutas!$G$18</f>
        <v>173801</v>
      </c>
      <c r="D3" s="2">
        <f>[3]Frutas!$H$18</f>
        <v>192306</v>
      </c>
      <c r="E3" s="2">
        <f>[3]Frutas!$I$18</f>
        <v>164217</v>
      </c>
      <c r="F3" s="2">
        <f>[3]Frutas!$J$18</f>
        <v>194544</v>
      </c>
      <c r="G3" s="2">
        <f>[3]Frutas!$K$18</f>
        <v>239872</v>
      </c>
      <c r="H3" s="2">
        <f>[3]Frutas!$L$18</f>
        <v>21861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-0.90886389407684098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[3]Cremosillo!$L$11</f>
        <v>11529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-0.6919356562633604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tabSelected="1" workbookViewId="0">
      <selection activeCell="J16" sqref="J16:J17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[3]Gelatina!$L$13</f>
        <v>11249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-0.68144875824767082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2026-09-04T14:52:42Z</dcterms:modified>
</cp:coreProperties>
</file>