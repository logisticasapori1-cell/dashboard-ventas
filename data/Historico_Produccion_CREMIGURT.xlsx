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C5237397-39DC-4610-B4B4-E3FE9FAD8587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9" l="1"/>
  <c r="I3" i="8"/>
  <c r="I3" i="6"/>
  <c r="I3" i="2"/>
  <c r="I3" i="1"/>
  <c r="I3" i="11"/>
  <c r="I3" i="12"/>
  <c r="I3" i="4"/>
  <c r="I3" i="10" l="1"/>
  <c r="I4" i="10" s="1"/>
  <c r="I3" i="7"/>
  <c r="I4" i="7" s="1"/>
  <c r="I4" i="12"/>
  <c r="I4" i="11"/>
  <c r="I4" i="9"/>
  <c r="I4" i="8"/>
  <c r="I4" i="2" l="1"/>
  <c r="I4" i="4" l="1"/>
  <c r="I4" i="6" l="1"/>
  <c r="I4" i="1" l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<sst xmlns="http://schemas.openxmlformats.org/spreadsheetml/2006/main" count="10" uniqueCount="10">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</sst>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OPERACIONES/INDICADOR%20DE%20DESPACHO/Historico%20Produccion%20CREMIGURT.xlsx" TargetMode="External"/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/OPERACIONES/INDICADOR%20DE%20DESPACHO/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 refreshError="1"/>
      <sheetData sheetId="1" refreshError="1"/>
      <sheetData sheetId="2">
        <row r="12">
          <cell r="Q12">
            <v>132472</v>
          </cell>
        </row>
      </sheetData>
      <sheetData sheetId="3">
        <row r="9">
          <cell r="X9">
            <v>113655</v>
          </cell>
        </row>
      </sheetData>
      <sheetData sheetId="4">
        <row r="9">
          <cell r="M9">
            <v>98902</v>
          </cell>
        </row>
      </sheetData>
      <sheetData sheetId="5" refreshError="1"/>
      <sheetData sheetId="6">
        <row r="7">
          <cell r="M7">
            <v>7792</v>
          </cell>
        </row>
      </sheetData>
      <sheetData sheetId="7">
        <row r="10">
          <cell r="L10">
            <v>14762</v>
          </cell>
        </row>
      </sheetData>
      <sheetData sheetId="8">
        <row r="6">
          <cell r="K6">
            <v>6221</v>
          </cell>
        </row>
        <row r="7">
          <cell r="K7">
            <v>799</v>
          </cell>
        </row>
        <row r="8">
          <cell r="K8">
            <v>7134</v>
          </cell>
        </row>
        <row r="9">
          <cell r="K9">
            <v>1034</v>
          </cell>
        </row>
        <row r="10">
          <cell r="K10">
            <v>5495</v>
          </cell>
        </row>
        <row r="11">
          <cell r="K11">
            <v>5365</v>
          </cell>
        </row>
        <row r="12">
          <cell r="K12">
            <v>1973</v>
          </cell>
        </row>
        <row r="13">
          <cell r="K13">
            <v>1981</v>
          </cell>
        </row>
      </sheetData>
      <sheetData sheetId="9">
        <row r="18">
          <cell r="M18">
            <v>27530</v>
          </cell>
        </row>
      </sheetData>
      <sheetData sheetId="10">
        <row r="11">
          <cell r="M11">
            <v>6248</v>
          </cell>
        </row>
      </sheetData>
      <sheetData sheetId="11">
        <row r="13">
          <cell r="M13">
            <v>8761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I4"/>
  <sheetViews>
    <sheetView tabSelected="1" workbookViewId="0">
      <selection activeCell="M10" sqref="M10"/>
    </sheetView>
  </sheetViews>
  <sheetFormatPr baseColWidth="10" defaultRowHeight="15" x14ac:dyDescent="0.25"/>
  <sheetData>
    <row r="1" spans="1:9" x14ac:dyDescent="0.25">
      <c r="A1" s="12" t="s">
        <v>0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  <c r="I2" s="5">
        <v>46296</v>
      </c>
    </row>
    <row r="3" spans="1:9" x14ac:dyDescent="0.25">
      <c r="A3" s="2">
        <v>520938</v>
      </c>
      <c r="B3">
        <v>413087</v>
      </c>
      <c r="C3">
        <v>535420</v>
      </c>
      <c r="D3">
        <v>564513</v>
      </c>
      <c r="E3">
        <v>609205</v>
      </c>
      <c r="F3" s="2">
        <v>518837</v>
      </c>
      <c r="G3" s="9">
        <v>578361</v>
      </c>
      <c r="H3" s="2">
        <v>687903</v>
      </c>
      <c r="I3" s="2">
        <f>'[1]Total Unidades Mensuales'!$Q$12</f>
        <v>132472</v>
      </c>
    </row>
    <row r="4" spans="1:9" x14ac:dyDescent="0.25">
      <c r="B4" s="3">
        <v>-0.2070323147860206</v>
      </c>
      <c r="C4" s="3">
        <v>0.29614342741359567</v>
      </c>
      <c r="D4" s="3">
        <v>5.4336782339098277E-2</v>
      </c>
      <c r="E4" s="3">
        <v>7.9169124537433147E-2</v>
      </c>
      <c r="F4" s="3">
        <v>-0.14833758751159298</v>
      </c>
      <c r="G4" s="3">
        <v>0.11472581947702265</v>
      </c>
      <c r="H4" s="3">
        <v>0.18940073760160175</v>
      </c>
      <c r="I4" s="3">
        <f>(I3-H3)/H3</f>
        <v>-0.80742633772494088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I4"/>
  <sheetViews>
    <sheetView workbookViewId="0">
      <selection activeCell="I3" sqref="I3"/>
    </sheetView>
  </sheetViews>
  <sheetFormatPr baseColWidth="10" defaultRowHeight="15" x14ac:dyDescent="0.25"/>
  <sheetData>
    <row r="1" spans="1:9" x14ac:dyDescent="0.25">
      <c r="A1" s="12" t="s">
        <v>1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>
        <v>466290</v>
      </c>
      <c r="B3">
        <v>321987</v>
      </c>
      <c r="C3">
        <v>445909</v>
      </c>
      <c r="D3">
        <v>449661</v>
      </c>
      <c r="E3">
        <v>518112</v>
      </c>
      <c r="F3">
        <v>429574</v>
      </c>
      <c r="G3" s="6">
        <v>500217</v>
      </c>
      <c r="H3" s="2">
        <v>577194</v>
      </c>
      <c r="I3" s="2">
        <f>'[1]Total Cremigurt Unidades'!$X$9</f>
        <v>113655</v>
      </c>
    </row>
    <row r="4" spans="1:9" x14ac:dyDescent="0.25">
      <c r="A4" s="3">
        <v>0.47828650777044379</v>
      </c>
      <c r="B4" s="3">
        <v>-0.30947050119024644</v>
      </c>
      <c r="C4" s="3">
        <v>0.38486646976430727</v>
      </c>
      <c r="D4" s="3">
        <v>8.4142728673339186E-3</v>
      </c>
      <c r="E4" s="3">
        <v>0.15222801176886588</v>
      </c>
      <c r="F4" s="3">
        <v>-0.17088583163485888</v>
      </c>
      <c r="G4" s="7">
        <v>0.16444896571952677</v>
      </c>
      <c r="H4" s="7">
        <v>0.15388721294957988</v>
      </c>
      <c r="I4" s="7">
        <f>(I3-H3)/H3</f>
        <v>-0.80309046871589107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I4"/>
  <sheetViews>
    <sheetView workbookViewId="0">
      <selection activeCell="I3" sqref="I3"/>
    </sheetView>
  </sheetViews>
  <sheetFormatPr baseColWidth="10" defaultRowHeight="15" x14ac:dyDescent="0.25"/>
  <sheetData>
    <row r="1" spans="1:9" x14ac:dyDescent="0.25">
      <c r="A1" s="12" t="s">
        <v>2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>
        <v>386904</v>
      </c>
      <c r="B3">
        <v>265359</v>
      </c>
      <c r="C3">
        <v>386551</v>
      </c>
      <c r="D3">
        <v>383814</v>
      </c>
      <c r="E3">
        <v>461320</v>
      </c>
      <c r="F3">
        <v>357059</v>
      </c>
      <c r="G3" s="10">
        <v>437902</v>
      </c>
      <c r="H3" s="2">
        <v>498292</v>
      </c>
      <c r="I3" s="2">
        <f>'[1]150 gr'!$M$9</f>
        <v>98902</v>
      </c>
    </row>
    <row r="4" spans="1:9" x14ac:dyDescent="0.25">
      <c r="A4" s="3"/>
      <c r="B4" s="3">
        <v>-0.31414769555238509</v>
      </c>
      <c r="C4" s="3">
        <v>0.45670958965024738</v>
      </c>
      <c r="D4" s="3">
        <v>-7.0805663418281161E-3</v>
      </c>
      <c r="E4" s="3">
        <v>0.20193635458842044</v>
      </c>
      <c r="F4" s="3">
        <v>-0.22600580941645712</v>
      </c>
      <c r="G4" s="3">
        <v>0.22641356190433515</v>
      </c>
      <c r="H4" s="7">
        <v>0.13790756836004403</v>
      </c>
      <c r="I4" s="7">
        <f>(I3-H3)/H3</f>
        <v>-0.80151798543825714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I4"/>
  <sheetViews>
    <sheetView workbookViewId="0">
      <selection activeCell="I3" sqref="I3"/>
    </sheetView>
  </sheetViews>
  <sheetFormatPr baseColWidth="10" defaultRowHeight="15" x14ac:dyDescent="0.25"/>
  <sheetData>
    <row r="1" spans="1:9" x14ac:dyDescent="0.25">
      <c r="A1" s="12" t="s">
        <v>3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>
        <v>43534</v>
      </c>
      <c r="B3">
        <v>26517</v>
      </c>
      <c r="C3">
        <v>38391</v>
      </c>
      <c r="D3">
        <v>51942</v>
      </c>
      <c r="E3">
        <v>32611</v>
      </c>
      <c r="F3">
        <v>45304</v>
      </c>
      <c r="G3" s="10">
        <v>44970</v>
      </c>
      <c r="H3" s="2">
        <v>54128</v>
      </c>
      <c r="I3" s="2">
        <f>'[1]700 gr'!$M$7</f>
        <v>7792</v>
      </c>
    </row>
    <row r="4" spans="1:9" x14ac:dyDescent="0.25">
      <c r="A4" s="3"/>
      <c r="B4" s="3">
        <v>0</v>
      </c>
      <c r="C4" s="3">
        <v>0</v>
      </c>
      <c r="D4" s="3">
        <v>0</v>
      </c>
      <c r="E4" s="3">
        <v>-0.37216510723499285</v>
      </c>
      <c r="F4" s="3">
        <v>0.38922449480236732</v>
      </c>
      <c r="G4" s="3">
        <v>-7.372417446583083E-3</v>
      </c>
      <c r="H4" s="7">
        <v>0.20364687569490772</v>
      </c>
      <c r="I4" s="7">
        <f>(I3-H3)/H3</f>
        <v>-0.85604493053502806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I4"/>
  <sheetViews>
    <sheetView workbookViewId="0">
      <selection activeCell="I3" sqref="I3"/>
    </sheetView>
  </sheetViews>
  <sheetFormatPr baseColWidth="10" defaultRowHeight="15" x14ac:dyDescent="0.25"/>
  <sheetData>
    <row r="1" spans="1:9" x14ac:dyDescent="0.25">
      <c r="A1" s="12" t="s">
        <v>4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>
        <v>0</v>
      </c>
      <c r="B3" s="2">
        <v>27053</v>
      </c>
      <c r="C3" s="2">
        <v>65053</v>
      </c>
      <c r="D3" s="2">
        <v>65608</v>
      </c>
      <c r="E3" s="2">
        <v>88014</v>
      </c>
      <c r="F3" s="2">
        <v>59085</v>
      </c>
      <c r="G3" s="2">
        <v>60005</v>
      </c>
      <c r="H3" s="2">
        <v>70627</v>
      </c>
      <c r="I3" s="2">
        <f>'[1]Linea Azul'!$L$10</f>
        <v>14762</v>
      </c>
    </row>
    <row r="4" spans="1:9" x14ac:dyDescent="0.25">
      <c r="A4" s="3"/>
      <c r="B4" s="3"/>
      <c r="C4" s="4">
        <v>1.4046501312238939</v>
      </c>
      <c r="D4" s="4">
        <v>8.5315050804728454E-3</v>
      </c>
      <c r="E4" s="4">
        <v>0.34151323009389101</v>
      </c>
      <c r="F4" s="4">
        <v>-0.3286863453541482</v>
      </c>
      <c r="G4" s="4">
        <v>1.557078784801557E-2</v>
      </c>
      <c r="H4" s="4">
        <v>0.17701858178485128</v>
      </c>
      <c r="I4" s="4">
        <f t="shared" ref="I4" si="0">(I3-H3)/H3</f>
        <v>-0.79098644994124057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I4"/>
  <sheetViews>
    <sheetView workbookViewId="0">
      <selection activeCell="I4" sqref="I4"/>
    </sheetView>
  </sheetViews>
  <sheetFormatPr baseColWidth="10" defaultRowHeight="15" x14ac:dyDescent="0.25"/>
  <sheetData>
    <row r="1" spans="1:9" x14ac:dyDescent="0.25">
      <c r="A1" s="12" t="s">
        <v>6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  <c r="I2" s="11">
        <v>46296</v>
      </c>
    </row>
    <row r="3" spans="1:9" x14ac:dyDescent="0.25">
      <c r="A3" s="2">
        <v>87654</v>
      </c>
      <c r="B3" s="2">
        <v>70651</v>
      </c>
      <c r="C3" s="2">
        <v>77731</v>
      </c>
      <c r="D3" s="2">
        <v>68228</v>
      </c>
      <c r="E3" s="2">
        <v>90251</v>
      </c>
      <c r="F3" s="2">
        <v>34984</v>
      </c>
      <c r="G3" s="2">
        <v>79733</v>
      </c>
      <c r="H3" s="2">
        <v>79405</v>
      </c>
      <c r="I3" s="2">
        <f>+[1]POWER!$K$6+[1]POWER!$K$8+[1]POWER!$K$10+[1]POWER!$K$11+[1]POWER!$K$12+[1]POWER!$K$13</f>
        <v>28169</v>
      </c>
    </row>
    <row r="4" spans="1:9" x14ac:dyDescent="0.25">
      <c r="A4" s="3"/>
      <c r="B4" s="4">
        <v>-0.19397859766810413</v>
      </c>
      <c r="C4" s="4">
        <v>0.10021089581180734</v>
      </c>
      <c r="D4" s="4">
        <v>-0.12225495619508304</v>
      </c>
      <c r="E4" s="4">
        <v>0.32278536671161401</v>
      </c>
      <c r="F4" s="4">
        <v>-0.61236994603937911</v>
      </c>
      <c r="G4" s="4">
        <v>1.2791276011891151</v>
      </c>
      <c r="H4" s="4">
        <v>-4.1137295724480456E-3</v>
      </c>
      <c r="I4" s="4">
        <f t="shared" ref="I4" si="0">(I3-H3)/H3</f>
        <v>-0.64524903973301428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I4"/>
  <sheetViews>
    <sheetView workbookViewId="0">
      <selection activeCell="I4" sqref="I4"/>
    </sheetView>
  </sheetViews>
  <sheetFormatPr baseColWidth="10" defaultRowHeight="15" x14ac:dyDescent="0.25"/>
  <sheetData>
    <row r="1" spans="1:9" x14ac:dyDescent="0.25">
      <c r="A1" s="12" t="s">
        <v>5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  <c r="I2" s="11">
        <v>46296</v>
      </c>
    </row>
    <row r="3" spans="1:9" x14ac:dyDescent="0.25">
      <c r="A3" s="2">
        <v>5176</v>
      </c>
      <c r="B3" s="2">
        <v>7188</v>
      </c>
      <c r="C3" s="2">
        <v>7152</v>
      </c>
      <c r="D3" s="2">
        <v>7656</v>
      </c>
      <c r="E3" s="2">
        <v>3936</v>
      </c>
      <c r="F3" s="2">
        <v>5172</v>
      </c>
      <c r="G3" s="2">
        <v>6097</v>
      </c>
      <c r="H3" s="2">
        <v>7102</v>
      </c>
      <c r="I3" s="2">
        <f>+[1]POWER!$K$7+[1]POWER!$K$9</f>
        <v>1833</v>
      </c>
    </row>
    <row r="4" spans="1:9" x14ac:dyDescent="0.25">
      <c r="A4" s="3"/>
      <c r="B4" s="4">
        <v>0.38871715610510044</v>
      </c>
      <c r="C4" s="4">
        <v>-5.008347245409015E-3</v>
      </c>
      <c r="D4" s="4">
        <v>7.0469798657718116E-2</v>
      </c>
      <c r="E4" s="4">
        <v>-0.48589341692789967</v>
      </c>
      <c r="F4" s="4">
        <v>0.31402439024390244</v>
      </c>
      <c r="G4" s="4">
        <v>0.1788476411446249</v>
      </c>
      <c r="H4" s="4">
        <v>0.16483516483516483</v>
      </c>
      <c r="I4" s="4">
        <f t="shared" ref="I4" si="0">(I3-H3)/H3</f>
        <v>-0.74190368910166149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I4"/>
  <sheetViews>
    <sheetView workbookViewId="0">
      <selection activeCell="I3" sqref="I3"/>
    </sheetView>
  </sheetViews>
  <sheetFormatPr baseColWidth="10" defaultRowHeight="15" x14ac:dyDescent="0.25"/>
  <sheetData>
    <row r="1" spans="1:9" x14ac:dyDescent="0.25">
      <c r="A1" s="12" t="s">
        <v>7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  <c r="I2" s="11">
        <v>46296</v>
      </c>
    </row>
    <row r="3" spans="1:9" x14ac:dyDescent="0.25">
      <c r="A3" s="2">
        <v>222793</v>
      </c>
      <c r="B3" s="2">
        <v>98244</v>
      </c>
      <c r="C3" s="2">
        <v>173801</v>
      </c>
      <c r="D3" s="2">
        <v>192306</v>
      </c>
      <c r="E3" s="2">
        <v>164217</v>
      </c>
      <c r="F3" s="2">
        <v>194544</v>
      </c>
      <c r="G3" s="2">
        <v>239872</v>
      </c>
      <c r="H3" s="2">
        <v>253860</v>
      </c>
      <c r="I3" s="2">
        <f>[1]Frutas!$M$18</f>
        <v>27530</v>
      </c>
    </row>
    <row r="4" spans="1:9" x14ac:dyDescent="0.25">
      <c r="A4" s="3"/>
      <c r="B4" s="4">
        <v>-0.55903461957960976</v>
      </c>
      <c r="C4" s="4">
        <v>0.76907495623142386</v>
      </c>
      <c r="D4" s="4">
        <v>0.10647234480814265</v>
      </c>
      <c r="E4" s="4">
        <v>-0.14606408536395121</v>
      </c>
      <c r="F4" s="4">
        <v>0.18467637333528197</v>
      </c>
      <c r="G4" s="4">
        <v>0.23299613455053869</v>
      </c>
      <c r="H4" s="4">
        <v>5.8314434364994665E-2</v>
      </c>
      <c r="I4" s="4">
        <f t="shared" ref="I4" si="0">(I3-H3)/H3</f>
        <v>-0.89155440006302689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I4"/>
  <sheetViews>
    <sheetView workbookViewId="0">
      <selection activeCell="I3" sqref="I3"/>
    </sheetView>
  </sheetViews>
  <sheetFormatPr baseColWidth="10" defaultRowHeight="15" x14ac:dyDescent="0.25"/>
  <sheetData>
    <row r="1" spans="1:9" x14ac:dyDescent="0.25">
      <c r="A1" s="12" t="s">
        <v>8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 s="2">
        <v>19349</v>
      </c>
      <c r="B3" s="2">
        <v>34006</v>
      </c>
      <c r="C3" s="2">
        <v>31406</v>
      </c>
      <c r="D3" s="2">
        <v>49884</v>
      </c>
      <c r="E3" s="2">
        <v>31803</v>
      </c>
      <c r="F3" s="2">
        <v>39846</v>
      </c>
      <c r="G3" s="2">
        <v>37424</v>
      </c>
      <c r="H3" s="2">
        <v>52480</v>
      </c>
      <c r="I3" s="2">
        <f>[1]Cremosillo!$M$11</f>
        <v>6248</v>
      </c>
    </row>
    <row r="4" spans="1:9" x14ac:dyDescent="0.25">
      <c r="A4" s="3"/>
      <c r="B4" s="4">
        <v>0.75750684789911626</v>
      </c>
      <c r="C4" s="4">
        <v>-7.6457095806622355E-2</v>
      </c>
      <c r="D4" s="4">
        <v>0.58835891230974968</v>
      </c>
      <c r="E4" s="4">
        <v>-0.36246090930959829</v>
      </c>
      <c r="F4" s="4">
        <v>0.25290066974813696</v>
      </c>
      <c r="G4" s="4">
        <v>-6.0784018471113789E-2</v>
      </c>
      <c r="H4" s="4">
        <v>0.40230867892261651</v>
      </c>
      <c r="I4" s="4">
        <f t="shared" ref="I4" si="0">(I3-H3)/H3</f>
        <v>-0.88094512195121955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I4"/>
  <sheetViews>
    <sheetView workbookViewId="0">
      <selection activeCell="J13" sqref="J13"/>
    </sheetView>
  </sheetViews>
  <sheetFormatPr baseColWidth="10" defaultRowHeight="15" x14ac:dyDescent="0.25"/>
  <sheetData>
    <row r="1" spans="1:9" x14ac:dyDescent="0.25">
      <c r="A1" s="12" t="s">
        <v>9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 s="2">
        <v>18271</v>
      </c>
      <c r="B3" s="2">
        <v>18567</v>
      </c>
      <c r="C3" s="2">
        <v>30849</v>
      </c>
      <c r="D3" s="2">
        <v>30055</v>
      </c>
      <c r="E3" s="2">
        <v>52803</v>
      </c>
      <c r="F3" s="2">
        <v>45389</v>
      </c>
      <c r="G3" s="2">
        <v>35313</v>
      </c>
      <c r="H3" s="2">
        <v>53734</v>
      </c>
      <c r="I3" s="2">
        <f>[1]Gelatina!$M$13</f>
        <v>8761</v>
      </c>
    </row>
    <row r="4" spans="1:9" x14ac:dyDescent="0.25">
      <c r="A4" s="3"/>
      <c r="B4" s="4">
        <v>1.6200536369109519E-2</v>
      </c>
      <c r="C4" s="4">
        <v>0.66149620294070122</v>
      </c>
      <c r="D4" s="4">
        <v>-2.5738273525884144E-2</v>
      </c>
      <c r="E4" s="4">
        <v>0.75687905506571285</v>
      </c>
      <c r="F4" s="4">
        <v>-0.14040868890025188</v>
      </c>
      <c r="G4" s="4">
        <v>-0.22199211262640728</v>
      </c>
      <c r="H4" s="4">
        <v>0.5216492509840569</v>
      </c>
      <c r="I4" s="4">
        <f t="shared" ref="I4" si="0">(I3-H3)/H3</f>
        <v>-0.83695611716976215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2026-10-09T12:17:32Z</dcterms:modified>
</cp:coreProperties>
</file>