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C058443-C4E9-4EE1-87D9-6E3C0474E22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" l="1"/>
  <c r="I3" i="6"/>
  <c r="I4" i="4"/>
  <c r="I3" i="4"/>
  <c r="I4" i="2"/>
  <c r="I3" i="2"/>
  <c r="I4" i="1"/>
  <c r="I3" i="1"/>
  <c r="G3" i="1"/>
  <c r="F3" i="10"/>
  <c r="E3" i="10"/>
  <c r="D3" i="10"/>
  <c r="C3" i="10"/>
  <c r="B3" i="10"/>
  <c r="A3" i="10"/>
  <c r="B3" i="1"/>
  <c r="C3" i="1"/>
  <c r="D3" i="1"/>
  <c r="E3" i="1"/>
  <c r="F3" i="1"/>
  <c r="G4" i="1"/>
  <c r="B4" i="1"/>
  <c r="C4" i="1"/>
  <c r="D4" i="1"/>
  <c r="E4" i="1"/>
  <c r="F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F4" i="7"/>
  <c r="F4" i="2"/>
  <c r="G3" i="7" l="1"/>
  <c r="G4" i="7" s="1"/>
  <c r="G4" i="4"/>
  <c r="F3" i="12"/>
  <c r="G3" i="2" l="1"/>
  <c r="F4" i="12"/>
  <c r="G3" i="12" l="1"/>
  <c r="G4" i="12" s="1"/>
  <c r="G3" i="8"/>
  <c r="G4" i="8" s="1"/>
  <c r="G3" i="11" l="1"/>
  <c r="G4" i="11" s="1"/>
  <c r="G4" i="2" l="1"/>
  <c r="G4" i="6" l="1"/>
  <c r="H3" i="2" l="1"/>
  <c r="H4" i="2" s="1"/>
  <c r="H3" i="4" l="1"/>
  <c r="H4" i="4" s="1"/>
  <c r="H3" i="9" l="1"/>
  <c r="H4" i="9" s="1"/>
  <c r="H3" i="10" l="1"/>
  <c r="H3" i="7"/>
  <c r="H4" i="7" s="1"/>
  <c r="H3" i="6"/>
  <c r="H3" i="8"/>
  <c r="H4" i="8" s="1"/>
  <c r="H3" i="12"/>
  <c r="H4" i="12" s="1"/>
  <c r="H3" i="11" l="1"/>
  <c r="H4" i="11" s="1"/>
  <c r="H3" i="1" l="1"/>
  <c r="H4" i="1" s="1"/>
  <c r="G3" i="10" l="1"/>
  <c r="H4" i="10" l="1"/>
  <c r="G4" i="10"/>
  <c r="G3" i="6" l="1"/>
  <c r="H4" i="6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<sst xmlns="http://schemas.openxmlformats.org/spreadsheetml/2006/main" count="10" uniqueCount="10">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</sst>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O12">
            <v>578361</v>
          </cell>
          <cell r="P12">
            <v>687903</v>
          </cell>
          <cell r="Q12">
            <v>17207</v>
          </cell>
        </row>
      </sheetData>
      <sheetData sheetId="3">
        <row r="9">
          <cell r="V9">
            <v>500217</v>
          </cell>
          <cell r="W9">
            <v>577194</v>
          </cell>
          <cell r="X9">
            <v>16432</v>
          </cell>
        </row>
      </sheetData>
      <sheetData sheetId="4">
        <row r="9">
          <cell r="L9">
            <v>498292</v>
          </cell>
          <cell r="M9">
            <v>11516</v>
          </cell>
        </row>
      </sheetData>
      <sheetData sheetId="5"/>
      <sheetData sheetId="6">
        <row r="7">
          <cell r="K7">
            <v>44970</v>
          </cell>
          <cell r="L7">
            <v>54128</v>
          </cell>
          <cell r="M7">
            <v>1061</v>
          </cell>
        </row>
      </sheetData>
      <sheetData sheetId="7">
        <row r="10">
          <cell r="K10">
            <v>70627</v>
          </cell>
        </row>
      </sheetData>
      <sheetData sheetId="8">
        <row r="6">
          <cell r="I6">
            <v>15181</v>
          </cell>
          <cell r="J6">
            <v>19404</v>
          </cell>
        </row>
        <row r="7">
          <cell r="J7">
            <v>3221</v>
          </cell>
        </row>
        <row r="8">
          <cell r="I8">
            <v>24605</v>
          </cell>
          <cell r="J8">
            <v>31637</v>
          </cell>
        </row>
        <row r="9">
          <cell r="J9">
            <v>3881</v>
          </cell>
        </row>
        <row r="10">
          <cell r="I10">
            <v>12002</v>
          </cell>
          <cell r="J10">
            <v>11277</v>
          </cell>
        </row>
        <row r="11">
          <cell r="I11">
            <v>12086</v>
          </cell>
          <cell r="J11">
            <v>8830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253860</v>
          </cell>
        </row>
      </sheetData>
      <sheetData sheetId="10">
        <row r="11">
          <cell r="L11">
            <v>52480</v>
          </cell>
        </row>
      </sheetData>
      <sheetData sheetId="11">
        <row r="13">
          <cell r="L13">
            <v>53734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I4"/>
  <sheetViews>
    <sheetView tabSelected="1" workbookViewId="0">
      <selection activeCell="K9" sqref="K9"/>
    </sheetView>
  </sheetViews>
  <sheetFormatPr baseColWidth="10" defaultRowHeight="15" x14ac:dyDescent="0.25"/>
  <sheetData>
    <row r="1" spans="1:9" x14ac:dyDescent="0.25">
      <c r="A1" s="12" t="s">
        <v>0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  <c r="I2" s="5">
        <v>46296</v>
      </c>
    </row>
    <row r="3" spans="1:9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'[2]Total Unidades Mensuales'!$O$12</f>
        <v>578361</v>
      </c>
      <c r="H3" s="2">
        <f>'[2]Total Unidades Mensuales'!$P$12</f>
        <v>687903</v>
      </c>
      <c r="I3" s="2">
        <f>'[2]Total Unidades Mensuales'!$Q$12</f>
        <v>17207</v>
      </c>
    </row>
    <row r="4" spans="1:9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0.18940073760160175</v>
      </c>
      <c r="I4" s="3">
        <f>(I3-H3)/H3</f>
        <v>-0.9749862989404029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1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577194</v>
      </c>
      <c r="I3">
        <f>'[2]Total Cremigurt Unidades'!$X$9</f>
        <v>16432</v>
      </c>
    </row>
    <row r="4" spans="1:9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0.15388721294957988</v>
      </c>
      <c r="I4" s="7">
        <f>(I3-H3)/H3</f>
        <v>-0.97153123559842969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2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498292</v>
      </c>
      <c r="I3" s="2">
        <f>'[2]150 gr'!$M$9</f>
        <v>11516</v>
      </c>
    </row>
    <row r="4" spans="1:9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0.13790756836004403</v>
      </c>
      <c r="I4" s="7">
        <f>(I3-H3)/H3</f>
        <v>-0.97688905300506534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3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54128</v>
      </c>
      <c r="I3" s="2">
        <f>'[2]700 gr'!$M$7</f>
        <v>1061</v>
      </c>
    </row>
    <row r="4" spans="1:9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0.20364687569490772</v>
      </c>
      <c r="I4" s="7">
        <f>(I3-H3)/H3</f>
        <v>-0.98039831510493647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I4" sqref="I4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70627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0.17701858178485128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79405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-4.1137295724480456E-3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7102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0.16483516483516483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253860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5.8314434364994665E-2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52480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0.40230867892261651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53734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0.5216492509840569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2026-10-02T12:25:35Z</dcterms:modified>
</cp:coreProperties>
</file>