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00BB013B-C858-44C7-A325-A102FDF096AF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6" l="1"/>
  <c r="G3" i="4"/>
  <c r="A3" i="1"/>
  <c r="A3" i="12"/>
  <c r="B3" i="12"/>
  <c r="C3" i="12"/>
  <c r="D3" i="12"/>
  <c r="E3" i="12"/>
  <c r="E4" i="12"/>
  <c r="C4" i="12"/>
  <c r="B4" i="12"/>
  <c r="A3" i="11"/>
  <c r="B3" i="11"/>
  <c r="C3" i="11"/>
  <c r="D3" i="11"/>
  <c r="E3" i="11"/>
  <c r="A3" i="10"/>
  <c r="B3" i="10"/>
  <c r="C3" i="10"/>
  <c r="D3" i="10"/>
  <c r="E3" i="10"/>
  <c r="E3" i="9"/>
  <c r="D3" i="9"/>
  <c r="C3" i="9"/>
  <c r="D4" i="9" s="1"/>
  <c r="B3" i="9"/>
  <c r="A3" i="9"/>
  <c r="E3" i="8"/>
  <c r="D3" i="8"/>
  <c r="C3" i="8"/>
  <c r="B3" i="8"/>
  <c r="A3" i="8"/>
  <c r="B3" i="7"/>
  <c r="C3" i="7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B4" i="1"/>
  <c r="C4" i="1"/>
  <c r="D4" i="1"/>
  <c r="E4" i="1"/>
  <c r="B3" i="1"/>
  <c r="C3" i="1"/>
  <c r="D3" i="1"/>
  <c r="E3" i="1"/>
  <c r="F3" i="4"/>
  <c r="F3" i="2"/>
  <c r="E4" i="10" l="1"/>
  <c r="C4" i="9"/>
  <c r="B4" i="10"/>
  <c r="D4" i="12"/>
  <c r="D4" i="10"/>
  <c r="B4" i="9"/>
  <c r="C4" i="7"/>
  <c r="E4" i="7"/>
  <c r="E4" i="8"/>
  <c r="D4" i="8"/>
  <c r="C4" i="8"/>
  <c r="E4" i="9"/>
  <c r="C4" i="10"/>
  <c r="C4" i="11"/>
  <c r="B4" i="11"/>
  <c r="B4" i="8"/>
  <c r="F3" i="11"/>
  <c r="E4" i="11"/>
  <c r="D4" i="11"/>
  <c r="F3" i="10"/>
  <c r="F3" i="9"/>
  <c r="F3" i="8"/>
  <c r="F4" i="11" l="1"/>
  <c r="F4" i="10"/>
  <c r="F4" i="9"/>
  <c r="F4" i="8"/>
  <c r="F3" i="6"/>
  <c r="F3" i="7"/>
  <c r="F4" i="4"/>
  <c r="F4" i="6"/>
  <c r="G3" i="9" l="1"/>
  <c r="G4" i="9" s="1"/>
  <c r="G3" i="8"/>
  <c r="G4" i="8" s="1"/>
  <c r="F4" i="7"/>
  <c r="F4" i="2"/>
  <c r="G4" i="4" l="1"/>
  <c r="G3" i="7"/>
  <c r="G4" i="7" s="1"/>
  <c r="F3" i="12"/>
  <c r="F4" i="12" l="1"/>
  <c r="F3" i="1"/>
  <c r="F4" i="1"/>
  <c r="G3" i="10" l="1"/>
  <c r="G4" i="10" s="1"/>
  <c r="G3" i="12" l="1"/>
  <c r="G4" i="12" s="1"/>
  <c r="G3" i="11" l="1"/>
  <c r="G4" i="11" s="1"/>
  <c r="G3" i="2" l="1"/>
  <c r="G4" i="2" s="1"/>
  <c r="G3" i="1" l="1"/>
  <c r="G4" i="6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<sst xmlns="http://schemas.openxmlformats.org/spreadsheetml/2006/main" count="10" uniqueCount="10">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</sst>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10" fontId="0" fillId="0" borderId="0" xfId="0" applyNumberForma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file:///R:\OPERACIONES\REPORTE%20DE%20PRODUCCI&#211;N\Produccion%20Diaria%20PT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J12">
            <v>540206</v>
          </cell>
        </row>
      </sheetData>
      <sheetData sheetId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  <cell r="V9">
            <v>448596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  <cell r="K7">
            <v>0.13372299815996797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/>
      <sheetData sheetId="6">
        <row r="5">
          <cell r="I5">
            <v>-0.37216510723499285</v>
          </cell>
          <cell r="J5">
            <v>0.38922449480236732</v>
          </cell>
          <cell r="K5">
            <v>-3.3418682677026308E-2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  <cell r="J10">
            <v>45134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  <cell r="I6">
            <v>15181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  <cell r="I7">
            <v>2999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  <cell r="I8">
            <v>24605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  <cell r="I9">
            <v>3098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  <cell r="I10">
            <v>12002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  <cell r="I11">
            <v>8018</v>
          </cell>
        </row>
      </sheetData>
      <sheetData sheetId="9">
        <row r="15">
          <cell r="K15">
            <v>16570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  <cell r="K11">
            <v>37424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  <cell r="K13">
            <v>35313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lance Sapori vs Inventario"/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88">
          <cell r="AD88">
            <v>404806</v>
          </cell>
        </row>
      </sheetData>
      <sheetData sheetId="9"/>
      <sheetData sheetId="10">
        <row r="39">
          <cell r="G39">
            <v>55503</v>
          </cell>
        </row>
      </sheetData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G4"/>
  <sheetViews>
    <sheetView tabSelected="1" workbookViewId="0">
      <selection activeCell="K10" sqref="K10"/>
    </sheetView>
  </sheetViews>
  <sheetFormatPr baseColWidth="10" defaultRowHeight="15" x14ac:dyDescent="0.25"/>
  <sheetData>
    <row r="1" spans="1:7" x14ac:dyDescent="0.25">
      <c r="A1" s="13" t="s">
        <v>0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8">
        <v>46235</v>
      </c>
    </row>
    <row r="3" spans="1:7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  <c r="G3" s="9">
        <f>'[1]Sapori Pruccion Mensual'!$J$12</f>
        <v>540206</v>
      </c>
    </row>
    <row r="4" spans="1:7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  <c r="G4" s="10"/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G4"/>
  <sheetViews>
    <sheetView workbookViewId="0">
      <selection activeCell="G4" sqref="G4"/>
    </sheetView>
  </sheetViews>
  <sheetFormatPr baseColWidth="10" defaultRowHeight="15" x14ac:dyDescent="0.25"/>
  <sheetData>
    <row r="1" spans="1:7" x14ac:dyDescent="0.25">
      <c r="A1" s="13" t="s">
        <v>1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  <c r="G3" s="6">
        <f>'[1]Total Cremigurt Unidades'!$V$9</f>
        <v>448596</v>
      </c>
    </row>
    <row r="4" spans="1:7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  <c r="G4" s="7">
        <f>(G3-F3)/F3</f>
        <v>4.4281078463780398E-2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G4"/>
  <sheetViews>
    <sheetView workbookViewId="0">
      <selection activeCell="L37" sqref="L37"/>
    </sheetView>
  </sheetViews>
  <sheetFormatPr baseColWidth="10" defaultRowHeight="15" x14ac:dyDescent="0.25"/>
  <sheetData>
    <row r="1" spans="1:7" x14ac:dyDescent="0.25">
      <c r="A1" s="13" t="s">
        <v>2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  <c r="G3" s="11">
        <f>'[2]PRODUCCION DIARIA AGOSTO 2026'!$AD$88</f>
        <v>404806</v>
      </c>
    </row>
    <row r="4" spans="1:7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  <c r="G4" s="3">
        <f>'[1]150 gr'!K7</f>
        <v>0.13372299815996797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G4"/>
  <sheetViews>
    <sheetView workbookViewId="0">
      <selection activeCell="K15" sqref="K15"/>
    </sheetView>
  </sheetViews>
  <sheetFormatPr baseColWidth="10" defaultRowHeight="15" x14ac:dyDescent="0.25"/>
  <sheetData>
    <row r="1" spans="1:7" x14ac:dyDescent="0.25">
      <c r="A1" s="13" t="s">
        <v>3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  <c r="G3" s="11">
        <f>'[2]Produccion MTD SHARE'!$G$39</f>
        <v>55503</v>
      </c>
    </row>
    <row r="4" spans="1:7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  <c r="G4" s="3">
        <f>'[1]700 gr'!K5</f>
        <v>-3.3418682677026308E-2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G4"/>
  <sheetViews>
    <sheetView workbookViewId="0">
      <selection activeCell="I8" sqref="I8"/>
    </sheetView>
  </sheetViews>
  <sheetFormatPr baseColWidth="10" defaultRowHeight="15" x14ac:dyDescent="0.25"/>
  <sheetData>
    <row r="1" spans="1:7" x14ac:dyDescent="0.25">
      <c r="A1" s="13" t="s">
        <v>4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  <c r="G3" s="2">
        <f>'[1]Linea Azul'!$J$10</f>
        <v>45134</v>
      </c>
    </row>
    <row r="4" spans="1:7" x14ac:dyDescent="0.25">
      <c r="A4" s="3"/>
      <c r="B4" s="3"/>
      <c r="C4" s="4">
        <f>(C3-B3)/B3</f>
        <v>1.4046501312238939</v>
      </c>
      <c r="D4" s="4">
        <f t="shared" ref="D4:G4" si="0">(D3-C3)/C3</f>
        <v>8.5315050804728454E-3</v>
      </c>
      <c r="E4" s="4">
        <f t="shared" si="0"/>
        <v>0.34151323009389101</v>
      </c>
      <c r="F4" s="4">
        <f t="shared" si="0"/>
        <v>-0.3286863453541482</v>
      </c>
      <c r="G4" s="4">
        <f t="shared" si="0"/>
        <v>-0.23611745789963612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G4"/>
  <sheetViews>
    <sheetView workbookViewId="0">
      <selection activeCell="J6" sqref="J6"/>
    </sheetView>
  </sheetViews>
  <sheetFormatPr baseColWidth="10" defaultRowHeight="15" x14ac:dyDescent="0.25"/>
  <sheetData>
    <row r="1" spans="1:7" x14ac:dyDescent="0.25">
      <c r="A1" s="13" t="s">
        <v>6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  <c r="G3" s="2">
        <f>+[1]POWER!$I$6+[1]POWER!$I$8+[1]POWER!$I$10+[1]POWER!$I$11</f>
        <v>59806</v>
      </c>
    </row>
    <row r="4" spans="1:7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G4" si="0">(D3-C3)/C3</f>
        <v>-0.12225495619508304</v>
      </c>
      <c r="E4" s="4">
        <f t="shared" si="0"/>
        <v>0.32278536671161401</v>
      </c>
      <c r="F4" s="4">
        <f t="shared" si="0"/>
        <v>-0.61236994603937911</v>
      </c>
      <c r="G4" s="4">
        <f t="shared" si="0"/>
        <v>0.7095243539903956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G4"/>
  <sheetViews>
    <sheetView workbookViewId="0">
      <selection activeCell="J7" sqref="J7"/>
    </sheetView>
  </sheetViews>
  <sheetFormatPr baseColWidth="10" defaultRowHeight="15" x14ac:dyDescent="0.25"/>
  <sheetData>
    <row r="1" spans="1:7" x14ac:dyDescent="0.25">
      <c r="A1" s="13" t="s">
        <v>5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  <c r="G3" s="2">
        <f>+[1]POWER!$I$7+[1]POWER!$I$9</f>
        <v>6097</v>
      </c>
    </row>
    <row r="4" spans="1:7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G4" si="0">(D3-C3)/C3</f>
        <v>7.0469798657718116E-2</v>
      </c>
      <c r="E4" s="4">
        <f t="shared" si="0"/>
        <v>-0.48589341692789967</v>
      </c>
      <c r="F4" s="4">
        <f t="shared" si="0"/>
        <v>0.31402439024390244</v>
      </c>
      <c r="G4" s="4">
        <f t="shared" si="0"/>
        <v>0.1788476411446249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G4"/>
  <sheetViews>
    <sheetView workbookViewId="0">
      <selection activeCell="L17" sqref="L17"/>
    </sheetView>
  </sheetViews>
  <sheetFormatPr baseColWidth="10" defaultRowHeight="15" x14ac:dyDescent="0.25"/>
  <sheetData>
    <row r="1" spans="1:7" x14ac:dyDescent="0.25">
      <c r="A1" s="13" t="s">
        <v>7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[1]Frutas!E15</f>
        <v>0</v>
      </c>
      <c r="B3" s="2">
        <f>[1]Frutas!F15</f>
        <v>0</v>
      </c>
      <c r="C3" s="2">
        <f>[1]Frutas!G15</f>
        <v>0</v>
      </c>
      <c r="D3" s="2">
        <f>[1]Frutas!H15</f>
        <v>0</v>
      </c>
      <c r="E3" s="2">
        <f>[1]Frutas!I15</f>
        <v>0</v>
      </c>
      <c r="F3" s="2">
        <f>[1]Frutas!J15</f>
        <v>0</v>
      </c>
      <c r="G3" s="2">
        <f>[1]Frutas!$K$15</f>
        <v>16570</v>
      </c>
    </row>
    <row r="4" spans="1:7" x14ac:dyDescent="0.25">
      <c r="A4" s="3"/>
      <c r="B4" s="4" t="e">
        <f>(B3-A3)/A3</f>
        <v>#DIV/0!</v>
      </c>
      <c r="C4" s="4" t="e">
        <f>(C3-B3)/B3</f>
        <v>#DIV/0!</v>
      </c>
      <c r="D4" s="4" t="e">
        <f t="shared" ref="D4:G4" si="0">(D3-C3)/C3</f>
        <v>#DIV/0!</v>
      </c>
      <c r="E4" s="4" t="e">
        <f t="shared" si="0"/>
        <v>#DIV/0!</v>
      </c>
      <c r="F4" s="4" t="e">
        <f t="shared" si="0"/>
        <v>#DIV/0!</v>
      </c>
      <c r="G4" s="4" t="e">
        <f t="shared" si="0"/>
        <v>#DIV/0!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G4"/>
  <sheetViews>
    <sheetView workbookViewId="0">
      <selection activeCell="H3" sqref="H3"/>
    </sheetView>
  </sheetViews>
  <sheetFormatPr baseColWidth="10" defaultRowHeight="15" x14ac:dyDescent="0.25"/>
  <sheetData>
    <row r="1" spans="1:7" x14ac:dyDescent="0.25">
      <c r="A1" s="13" t="s">
        <v>8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  <c r="G3" s="2">
        <f>[1]Cremosillo!$K$11</f>
        <v>37424</v>
      </c>
    </row>
    <row r="4" spans="1:7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G4" si="0">(D3-C3)/C3</f>
        <v>0.58835891230974968</v>
      </c>
      <c r="E4" s="4">
        <f t="shared" si="0"/>
        <v>-0.36246090930959829</v>
      </c>
      <c r="F4" s="4">
        <f t="shared" si="0"/>
        <v>0.25290066974813696</v>
      </c>
      <c r="G4" s="4">
        <f t="shared" si="0"/>
        <v>-6.0784018471113789E-2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G4"/>
  <sheetViews>
    <sheetView workbookViewId="0">
      <selection activeCell="L6" sqref="L6"/>
    </sheetView>
  </sheetViews>
  <sheetFormatPr baseColWidth="10" defaultRowHeight="15" x14ac:dyDescent="0.25"/>
  <sheetData>
    <row r="1" spans="1:7" x14ac:dyDescent="0.25">
      <c r="A1" s="13" t="s">
        <v>9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  <c r="G3" s="2">
        <f>[1]Gelatina!$K$13</f>
        <v>35313</v>
      </c>
    </row>
    <row r="4" spans="1:7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G4" si="0">(D3-C3)/C3</f>
        <v>-2.5738273525884144E-2</v>
      </c>
      <c r="E4" s="4">
        <f t="shared" si="0"/>
        <v>0.75687905506571285</v>
      </c>
      <c r="F4" s="4">
        <f t="shared" si="0"/>
        <v>-0.14040868890025188</v>
      </c>
      <c r="G4" s="4">
        <f t="shared" si="0"/>
        <v>-0.22199211262640728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2026-08-31T12:16:04Z</dcterms:modified>
</cp:coreProperties>
</file>