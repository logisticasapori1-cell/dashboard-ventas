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8_{ACB42D87-93D0-4626-9D9E-6EFF9151893F}" xr6:coauthVersionLast="47" xr6:coauthVersionMax="47" xr10:uidLastSave="{00000000-0000-0000-0000-000000000000}"/>
  <bookViews>
    <workbookView xWindow="-120" yWindow="-120" windowWidth="29040" windowHeight="15720" xr2:uid="{5FCEDCA6-54A6-483C-946E-D02D6DFB3A06}"/>
  </bookViews>
  <sheets>
    <sheet name="Produccion Total Mensual" sheetId="1" r:id="rId1"/>
    <sheet name="Produccion Total Cremigurt" sheetId="2" r:id="rId2"/>
    <sheet name="Produccion Total Cremigurt 150g" sheetId="4" r:id="rId3"/>
    <sheet name="Produccion Total Cremigurt 700g" sheetId="6" r:id="rId4"/>
    <sheet name="Produccion Total Linea Azul" sheetId="7" r:id="rId5"/>
    <sheet name="Produccion Total Power 150g" sheetId="8" r:id="rId6"/>
    <sheet name="Produccion Total Power 700g" sheetId="9" r:id="rId7"/>
    <sheet name="Produccion Total Frutas" sheetId="10" r:id="rId8"/>
    <sheet name="Produccion Total Cremosillo" sheetId="11" r:id="rId9"/>
    <sheet name="Produccion Total Saltarina" sheetId="12" r:id="rId10"/>
  </sheets>
  <externalReferences>
    <externalReference r:id="rId11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2" l="1"/>
  <c r="I4" i="12" s="1"/>
  <c r="I3" i="11"/>
  <c r="I4" i="11" s="1"/>
  <c r="I3" i="10"/>
  <c r="I4" i="10" s="1"/>
  <c r="I3" i="9"/>
  <c r="I4" i="9" s="1"/>
  <c r="I3" i="8"/>
  <c r="I4" i="8" s="1"/>
  <c r="I3" i="7"/>
  <c r="I4" i="7" s="1"/>
  <c r="I3" i="6"/>
  <c r="I4" i="6" s="1"/>
  <c r="I3" i="4"/>
  <c r="I4" i="4" s="1"/>
  <c r="I3" i="2"/>
  <c r="I4" i="2" s="1"/>
  <c r="I3" i="1"/>
  <c r="I4" i="1" s="1"/>
</calcChain>
</file>

<file path=xl/sharedStrings.xml><?xml version="1.0" encoding="utf-8"?>
<sst xmlns="http://schemas.openxmlformats.org/spreadsheetml/2006/main" count="10" uniqueCount="10">
  <si>
    <t>Produccion Total Mensual</t>
  </si>
  <si>
    <t>Produccion Total Cremigurt</t>
  </si>
  <si>
    <t>Produccion Total Cremigurt 150g</t>
  </si>
  <si>
    <t>Produccion Total Cremigurt 700g</t>
  </si>
  <si>
    <t>Produccion Total Linea Azul</t>
  </si>
  <si>
    <t>Produccion Total Power 700g</t>
  </si>
  <si>
    <t>Produccion Total Power 150g</t>
  </si>
  <si>
    <t>Produccion Total Frutas</t>
  </si>
  <si>
    <t>Produccion Total Cremosillo</t>
  </si>
  <si>
    <t>Produccion Total Saltarina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</si>
</sst>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3" fontId="0" fillId="0" borderId="0" xfId="0" applyNumberFormat="1"/>
    <xf numFmtId="10" fontId="0" fillId="0" borderId="0" xfId="0" applyNumberFormat="1"/>
    <xf numFmtId="10" fontId="2" fillId="0" borderId="0" xfId="1" applyNumberFormat="1" applyFont="1"/>
    <xf numFmtId="17" fontId="3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0" fontId="3" fillId="0" borderId="0" xfId="1" applyNumberFormat="1" applyFont="1" applyAlignment="1">
      <alignment horizontal="center" vertical="center"/>
    </xf>
    <xf numFmtId="17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PERACIONES/INDICADOR%20DE%20DESPACHO/Historico%20Produccion%20CREMIGURT.xlsx" TargetMode="External"/><Relationship Id="rId2" Type="http://schemas.openxmlformats.org/officeDocument/2006/relationships/externalLinkPath" Target="file:///R:\OPERACIONES\INDICADOR%20DE%20DESPACHO\Historico%20Produccion%20CREMIGURT.xlsx" TargetMode="External"/><Relationship Id="rId1" Type="http://schemas.openxmlformats.org/officeDocument/2006/relationships/externalLinkPath" Target="/OPERACIONES/INDICADOR%20DE%20DESPACHO/Historico%20Produccion%20CREMIGU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pori Produccion Mensual"/>
      <sheetName val="Comparativo vs Forecast"/>
      <sheetName val="Total Unidades Mensuales"/>
      <sheetName val="Total Cremigurt Unidades"/>
      <sheetName val="150 gr"/>
      <sheetName val="Hoja3"/>
      <sheetName val="700 gr"/>
      <sheetName val="Linea Azul"/>
      <sheetName val="POWER"/>
      <sheetName val="Frutas"/>
      <sheetName val="Cremosillo"/>
      <sheetName val="Gelatina"/>
    </sheetNames>
    <sheetDataSet>
      <sheetData sheetId="0" refreshError="1"/>
      <sheetData sheetId="1" refreshError="1"/>
      <sheetData sheetId="2">
        <row r="12">
          <cell r="Q12">
            <v>625159</v>
          </cell>
        </row>
      </sheetData>
      <sheetData sheetId="3">
        <row r="9">
          <cell r="X9">
            <v>548454</v>
          </cell>
        </row>
      </sheetData>
      <sheetData sheetId="4">
        <row r="9">
          <cell r="M9">
            <v>479880</v>
          </cell>
        </row>
      </sheetData>
      <sheetData sheetId="5" refreshError="1"/>
      <sheetData sheetId="6">
        <row r="7">
          <cell r="M7">
            <v>44662</v>
          </cell>
        </row>
      </sheetData>
      <sheetData sheetId="7">
        <row r="10">
          <cell r="L10">
            <v>58041</v>
          </cell>
        </row>
      </sheetData>
      <sheetData sheetId="8">
        <row r="6">
          <cell r="K6">
            <v>15074</v>
          </cell>
        </row>
        <row r="7">
          <cell r="K7">
            <v>2509</v>
          </cell>
        </row>
        <row r="8">
          <cell r="K8">
            <v>18168</v>
          </cell>
        </row>
        <row r="9">
          <cell r="K9">
            <v>3131</v>
          </cell>
        </row>
        <row r="10">
          <cell r="K10">
            <v>13537</v>
          </cell>
        </row>
        <row r="11">
          <cell r="K11">
            <v>15575</v>
          </cell>
        </row>
        <row r="12">
          <cell r="K12">
            <v>9537</v>
          </cell>
        </row>
        <row r="13">
          <cell r="K13">
            <v>5110</v>
          </cell>
        </row>
      </sheetData>
      <sheetData sheetId="9">
        <row r="18">
          <cell r="M18">
            <v>263210</v>
          </cell>
        </row>
      </sheetData>
      <sheetData sheetId="10">
        <row r="11">
          <cell r="M11">
            <v>30204</v>
          </cell>
        </row>
      </sheetData>
      <sheetData sheetId="11">
        <row r="13">
          <cell r="M13">
            <v>37910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0725-B085-4570-857C-BD64735FAA95}">
  <dimension ref="A1:I4"/>
  <sheetViews>
    <sheetView tabSelected="1" workbookViewId="0">
      <selection activeCell="I6" sqref="I6"/>
    </sheetView>
  </sheetViews>
  <sheetFormatPr baseColWidth="10" defaultRowHeight="15" x14ac:dyDescent="0.25"/>
  <sheetData>
    <row r="1" spans="1:9" x14ac:dyDescent="0.25">
      <c r="A1" s="12" t="s">
        <v>0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8">
        <v>46235</v>
      </c>
      <c r="H2" s="8">
        <v>46266</v>
      </c>
      <c r="I2" s="5">
        <v>46296</v>
      </c>
    </row>
    <row r="3" spans="1:9" x14ac:dyDescent="0.25">
      <c r="A3" s="2">
        <v>520938</v>
      </c>
      <c r="B3">
        <v>413087</v>
      </c>
      <c r="C3">
        <v>535420</v>
      </c>
      <c r="D3">
        <v>564513</v>
      </c>
      <c r="E3">
        <v>609205</v>
      </c>
      <c r="F3" s="2">
        <v>518837</v>
      </c>
      <c r="G3" s="9">
        <v>578361</v>
      </c>
      <c r="H3" s="2">
        <v>687903</v>
      </c>
      <c r="I3" s="2">
        <f>'[1]Total Unidades Mensuales'!$Q$12</f>
        <v>625159</v>
      </c>
    </row>
    <row r="4" spans="1:9" x14ac:dyDescent="0.25">
      <c r="B4" s="3">
        <v>-0.2070323147860206</v>
      </c>
      <c r="C4" s="3">
        <v>0.29614342741359567</v>
      </c>
      <c r="D4" s="3">
        <v>5.4336782339098277E-2</v>
      </c>
      <c r="E4" s="3">
        <v>7.9169124537433147E-2</v>
      </c>
      <c r="F4" s="3">
        <v>-0.14833758751159298</v>
      </c>
      <c r="G4" s="3">
        <v>0.11472581947702265</v>
      </c>
      <c r="H4" s="3">
        <v>0.18940073760160175</v>
      </c>
      <c r="I4" s="3">
        <f>(I3-H3)/H3</f>
        <v>-9.1210534043317151E-2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7DED-5639-47E9-9129-9ED451DB0330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1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>
        <v>466290</v>
      </c>
      <c r="B3">
        <v>321987</v>
      </c>
      <c r="C3">
        <v>445909</v>
      </c>
      <c r="D3">
        <v>449661</v>
      </c>
      <c r="E3">
        <v>518112</v>
      </c>
      <c r="F3">
        <v>429574</v>
      </c>
      <c r="G3" s="6">
        <v>500217</v>
      </c>
      <c r="H3" s="2">
        <v>577194</v>
      </c>
      <c r="I3" s="2">
        <f>'[1]Total Cremigurt Unidades'!$X$9</f>
        <v>548454</v>
      </c>
    </row>
    <row r="4" spans="1:9" x14ac:dyDescent="0.25">
      <c r="A4" s="3">
        <v>0.47828650777044379</v>
      </c>
      <c r="B4" s="3">
        <v>-0.30947050119024644</v>
      </c>
      <c r="C4" s="3">
        <v>0.38486646976430727</v>
      </c>
      <c r="D4" s="3">
        <v>8.4142728673339186E-3</v>
      </c>
      <c r="E4" s="3">
        <v>0.15222801176886588</v>
      </c>
      <c r="F4" s="3">
        <v>-0.17088583163485888</v>
      </c>
      <c r="G4" s="7">
        <v>0.16444896571952677</v>
      </c>
      <c r="H4" s="7">
        <v>0.15388721294957988</v>
      </c>
      <c r="I4" s="7">
        <f>(I3-H3)/H3</f>
        <v>-4.9792617386875127E-2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579-B0AE-4BBF-B8B9-801ECC475242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2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>
        <v>386904</v>
      </c>
      <c r="B3">
        <v>265359</v>
      </c>
      <c r="C3">
        <v>386551</v>
      </c>
      <c r="D3">
        <v>383814</v>
      </c>
      <c r="E3">
        <v>461320</v>
      </c>
      <c r="F3">
        <v>357059</v>
      </c>
      <c r="G3" s="10">
        <v>437902</v>
      </c>
      <c r="H3" s="2">
        <v>498292</v>
      </c>
      <c r="I3" s="2">
        <f>'[1]150 gr'!$M$9</f>
        <v>479880</v>
      </c>
    </row>
    <row r="4" spans="1:9" x14ac:dyDescent="0.25">
      <c r="A4" s="3"/>
      <c r="B4" s="3">
        <v>-0.31414769555238509</v>
      </c>
      <c r="C4" s="3">
        <v>0.45670958965024738</v>
      </c>
      <c r="D4" s="3">
        <v>-7.0805663418281161E-3</v>
      </c>
      <c r="E4" s="3">
        <v>0.20193635458842044</v>
      </c>
      <c r="F4" s="3">
        <v>-0.22600580941645712</v>
      </c>
      <c r="G4" s="3">
        <v>0.22641356190433515</v>
      </c>
      <c r="H4" s="7">
        <v>0.13790756836004403</v>
      </c>
      <c r="I4" s="7">
        <f>(I3-H3)/H3</f>
        <v>-3.6950221958209239E-2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516D-CC49-45A3-8161-FD9764305B52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3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>
        <v>43534</v>
      </c>
      <c r="B3">
        <v>26517</v>
      </c>
      <c r="C3">
        <v>38391</v>
      </c>
      <c r="D3">
        <v>51942</v>
      </c>
      <c r="E3">
        <v>32611</v>
      </c>
      <c r="F3">
        <v>45304</v>
      </c>
      <c r="G3" s="10">
        <v>44970</v>
      </c>
      <c r="H3" s="2">
        <v>54128</v>
      </c>
      <c r="I3" s="2">
        <f>'[1]700 gr'!$M$7</f>
        <v>44662</v>
      </c>
    </row>
    <row r="4" spans="1:9" x14ac:dyDescent="0.25">
      <c r="A4" s="3"/>
      <c r="B4" s="3">
        <v>0</v>
      </c>
      <c r="C4" s="3">
        <v>0</v>
      </c>
      <c r="D4" s="3">
        <v>0</v>
      </c>
      <c r="E4" s="3">
        <v>-0.37216510723499285</v>
      </c>
      <c r="F4" s="3">
        <v>0.38922449480236732</v>
      </c>
      <c r="G4" s="3">
        <v>-7.372417446583083E-3</v>
      </c>
      <c r="H4" s="7">
        <v>0.20364687569490772</v>
      </c>
      <c r="I4" s="7">
        <f>(I3-H3)/H3</f>
        <v>-0.17488176174992609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0131-7A3A-4EA9-BC89-BE76C1CC5304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4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>
        <v>0</v>
      </c>
      <c r="B3" s="2">
        <v>27053</v>
      </c>
      <c r="C3" s="2">
        <v>65053</v>
      </c>
      <c r="D3" s="2">
        <v>65608</v>
      </c>
      <c r="E3" s="2">
        <v>88014</v>
      </c>
      <c r="F3" s="2">
        <v>59085</v>
      </c>
      <c r="G3" s="2">
        <v>60005</v>
      </c>
      <c r="H3" s="2">
        <v>70627</v>
      </c>
      <c r="I3" s="2">
        <f>'[1]Linea Azul'!$L$10</f>
        <v>58041</v>
      </c>
    </row>
    <row r="4" spans="1:9" x14ac:dyDescent="0.25">
      <c r="A4" s="3"/>
      <c r="B4" s="3"/>
      <c r="C4" s="4">
        <v>1.4046501312238939</v>
      </c>
      <c r="D4" s="4">
        <v>8.5315050804728454E-3</v>
      </c>
      <c r="E4" s="4">
        <v>0.34151323009389101</v>
      </c>
      <c r="F4" s="4">
        <v>-0.3286863453541482</v>
      </c>
      <c r="G4" s="4">
        <v>1.557078784801557E-2</v>
      </c>
      <c r="H4" s="4">
        <v>0.17701858178485128</v>
      </c>
      <c r="I4" s="4">
        <f>(I3-H3)/H3</f>
        <v>-0.17820380307814293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D05B-3ECD-40A5-BED5-A9D687E905B1}">
  <dimension ref="A1:I4"/>
  <sheetViews>
    <sheetView workbookViewId="0">
      <selection activeCell="I4" sqref="I4"/>
    </sheetView>
  </sheetViews>
  <sheetFormatPr baseColWidth="10" defaultRowHeight="15" x14ac:dyDescent="0.25"/>
  <sheetData>
    <row r="1" spans="1:9" x14ac:dyDescent="0.25">
      <c r="A1" s="12" t="s">
        <v>6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1">
        <v>46235</v>
      </c>
      <c r="H2" s="11">
        <v>46266</v>
      </c>
      <c r="I2" s="11">
        <v>46296</v>
      </c>
    </row>
    <row r="3" spans="1:9" x14ac:dyDescent="0.25">
      <c r="A3" s="2">
        <v>87654</v>
      </c>
      <c r="B3" s="2">
        <v>70651</v>
      </c>
      <c r="C3" s="2">
        <v>77731</v>
      </c>
      <c r="D3" s="2">
        <v>68228</v>
      </c>
      <c r="E3" s="2">
        <v>90251</v>
      </c>
      <c r="F3" s="2">
        <v>34984</v>
      </c>
      <c r="G3" s="2">
        <v>79733</v>
      </c>
      <c r="H3" s="2">
        <v>79405</v>
      </c>
      <c r="I3" s="2">
        <f>+[1]POWER!$K$6+[1]POWER!$K$8+[1]POWER!$K$10+[1]POWER!$K$11+[1]POWER!$K$12+[1]POWER!$K$13</f>
        <v>77001</v>
      </c>
    </row>
    <row r="4" spans="1:9" x14ac:dyDescent="0.25">
      <c r="A4" s="3"/>
      <c r="B4" s="4">
        <v>-0.19397859766810413</v>
      </c>
      <c r="C4" s="4">
        <v>0.10021089581180734</v>
      </c>
      <c r="D4" s="4">
        <v>-0.12225495619508304</v>
      </c>
      <c r="E4" s="4">
        <v>0.32278536671161401</v>
      </c>
      <c r="F4" s="4">
        <v>-0.61236994603937911</v>
      </c>
      <c r="G4" s="4">
        <v>1.2791276011891151</v>
      </c>
      <c r="H4" s="4">
        <v>-4.1137295724480456E-3</v>
      </c>
      <c r="I4" s="4">
        <f>(I3-H3)/H3</f>
        <v>-3.0275171588690888E-2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4C49-388F-40D7-B11A-32B8FBF66B8E}">
  <dimension ref="A1:I4"/>
  <sheetViews>
    <sheetView workbookViewId="0">
      <selection activeCell="I4" sqref="I4"/>
    </sheetView>
  </sheetViews>
  <sheetFormatPr baseColWidth="10" defaultRowHeight="15" x14ac:dyDescent="0.25"/>
  <sheetData>
    <row r="1" spans="1:9" x14ac:dyDescent="0.25">
      <c r="A1" s="12" t="s">
        <v>5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1">
        <v>46235</v>
      </c>
      <c r="H2" s="11">
        <v>46266</v>
      </c>
      <c r="I2" s="11">
        <v>46296</v>
      </c>
    </row>
    <row r="3" spans="1:9" x14ac:dyDescent="0.25">
      <c r="A3" s="2">
        <v>5176</v>
      </c>
      <c r="B3" s="2">
        <v>7188</v>
      </c>
      <c r="C3" s="2">
        <v>7152</v>
      </c>
      <c r="D3" s="2">
        <v>7656</v>
      </c>
      <c r="E3" s="2">
        <v>3936</v>
      </c>
      <c r="F3" s="2">
        <v>5172</v>
      </c>
      <c r="G3" s="2">
        <v>6097</v>
      </c>
      <c r="H3" s="2">
        <v>7102</v>
      </c>
      <c r="I3" s="2">
        <f>+[1]POWER!$K$7+[1]POWER!$K$9</f>
        <v>5640</v>
      </c>
    </row>
    <row r="4" spans="1:9" x14ac:dyDescent="0.25">
      <c r="A4" s="3"/>
      <c r="B4" s="4">
        <v>0.38871715610510044</v>
      </c>
      <c r="C4" s="4">
        <v>-5.008347245409015E-3</v>
      </c>
      <c r="D4" s="4">
        <v>7.0469798657718116E-2</v>
      </c>
      <c r="E4" s="4">
        <v>-0.48589341692789967</v>
      </c>
      <c r="F4" s="4">
        <v>0.31402439024390244</v>
      </c>
      <c r="G4" s="4">
        <v>0.1788476411446249</v>
      </c>
      <c r="H4" s="4">
        <v>0.16483516483516483</v>
      </c>
      <c r="I4" s="4">
        <f>(I3-H3)/H3</f>
        <v>-0.20585750492818924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7DE2-0B78-461F-9558-D9AD76E0CDAB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7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1">
        <v>46235</v>
      </c>
      <c r="H2" s="11">
        <v>46266</v>
      </c>
      <c r="I2" s="11">
        <v>46296</v>
      </c>
    </row>
    <row r="3" spans="1:9" x14ac:dyDescent="0.25">
      <c r="A3" s="2">
        <v>222793</v>
      </c>
      <c r="B3" s="2">
        <v>98244</v>
      </c>
      <c r="C3" s="2">
        <v>173801</v>
      </c>
      <c r="D3" s="2">
        <v>192306</v>
      </c>
      <c r="E3" s="2">
        <v>164217</v>
      </c>
      <c r="F3" s="2">
        <v>194544</v>
      </c>
      <c r="G3" s="2">
        <v>239872</v>
      </c>
      <c r="H3" s="2">
        <v>253860</v>
      </c>
      <c r="I3" s="2">
        <f>[1]Frutas!$M$18</f>
        <v>263210</v>
      </c>
    </row>
    <row r="4" spans="1:9" x14ac:dyDescent="0.25">
      <c r="A4" s="3"/>
      <c r="B4" s="4">
        <v>-0.55903461957960976</v>
      </c>
      <c r="C4" s="4">
        <v>0.76907495623142386</v>
      </c>
      <c r="D4" s="4">
        <v>0.10647234480814265</v>
      </c>
      <c r="E4" s="4">
        <v>-0.14606408536395121</v>
      </c>
      <c r="F4" s="4">
        <v>0.18467637333528197</v>
      </c>
      <c r="G4" s="4">
        <v>0.23299613455053869</v>
      </c>
      <c r="H4" s="4">
        <v>5.8314434364994665E-2</v>
      </c>
      <c r="I4" s="4">
        <f>(I3-H3)/H3</f>
        <v>3.6831324352005042E-2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9A32-DE1B-43F8-A9E1-7A0C474A6180}">
  <dimension ref="A1:I4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A1" s="12" t="s">
        <v>8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 s="2">
        <v>19349</v>
      </c>
      <c r="B3" s="2">
        <v>34006</v>
      </c>
      <c r="C3" s="2">
        <v>31406</v>
      </c>
      <c r="D3" s="2">
        <v>49884</v>
      </c>
      <c r="E3" s="2">
        <v>31803</v>
      </c>
      <c r="F3" s="2">
        <v>39846</v>
      </c>
      <c r="G3" s="2">
        <v>37424</v>
      </c>
      <c r="H3" s="2">
        <v>52480</v>
      </c>
      <c r="I3" s="2">
        <f>[1]Cremosillo!$M$11</f>
        <v>30204</v>
      </c>
    </row>
    <row r="4" spans="1:9" x14ac:dyDescent="0.25">
      <c r="A4" s="3"/>
      <c r="B4" s="4">
        <v>0.75750684789911626</v>
      </c>
      <c r="C4" s="4">
        <v>-7.6457095806622355E-2</v>
      </c>
      <c r="D4" s="4">
        <v>0.58835891230974968</v>
      </c>
      <c r="E4" s="4">
        <v>-0.36246090930959829</v>
      </c>
      <c r="F4" s="4">
        <v>0.25290066974813696</v>
      </c>
      <c r="G4" s="4">
        <v>-6.0784018471113789E-2</v>
      </c>
      <c r="H4" s="4">
        <v>0.40230867892261651</v>
      </c>
      <c r="I4" s="4">
        <f>(I3-H3)/H3</f>
        <v>-0.42446646341463412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21FD-1DF5-467A-8795-A0197415D027}">
  <dimension ref="A1:I4"/>
  <sheetViews>
    <sheetView workbookViewId="0">
      <selection activeCell="J13" sqref="J13"/>
    </sheetView>
  </sheetViews>
  <sheetFormatPr baseColWidth="10" defaultRowHeight="15" x14ac:dyDescent="0.25"/>
  <sheetData>
    <row r="1" spans="1:9" x14ac:dyDescent="0.25">
      <c r="A1" s="12" t="s">
        <v>9</v>
      </c>
      <c r="B1" s="12"/>
      <c r="C1" s="12"/>
      <c r="D1" s="12"/>
      <c r="E1" s="12"/>
      <c r="F1" s="12"/>
    </row>
    <row r="2" spans="1:9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  <c r="H2" s="5">
        <v>46266</v>
      </c>
      <c r="I2" s="5">
        <v>46296</v>
      </c>
    </row>
    <row r="3" spans="1:9" x14ac:dyDescent="0.25">
      <c r="A3" s="2">
        <v>18271</v>
      </c>
      <c r="B3" s="2">
        <v>18567</v>
      </c>
      <c r="C3" s="2">
        <v>30849</v>
      </c>
      <c r="D3" s="2">
        <v>30055</v>
      </c>
      <c r="E3" s="2">
        <v>52803</v>
      </c>
      <c r="F3" s="2">
        <v>45389</v>
      </c>
      <c r="G3" s="2">
        <v>35313</v>
      </c>
      <c r="H3" s="2">
        <v>53734</v>
      </c>
      <c r="I3" s="2">
        <f>[1]Gelatina!$M$13</f>
        <v>37910</v>
      </c>
    </row>
    <row r="4" spans="1:9" x14ac:dyDescent="0.25">
      <c r="A4" s="3"/>
      <c r="B4" s="4">
        <v>1.6200536369109519E-2</v>
      </c>
      <c r="C4" s="4">
        <v>0.66149620294070122</v>
      </c>
      <c r="D4" s="4">
        <v>-2.5738273525884144E-2</v>
      </c>
      <c r="E4" s="4">
        <v>0.75687905506571285</v>
      </c>
      <c r="F4" s="4">
        <v>-0.14040868890025188</v>
      </c>
      <c r="G4" s="4">
        <v>-0.22199211262640728</v>
      </c>
      <c r="H4" s="4">
        <v>0.5216492509840569</v>
      </c>
      <c r="I4" s="4">
        <f>(I3-H3)/H3</f>
        <v>-0.29448766144340643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Produccion Total Mensual</vt:lpstr>
      <vt:lpstr>Produccion Total Cremigurt</vt:lpstr>
      <vt:lpstr>Produccion Total Cremigurt 150g</vt:lpstr>
      <vt:lpstr>Produccion Total Cremigurt 700g</vt:lpstr>
      <vt:lpstr>Produccion Total Linea Azul</vt:lpstr>
      <vt:lpstr>Produccion Total Power 150g</vt:lpstr>
      <vt:lpstr>Produccion Total Power 700g</vt:lpstr>
      <vt:lpstr>Produccion Total Frutas</vt:lpstr>
      <vt:lpstr>Produccion Total Cremosillo</vt:lpstr>
      <vt:lpstr>Produccion Total Saltarina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2026-07-20T12:01:30Z</dcterms:created>
  <dcterms:modified xsi:type="dcterms:W3CDTF">2026-10-30T12:48:59Z</dcterms:modified>
</cp:coreProperties>
</file>