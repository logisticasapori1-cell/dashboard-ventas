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58BC8EF1-10BF-4DFD-8EA0-3AA48EBB5789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6" l="1"/>
  <c r="I3" i="4"/>
  <c r="I3" i="2"/>
  <c r="G3" i="1"/>
  <c r="G4" i="1" s="1"/>
  <c r="F3" i="10"/>
  <c r="E3" i="10"/>
  <c r="D3" i="10"/>
  <c r="C3" i="10"/>
  <c r="B3" i="10"/>
  <c r="A3" i="10"/>
  <c r="B3" i="1"/>
  <c r="C3" i="1"/>
  <c r="D3" i="1"/>
  <c r="E3" i="1"/>
  <c r="F3" i="1"/>
  <c r="B4" i="1"/>
  <c r="C4" i="1"/>
  <c r="D4" i="1"/>
  <c r="E4" i="1"/>
  <c r="F4" i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E3" i="9"/>
  <c r="D3" i="9"/>
  <c r="C3" i="9"/>
  <c r="D4" i="9" s="1"/>
  <c r="B3" i="9"/>
  <c r="A3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F3" i="4"/>
  <c r="F3" i="2"/>
  <c r="I3" i="1" l="1"/>
  <c r="E4" i="10"/>
  <c r="C4" i="9"/>
  <c r="B4" i="10"/>
  <c r="D4" i="12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9"/>
  <c r="F3" i="8"/>
  <c r="F4" i="11" l="1"/>
  <c r="F4" i="10"/>
  <c r="F4" i="9"/>
  <c r="F4" i="8"/>
  <c r="F3" i="6"/>
  <c r="F3" i="7"/>
  <c r="F4" i="4"/>
  <c r="F4" i="6"/>
  <c r="G3" i="9" l="1"/>
  <c r="G4" i="9" s="1"/>
  <c r="F4" i="7"/>
  <c r="F4" i="2"/>
  <c r="G3" i="7" l="1"/>
  <c r="G4" i="7" s="1"/>
  <c r="G4" i="4"/>
  <c r="F3" i="12"/>
  <c r="G3" i="2" l="1"/>
  <c r="F4" i="12"/>
  <c r="G3" i="12" l="1"/>
  <c r="G4" i="12" s="1"/>
  <c r="G3" i="8"/>
  <c r="G4" i="8" s="1"/>
  <c r="G3" i="11" l="1"/>
  <c r="G4" i="11" s="1"/>
  <c r="G4" i="2" l="1"/>
  <c r="G4" i="6" l="1"/>
  <c r="H3" i="2" l="1"/>
  <c r="H4" i="2" l="1"/>
  <c r="I4" i="2"/>
  <c r="H3" i="4"/>
  <c r="H4" i="4" l="1"/>
  <c r="I4" i="4"/>
  <c r="H3" i="9"/>
  <c r="H4" i="9" s="1"/>
  <c r="H3" i="10" l="1"/>
  <c r="H3" i="7"/>
  <c r="H4" i="7" s="1"/>
  <c r="H3" i="6"/>
  <c r="I4" i="6" s="1"/>
  <c r="H3" i="8"/>
  <c r="H4" i="8" s="1"/>
  <c r="H3" i="12"/>
  <c r="H4" i="12" s="1"/>
  <c r="H3" i="11" l="1"/>
  <c r="H4" i="11" s="1"/>
  <c r="H3" i="1" l="1"/>
  <c r="H4" i="1" l="1"/>
  <c r="I4" i="1"/>
  <c r="G3" i="10"/>
  <c r="H4" i="10" l="1"/>
  <c r="G4" i="10"/>
  <c r="G3" i="6" l="1"/>
  <c r="H4" i="6" s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<sst xmlns="http://schemas.openxmlformats.org/spreadsheetml/2006/main" count="10" uniqueCount="10">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</sst>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Historico%20Produccion%20CREMIGURT.xlsx" TargetMode="External"/><Relationship Id="rId1" Type="http://schemas.openxmlformats.org/officeDocument/2006/relationships/externalLinkPath" Target="file:///R:\OPERACIONES\INDICADOR%20DE%20DESPACHO\Historico%20Produccion%20CREMIGUR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578361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0.22641356190433515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-7.372417446583083E-3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60005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2999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3098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9">
        <row r="15">
          <cell r="K15">
            <v>16570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37424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35313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od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/>
      <sheetData sheetId="1"/>
      <sheetData sheetId="2">
        <row r="12">
          <cell r="O12">
            <v>578361</v>
          </cell>
          <cell r="P12">
            <v>687903</v>
          </cell>
          <cell r="Q12">
            <v>31326</v>
          </cell>
        </row>
      </sheetData>
      <sheetData sheetId="3">
        <row r="9">
          <cell r="V9">
            <v>500217</v>
          </cell>
          <cell r="W9">
            <v>577194</v>
          </cell>
          <cell r="X9">
            <v>29574</v>
          </cell>
        </row>
      </sheetData>
      <sheetData sheetId="4">
        <row r="9">
          <cell r="L9">
            <v>498292</v>
          </cell>
          <cell r="M9">
            <v>23624</v>
          </cell>
        </row>
      </sheetData>
      <sheetData sheetId="5"/>
      <sheetData sheetId="6">
        <row r="7">
          <cell r="K7">
            <v>44970</v>
          </cell>
          <cell r="L7">
            <v>54128</v>
          </cell>
          <cell r="M7">
            <v>2095</v>
          </cell>
        </row>
      </sheetData>
      <sheetData sheetId="7">
        <row r="10">
          <cell r="K10">
            <v>70627</v>
          </cell>
        </row>
      </sheetData>
      <sheetData sheetId="8">
        <row r="6">
          <cell r="I6">
            <v>15181</v>
          </cell>
          <cell r="J6">
            <v>19404</v>
          </cell>
        </row>
        <row r="7">
          <cell r="J7">
            <v>3221</v>
          </cell>
        </row>
        <row r="8">
          <cell r="I8">
            <v>24605</v>
          </cell>
          <cell r="J8">
            <v>31637</v>
          </cell>
        </row>
        <row r="9">
          <cell r="J9">
            <v>3881</v>
          </cell>
        </row>
        <row r="10">
          <cell r="I10">
            <v>12002</v>
          </cell>
          <cell r="J10">
            <v>11277</v>
          </cell>
        </row>
        <row r="11">
          <cell r="I11">
            <v>12086</v>
          </cell>
          <cell r="J11">
            <v>8830</v>
          </cell>
        </row>
        <row r="12">
          <cell r="I12">
            <v>7967</v>
          </cell>
          <cell r="J12">
            <v>4094</v>
          </cell>
        </row>
        <row r="13">
          <cell r="I13">
            <v>7892</v>
          </cell>
          <cell r="J13">
            <v>4163</v>
          </cell>
        </row>
      </sheetData>
      <sheetData sheetId="9">
        <row r="18">
          <cell r="E18">
            <v>222793</v>
          </cell>
          <cell r="F18">
            <v>98244</v>
          </cell>
          <cell r="G18">
            <v>173801</v>
          </cell>
          <cell r="H18">
            <v>192306</v>
          </cell>
          <cell r="I18">
            <v>164217</v>
          </cell>
          <cell r="J18">
            <v>194544</v>
          </cell>
          <cell r="K18">
            <v>239872</v>
          </cell>
          <cell r="L18">
            <v>253860</v>
          </cell>
        </row>
      </sheetData>
      <sheetData sheetId="10">
        <row r="11">
          <cell r="L11">
            <v>52480</v>
          </cell>
        </row>
      </sheetData>
      <sheetData sheetId="11">
        <row r="13">
          <cell r="L13">
            <v>53734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lance Sapori vs Inventario"/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>
        <row r="4">
          <cell r="D4">
            <v>37424</v>
          </cell>
        </row>
      </sheetData>
      <sheetData sheetId="2">
        <row r="24">
          <cell r="C24">
            <v>76012</v>
          </cell>
        </row>
      </sheetData>
      <sheetData sheetId="3"/>
      <sheetData sheetId="4"/>
      <sheetData sheetId="5"/>
      <sheetData sheetId="6"/>
      <sheetData sheetId="7"/>
      <sheetData sheetId="8">
        <row r="88">
          <cell r="AD88">
            <v>437902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I4"/>
  <sheetViews>
    <sheetView tabSelected="1" workbookViewId="0">
      <selection activeCell="K9" sqref="K9"/>
    </sheetView>
  </sheetViews>
  <sheetFormatPr baseColWidth="10" defaultRowHeight="15" x14ac:dyDescent="0.25"/>
  <sheetData>
    <row r="1" spans="1:9" x14ac:dyDescent="0.25">
      <c r="A1" s="12" t="s">
        <v>0</v>
      </c>
      <c r="B1" s="12"/>
      <c r="C1" s="12"/>
      <c r="D1" s="12"/>
      <c r="E1" s="12"/>
      <c r="F1" s="12"/>
    </row>
    <row r="2" spans="1:9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  <c r="H2" s="8">
        <v>46266</v>
      </c>
      <c r="I2" s="5">
        <v>46296</v>
      </c>
    </row>
    <row r="3" spans="1:9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'[2]Total Unidades Mensuales'!$O$12</f>
        <v>578361</v>
      </c>
      <c r="H3" s="2">
        <f>'[2]Total Unidades Mensuales'!$P$12</f>
        <v>687903</v>
      </c>
      <c r="I3" s="2">
        <f>'[2]Total Unidades Mensuales'!$Q$12</f>
        <v>31326</v>
      </c>
    </row>
    <row r="4" spans="1:9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3">
        <f>(G3-F3)/F3</f>
        <v>0.11472581947702265</v>
      </c>
      <c r="H4" s="3">
        <f>(H3-G3)/G3</f>
        <v>0.18940073760160175</v>
      </c>
      <c r="I4" s="3">
        <f>(I3-H3)/H3</f>
        <v>-0.95446160287133508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I4"/>
  <sheetViews>
    <sheetView workbookViewId="0">
      <selection activeCell="I4" sqref="I4"/>
    </sheetView>
  </sheetViews>
  <sheetFormatPr baseColWidth="10" defaultRowHeight="15" x14ac:dyDescent="0.25"/>
  <sheetData>
    <row r="1" spans="1:9" x14ac:dyDescent="0.25">
      <c r="A1" s="12" t="s">
        <v>1</v>
      </c>
      <c r="B1" s="12"/>
      <c r="C1" s="12"/>
      <c r="D1" s="12"/>
      <c r="E1" s="12"/>
      <c r="F1" s="12"/>
    </row>
    <row r="2" spans="1:9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  <c r="I2" s="5">
        <v>46296</v>
      </c>
    </row>
    <row r="3" spans="1:9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'[2]Total Cremigurt Unidades'!$V$9</f>
        <v>500217</v>
      </c>
      <c r="H3" s="2">
        <f>'[2]Total Cremigurt Unidades'!$W$9</f>
        <v>577194</v>
      </c>
      <c r="I3">
        <f>'[2]Total Cremigurt Unidades'!$X$9</f>
        <v>29574</v>
      </c>
    </row>
    <row r="4" spans="1:9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0.16444896571952677</v>
      </c>
      <c r="H4" s="7">
        <f>(H3-G3)/G3</f>
        <v>0.15388721294957988</v>
      </c>
      <c r="I4" s="7">
        <f>(I3-H3)/H3</f>
        <v>-0.94876246114824481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I4"/>
  <sheetViews>
    <sheetView workbookViewId="0">
      <selection activeCell="I4" sqref="I4"/>
    </sheetView>
  </sheetViews>
  <sheetFormatPr baseColWidth="10" defaultRowHeight="15" x14ac:dyDescent="0.25"/>
  <sheetData>
    <row r="1" spans="1:9" x14ac:dyDescent="0.25">
      <c r="A1" s="12" t="s">
        <v>2</v>
      </c>
      <c r="B1" s="12"/>
      <c r="C1" s="12"/>
      <c r="D1" s="12"/>
      <c r="E1" s="12"/>
      <c r="F1" s="12"/>
    </row>
    <row r="2" spans="1:9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  <c r="I2" s="5">
        <v>46296</v>
      </c>
    </row>
    <row r="3" spans="1:9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0">
        <f>'[3]PRODUCCION DIARIA AGOSTO 2026'!$AD$88</f>
        <v>437902</v>
      </c>
      <c r="H3" s="2">
        <f>'[2]150 gr'!$L$9</f>
        <v>498292</v>
      </c>
      <c r="I3" s="2">
        <f>'[2]150 gr'!$M$9</f>
        <v>23624</v>
      </c>
    </row>
    <row r="4" spans="1:9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0.22641356190433515</v>
      </c>
      <c r="H4" s="7">
        <f>(H3-G3)/G3</f>
        <v>0.13790756836004403</v>
      </c>
      <c r="I4" s="7">
        <f>(I3-H3)/H3</f>
        <v>-0.95259004760261057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I4"/>
  <sheetViews>
    <sheetView workbookViewId="0">
      <selection activeCell="I4" sqref="I4"/>
    </sheetView>
  </sheetViews>
  <sheetFormatPr baseColWidth="10" defaultRowHeight="15" x14ac:dyDescent="0.25"/>
  <sheetData>
    <row r="1" spans="1:9" x14ac:dyDescent="0.25">
      <c r="A1" s="12" t="s">
        <v>3</v>
      </c>
      <c r="B1" s="12"/>
      <c r="C1" s="12"/>
      <c r="D1" s="12"/>
      <c r="E1" s="12"/>
      <c r="F1" s="12"/>
    </row>
    <row r="2" spans="1:9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  <c r="I2" s="5">
        <v>46296</v>
      </c>
    </row>
    <row r="3" spans="1:9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0">
        <f>'[2]700 gr'!$K$7</f>
        <v>44970</v>
      </c>
      <c r="H3" s="2">
        <f>'[2]700 gr'!$L$7</f>
        <v>54128</v>
      </c>
      <c r="I3" s="2">
        <f>'[2]700 gr'!$M$7</f>
        <v>2095</v>
      </c>
    </row>
    <row r="4" spans="1:9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-7.372417446583083E-3</v>
      </c>
      <c r="H4" s="7">
        <f>(H3-G3)/G3</f>
        <v>0.20364687569490772</v>
      </c>
      <c r="I4" s="7">
        <f>(I3-H3)/H3</f>
        <v>-0.9612954478273722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H4"/>
  <sheetViews>
    <sheetView workbookViewId="0">
      <selection activeCell="I4" sqref="I4"/>
    </sheetView>
  </sheetViews>
  <sheetFormatPr baseColWidth="10" defaultRowHeight="15" x14ac:dyDescent="0.25"/>
  <sheetData>
    <row r="1" spans="1:8" x14ac:dyDescent="0.25">
      <c r="A1" s="12" t="s">
        <v>4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60005</v>
      </c>
      <c r="H3" s="2">
        <f>'[2]Linea Azul'!$K$10</f>
        <v>70627</v>
      </c>
    </row>
    <row r="4" spans="1:8" x14ac:dyDescent="0.25">
      <c r="A4" s="3"/>
      <c r="B4" s="3"/>
      <c r="C4" s="4">
        <f>(C3-B3)/B3</f>
        <v>1.4046501312238939</v>
      </c>
      <c r="D4" s="4">
        <f t="shared" ref="D4:H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1.557078784801557E-2</v>
      </c>
      <c r="H4" s="4">
        <f t="shared" si="0"/>
        <v>0.17701858178485128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H4"/>
  <sheetViews>
    <sheetView workbookViewId="0">
      <selection activeCell="J8" sqref="J8"/>
    </sheetView>
  </sheetViews>
  <sheetFormatPr baseColWidth="10" defaultRowHeight="15" x14ac:dyDescent="0.25"/>
  <sheetData>
    <row r="1" spans="1:8" x14ac:dyDescent="0.25">
      <c r="A1" s="12" t="s">
        <v>6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[2]POWER!$I$6+[2]POWER!$I$8+[2]POWER!$I$10+[2]POWER!$I$11+[2]POWER!$I$12+[2]POWER!$I$13</f>
        <v>79733</v>
      </c>
      <c r="H3" s="2">
        <f>[2]POWER!$J$6+[2]POWER!$J$8+[2]POWER!$J$10+[2]POWER!$J$11+[2]POWER!$J$12+[2]POWER!$J$13</f>
        <v>79405</v>
      </c>
    </row>
    <row r="4" spans="1:8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H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1.2791276011891151</v>
      </c>
      <c r="H4" s="4">
        <f t="shared" si="0"/>
        <v>-4.1137295724480456E-3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H4"/>
  <sheetViews>
    <sheetView workbookViewId="0">
      <selection activeCell="J5" sqref="J5"/>
    </sheetView>
  </sheetViews>
  <sheetFormatPr baseColWidth="10" defaultRowHeight="15" x14ac:dyDescent="0.25"/>
  <sheetData>
    <row r="1" spans="1:8" x14ac:dyDescent="0.25">
      <c r="A1" s="12" t="s">
        <v>5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6097</v>
      </c>
      <c r="H3" s="2">
        <f>[2]POWER!$J$7+[2]POWER!$J$9</f>
        <v>7102</v>
      </c>
    </row>
    <row r="4" spans="1:8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H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0.1788476411446249</v>
      </c>
      <c r="H4" s="4">
        <f t="shared" si="0"/>
        <v>0.16483516483516483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H4"/>
  <sheetViews>
    <sheetView workbookViewId="0">
      <selection activeCell="K7" sqref="K7"/>
    </sheetView>
  </sheetViews>
  <sheetFormatPr baseColWidth="10" defaultRowHeight="15" x14ac:dyDescent="0.25"/>
  <sheetData>
    <row r="1" spans="1:8" x14ac:dyDescent="0.25">
      <c r="A1" s="12" t="s">
        <v>7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[2]Frutas!$E$18</f>
        <v>222793</v>
      </c>
      <c r="B3" s="2">
        <f>[2]Frutas!$F$18</f>
        <v>98244</v>
      </c>
      <c r="C3" s="2">
        <f>[2]Frutas!$G$18</f>
        <v>173801</v>
      </c>
      <c r="D3" s="2">
        <f>[2]Frutas!$H$18</f>
        <v>192306</v>
      </c>
      <c r="E3" s="2">
        <f>[2]Frutas!$I$18</f>
        <v>164217</v>
      </c>
      <c r="F3" s="2">
        <f>[2]Frutas!$J$18</f>
        <v>194544</v>
      </c>
      <c r="G3" s="2">
        <f>[2]Frutas!$K$18</f>
        <v>239872</v>
      </c>
      <c r="H3" s="2">
        <f>[2]Frutas!$L$18</f>
        <v>253860</v>
      </c>
    </row>
    <row r="4" spans="1:8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H4" si="0">(D3-C3)/C3</f>
        <v>0.10647234480814265</v>
      </c>
      <c r="E4" s="4">
        <f t="shared" si="0"/>
        <v>-0.14606408536395121</v>
      </c>
      <c r="F4" s="4">
        <f t="shared" si="0"/>
        <v>0.18467637333528197</v>
      </c>
      <c r="G4" s="4">
        <f t="shared" si="0"/>
        <v>0.23299613455053869</v>
      </c>
      <c r="H4" s="4">
        <f t="shared" si="0"/>
        <v>5.8314434364994665E-2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H4"/>
  <sheetViews>
    <sheetView workbookViewId="0">
      <selection activeCell="J18" sqref="J18"/>
    </sheetView>
  </sheetViews>
  <sheetFormatPr baseColWidth="10" defaultRowHeight="15" x14ac:dyDescent="0.25"/>
  <sheetData>
    <row r="1" spans="1:8" x14ac:dyDescent="0.25">
      <c r="A1" s="12" t="s">
        <v>8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37424</v>
      </c>
      <c r="H3" s="2">
        <f>[2]Cremosillo!$L$11</f>
        <v>52480</v>
      </c>
    </row>
    <row r="4" spans="1:8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H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-6.0784018471113789E-2</v>
      </c>
      <c r="H4" s="4">
        <f t="shared" si="0"/>
        <v>0.40230867892261651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H4"/>
  <sheetViews>
    <sheetView workbookViewId="0">
      <selection activeCell="J18" sqref="J18:K18"/>
    </sheetView>
  </sheetViews>
  <sheetFormatPr baseColWidth="10" defaultRowHeight="15" x14ac:dyDescent="0.25"/>
  <sheetData>
    <row r="1" spans="1:8" x14ac:dyDescent="0.25">
      <c r="A1" s="12" t="s">
        <v>9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35313</v>
      </c>
      <c r="H3" s="2">
        <f>[2]Gelatina!$L$13</f>
        <v>53734</v>
      </c>
    </row>
    <row r="4" spans="1:8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H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-0.22199211262640728</v>
      </c>
      <c r="H4" s="4">
        <f t="shared" si="0"/>
        <v>0.5216492509840569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2026-10-06T02:05:31Z</dcterms:modified>
</cp:coreProperties>
</file>