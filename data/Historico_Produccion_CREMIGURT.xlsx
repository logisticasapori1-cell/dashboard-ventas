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AEDE057A-6137-4C52-A117-55BD72522D89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6" l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A3" i="10"/>
  <c r="B3" i="10"/>
  <c r="C3" i="10"/>
  <c r="D3" i="10"/>
  <c r="E3" i="10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E4" i="10" l="1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10"/>
  <c r="F3" i="9"/>
  <c r="F3" i="8"/>
  <c r="F4" i="11" l="1"/>
  <c r="F4" i="10"/>
  <c r="F4" i="9"/>
  <c r="F4" i="8"/>
  <c r="F3" i="6"/>
  <c r="F3" i="7"/>
  <c r="F4" i="4"/>
  <c r="F4" i="6"/>
  <c r="G3" i="9" l="1"/>
  <c r="G4" i="9" s="1"/>
  <c r="G3" i="8"/>
  <c r="G4" i="8" s="1"/>
  <c r="F4" i="7"/>
  <c r="F4" i="2"/>
  <c r="G3" i="7" l="1"/>
  <c r="G4" i="7" s="1"/>
  <c r="G4" i="4"/>
  <c r="F3" i="12"/>
  <c r="F4" i="12" l="1"/>
  <c r="F3" i="1"/>
  <c r="F4" i="1"/>
  <c r="G3" i="10" l="1"/>
  <c r="G4" i="10" s="1"/>
  <c r="G3" i="12" l="1"/>
  <c r="G4" i="12" s="1"/>
  <c r="G3" i="11" l="1"/>
  <c r="G4" i="11" s="1"/>
  <c r="G3" i="2" l="1"/>
  <c r="G4" i="2" s="1"/>
  <c r="G3" i="1" l="1"/>
  <c r="G4" i="6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<sst xmlns="http://schemas.openxmlformats.org/spreadsheetml/2006/main" count="10" uniqueCount="10">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</sst>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  <cell r="V9">
            <v>482872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15181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24605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12002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12086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>
        <row r="39">
          <cell r="G39">
            <v>60829</v>
          </cell>
        </row>
      </sheetData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tabSelected="1" workbookViewId="0">
      <selection activeCell="M14" sqref="M14"/>
    </sheetView>
  </sheetViews>
  <sheetFormatPr baseColWidth="10" defaultRowHeight="15" x14ac:dyDescent="0.25"/>
  <sheetData>
    <row r="1" spans="1:7" x14ac:dyDescent="0.25">
      <c r="A1" s="13" t="s">
        <v>0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13" t="s">
        <v>1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'[1]Total Cremigurt Unidades'!$V$9</f>
        <v>482872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0.1240717548082519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workbookViewId="0">
      <selection activeCell="L37" sqref="L37"/>
    </sheetView>
  </sheetViews>
  <sheetFormatPr baseColWidth="10" defaultRowHeight="15" x14ac:dyDescent="0.25"/>
  <sheetData>
    <row r="1" spans="1:7" x14ac:dyDescent="0.25">
      <c r="A1" s="13" t="s">
        <v>2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1">
        <f>'[2]PRODUCCION DIARIA AGOSTO 2026'!$AD$88</f>
        <v>437902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13" t="s">
        <v>3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1">
        <f>'[2]Produccion MTD SHARE'!$G$39</f>
        <v>60829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13" t="s">
        <v>4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13" t="s">
        <v>6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63874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0.82580608278069978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13" t="s">
        <v>5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13" t="s">
        <v>7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[1]Frutas!E15</f>
        <v>0</v>
      </c>
      <c r="B3" s="2">
        <f>[1]Frutas!F15</f>
        <v>0</v>
      </c>
      <c r="C3" s="2">
        <f>[1]Frutas!G15</f>
        <v>0</v>
      </c>
      <c r="D3" s="2">
        <f>[1]Frutas!H15</f>
        <v>0</v>
      </c>
      <c r="E3" s="2">
        <f>[1]Frutas!I15</f>
        <v>0</v>
      </c>
      <c r="F3" s="2">
        <f>[1]Frutas!J15</f>
        <v>0</v>
      </c>
      <c r="G3" s="2">
        <f>[1]Frutas!$K$15</f>
        <v>16570</v>
      </c>
    </row>
    <row r="4" spans="1:7" x14ac:dyDescent="0.25">
      <c r="A4" s="3"/>
      <c r="B4" s="4" t="e">
        <f>(B3-A3)/A3</f>
        <v>#DIV/0!</v>
      </c>
      <c r="C4" s="4" t="e">
        <f>(C3-B3)/B3</f>
        <v>#DIV/0!</v>
      </c>
      <c r="D4" s="4" t="e">
        <f t="shared" ref="D4:G4" si="0">(D3-C3)/C3</f>
        <v>#DIV/0!</v>
      </c>
      <c r="E4" s="4" t="e">
        <f t="shared" si="0"/>
        <v>#DIV/0!</v>
      </c>
      <c r="F4" s="4" t="e">
        <f t="shared" si="0"/>
        <v>#DIV/0!</v>
      </c>
      <c r="G4" s="4" t="e">
        <f t="shared" si="0"/>
        <v>#DIV/0!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13" t="s">
        <v>8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workbookViewId="0">
      <selection activeCell="L6" sqref="L6"/>
    </sheetView>
  </sheetViews>
  <sheetFormatPr baseColWidth="10" defaultRowHeight="15" x14ac:dyDescent="0.25"/>
  <sheetData>
    <row r="1" spans="1:7" x14ac:dyDescent="0.25">
      <c r="A1" s="13" t="s">
        <v>9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2026-09-01T11:45:23Z</dcterms:modified>
</cp:coreProperties>
</file>