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FF4C5066-AFE1-4660-8560-DA32E487245D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6" l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A3" i="10"/>
  <c r="B3" i="10"/>
  <c r="B4" i="10" s="1"/>
  <c r="C3" i="10"/>
  <c r="D3" i="10"/>
  <c r="E3" i="10"/>
  <c r="E4" i="10" s="1"/>
  <c r="E3" i="9"/>
  <c r="D3" i="9"/>
  <c r="C3" i="9"/>
  <c r="B3" i="9"/>
  <c r="C4" i="9" s="1"/>
  <c r="A3" i="9"/>
  <c r="D4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D4" i="12" l="1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10"/>
  <c r="F3" i="9"/>
  <c r="F3" i="8"/>
  <c r="F4" i="11" l="1"/>
  <c r="F4" i="10"/>
  <c r="F4" i="9"/>
  <c r="F4" i="8"/>
  <c r="F3" i="6"/>
  <c r="F3" i="7"/>
  <c r="F4" i="4"/>
  <c r="F4" i="6"/>
  <c r="G3" i="9" l="1"/>
  <c r="G4" i="9" s="1"/>
  <c r="G3" i="8"/>
  <c r="G4" i="8" s="1"/>
  <c r="F4" i="7"/>
  <c r="F4" i="2"/>
  <c r="G4" i="4" l="1"/>
  <c r="G3" i="7"/>
  <c r="G4" i="7" s="1"/>
  <c r="F3" i="12"/>
  <c r="F4" i="12" l="1"/>
  <c r="F3" i="1"/>
  <c r="F4" i="1"/>
  <c r="G3" i="10" l="1"/>
  <c r="G4" i="10" s="1"/>
  <c r="G3" i="12" l="1"/>
  <c r="G4" i="12" s="1"/>
  <c r="G3" i="11" l="1"/>
  <c r="G4" i="11" s="1"/>
  <c r="G3" i="2" l="1"/>
  <c r="G4" i="2" s="1"/>
  <c r="G4" i="6" l="1"/>
  <c r="G3" i="1" l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<sst xmlns="http://schemas.openxmlformats.org/spreadsheetml/2006/main" count="10" uniqueCount="10">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</sst>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286721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  <cell r="V9">
            <v>249704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-0.37407543291164763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-0.42141974218612044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23917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  <cell r="I6">
            <v>10071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1278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  <cell r="I8">
            <v>15500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2207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  <cell r="I10">
            <v>5920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  <cell r="I11">
            <v>6025</v>
          </cell>
        </row>
      </sheetData>
      <sheetData sheetId="9">
        <row r="15">
          <cell r="K15">
            <v>10493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20716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11882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8">
          <cell r="AD88">
            <v>223492</v>
          </cell>
        </row>
      </sheetData>
      <sheetData sheetId="8"/>
      <sheetData sheetId="9">
        <row r="39">
          <cell r="G39">
            <v>34293</v>
          </cell>
        </row>
      </sheetData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G4"/>
  <sheetViews>
    <sheetView tabSelected="1" workbookViewId="0">
      <selection activeCell="F13" sqref="F13"/>
    </sheetView>
  </sheetViews>
  <sheetFormatPr baseColWidth="10" defaultRowHeight="15" x14ac:dyDescent="0.25"/>
  <sheetData>
    <row r="1" spans="1:7" x14ac:dyDescent="0.25">
      <c r="A1" s="13" t="s">
        <v>0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</row>
    <row r="3" spans="1:7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286721</v>
      </c>
    </row>
    <row r="4" spans="1:7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10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G4"/>
  <sheetViews>
    <sheetView workbookViewId="0">
      <selection activeCell="G4" sqref="G4"/>
    </sheetView>
  </sheetViews>
  <sheetFormatPr baseColWidth="10" defaultRowHeight="15" x14ac:dyDescent="0.25"/>
  <sheetData>
    <row r="1" spans="1:7" x14ac:dyDescent="0.25">
      <c r="A1" s="13" t="s">
        <v>1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'[1]Total Cremigurt Unidades'!$V$9</f>
        <v>249704</v>
      </c>
    </row>
    <row r="4" spans="1:7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-0.41871714768584689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G4"/>
  <sheetViews>
    <sheetView workbookViewId="0">
      <selection activeCell="L37" sqref="L37"/>
    </sheetView>
  </sheetViews>
  <sheetFormatPr baseColWidth="10" defaultRowHeight="15" x14ac:dyDescent="0.25"/>
  <sheetData>
    <row r="1" spans="1:7" x14ac:dyDescent="0.25">
      <c r="A1" s="13" t="s">
        <v>2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1">
        <f>'[2]PRODUCCION DIARIA AGOSTO 2026'!$AD$88</f>
        <v>223492</v>
      </c>
    </row>
    <row r="4" spans="1:7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-0.37407543291164763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G4"/>
  <sheetViews>
    <sheetView workbookViewId="0">
      <selection activeCell="K15" sqref="K15"/>
    </sheetView>
  </sheetViews>
  <sheetFormatPr baseColWidth="10" defaultRowHeight="15" x14ac:dyDescent="0.25"/>
  <sheetData>
    <row r="1" spans="1:7" x14ac:dyDescent="0.25">
      <c r="A1" s="13" t="s">
        <v>3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1">
        <f>'[2]Produccion MTD SHARE'!$G$39</f>
        <v>34293</v>
      </c>
    </row>
    <row r="4" spans="1:7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-0.42141974218612044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G4"/>
  <sheetViews>
    <sheetView workbookViewId="0">
      <selection activeCell="I8" sqref="I8"/>
    </sheetView>
  </sheetViews>
  <sheetFormatPr baseColWidth="10" defaultRowHeight="15" x14ac:dyDescent="0.25"/>
  <sheetData>
    <row r="1" spans="1:7" x14ac:dyDescent="0.25">
      <c r="A1" s="13" t="s">
        <v>4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23917</v>
      </c>
    </row>
    <row r="4" spans="1:7" x14ac:dyDescent="0.25">
      <c r="A4" s="3"/>
      <c r="B4" s="3"/>
      <c r="C4" s="4">
        <f>(C3-B3)/B3</f>
        <v>1.4046501312238939</v>
      </c>
      <c r="D4" s="4">
        <f t="shared" ref="D4:G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-0.59521029025979522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G4"/>
  <sheetViews>
    <sheetView workbookViewId="0">
      <selection activeCell="J6" sqref="J6"/>
    </sheetView>
  </sheetViews>
  <sheetFormatPr baseColWidth="10" defaultRowHeight="15" x14ac:dyDescent="0.25"/>
  <sheetData>
    <row r="1" spans="1:7" x14ac:dyDescent="0.25">
      <c r="A1" s="13" t="s">
        <v>6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+[1]POWER!$I$6+[1]POWER!$I$8+[1]POWER!$I$10+[1]POWER!$I$11</f>
        <v>37516</v>
      </c>
    </row>
    <row r="4" spans="1:7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G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7.2375943288360389E-2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G4"/>
  <sheetViews>
    <sheetView workbookViewId="0">
      <selection activeCell="J7" sqref="J7"/>
    </sheetView>
  </sheetViews>
  <sheetFormatPr baseColWidth="10" defaultRowHeight="15" x14ac:dyDescent="0.25"/>
  <sheetData>
    <row r="1" spans="1:7" x14ac:dyDescent="0.25">
      <c r="A1" s="13" t="s">
        <v>5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3485</v>
      </c>
    </row>
    <row r="4" spans="1:7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G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-0.32617942768754832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G4"/>
  <sheetViews>
    <sheetView workbookViewId="0">
      <selection activeCell="L17" sqref="L17"/>
    </sheetView>
  </sheetViews>
  <sheetFormatPr baseColWidth="10" defaultRowHeight="15" x14ac:dyDescent="0.25"/>
  <sheetData>
    <row r="1" spans="1:7" x14ac:dyDescent="0.25">
      <c r="A1" s="13" t="s">
        <v>7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[1]Frutas!E15</f>
        <v>0</v>
      </c>
      <c r="B3" s="2">
        <f>[1]Frutas!F15</f>
        <v>0</v>
      </c>
      <c r="C3" s="2">
        <f>[1]Frutas!G15</f>
        <v>0</v>
      </c>
      <c r="D3" s="2">
        <f>[1]Frutas!H15</f>
        <v>0</v>
      </c>
      <c r="E3" s="2">
        <f>[1]Frutas!I15</f>
        <v>0</v>
      </c>
      <c r="F3" s="2">
        <f>[1]Frutas!J15</f>
        <v>0</v>
      </c>
      <c r="G3" s="2">
        <f>[1]Frutas!$K$15</f>
        <v>10493</v>
      </c>
    </row>
    <row r="4" spans="1:7" x14ac:dyDescent="0.25">
      <c r="A4" s="3"/>
      <c r="B4" s="4" t="e">
        <f>(B3-A3)/A3</f>
        <v>#DIV/0!</v>
      </c>
      <c r="C4" s="4" t="e">
        <f>(C3-B3)/B3</f>
        <v>#DIV/0!</v>
      </c>
      <c r="D4" s="4" t="e">
        <f t="shared" ref="D4:G4" si="0">(D3-C3)/C3</f>
        <v>#DIV/0!</v>
      </c>
      <c r="E4" s="4" t="e">
        <f t="shared" si="0"/>
        <v>#DIV/0!</v>
      </c>
      <c r="F4" s="4" t="e">
        <f t="shared" si="0"/>
        <v>#DIV/0!</v>
      </c>
      <c r="G4" s="4" t="e">
        <f t="shared" si="0"/>
        <v>#DIV/0!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G4"/>
  <sheetViews>
    <sheetView workbookViewId="0">
      <selection activeCell="H3" sqref="H3"/>
    </sheetView>
  </sheetViews>
  <sheetFormatPr baseColWidth="10" defaultRowHeight="15" x14ac:dyDescent="0.25"/>
  <sheetData>
    <row r="1" spans="1:7" x14ac:dyDescent="0.25">
      <c r="A1" s="13" t="s">
        <v>8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20716</v>
      </c>
    </row>
    <row r="4" spans="1:7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G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-0.48009837875821915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G4"/>
  <sheetViews>
    <sheetView workbookViewId="0">
      <selection activeCell="L6" sqref="L6"/>
    </sheetView>
  </sheetViews>
  <sheetFormatPr baseColWidth="10" defaultRowHeight="15" x14ac:dyDescent="0.25"/>
  <sheetData>
    <row r="1" spans="1:7" x14ac:dyDescent="0.25">
      <c r="A1" s="13" t="s">
        <v>9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11882</v>
      </c>
    </row>
    <row r="4" spans="1:7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G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-0.73821851109299608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2026-08-18T12:21:14Z</dcterms:modified>
</cp:coreProperties>
</file>