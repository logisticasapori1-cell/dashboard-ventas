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R:\SUPPLY CHAIN\dashboard_supply_v.2.0\data\"/>
    </mc:Choice>
  </mc:AlternateContent>
  <xr:revisionPtr revIDLastSave="0" documentId="13_ncr:1_{75C0E9F8-1E41-42E2-9AE9-C6C4BAEE1821}" xr6:coauthVersionLast="47" xr6:coauthVersionMax="47" xr10:uidLastSave="{00000000-0000-0000-0000-000000000000}"/>
  <bookViews>
    <workbookView xWindow="-120" yWindow="-120" windowWidth="29040" windowHeight="15720" activeTab="1" xr2:uid="{935E6DF5-EF5A-46DF-8511-A0024DAB6D46}"/>
  </bookViews>
  <sheets>
    <sheet name="file_ventas" sheetId="1" r:id="rId1"/>
    <sheet name="DASHBOARD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B3" i="2"/>
  <c r="E3" i="2"/>
  <c r="F3" i="2"/>
  <c r="A4" i="2"/>
  <c r="B4" i="2"/>
  <c r="C4" i="2"/>
  <c r="D4" i="2"/>
  <c r="E4" i="2"/>
  <c r="F4" i="2"/>
  <c r="A5" i="2"/>
  <c r="B5" i="2"/>
  <c r="D5" i="2"/>
  <c r="A1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A2" i="1"/>
  <c r="B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2" i="2"/>
  <c r="B2" i="2"/>
  <c r="C2" i="2"/>
  <c r="D2" i="2"/>
  <c r="E2" i="2"/>
  <c r="F2" i="2"/>
  <c r="G2" i="2"/>
  <c r="D3" i="1" l="1"/>
  <c r="D6" i="1"/>
  <c r="D10" i="1"/>
  <c r="D14" i="1"/>
  <c r="D18" i="1"/>
  <c r="D22" i="1"/>
  <c r="D26" i="1"/>
  <c r="D30" i="1"/>
  <c r="D34" i="1"/>
  <c r="D38" i="1"/>
  <c r="D42" i="1"/>
  <c r="D46" i="1"/>
  <c r="C5" i="2"/>
  <c r="D7" i="1"/>
  <c r="D11" i="1"/>
  <c r="D15" i="1"/>
  <c r="D19" i="1"/>
  <c r="D23" i="1"/>
  <c r="D27" i="1"/>
  <c r="D31" i="1"/>
  <c r="D35" i="1"/>
  <c r="D39" i="1"/>
  <c r="D43" i="1"/>
  <c r="D47" i="1"/>
  <c r="D4" i="1"/>
  <c r="D8" i="1"/>
  <c r="D12" i="1"/>
  <c r="D16" i="1"/>
  <c r="D20" i="1"/>
  <c r="D24" i="1"/>
  <c r="D28" i="1"/>
  <c r="D32" i="1"/>
  <c r="D36" i="1"/>
  <c r="D40" i="1"/>
  <c r="D44" i="1"/>
  <c r="D48" i="1"/>
  <c r="D2" i="1"/>
  <c r="D5" i="1"/>
  <c r="D9" i="1"/>
  <c r="D13" i="1"/>
  <c r="D17" i="1"/>
  <c r="D21" i="1"/>
  <c r="D25" i="1"/>
  <c r="D29" i="1"/>
  <c r="D33" i="1"/>
  <c r="D37" i="1"/>
  <c r="D41" i="1"/>
  <c r="D45" i="1"/>
  <c r="E5" i="2" l="1"/>
  <c r="F5" i="2"/>
  <c r="D3" i="2" l="1"/>
  <c r="C3" i="2"/>
  <c r="G3" i="2" l="1"/>
</calcChain>
</file>

<file path=xl/sharedStrings.xml><?xml version="1.0" encoding="utf-8"?>
<sst xmlns="http://schemas.openxmlformats.org/spreadsheetml/2006/main" count="4" uniqueCount="4">
  <si>
    <t>REFERENCIA INTERNA</t>
  </si>
  <si>
    <t>PRODUCTO</t>
  </si>
  <si>
    <t>PROMEDIO DE VENTA DIARIA</t>
  </si>
  <si>
    <t>VENTA BRUTA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</si>
</sst>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8"/>
      <color rgb="FF00B05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8"/>
      <color rgb="FFFFC000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  <xf numFmtId="9" fontId="4" fillId="0" borderId="0" xfId="1" applyFont="1" applyAlignment="1">
      <alignment horizontal="center"/>
    </xf>
    <xf numFmtId="1" fontId="6" fillId="0" borderId="0" xfId="0" applyNumberFormat="1" applyFont="1"/>
    <xf numFmtId="0" fontId="0" fillId="3" borderId="1" xfId="0" applyFill="1" applyBorder="1" applyAlignment="1">
      <alignment horizontal="left"/>
    </xf>
    <xf numFmtId="1" fontId="7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1" fontId="0" fillId="0" borderId="1" xfId="0" applyNumberFormat="1" applyBorder="1"/>
    <xf numFmtId="3" fontId="0" fillId="0" borderId="1" xfId="0" applyNumberFormat="1" applyBorder="1"/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4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 vertical="center"/>
    </xf>
    <xf numFmtId="0" fontId="0" fillId="3" borderId="2" xfId="0" applyFill="1" applyBorder="1"/>
    <xf numFmtId="0" fontId="8" fillId="4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LMACEN%202026/Inventario/Septiembre/Inventario%20Nacional%20Producto%20Terminado/Corte%20Diario%20Inventario%20Nacional%20Producto%20Terminado%20SEPTIEMBRE%202026.xlsx" TargetMode="External"/><Relationship Id="rId2" Type="http://schemas.openxmlformats.org/officeDocument/2006/relationships/externalLinkPath" Target="file:///R:\ALMACEN%202026\Inventario\Septiembre\Inventario%20Nacional%20Producto%20Terminado\Corte%20Diario%20Inventario%20Nacional%20Producto%20Terminado%20SEPTIEMBRE%202026.xlsx" TargetMode="External"/><Relationship Id="rId1" Type="http://schemas.openxmlformats.org/officeDocument/2006/relationships/externalLinkPath" Target="/ALMACEN%202026/Inventario/Septiembre/Inventario%20Nacional%20Producto%20Terminado/Corte%20Diario%20Inventario%20Nacional%20Producto%20Terminado%20SEPTIEMBRE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Inventario/Octubre/Inventario%20Nacional%20Producto%20Terminado/Corte%20Diario%20Inventario%20Nacional%20Producto%20Terminado%20OCTUBRE%202026.xlsx" TargetMode="External"/><Relationship Id="rId2" Type="http://schemas.openxmlformats.org/officeDocument/2006/relationships/externalLinkPath" Target="file:///R:\SUPPLY%20CHAIN\Inventario\Octubre\Inventario%20Nacional%20Producto%20Terminado\Corte%20Diario%20Inventario%20Nacional%20Producto%20Terminado%20OCTUBRE%202026.xlsx" TargetMode="External"/><Relationship Id="rId1" Type="http://schemas.openxmlformats.org/officeDocument/2006/relationships/externalLinkPath" Target="/SUPPLY%20CHAIN/Inventario/Octubre/Inventario%20Nacional%20Producto%20Terminado/Corte%20Diario%20Inventario%20Nacional%20Producto%20Terminado%20OCTUBR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ENTARIO NACIONAL INICIO"/>
      <sheetName val="INVENTARIO NACIONAL 02-09-2026"/>
      <sheetName val="INVENTARIO NACIONAL 03-09-26"/>
      <sheetName val="INVENTARIO NACIONAL 04-09-26"/>
      <sheetName val="INVENTARIO NACIONAL 08-09-26"/>
      <sheetName val="INVENTARIO NACIONAL 09-09-26"/>
      <sheetName val="INVENTARIO NACIONAL 10-09-26"/>
      <sheetName val="INVENTARIO NACIONAL 11-09-26"/>
      <sheetName val="INVENTARIO NACIONAL 14-09-26"/>
      <sheetName val="INVENTARIO NACIONAL 15-09-26"/>
      <sheetName val="INVENTARIO NACIONAL 16-09-26"/>
      <sheetName val="INVENTARIO NACIONAL 17-09-26"/>
      <sheetName val="INVENTARIO NACIONAL 17-09-16;15"/>
      <sheetName val="INVENTARIO NACIONAL 18-09-26"/>
      <sheetName val="INVENTARIO NACIONAL 21-09-26"/>
      <sheetName val="INVENTARIO NACIONAL 22-09-26"/>
      <sheetName val="INVENTARIO NACIONAL 23-09-26"/>
      <sheetName val="INVENTARIO NACIONAL 24-09-26"/>
      <sheetName val="INVENTARIO NACIONAL 25-09-26"/>
      <sheetName val="INVENTARIO NACIONAL 28-09-26"/>
      <sheetName val="INVENTARIO NACIONAL 29-09-26"/>
      <sheetName val="INVENTARIO NACIONAL 30-09-26"/>
      <sheetName val="CCC"/>
      <sheetName val="VINCULO VTS BY SKU AGOSTO"/>
      <sheetName val="VINCULO VTS BY SKU OPEN"/>
      <sheetName val="DESV. VTS BY SKU"/>
    </sheetNames>
    <sheetDataSet>
      <sheetData sheetId="0"/>
      <sheetData sheetId="1"/>
      <sheetData sheetId="2">
        <row r="12">
          <cell r="B12" t="str">
            <v>Referencia interna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G1" t="str">
            <v>DASHBOARD</v>
          </cell>
        </row>
        <row r="2">
          <cell r="G2" t="str">
            <v>TOTAL UNITS SALES GROSS</v>
          </cell>
          <cell r="H2" t="str">
            <v>TOTAL UNITS SALES NET</v>
          </cell>
          <cell r="I2" t="str">
            <v>PROMD VTA DIA</v>
          </cell>
          <cell r="J2" t="str">
            <v>PROMD VTA MES</v>
          </cell>
          <cell r="K2" t="str">
            <v>FORECAST</v>
          </cell>
          <cell r="L2" t="str">
            <v>FORECAST EFFICIENCY</v>
          </cell>
          <cell r="M2" t="str">
            <v>DIF UNITS</v>
          </cell>
        </row>
        <row r="4">
          <cell r="A4">
            <v>110150</v>
          </cell>
          <cell r="B4" t="str">
            <v>Cremosillo Tradicional 150g</v>
          </cell>
        </row>
        <row r="5">
          <cell r="A5">
            <v>110151</v>
          </cell>
          <cell r="B5" t="str">
            <v>Cremosillo Coco 150g</v>
          </cell>
        </row>
        <row r="6">
          <cell r="A6">
            <v>110230</v>
          </cell>
          <cell r="B6" t="str">
            <v>Cremosillo Tradicional 230g</v>
          </cell>
        </row>
        <row r="7">
          <cell r="A7">
            <v>110400</v>
          </cell>
          <cell r="B7" t="str">
            <v>Cremosillo Tradicional 400g</v>
          </cell>
        </row>
        <row r="8">
          <cell r="A8">
            <v>111000</v>
          </cell>
          <cell r="B8" t="str">
            <v>Cremosillo Tradicional 1000g</v>
          </cell>
        </row>
        <row r="9">
          <cell r="A9">
            <v>120130</v>
          </cell>
          <cell r="B9" t="str">
            <v>Gelatina Saltarina Fresa 130g</v>
          </cell>
        </row>
        <row r="10">
          <cell r="A10">
            <v>120131</v>
          </cell>
          <cell r="B10" t="str">
            <v>Gelatina Saltarina Chicle 130g</v>
          </cell>
        </row>
        <row r="11">
          <cell r="A11">
            <v>120132</v>
          </cell>
          <cell r="B11" t="str">
            <v>Gelatina Saltarina Kolita 130g</v>
          </cell>
        </row>
        <row r="12">
          <cell r="A12">
            <v>130150</v>
          </cell>
          <cell r="B12" t="str">
            <v>Cremigurt Natural 150g</v>
          </cell>
        </row>
        <row r="13">
          <cell r="A13">
            <v>130151</v>
          </cell>
          <cell r="B13" t="str">
            <v>Cremigurt Dulce 150g</v>
          </cell>
        </row>
        <row r="14">
          <cell r="A14">
            <v>130152</v>
          </cell>
          <cell r="B14" t="str">
            <v>Cremigurt Fresa 150g</v>
          </cell>
        </row>
        <row r="15">
          <cell r="A15">
            <v>130153</v>
          </cell>
          <cell r="B15" t="str">
            <v>Cremigurt Durazno 150g</v>
          </cell>
        </row>
        <row r="16">
          <cell r="A16">
            <v>130154</v>
          </cell>
          <cell r="B16" t="str">
            <v>Cremigurt Piña 150g</v>
          </cell>
        </row>
        <row r="17">
          <cell r="A17">
            <v>130155</v>
          </cell>
          <cell r="B17" t="str">
            <v>Cremigurt Griego 150g</v>
          </cell>
        </row>
        <row r="18">
          <cell r="A18">
            <v>130157</v>
          </cell>
          <cell r="B18" t="str">
            <v>Cremigurt Griego Mango 150g</v>
          </cell>
        </row>
        <row r="19">
          <cell r="A19">
            <v>130158</v>
          </cell>
          <cell r="B19" t="str">
            <v>Cremigurt Griego Ciruela 150g</v>
          </cell>
        </row>
        <row r="20">
          <cell r="A20">
            <v>130159</v>
          </cell>
          <cell r="B20" t="str">
            <v>Cremigurt Griego Mora 150g</v>
          </cell>
        </row>
        <row r="21">
          <cell r="A21">
            <v>130700</v>
          </cell>
          <cell r="B21" t="str">
            <v>Cremigurt Natural 700g</v>
          </cell>
        </row>
        <row r="22">
          <cell r="A22">
            <v>130701</v>
          </cell>
          <cell r="B22" t="str">
            <v>Cremigurt Dulce 700g</v>
          </cell>
        </row>
        <row r="23">
          <cell r="A23">
            <v>130702</v>
          </cell>
          <cell r="B23" t="str">
            <v>Cremigurt Griego Fresa 700g</v>
          </cell>
        </row>
        <row r="24">
          <cell r="A24">
            <v>130703</v>
          </cell>
          <cell r="B24" t="str">
            <v>Cremigurt Griego 700g</v>
          </cell>
        </row>
        <row r="25">
          <cell r="A25">
            <v>130707</v>
          </cell>
          <cell r="B25" t="str">
            <v>Griego Mykonos 700g</v>
          </cell>
        </row>
        <row r="26">
          <cell r="A26">
            <v>131150</v>
          </cell>
          <cell r="B26" t="str">
            <v>Cremigurt Power Natural 150g</v>
          </cell>
        </row>
        <row r="27">
          <cell r="A27">
            <v>131151</v>
          </cell>
          <cell r="B27" t="str">
            <v>Cremigurt Power Mantecado 150g</v>
          </cell>
        </row>
        <row r="28">
          <cell r="A28">
            <v>131152</v>
          </cell>
          <cell r="B28" t="str">
            <v>Cremigurt Power CheesseCake Fresa 150g</v>
          </cell>
        </row>
        <row r="29">
          <cell r="A29">
            <v>131153</v>
          </cell>
          <cell r="B29" t="str">
            <v>Cremigurt Power Cookies and Cream 150g</v>
          </cell>
        </row>
        <row r="30">
          <cell r="A30">
            <v>131154</v>
          </cell>
          <cell r="B30" t="str">
            <v>Cremigurt Power Piña Colada 150g</v>
          </cell>
        </row>
        <row r="31">
          <cell r="A31">
            <v>131155</v>
          </cell>
          <cell r="B31" t="str">
            <v>Cremigurt Power Dulce de Leche 150g</v>
          </cell>
        </row>
        <row r="32">
          <cell r="A32">
            <v>131700</v>
          </cell>
          <cell r="B32" t="str">
            <v>Cremigurt Power Natural 700g</v>
          </cell>
        </row>
        <row r="33">
          <cell r="A33">
            <v>131701</v>
          </cell>
          <cell r="B33" t="str">
            <v>Cremigurt Power Mantecado 700g</v>
          </cell>
        </row>
        <row r="34">
          <cell r="A34">
            <v>132150</v>
          </cell>
          <cell r="B34" t="str">
            <v>Cremigurt Griego Fresa S/A 150g</v>
          </cell>
        </row>
        <row r="35">
          <cell r="A35">
            <v>132151</v>
          </cell>
          <cell r="B35" t="str">
            <v>Cremigurt Griego Coco Vainilla S/A 150g</v>
          </cell>
        </row>
        <row r="36">
          <cell r="A36">
            <v>132152</v>
          </cell>
          <cell r="B36" t="str">
            <v>Cremigurt Griego Pie de Limón S/A 150g</v>
          </cell>
        </row>
        <row r="37">
          <cell r="A37">
            <v>132153</v>
          </cell>
          <cell r="B37" t="str">
            <v>Cremigurt Griego Caramelo Salado S/A 150g</v>
          </cell>
        </row>
        <row r="38">
          <cell r="A38">
            <v>134000</v>
          </cell>
          <cell r="B38" t="str">
            <v>Cremigurt Griego Natural 4 Kg</v>
          </cell>
        </row>
        <row r="39">
          <cell r="A39">
            <v>134001</v>
          </cell>
          <cell r="B39" t="str">
            <v>Cremigurt Griego Dulce 4 Kg</v>
          </cell>
        </row>
        <row r="40">
          <cell r="A40">
            <v>140230</v>
          </cell>
          <cell r="B40" t="str">
            <v>Cremigurt Líquido Dulce 230g</v>
          </cell>
        </row>
        <row r="41">
          <cell r="A41">
            <v>140231</v>
          </cell>
          <cell r="B41" t="str">
            <v>Cremigurt Líquido Fresa 230g</v>
          </cell>
        </row>
        <row r="42">
          <cell r="A42">
            <v>140232</v>
          </cell>
          <cell r="B42" t="str">
            <v>Cremigurt Líquido Durazno 230g</v>
          </cell>
        </row>
        <row r="43">
          <cell r="A43">
            <v>150360</v>
          </cell>
          <cell r="B43" t="str">
            <v>Tevia Limon 360ml</v>
          </cell>
        </row>
        <row r="44">
          <cell r="A44">
            <v>150361</v>
          </cell>
          <cell r="B44" t="str">
            <v>Tevia Durazno 360ml</v>
          </cell>
        </row>
        <row r="45">
          <cell r="A45">
            <v>150362</v>
          </cell>
          <cell r="B45" t="str">
            <v>Tevia Blueberry 360ml</v>
          </cell>
        </row>
        <row r="46">
          <cell r="A46">
            <v>150363</v>
          </cell>
          <cell r="B46" t="str">
            <v>Tevia Tropical Punch 360ml</v>
          </cell>
        </row>
        <row r="47">
          <cell r="A47">
            <v>151500</v>
          </cell>
          <cell r="B47" t="str">
            <v>Tevia Limon 1.5L</v>
          </cell>
        </row>
        <row r="48">
          <cell r="A48">
            <v>151501</v>
          </cell>
          <cell r="B48" t="str">
            <v>Tevia Durazno 1.5 L</v>
          </cell>
        </row>
        <row r="49">
          <cell r="A49">
            <v>151502</v>
          </cell>
          <cell r="B49" t="str">
            <v>Tevia Blueberry 1.5 L</v>
          </cell>
        </row>
        <row r="50">
          <cell r="A50">
            <v>151503</v>
          </cell>
          <cell r="B50" t="str">
            <v>Tevia Tropical Punch 1.5 L</v>
          </cell>
        </row>
      </sheetData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ENTARIO NACIONAL 01-10-26"/>
      <sheetName val="INVENTARIO NACIONAL 02-10-26"/>
      <sheetName val="INVENTARIO NACIONAL 05-10-26"/>
      <sheetName val="INVENTARIO NACIONAL 06-10-26"/>
      <sheetName val="INVENTARIO NACIONAL 07-10-26"/>
      <sheetName val="INVENTARIO NACIONAL 08-10-2 (2)"/>
      <sheetName val="INVENTARIO NACIONAL 09-10-26 "/>
      <sheetName val="INVENTARIO NACIONAL 13-10-26"/>
      <sheetName val="INVENTARIO NACIONAL 30-10-26"/>
      <sheetName val="CCC"/>
      <sheetName val="VINCULO VTS BY SKU SEPTIEMBRE"/>
      <sheetName val="VINCULO VTS BY SKU OPEN"/>
      <sheetName val="DESV. VTS BY SK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G3">
            <v>625691</v>
          </cell>
          <cell r="H3">
            <v>610798</v>
          </cell>
          <cell r="I3">
            <v>31284.55</v>
          </cell>
          <cell r="J3">
            <v>656975.55000000005</v>
          </cell>
          <cell r="K3">
            <v>688000</v>
          </cell>
          <cell r="L3">
            <v>0.9094345930232558</v>
          </cell>
          <cell r="M3">
            <v>-31024.449999999953</v>
          </cell>
        </row>
        <row r="4">
          <cell r="C4">
            <v>27365</v>
          </cell>
          <cell r="D4">
            <v>1368.25</v>
          </cell>
          <cell r="G4" t="str">
            <v>UNITS RETURN</v>
          </cell>
          <cell r="H4" t="str">
            <v>INICIO DE VENTA</v>
          </cell>
          <cell r="I4" t="str">
            <v>TRANSC. VENTA</v>
          </cell>
          <cell r="J4" t="str">
            <v>FINAL DE VENTA</v>
          </cell>
          <cell r="K4" t="str">
            <v>DIAS VENTA EFECT.</v>
          </cell>
          <cell r="L4" t="str">
            <v>DIAS VENTA RESTA.</v>
          </cell>
        </row>
        <row r="5">
          <cell r="C5">
            <v>107</v>
          </cell>
          <cell r="D5">
            <v>5.35</v>
          </cell>
          <cell r="G5">
            <v>14893</v>
          </cell>
          <cell r="H5">
            <v>46296</v>
          </cell>
          <cell r="I5">
            <v>46325</v>
          </cell>
          <cell r="J5">
            <v>46326</v>
          </cell>
          <cell r="K5">
            <v>20</v>
          </cell>
          <cell r="L5">
            <v>1</v>
          </cell>
        </row>
        <row r="6">
          <cell r="C6">
            <v>11066</v>
          </cell>
          <cell r="D6">
            <v>553.29999999999995</v>
          </cell>
        </row>
        <row r="7">
          <cell r="C7">
            <v>2242</v>
          </cell>
          <cell r="D7">
            <v>112.1</v>
          </cell>
        </row>
        <row r="8">
          <cell r="C8">
            <v>326</v>
          </cell>
          <cell r="D8">
            <v>16.3</v>
          </cell>
        </row>
        <row r="9">
          <cell r="C9">
            <v>32718</v>
          </cell>
          <cell r="D9">
            <v>1635.9</v>
          </cell>
        </row>
        <row r="10">
          <cell r="C10">
            <v>2877</v>
          </cell>
          <cell r="D10">
            <v>143.85</v>
          </cell>
        </row>
        <row r="11">
          <cell r="C11">
            <v>8411</v>
          </cell>
          <cell r="D11">
            <v>420.55</v>
          </cell>
        </row>
        <row r="12">
          <cell r="C12">
            <v>17545</v>
          </cell>
          <cell r="D12">
            <v>877.25</v>
          </cell>
        </row>
        <row r="13">
          <cell r="C13">
            <v>7950</v>
          </cell>
          <cell r="D13">
            <v>397.5</v>
          </cell>
        </row>
        <row r="14">
          <cell r="C14">
            <v>74433</v>
          </cell>
          <cell r="D14">
            <v>3721.65</v>
          </cell>
        </row>
        <row r="15">
          <cell r="C15">
            <v>45715</v>
          </cell>
          <cell r="D15">
            <v>2285.75</v>
          </cell>
        </row>
        <row r="16">
          <cell r="C16">
            <v>45631</v>
          </cell>
          <cell r="D16">
            <v>2281.5500000000002</v>
          </cell>
        </row>
        <row r="17">
          <cell r="C17">
            <v>56896</v>
          </cell>
          <cell r="D17">
            <v>2844.8</v>
          </cell>
        </row>
        <row r="18">
          <cell r="C18">
            <v>16124</v>
          </cell>
          <cell r="D18">
            <v>806.2</v>
          </cell>
        </row>
        <row r="19">
          <cell r="C19">
            <v>20890</v>
          </cell>
          <cell r="D19">
            <v>1044.5</v>
          </cell>
        </row>
        <row r="20">
          <cell r="C20">
            <v>20345</v>
          </cell>
          <cell r="D20">
            <v>1017.25</v>
          </cell>
        </row>
        <row r="21">
          <cell r="C21">
            <v>6236</v>
          </cell>
          <cell r="D21">
            <v>311.8</v>
          </cell>
        </row>
        <row r="22">
          <cell r="C22">
            <v>3194</v>
          </cell>
          <cell r="D22">
            <v>159.69999999999999</v>
          </cell>
        </row>
        <row r="23">
          <cell r="C23">
            <v>11208</v>
          </cell>
          <cell r="D23">
            <v>560.4</v>
          </cell>
        </row>
        <row r="24">
          <cell r="C24">
            <v>18579</v>
          </cell>
          <cell r="D24">
            <v>928.95</v>
          </cell>
        </row>
        <row r="25">
          <cell r="C25">
            <v>1375</v>
          </cell>
          <cell r="D25">
            <v>68.75</v>
          </cell>
        </row>
        <row r="26">
          <cell r="C26">
            <v>14268</v>
          </cell>
          <cell r="D26">
            <v>713.4</v>
          </cell>
        </row>
        <row r="27">
          <cell r="C27">
            <v>23467</v>
          </cell>
          <cell r="D27">
            <v>1173.3499999999999</v>
          </cell>
        </row>
        <row r="28">
          <cell r="C28">
            <v>12967</v>
          </cell>
          <cell r="D28">
            <v>648.35</v>
          </cell>
        </row>
        <row r="29">
          <cell r="C29">
            <v>10438</v>
          </cell>
          <cell r="D29">
            <v>521.9</v>
          </cell>
        </row>
        <row r="30">
          <cell r="C30">
            <v>7267</v>
          </cell>
          <cell r="D30">
            <v>363.35</v>
          </cell>
        </row>
        <row r="31">
          <cell r="C31">
            <v>8185</v>
          </cell>
          <cell r="D31">
            <v>409.25</v>
          </cell>
        </row>
        <row r="32">
          <cell r="C32">
            <v>2705</v>
          </cell>
          <cell r="D32">
            <v>135.25</v>
          </cell>
        </row>
        <row r="33">
          <cell r="C33">
            <v>3150</v>
          </cell>
          <cell r="D33">
            <v>157.5</v>
          </cell>
        </row>
        <row r="34">
          <cell r="C34">
            <v>16638</v>
          </cell>
          <cell r="D34">
            <v>831.9</v>
          </cell>
        </row>
        <row r="35">
          <cell r="C35">
            <v>12349</v>
          </cell>
          <cell r="D35">
            <v>617.45000000000005</v>
          </cell>
        </row>
        <row r="36">
          <cell r="C36">
            <v>16111</v>
          </cell>
          <cell r="D36">
            <v>805.55</v>
          </cell>
        </row>
        <row r="37">
          <cell r="C37">
            <v>11521</v>
          </cell>
          <cell r="D37">
            <v>576.04999999999995</v>
          </cell>
        </row>
        <row r="38">
          <cell r="C38">
            <v>66</v>
          </cell>
          <cell r="D38">
            <v>3.3</v>
          </cell>
        </row>
        <row r="39">
          <cell r="C39">
            <v>18</v>
          </cell>
          <cell r="D39">
            <v>0.9</v>
          </cell>
        </row>
        <row r="40">
          <cell r="C40">
            <v>2437</v>
          </cell>
          <cell r="D40">
            <v>121.85</v>
          </cell>
        </row>
        <row r="41">
          <cell r="C41">
            <v>8916</v>
          </cell>
          <cell r="D41">
            <v>445.8</v>
          </cell>
        </row>
        <row r="42">
          <cell r="C42">
            <v>7486</v>
          </cell>
          <cell r="D42">
            <v>374.3</v>
          </cell>
        </row>
        <row r="43">
          <cell r="C43">
            <v>6554</v>
          </cell>
          <cell r="D43">
            <v>327.7</v>
          </cell>
        </row>
        <row r="44">
          <cell r="C44">
            <v>11903</v>
          </cell>
          <cell r="D44">
            <v>595.15</v>
          </cell>
        </row>
        <row r="45">
          <cell r="C45">
            <v>5679</v>
          </cell>
          <cell r="D45">
            <v>283.95</v>
          </cell>
        </row>
        <row r="46">
          <cell r="C46">
            <v>6319</v>
          </cell>
          <cell r="D46">
            <v>315.95</v>
          </cell>
        </row>
        <row r="47">
          <cell r="C47">
            <v>1195</v>
          </cell>
          <cell r="D47">
            <v>59.75</v>
          </cell>
        </row>
        <row r="48">
          <cell r="C48">
            <v>1921</v>
          </cell>
          <cell r="D48">
            <v>96.05</v>
          </cell>
        </row>
        <row r="49">
          <cell r="C49">
            <v>1587</v>
          </cell>
          <cell r="D49">
            <v>79.349999999999994</v>
          </cell>
        </row>
        <row r="50">
          <cell r="C50">
            <v>1311</v>
          </cell>
          <cell r="D50">
            <v>65.55</v>
          </cell>
        </row>
      </sheetData>
      <sheetData sheetId="1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20E1-8530-482E-BAF2-454F195C9DA1}">
  <dimension ref="A1:D49"/>
  <sheetViews>
    <sheetView workbookViewId="0">
      <selection activeCell="E18" sqref="E18"/>
    </sheetView>
  </sheetViews>
  <sheetFormatPr baseColWidth="10" defaultRowHeight="15" x14ac:dyDescent="0.25"/>
  <cols>
    <col min="1" max="1" width="11.42578125" style="10"/>
    <col min="2" max="2" width="50.7109375" style="10" customWidth="1"/>
    <col min="3" max="3" width="12.85546875" customWidth="1"/>
    <col min="4" max="4" width="13.140625" customWidth="1"/>
    <col min="5" max="5" width="22.7109375" customWidth="1"/>
    <col min="6" max="6" width="19.28515625" customWidth="1"/>
    <col min="7" max="7" width="16.5703125" customWidth="1"/>
    <col min="8" max="8" width="19.28515625" customWidth="1"/>
    <col min="9" max="9" width="18.7109375" customWidth="1"/>
    <col min="10" max="10" width="15.140625" customWidth="1"/>
    <col min="11" max="11" width="24.7109375" customWidth="1"/>
    <col min="12" max="12" width="14" customWidth="1"/>
    <col min="14" max="14" width="13" customWidth="1"/>
    <col min="15" max="15" width="15.140625" customWidth="1"/>
  </cols>
  <sheetData>
    <row r="1" spans="1:4" ht="24" x14ac:dyDescent="0.25">
      <c r="A1" s="14" t="s">
        <v>0</v>
      </c>
      <c r="B1" s="2" t="s">
        <v>1</v>
      </c>
      <c r="C1" s="2" t="s">
        <v>3</v>
      </c>
      <c r="D1" s="2" t="s">
        <v>2</v>
      </c>
    </row>
    <row r="2" spans="1:4" x14ac:dyDescent="0.25">
      <c r="A2" s="15">
        <f>'[1]VINCULO VTS BY SKU OPEN'!A4</f>
        <v>110150</v>
      </c>
      <c r="B2" s="8" t="str">
        <f>'[1]VINCULO VTS BY SKU OPEN'!B4</f>
        <v>Cremosillo Tradicional 150g</v>
      </c>
      <c r="C2" s="13">
        <f>'[2]VINCULO VTS BY SKU OPEN'!C4</f>
        <v>27365</v>
      </c>
      <c r="D2" s="12">
        <f>'[2]VINCULO VTS BY SKU OPEN'!D4</f>
        <v>1368.25</v>
      </c>
    </row>
    <row r="3" spans="1:4" x14ac:dyDescent="0.25">
      <c r="A3" s="15">
        <f>'[1]VINCULO VTS BY SKU OPEN'!A5</f>
        <v>110151</v>
      </c>
      <c r="B3" s="8" t="str">
        <f>'[1]VINCULO VTS BY SKU OPEN'!B5</f>
        <v>Cremosillo Coco 150g</v>
      </c>
      <c r="C3" s="13">
        <f>'[2]VINCULO VTS BY SKU OPEN'!C5</f>
        <v>107</v>
      </c>
      <c r="D3" s="12">
        <f>'[2]VINCULO VTS BY SKU OPEN'!D5</f>
        <v>5.35</v>
      </c>
    </row>
    <row r="4" spans="1:4" x14ac:dyDescent="0.25">
      <c r="A4" s="15">
        <f>'[1]VINCULO VTS BY SKU OPEN'!A6</f>
        <v>110230</v>
      </c>
      <c r="B4" s="8" t="str">
        <f>'[1]VINCULO VTS BY SKU OPEN'!B6</f>
        <v>Cremosillo Tradicional 230g</v>
      </c>
      <c r="C4" s="13">
        <f>'[2]VINCULO VTS BY SKU OPEN'!C6</f>
        <v>11066</v>
      </c>
      <c r="D4" s="12">
        <f>'[2]VINCULO VTS BY SKU OPEN'!D6</f>
        <v>553.29999999999995</v>
      </c>
    </row>
    <row r="5" spans="1:4" x14ac:dyDescent="0.25">
      <c r="A5" s="15">
        <f>'[1]VINCULO VTS BY SKU OPEN'!A7</f>
        <v>110400</v>
      </c>
      <c r="B5" s="8" t="str">
        <f>'[1]VINCULO VTS BY SKU OPEN'!B7</f>
        <v>Cremosillo Tradicional 400g</v>
      </c>
      <c r="C5" s="13">
        <f>'[2]VINCULO VTS BY SKU OPEN'!C7</f>
        <v>2242</v>
      </c>
      <c r="D5" s="12">
        <f>'[2]VINCULO VTS BY SKU OPEN'!D7</f>
        <v>112.1</v>
      </c>
    </row>
    <row r="6" spans="1:4" x14ac:dyDescent="0.25">
      <c r="A6" s="15">
        <f>'[1]VINCULO VTS BY SKU OPEN'!A8</f>
        <v>111000</v>
      </c>
      <c r="B6" s="8" t="str">
        <f>'[1]VINCULO VTS BY SKU OPEN'!B8</f>
        <v>Cremosillo Tradicional 1000g</v>
      </c>
      <c r="C6" s="13">
        <f>'[2]VINCULO VTS BY SKU OPEN'!C8</f>
        <v>326</v>
      </c>
      <c r="D6" s="12">
        <f>'[2]VINCULO VTS BY SKU OPEN'!D8</f>
        <v>16.3</v>
      </c>
    </row>
    <row r="7" spans="1:4" x14ac:dyDescent="0.25">
      <c r="A7" s="15">
        <f>'[1]VINCULO VTS BY SKU OPEN'!A9</f>
        <v>120130</v>
      </c>
      <c r="B7" s="8" t="str">
        <f>'[1]VINCULO VTS BY SKU OPEN'!B9</f>
        <v>Gelatina Saltarina Fresa 130g</v>
      </c>
      <c r="C7" s="13">
        <f>'[2]VINCULO VTS BY SKU OPEN'!C9</f>
        <v>32718</v>
      </c>
      <c r="D7" s="12">
        <f>'[2]VINCULO VTS BY SKU OPEN'!D9</f>
        <v>1635.9</v>
      </c>
    </row>
    <row r="8" spans="1:4" x14ac:dyDescent="0.25">
      <c r="A8" s="15">
        <f>'[1]VINCULO VTS BY SKU OPEN'!A10</f>
        <v>120131</v>
      </c>
      <c r="B8" s="8" t="str">
        <f>'[1]VINCULO VTS BY SKU OPEN'!B10</f>
        <v>Gelatina Saltarina Chicle 130g</v>
      </c>
      <c r="C8" s="13">
        <f>'[2]VINCULO VTS BY SKU OPEN'!C10</f>
        <v>2877</v>
      </c>
      <c r="D8" s="12">
        <f>'[2]VINCULO VTS BY SKU OPEN'!D10</f>
        <v>143.85</v>
      </c>
    </row>
    <row r="9" spans="1:4" x14ac:dyDescent="0.25">
      <c r="A9" s="15">
        <f>'[1]VINCULO VTS BY SKU OPEN'!A11</f>
        <v>120132</v>
      </c>
      <c r="B9" s="8" t="str">
        <f>'[1]VINCULO VTS BY SKU OPEN'!B11</f>
        <v>Gelatina Saltarina Kolita 130g</v>
      </c>
      <c r="C9" s="13">
        <f>'[2]VINCULO VTS BY SKU OPEN'!C11</f>
        <v>8411</v>
      </c>
      <c r="D9" s="12">
        <f>'[2]VINCULO VTS BY SKU OPEN'!D11</f>
        <v>420.55</v>
      </c>
    </row>
    <row r="10" spans="1:4" x14ac:dyDescent="0.25">
      <c r="A10" s="15">
        <f>'[1]VINCULO VTS BY SKU OPEN'!A12</f>
        <v>130150</v>
      </c>
      <c r="B10" s="8" t="str">
        <f>'[1]VINCULO VTS BY SKU OPEN'!B12</f>
        <v>Cremigurt Natural 150g</v>
      </c>
      <c r="C10" s="13">
        <f>'[2]VINCULO VTS BY SKU OPEN'!C12</f>
        <v>17545</v>
      </c>
      <c r="D10" s="12">
        <f>'[2]VINCULO VTS BY SKU OPEN'!D12</f>
        <v>877.25</v>
      </c>
    </row>
    <row r="11" spans="1:4" x14ac:dyDescent="0.25">
      <c r="A11" s="15">
        <f>'[1]VINCULO VTS BY SKU OPEN'!A13</f>
        <v>130151</v>
      </c>
      <c r="B11" s="8" t="str">
        <f>'[1]VINCULO VTS BY SKU OPEN'!B13</f>
        <v>Cremigurt Dulce 150g</v>
      </c>
      <c r="C11" s="13">
        <f>'[2]VINCULO VTS BY SKU OPEN'!C13</f>
        <v>7950</v>
      </c>
      <c r="D11" s="12">
        <f>'[2]VINCULO VTS BY SKU OPEN'!D13</f>
        <v>397.5</v>
      </c>
    </row>
    <row r="12" spans="1:4" x14ac:dyDescent="0.25">
      <c r="A12" s="15">
        <f>'[1]VINCULO VTS BY SKU OPEN'!A14</f>
        <v>130152</v>
      </c>
      <c r="B12" s="8" t="str">
        <f>'[1]VINCULO VTS BY SKU OPEN'!B14</f>
        <v>Cremigurt Fresa 150g</v>
      </c>
      <c r="C12" s="13">
        <f>'[2]VINCULO VTS BY SKU OPEN'!C14</f>
        <v>74433</v>
      </c>
      <c r="D12" s="12">
        <f>'[2]VINCULO VTS BY SKU OPEN'!D14</f>
        <v>3721.65</v>
      </c>
    </row>
    <row r="13" spans="1:4" x14ac:dyDescent="0.25">
      <c r="A13" s="15">
        <f>'[1]VINCULO VTS BY SKU OPEN'!A15</f>
        <v>130153</v>
      </c>
      <c r="B13" s="8" t="str">
        <f>'[1]VINCULO VTS BY SKU OPEN'!B15</f>
        <v>Cremigurt Durazno 150g</v>
      </c>
      <c r="C13" s="13">
        <f>'[2]VINCULO VTS BY SKU OPEN'!C15</f>
        <v>45715</v>
      </c>
      <c r="D13" s="12">
        <f>'[2]VINCULO VTS BY SKU OPEN'!D15</f>
        <v>2285.75</v>
      </c>
    </row>
    <row r="14" spans="1:4" x14ac:dyDescent="0.25">
      <c r="A14" s="15">
        <f>'[1]VINCULO VTS BY SKU OPEN'!A16</f>
        <v>130154</v>
      </c>
      <c r="B14" s="8" t="str">
        <f>'[1]VINCULO VTS BY SKU OPEN'!B16</f>
        <v>Cremigurt Piña 150g</v>
      </c>
      <c r="C14" s="13">
        <f>'[2]VINCULO VTS BY SKU OPEN'!C16</f>
        <v>45631</v>
      </c>
      <c r="D14" s="12">
        <f>'[2]VINCULO VTS BY SKU OPEN'!D16</f>
        <v>2281.5500000000002</v>
      </c>
    </row>
    <row r="15" spans="1:4" x14ac:dyDescent="0.25">
      <c r="A15" s="15">
        <f>'[1]VINCULO VTS BY SKU OPEN'!A17</f>
        <v>130155</v>
      </c>
      <c r="B15" s="8" t="str">
        <f>'[1]VINCULO VTS BY SKU OPEN'!B17</f>
        <v>Cremigurt Griego 150g</v>
      </c>
      <c r="C15" s="13">
        <f>'[2]VINCULO VTS BY SKU OPEN'!C17</f>
        <v>56896</v>
      </c>
      <c r="D15" s="12">
        <f>'[2]VINCULO VTS BY SKU OPEN'!D17</f>
        <v>2844.8</v>
      </c>
    </row>
    <row r="16" spans="1:4" x14ac:dyDescent="0.25">
      <c r="A16" s="15">
        <f>'[1]VINCULO VTS BY SKU OPEN'!A18</f>
        <v>130157</v>
      </c>
      <c r="B16" s="8" t="str">
        <f>'[1]VINCULO VTS BY SKU OPEN'!B18</f>
        <v>Cremigurt Griego Mango 150g</v>
      </c>
      <c r="C16" s="13">
        <f>'[2]VINCULO VTS BY SKU OPEN'!C18</f>
        <v>16124</v>
      </c>
      <c r="D16" s="12">
        <f>'[2]VINCULO VTS BY SKU OPEN'!D18</f>
        <v>806.2</v>
      </c>
    </row>
    <row r="17" spans="1:4" x14ac:dyDescent="0.25">
      <c r="A17" s="15">
        <f>'[1]VINCULO VTS BY SKU OPEN'!A19</f>
        <v>130158</v>
      </c>
      <c r="B17" s="8" t="str">
        <f>'[1]VINCULO VTS BY SKU OPEN'!B19</f>
        <v>Cremigurt Griego Ciruela 150g</v>
      </c>
      <c r="C17" s="13">
        <f>'[2]VINCULO VTS BY SKU OPEN'!C19</f>
        <v>20890</v>
      </c>
      <c r="D17" s="12">
        <f>'[2]VINCULO VTS BY SKU OPEN'!D19</f>
        <v>1044.5</v>
      </c>
    </row>
    <row r="18" spans="1:4" x14ac:dyDescent="0.25">
      <c r="A18" s="15">
        <f>'[1]VINCULO VTS BY SKU OPEN'!A20</f>
        <v>130159</v>
      </c>
      <c r="B18" s="8" t="str">
        <f>'[1]VINCULO VTS BY SKU OPEN'!B20</f>
        <v>Cremigurt Griego Mora 150g</v>
      </c>
      <c r="C18" s="13">
        <f>'[2]VINCULO VTS BY SKU OPEN'!C20</f>
        <v>20345</v>
      </c>
      <c r="D18" s="12">
        <f>'[2]VINCULO VTS BY SKU OPEN'!D20</f>
        <v>1017.25</v>
      </c>
    </row>
    <row r="19" spans="1:4" x14ac:dyDescent="0.25">
      <c r="A19" s="15">
        <f>'[1]VINCULO VTS BY SKU OPEN'!A21</f>
        <v>130700</v>
      </c>
      <c r="B19" s="8" t="str">
        <f>'[1]VINCULO VTS BY SKU OPEN'!B21</f>
        <v>Cremigurt Natural 700g</v>
      </c>
      <c r="C19" s="13">
        <f>'[2]VINCULO VTS BY SKU OPEN'!C21</f>
        <v>6236</v>
      </c>
      <c r="D19" s="12">
        <f>'[2]VINCULO VTS BY SKU OPEN'!D21</f>
        <v>311.8</v>
      </c>
    </row>
    <row r="20" spans="1:4" x14ac:dyDescent="0.25">
      <c r="A20" s="15">
        <f>'[1]VINCULO VTS BY SKU OPEN'!A22</f>
        <v>130701</v>
      </c>
      <c r="B20" s="8" t="str">
        <f>'[1]VINCULO VTS BY SKU OPEN'!B22</f>
        <v>Cremigurt Dulce 700g</v>
      </c>
      <c r="C20" s="13">
        <f>'[2]VINCULO VTS BY SKU OPEN'!C22</f>
        <v>3194</v>
      </c>
      <c r="D20" s="12">
        <f>'[2]VINCULO VTS BY SKU OPEN'!D22</f>
        <v>159.69999999999999</v>
      </c>
    </row>
    <row r="21" spans="1:4" x14ac:dyDescent="0.25">
      <c r="A21" s="15">
        <f>'[1]VINCULO VTS BY SKU OPEN'!A23</f>
        <v>130702</v>
      </c>
      <c r="B21" s="8" t="str">
        <f>'[1]VINCULO VTS BY SKU OPEN'!B23</f>
        <v>Cremigurt Griego Fresa 700g</v>
      </c>
      <c r="C21" s="13">
        <f>'[2]VINCULO VTS BY SKU OPEN'!C23</f>
        <v>11208</v>
      </c>
      <c r="D21" s="12">
        <f>'[2]VINCULO VTS BY SKU OPEN'!D23</f>
        <v>560.4</v>
      </c>
    </row>
    <row r="22" spans="1:4" x14ac:dyDescent="0.25">
      <c r="A22" s="15">
        <f>'[1]VINCULO VTS BY SKU OPEN'!A24</f>
        <v>130703</v>
      </c>
      <c r="B22" s="8" t="str">
        <f>'[1]VINCULO VTS BY SKU OPEN'!B24</f>
        <v>Cremigurt Griego 700g</v>
      </c>
      <c r="C22" s="13">
        <f>'[2]VINCULO VTS BY SKU OPEN'!C24</f>
        <v>18579</v>
      </c>
      <c r="D22" s="12">
        <f>'[2]VINCULO VTS BY SKU OPEN'!D24</f>
        <v>928.95</v>
      </c>
    </row>
    <row r="23" spans="1:4" x14ac:dyDescent="0.25">
      <c r="A23" s="15">
        <f>'[1]VINCULO VTS BY SKU OPEN'!A25</f>
        <v>130707</v>
      </c>
      <c r="B23" s="8" t="str">
        <f>'[1]VINCULO VTS BY SKU OPEN'!B25</f>
        <v>Griego Mykonos 700g</v>
      </c>
      <c r="C23" s="13">
        <f>'[2]VINCULO VTS BY SKU OPEN'!C25</f>
        <v>1375</v>
      </c>
      <c r="D23" s="12">
        <f>'[2]VINCULO VTS BY SKU OPEN'!D25</f>
        <v>68.75</v>
      </c>
    </row>
    <row r="24" spans="1:4" x14ac:dyDescent="0.25">
      <c r="A24" s="15">
        <f>'[1]VINCULO VTS BY SKU OPEN'!A26</f>
        <v>131150</v>
      </c>
      <c r="B24" s="8" t="str">
        <f>'[1]VINCULO VTS BY SKU OPEN'!B26</f>
        <v>Cremigurt Power Natural 150g</v>
      </c>
      <c r="C24" s="13">
        <f>'[2]VINCULO VTS BY SKU OPEN'!C26</f>
        <v>14268</v>
      </c>
      <c r="D24" s="12">
        <f>'[2]VINCULO VTS BY SKU OPEN'!D26</f>
        <v>713.4</v>
      </c>
    </row>
    <row r="25" spans="1:4" x14ac:dyDescent="0.25">
      <c r="A25" s="15">
        <f>'[1]VINCULO VTS BY SKU OPEN'!A27</f>
        <v>131151</v>
      </c>
      <c r="B25" s="8" t="str">
        <f>'[1]VINCULO VTS BY SKU OPEN'!B27</f>
        <v>Cremigurt Power Mantecado 150g</v>
      </c>
      <c r="C25" s="13">
        <f>'[2]VINCULO VTS BY SKU OPEN'!C27</f>
        <v>23467</v>
      </c>
      <c r="D25" s="12">
        <f>'[2]VINCULO VTS BY SKU OPEN'!D27</f>
        <v>1173.3499999999999</v>
      </c>
    </row>
    <row r="26" spans="1:4" x14ac:dyDescent="0.25">
      <c r="A26" s="15">
        <f>'[1]VINCULO VTS BY SKU OPEN'!A28</f>
        <v>131152</v>
      </c>
      <c r="B26" s="8" t="str">
        <f>'[1]VINCULO VTS BY SKU OPEN'!B28</f>
        <v>Cremigurt Power CheesseCake Fresa 150g</v>
      </c>
      <c r="C26" s="13">
        <f>'[2]VINCULO VTS BY SKU OPEN'!C28</f>
        <v>12967</v>
      </c>
      <c r="D26" s="12">
        <f>'[2]VINCULO VTS BY SKU OPEN'!D28</f>
        <v>648.35</v>
      </c>
    </row>
    <row r="27" spans="1:4" x14ac:dyDescent="0.25">
      <c r="A27" s="15">
        <f>'[1]VINCULO VTS BY SKU OPEN'!A29</f>
        <v>131153</v>
      </c>
      <c r="B27" s="8" t="str">
        <f>'[1]VINCULO VTS BY SKU OPEN'!B29</f>
        <v>Cremigurt Power Cookies and Cream 150g</v>
      </c>
      <c r="C27" s="13">
        <f>'[2]VINCULO VTS BY SKU OPEN'!C29</f>
        <v>10438</v>
      </c>
      <c r="D27" s="12">
        <f>'[2]VINCULO VTS BY SKU OPEN'!D29</f>
        <v>521.9</v>
      </c>
    </row>
    <row r="28" spans="1:4" x14ac:dyDescent="0.25">
      <c r="A28" s="15">
        <f>'[1]VINCULO VTS BY SKU OPEN'!A30</f>
        <v>131154</v>
      </c>
      <c r="B28" s="8" t="str">
        <f>'[1]VINCULO VTS BY SKU OPEN'!B30</f>
        <v>Cremigurt Power Piña Colada 150g</v>
      </c>
      <c r="C28" s="13">
        <f>'[2]VINCULO VTS BY SKU OPEN'!C30</f>
        <v>7267</v>
      </c>
      <c r="D28" s="12">
        <f>'[2]VINCULO VTS BY SKU OPEN'!D30</f>
        <v>363.35</v>
      </c>
    </row>
    <row r="29" spans="1:4" x14ac:dyDescent="0.25">
      <c r="A29" s="15">
        <f>'[1]VINCULO VTS BY SKU OPEN'!A31</f>
        <v>131155</v>
      </c>
      <c r="B29" s="8" t="str">
        <f>'[1]VINCULO VTS BY SKU OPEN'!B31</f>
        <v>Cremigurt Power Dulce de Leche 150g</v>
      </c>
      <c r="C29" s="13">
        <f>'[2]VINCULO VTS BY SKU OPEN'!C31</f>
        <v>8185</v>
      </c>
      <c r="D29" s="12">
        <f>'[2]VINCULO VTS BY SKU OPEN'!D31</f>
        <v>409.25</v>
      </c>
    </row>
    <row r="30" spans="1:4" x14ac:dyDescent="0.25">
      <c r="A30" s="15">
        <f>'[1]VINCULO VTS BY SKU OPEN'!A32</f>
        <v>131700</v>
      </c>
      <c r="B30" s="20" t="str">
        <f>'[1]VINCULO VTS BY SKU OPEN'!B32</f>
        <v>Cremigurt Power Natural 700g</v>
      </c>
      <c r="C30" s="13">
        <f>'[2]VINCULO VTS BY SKU OPEN'!C32</f>
        <v>2705</v>
      </c>
      <c r="D30" s="12">
        <f>'[2]VINCULO VTS BY SKU OPEN'!D32</f>
        <v>135.25</v>
      </c>
    </row>
    <row r="31" spans="1:4" x14ac:dyDescent="0.25">
      <c r="A31" s="15">
        <f>'[1]VINCULO VTS BY SKU OPEN'!A33</f>
        <v>131701</v>
      </c>
      <c r="B31" s="20" t="str">
        <f>'[1]VINCULO VTS BY SKU OPEN'!B33</f>
        <v>Cremigurt Power Mantecado 700g</v>
      </c>
      <c r="C31" s="13">
        <f>'[2]VINCULO VTS BY SKU OPEN'!C33</f>
        <v>3150</v>
      </c>
      <c r="D31" s="12">
        <f>'[2]VINCULO VTS BY SKU OPEN'!D33</f>
        <v>157.5</v>
      </c>
    </row>
    <row r="32" spans="1:4" x14ac:dyDescent="0.25">
      <c r="A32" s="15">
        <f>'[1]VINCULO VTS BY SKU OPEN'!A34</f>
        <v>132150</v>
      </c>
      <c r="B32" s="8" t="str">
        <f>'[1]VINCULO VTS BY SKU OPEN'!B34</f>
        <v>Cremigurt Griego Fresa S/A 150g</v>
      </c>
      <c r="C32" s="13">
        <f>'[2]VINCULO VTS BY SKU OPEN'!C34</f>
        <v>16638</v>
      </c>
      <c r="D32" s="12">
        <f>'[2]VINCULO VTS BY SKU OPEN'!D34</f>
        <v>831.9</v>
      </c>
    </row>
    <row r="33" spans="1:4" x14ac:dyDescent="0.25">
      <c r="A33" s="15">
        <f>'[1]VINCULO VTS BY SKU OPEN'!A35</f>
        <v>132151</v>
      </c>
      <c r="B33" s="8" t="str">
        <f>'[1]VINCULO VTS BY SKU OPEN'!B35</f>
        <v>Cremigurt Griego Coco Vainilla S/A 150g</v>
      </c>
      <c r="C33" s="13">
        <f>'[2]VINCULO VTS BY SKU OPEN'!C35</f>
        <v>12349</v>
      </c>
      <c r="D33" s="12">
        <f>'[2]VINCULO VTS BY SKU OPEN'!D35</f>
        <v>617.45000000000005</v>
      </c>
    </row>
    <row r="34" spans="1:4" x14ac:dyDescent="0.25">
      <c r="A34" s="15">
        <f>'[1]VINCULO VTS BY SKU OPEN'!A36</f>
        <v>132152</v>
      </c>
      <c r="B34" s="8" t="str">
        <f>'[1]VINCULO VTS BY SKU OPEN'!B36</f>
        <v>Cremigurt Griego Pie de Limón S/A 150g</v>
      </c>
      <c r="C34" s="13">
        <f>'[2]VINCULO VTS BY SKU OPEN'!C36</f>
        <v>16111</v>
      </c>
      <c r="D34" s="12">
        <f>'[2]VINCULO VTS BY SKU OPEN'!D36</f>
        <v>805.55</v>
      </c>
    </row>
    <row r="35" spans="1:4" x14ac:dyDescent="0.25">
      <c r="A35" s="15">
        <f>'[1]VINCULO VTS BY SKU OPEN'!A37</f>
        <v>132153</v>
      </c>
      <c r="B35" s="8" t="str">
        <f>'[1]VINCULO VTS BY SKU OPEN'!B37</f>
        <v>Cremigurt Griego Caramelo Salado S/A 150g</v>
      </c>
      <c r="C35" s="13">
        <f>'[2]VINCULO VTS BY SKU OPEN'!C37</f>
        <v>11521</v>
      </c>
      <c r="D35" s="12">
        <f>'[2]VINCULO VTS BY SKU OPEN'!D37</f>
        <v>576.04999999999995</v>
      </c>
    </row>
    <row r="36" spans="1:4" x14ac:dyDescent="0.25">
      <c r="A36" s="15">
        <f>'[1]VINCULO VTS BY SKU OPEN'!A38</f>
        <v>134000</v>
      </c>
      <c r="B36" s="8" t="str">
        <f>'[1]VINCULO VTS BY SKU OPEN'!B38</f>
        <v>Cremigurt Griego Natural 4 Kg</v>
      </c>
      <c r="C36" s="13">
        <f>'[2]VINCULO VTS BY SKU OPEN'!C38</f>
        <v>66</v>
      </c>
      <c r="D36" s="12">
        <f>'[2]VINCULO VTS BY SKU OPEN'!D38</f>
        <v>3.3</v>
      </c>
    </row>
    <row r="37" spans="1:4" x14ac:dyDescent="0.25">
      <c r="A37" s="15">
        <f>'[1]VINCULO VTS BY SKU OPEN'!A39</f>
        <v>134001</v>
      </c>
      <c r="B37" s="8" t="str">
        <f>'[1]VINCULO VTS BY SKU OPEN'!B39</f>
        <v>Cremigurt Griego Dulce 4 Kg</v>
      </c>
      <c r="C37" s="13">
        <f>'[2]VINCULO VTS BY SKU OPEN'!C39</f>
        <v>18</v>
      </c>
      <c r="D37" s="12">
        <f>'[2]VINCULO VTS BY SKU OPEN'!D39</f>
        <v>0.9</v>
      </c>
    </row>
    <row r="38" spans="1:4" x14ac:dyDescent="0.25">
      <c r="A38" s="15">
        <f>'[1]VINCULO VTS BY SKU OPEN'!A40</f>
        <v>140230</v>
      </c>
      <c r="B38" s="8" t="str">
        <f>'[1]VINCULO VTS BY SKU OPEN'!B40</f>
        <v>Cremigurt Líquido Dulce 230g</v>
      </c>
      <c r="C38" s="13">
        <f>'[2]VINCULO VTS BY SKU OPEN'!C40</f>
        <v>2437</v>
      </c>
      <c r="D38" s="12">
        <f>'[2]VINCULO VTS BY SKU OPEN'!D40</f>
        <v>121.85</v>
      </c>
    </row>
    <row r="39" spans="1:4" x14ac:dyDescent="0.25">
      <c r="A39" s="15">
        <f>'[1]VINCULO VTS BY SKU OPEN'!A41</f>
        <v>140231</v>
      </c>
      <c r="B39" s="8" t="str">
        <f>'[1]VINCULO VTS BY SKU OPEN'!B41</f>
        <v>Cremigurt Líquido Fresa 230g</v>
      </c>
      <c r="C39" s="13">
        <f>'[2]VINCULO VTS BY SKU OPEN'!C41</f>
        <v>8916</v>
      </c>
      <c r="D39" s="12">
        <f>'[2]VINCULO VTS BY SKU OPEN'!D41</f>
        <v>445.8</v>
      </c>
    </row>
    <row r="40" spans="1:4" x14ac:dyDescent="0.25">
      <c r="A40" s="15">
        <f>'[1]VINCULO VTS BY SKU OPEN'!A42</f>
        <v>140232</v>
      </c>
      <c r="B40" s="8" t="str">
        <f>'[1]VINCULO VTS BY SKU OPEN'!B42</f>
        <v>Cremigurt Líquido Durazno 230g</v>
      </c>
      <c r="C40" s="13">
        <f>'[2]VINCULO VTS BY SKU OPEN'!C42</f>
        <v>7486</v>
      </c>
      <c r="D40" s="12">
        <f>'[2]VINCULO VTS BY SKU OPEN'!D42</f>
        <v>374.3</v>
      </c>
    </row>
    <row r="41" spans="1:4" x14ac:dyDescent="0.25">
      <c r="A41" s="15">
        <f>'[1]VINCULO VTS BY SKU OPEN'!A43</f>
        <v>150360</v>
      </c>
      <c r="B41" s="8" t="str">
        <f>'[1]VINCULO VTS BY SKU OPEN'!B43</f>
        <v>Tevia Limon 360ml</v>
      </c>
      <c r="C41" s="13">
        <f>'[2]VINCULO VTS BY SKU OPEN'!C43</f>
        <v>6554</v>
      </c>
      <c r="D41" s="12">
        <f>'[2]VINCULO VTS BY SKU OPEN'!D43</f>
        <v>327.7</v>
      </c>
    </row>
    <row r="42" spans="1:4" x14ac:dyDescent="0.25">
      <c r="A42" s="15">
        <f>'[1]VINCULO VTS BY SKU OPEN'!A44</f>
        <v>150361</v>
      </c>
      <c r="B42" s="8" t="str">
        <f>'[1]VINCULO VTS BY SKU OPEN'!B44</f>
        <v>Tevia Durazno 360ml</v>
      </c>
      <c r="C42" s="13">
        <f>'[2]VINCULO VTS BY SKU OPEN'!C44</f>
        <v>11903</v>
      </c>
      <c r="D42" s="12">
        <f>'[2]VINCULO VTS BY SKU OPEN'!D44</f>
        <v>595.15</v>
      </c>
    </row>
    <row r="43" spans="1:4" x14ac:dyDescent="0.25">
      <c r="A43" s="15">
        <f>'[1]VINCULO VTS BY SKU OPEN'!A45</f>
        <v>150362</v>
      </c>
      <c r="B43" s="8" t="str">
        <f>'[1]VINCULO VTS BY SKU OPEN'!B45</f>
        <v>Tevia Blueberry 360ml</v>
      </c>
      <c r="C43" s="13">
        <f>'[2]VINCULO VTS BY SKU OPEN'!C45</f>
        <v>5679</v>
      </c>
      <c r="D43" s="12">
        <f>'[2]VINCULO VTS BY SKU OPEN'!D45</f>
        <v>283.95</v>
      </c>
    </row>
    <row r="44" spans="1:4" x14ac:dyDescent="0.25">
      <c r="A44" s="15">
        <f>'[1]VINCULO VTS BY SKU OPEN'!A46</f>
        <v>150363</v>
      </c>
      <c r="B44" s="8" t="str">
        <f>'[1]VINCULO VTS BY SKU OPEN'!B46</f>
        <v>Tevia Tropical Punch 360ml</v>
      </c>
      <c r="C44" s="13">
        <f>'[2]VINCULO VTS BY SKU OPEN'!C46</f>
        <v>6319</v>
      </c>
      <c r="D44" s="12">
        <f>'[2]VINCULO VTS BY SKU OPEN'!D46</f>
        <v>315.95</v>
      </c>
    </row>
    <row r="45" spans="1:4" x14ac:dyDescent="0.25">
      <c r="A45" s="15">
        <f>'[1]VINCULO VTS BY SKU OPEN'!A47</f>
        <v>151500</v>
      </c>
      <c r="B45" s="8" t="str">
        <f>'[1]VINCULO VTS BY SKU OPEN'!B47</f>
        <v>Tevia Limon 1.5L</v>
      </c>
      <c r="C45" s="13">
        <f>'[2]VINCULO VTS BY SKU OPEN'!C47</f>
        <v>1195</v>
      </c>
      <c r="D45" s="12">
        <f>'[2]VINCULO VTS BY SKU OPEN'!D47</f>
        <v>59.75</v>
      </c>
    </row>
    <row r="46" spans="1:4" x14ac:dyDescent="0.25">
      <c r="A46" s="15">
        <f>'[1]VINCULO VTS BY SKU OPEN'!A48</f>
        <v>151501</v>
      </c>
      <c r="B46" s="8" t="str">
        <f>'[1]VINCULO VTS BY SKU OPEN'!B48</f>
        <v>Tevia Durazno 1.5 L</v>
      </c>
      <c r="C46" s="13">
        <f>'[2]VINCULO VTS BY SKU OPEN'!C48</f>
        <v>1921</v>
      </c>
      <c r="D46" s="12">
        <f>'[2]VINCULO VTS BY SKU OPEN'!D48</f>
        <v>96.05</v>
      </c>
    </row>
    <row r="47" spans="1:4" x14ac:dyDescent="0.25">
      <c r="A47" s="15">
        <f>'[1]VINCULO VTS BY SKU OPEN'!A49</f>
        <v>151502</v>
      </c>
      <c r="B47" s="8" t="str">
        <f>'[1]VINCULO VTS BY SKU OPEN'!B49</f>
        <v>Tevia Blueberry 1.5 L</v>
      </c>
      <c r="C47" s="13">
        <f>'[2]VINCULO VTS BY SKU OPEN'!C49</f>
        <v>1587</v>
      </c>
      <c r="D47" s="12">
        <f>'[2]VINCULO VTS BY SKU OPEN'!D49</f>
        <v>79.349999999999994</v>
      </c>
    </row>
    <row r="48" spans="1:4" x14ac:dyDescent="0.25">
      <c r="A48" s="15">
        <f>'[1]VINCULO VTS BY SKU OPEN'!A50</f>
        <v>151503</v>
      </c>
      <c r="B48" s="8" t="str">
        <f>'[1]VINCULO VTS BY SKU OPEN'!B50</f>
        <v>Tevia Tropical Punch 1.5 L</v>
      </c>
      <c r="C48" s="13">
        <f>'[2]VINCULO VTS BY SKU OPEN'!C50</f>
        <v>1311</v>
      </c>
      <c r="D48" s="12">
        <f>'[2]VINCULO VTS BY SKU OPEN'!D50</f>
        <v>65.55</v>
      </c>
    </row>
    <row r="49" spans="3:3" x14ac:dyDescent="0.25">
      <c r="C49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9391-350C-4657-A510-D4378E4F4331}">
  <dimension ref="A1:G5"/>
  <sheetViews>
    <sheetView tabSelected="1" workbookViewId="0">
      <selection activeCell="F13" sqref="F13"/>
    </sheetView>
  </sheetViews>
  <sheetFormatPr baseColWidth="10" defaultRowHeight="15" x14ac:dyDescent="0.25"/>
  <cols>
    <col min="1" max="7" width="13.28515625" customWidth="1"/>
    <col min="9" max="9" width="14.42578125" customWidth="1"/>
  </cols>
  <sheetData>
    <row r="1" spans="1:7" x14ac:dyDescent="0.25">
      <c r="A1" s="21" t="str">
        <f>'[1]VINCULO VTS BY SKU OPEN'!G1</f>
        <v>DASHBOARD</v>
      </c>
      <c r="B1" s="21"/>
      <c r="C1" s="21"/>
      <c r="D1" s="21"/>
      <c r="E1" s="21"/>
      <c r="F1" s="21"/>
      <c r="G1" s="21"/>
    </row>
    <row r="2" spans="1:7" ht="24" x14ac:dyDescent="0.25">
      <c r="A2" s="1" t="str">
        <f>'[1]VINCULO VTS BY SKU OPEN'!G2</f>
        <v>TOTAL UNITS SALES GROSS</v>
      </c>
      <c r="B2" s="1" t="str">
        <f>'[1]VINCULO VTS BY SKU OPEN'!H2</f>
        <v>TOTAL UNITS SALES NET</v>
      </c>
      <c r="C2" s="1" t="str">
        <f>'[1]VINCULO VTS BY SKU OPEN'!I2</f>
        <v>PROMD VTA DIA</v>
      </c>
      <c r="D2" s="1" t="str">
        <f>'[1]VINCULO VTS BY SKU OPEN'!J2</f>
        <v>PROMD VTA MES</v>
      </c>
      <c r="E2" s="1" t="str">
        <f>'[1]VINCULO VTS BY SKU OPEN'!K2</f>
        <v>FORECAST</v>
      </c>
      <c r="F2" s="1" t="str">
        <f>'[1]VINCULO VTS BY SKU OPEN'!L2</f>
        <v>FORECAST EFFICIENCY</v>
      </c>
      <c r="G2" s="1" t="str">
        <f>'[1]VINCULO VTS BY SKU OPEN'!M2</f>
        <v>DIF UNITS</v>
      </c>
    </row>
    <row r="3" spans="1:7" ht="23.25" x14ac:dyDescent="0.35">
      <c r="A3" s="3">
        <f>'[2]VINCULO VTS BY SKU OPEN'!G3</f>
        <v>625691</v>
      </c>
      <c r="B3" s="3">
        <f>'[2]VINCULO VTS BY SKU OPEN'!H3</f>
        <v>610798</v>
      </c>
      <c r="C3" s="4">
        <f>'[2]VINCULO VTS BY SKU OPEN'!I3</f>
        <v>31284.55</v>
      </c>
      <c r="D3" s="5">
        <f>'[2]VINCULO VTS BY SKU OPEN'!J3</f>
        <v>656975.55000000005</v>
      </c>
      <c r="E3" s="4">
        <f>'[2]VINCULO VTS BY SKU OPEN'!K3</f>
        <v>688000</v>
      </c>
      <c r="F3" s="6">
        <f>'[2]VINCULO VTS BY SKU OPEN'!L3</f>
        <v>0.9094345930232558</v>
      </c>
      <c r="G3" s="7">
        <f>'[2]VINCULO VTS BY SKU OPEN'!M3</f>
        <v>-31024.449999999953</v>
      </c>
    </row>
    <row r="4" spans="1:7" x14ac:dyDescent="0.25">
      <c r="A4" s="18" t="str">
        <f>'[2]VINCULO VTS BY SKU OPEN'!G4</f>
        <v>UNITS RETURN</v>
      </c>
      <c r="B4" s="18" t="str">
        <f>'[2]VINCULO VTS BY SKU OPEN'!H4</f>
        <v>INICIO DE VENTA</v>
      </c>
      <c r="C4" s="18" t="str">
        <f>'[2]VINCULO VTS BY SKU OPEN'!I4</f>
        <v>TRANSC. VENTA</v>
      </c>
      <c r="D4" s="18" t="str">
        <f>'[2]VINCULO VTS BY SKU OPEN'!J4</f>
        <v>FINAL DE VENTA</v>
      </c>
      <c r="E4" s="18" t="str">
        <f>'[2]VINCULO VTS BY SKU OPEN'!K4</f>
        <v>DIAS VENTA EFECT.</v>
      </c>
      <c r="F4" s="18" t="str">
        <f>'[2]VINCULO VTS BY SKU OPEN'!L4</f>
        <v>DIAS VENTA RESTA.</v>
      </c>
      <c r="G4" s="11"/>
    </row>
    <row r="5" spans="1:7" x14ac:dyDescent="0.25">
      <c r="A5" s="9">
        <f>'[2]VINCULO VTS BY SKU OPEN'!G5</f>
        <v>14893</v>
      </c>
      <c r="B5" s="16">
        <f>'[2]VINCULO VTS BY SKU OPEN'!H5</f>
        <v>46296</v>
      </c>
      <c r="C5" s="16">
        <f>'[2]VINCULO VTS BY SKU OPEN'!I5</f>
        <v>46325</v>
      </c>
      <c r="D5" s="16">
        <f>'[2]VINCULO VTS BY SKU OPEN'!J5</f>
        <v>46326</v>
      </c>
      <c r="E5" s="19">
        <f>'[2]VINCULO VTS BY SKU OPEN'!K5</f>
        <v>20</v>
      </c>
      <c r="F5" s="17">
        <f>'[2]VINCULO VTS BY SKU OPEN'!L5</f>
        <v>1</v>
      </c>
      <c r="G5" s="1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file_ventas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Orbit</dc:creator>
  <cp:lastModifiedBy>Orbit</cp:lastModifiedBy>
  <dcterms:created xsi:type="dcterms:W3CDTF">2026-07-13T21:19:51Z</dcterms:created>
  <dcterms:modified xsi:type="dcterms:W3CDTF">2026-10-30T12:59:12Z</dcterms:modified>
</cp:coreProperties>
</file>