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1BB3B1FA-1728-445B-9BDF-159782A6E6B9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1" i="2"/>
  <c r="A2" i="2"/>
  <c r="B2" i="2"/>
  <c r="C2" i="2"/>
  <c r="D2" i="2"/>
  <c r="E2" i="2"/>
  <c r="F2" i="2"/>
  <c r="G2" i="2"/>
  <c r="E3" i="2"/>
  <c r="A4" i="2"/>
  <c r="B4" i="2"/>
  <c r="C4" i="2"/>
  <c r="D4" i="2"/>
  <c r="E4" i="2"/>
  <c r="F4" i="2"/>
  <c r="A5" i="2"/>
  <c r="B5" i="2"/>
  <c r="D5" i="2"/>
  <c r="C35" i="1" l="1"/>
  <c r="C48" i="1"/>
  <c r="C47" i="1"/>
  <c r="C46" i="1"/>
  <c r="C45" i="1"/>
  <c r="C44" i="1"/>
  <c r="C43" i="1"/>
  <c r="C42" i="1"/>
  <c r="C41" i="1"/>
  <c r="C40" i="1"/>
  <c r="C39" i="1"/>
  <c r="C38" i="1"/>
  <c r="C36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37" i="1"/>
  <c r="C5" i="2"/>
  <c r="F5" i="2" l="1"/>
  <c r="C2" i="1"/>
  <c r="E5" i="2"/>
  <c r="D29" i="1"/>
  <c r="D6" i="1"/>
  <c r="D30" i="1"/>
  <c r="D16" i="1"/>
  <c r="D17" i="1"/>
  <c r="D18" i="1"/>
  <c r="D47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28" i="1"/>
  <c r="D27" i="1"/>
  <c r="D26" i="1"/>
  <c r="D25" i="1"/>
  <c r="D24" i="1"/>
  <c r="D23" i="1"/>
  <c r="D22" i="1"/>
  <c r="D48" i="1"/>
  <c r="D21" i="1"/>
  <c r="D20" i="1"/>
  <c r="D19" i="1"/>
  <c r="D15" i="1"/>
  <c r="D14" i="1"/>
  <c r="D13" i="1"/>
  <c r="D12" i="1"/>
  <c r="D11" i="1"/>
  <c r="D10" i="1"/>
  <c r="D9" i="1"/>
  <c r="D8" i="1"/>
  <c r="D7" i="1"/>
  <c r="D5" i="1"/>
  <c r="D4" i="1"/>
  <c r="D3" i="1"/>
  <c r="D46" i="1"/>
  <c r="A3" i="2" l="1"/>
  <c r="D2" i="1"/>
  <c r="F3" i="2" l="1"/>
  <c r="B3" i="2"/>
  <c r="C3" i="2" l="1"/>
  <c r="D3" i="2" l="1"/>
  <c r="G3" i="2" l="1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<sst xmlns="http://schemas.openxmlformats.org/spreadsheetml/2006/main" count="4" uniqueCount="4">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</sst>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INVENTARIO NACIONAL 24-09-26"/>
      <sheetName val="INVENTARIO NACIONAL 25-09-26"/>
      <sheetName val="INVENTARIO NACIONAL 28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3">
          <cell r="G3">
            <v>538322</v>
          </cell>
          <cell r="H3">
            <v>526624</v>
          </cell>
          <cell r="I3">
            <v>28332.736842105263</v>
          </cell>
          <cell r="J3">
            <v>623320.21052631573</v>
          </cell>
          <cell r="K3">
            <v>673091</v>
          </cell>
          <cell r="L3">
            <v>0.79977595897137232</v>
          </cell>
          <cell r="M3">
            <v>-49770.789473684272</v>
          </cell>
        </row>
        <row r="4">
          <cell r="A4">
            <v>110150</v>
          </cell>
          <cell r="B4" t="str">
            <v>Cremosillo Tradicional 150g</v>
          </cell>
          <cell r="C4">
            <v>22297</v>
          </cell>
          <cell r="D4">
            <v>1173.5263157894738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A5">
            <v>110151</v>
          </cell>
          <cell r="B5" t="str">
            <v>Cremosillo Coco 150g</v>
          </cell>
          <cell r="C5">
            <v>924</v>
          </cell>
          <cell r="D5">
            <v>48.631578947368418</v>
          </cell>
          <cell r="G5">
            <v>11698</v>
          </cell>
          <cell r="H5">
            <v>46266</v>
          </cell>
          <cell r="I5">
            <v>46293</v>
          </cell>
          <cell r="J5">
            <v>46295</v>
          </cell>
          <cell r="K5">
            <v>19</v>
          </cell>
          <cell r="L5">
            <v>3</v>
          </cell>
        </row>
        <row r="6">
          <cell r="A6">
            <v>110230</v>
          </cell>
          <cell r="B6" t="str">
            <v>Cremosillo Tradicional 230g</v>
          </cell>
          <cell r="C6">
            <v>9343</v>
          </cell>
          <cell r="D6">
            <v>491.73684210526318</v>
          </cell>
        </row>
        <row r="7">
          <cell r="A7">
            <v>110400</v>
          </cell>
          <cell r="B7" t="str">
            <v>Cremosillo Tradicional 400g</v>
          </cell>
          <cell r="C7">
            <v>1987</v>
          </cell>
          <cell r="D7">
            <v>104.57894736842105</v>
          </cell>
        </row>
        <row r="8">
          <cell r="A8">
            <v>111000</v>
          </cell>
          <cell r="B8" t="str">
            <v>Cremosillo Tradicional 1000g</v>
          </cell>
          <cell r="C8">
            <v>252</v>
          </cell>
          <cell r="D8">
            <v>13.263157894736842</v>
          </cell>
        </row>
        <row r="9">
          <cell r="A9">
            <v>120130</v>
          </cell>
          <cell r="B9" t="str">
            <v>Gelatina Saltarina Fresa 130g</v>
          </cell>
          <cell r="C9">
            <v>26631</v>
          </cell>
          <cell r="D9">
            <v>1401.6315789473683</v>
          </cell>
        </row>
        <row r="10">
          <cell r="A10">
            <v>120131</v>
          </cell>
          <cell r="B10" t="str">
            <v>Gelatina Saltarina Chicle 130g</v>
          </cell>
          <cell r="C10">
            <v>2804</v>
          </cell>
          <cell r="D10">
            <v>147.57894736842104</v>
          </cell>
        </row>
        <row r="11">
          <cell r="A11">
            <v>120132</v>
          </cell>
          <cell r="B11" t="str">
            <v>Gelatina Saltarina Kolita 130g</v>
          </cell>
          <cell r="C11">
            <v>5905</v>
          </cell>
          <cell r="D11">
            <v>310.78947368421052</v>
          </cell>
        </row>
        <row r="12">
          <cell r="A12">
            <v>130150</v>
          </cell>
          <cell r="B12" t="str">
            <v>Cremigurt Natural 150g</v>
          </cell>
          <cell r="C12">
            <v>14758</v>
          </cell>
          <cell r="D12">
            <v>776.73684210526312</v>
          </cell>
        </row>
        <row r="13">
          <cell r="A13">
            <v>130151</v>
          </cell>
          <cell r="B13" t="str">
            <v>Cremigurt Dulce 150g</v>
          </cell>
          <cell r="C13">
            <v>7170</v>
          </cell>
          <cell r="D13">
            <v>377.36842105263156</v>
          </cell>
        </row>
        <row r="14">
          <cell r="A14">
            <v>130152</v>
          </cell>
          <cell r="B14" t="str">
            <v>Cremigurt Fresa 150g</v>
          </cell>
          <cell r="C14">
            <v>63741</v>
          </cell>
          <cell r="D14">
            <v>3354.7894736842104</v>
          </cell>
        </row>
        <row r="15">
          <cell r="A15">
            <v>130153</v>
          </cell>
          <cell r="B15" t="str">
            <v>Cremigurt Durazno 150g</v>
          </cell>
          <cell r="C15">
            <v>40339</v>
          </cell>
          <cell r="D15">
            <v>2123.1052631578946</v>
          </cell>
        </row>
        <row r="16">
          <cell r="A16">
            <v>130154</v>
          </cell>
          <cell r="B16" t="str">
            <v>Cremigurt Piña 150g</v>
          </cell>
          <cell r="C16">
            <v>40312</v>
          </cell>
          <cell r="D16">
            <v>2121.6842105263158</v>
          </cell>
        </row>
        <row r="17">
          <cell r="A17">
            <v>130155</v>
          </cell>
          <cell r="B17" t="str">
            <v>Cremigurt Griego 150g</v>
          </cell>
          <cell r="C17">
            <v>49802</v>
          </cell>
          <cell r="D17">
            <v>2621.1578947368421</v>
          </cell>
        </row>
        <row r="18">
          <cell r="A18">
            <v>130157</v>
          </cell>
          <cell r="B18" t="str">
            <v>Cremigurt Griego Mango 150g</v>
          </cell>
          <cell r="C18">
            <v>13445</v>
          </cell>
          <cell r="D18">
            <v>707.63157894736844</v>
          </cell>
        </row>
        <row r="19">
          <cell r="A19">
            <v>130158</v>
          </cell>
          <cell r="B19" t="str">
            <v>Cremigurt Griego Ciruela 150g</v>
          </cell>
          <cell r="C19">
            <v>15895</v>
          </cell>
          <cell r="D19">
            <v>836.57894736842104</v>
          </cell>
        </row>
        <row r="20">
          <cell r="A20">
            <v>130159</v>
          </cell>
          <cell r="B20" t="str">
            <v>Cremigurt Griego Mora 150g</v>
          </cell>
          <cell r="C20">
            <v>16083</v>
          </cell>
          <cell r="D20">
            <v>846.47368421052636</v>
          </cell>
        </row>
        <row r="21">
          <cell r="A21">
            <v>130700</v>
          </cell>
          <cell r="B21" t="str">
            <v>Cremigurt Natural 700g</v>
          </cell>
          <cell r="C21">
            <v>5164</v>
          </cell>
          <cell r="D21">
            <v>271.78947368421052</v>
          </cell>
        </row>
        <row r="22">
          <cell r="A22">
            <v>130701</v>
          </cell>
          <cell r="B22" t="str">
            <v>Cremigurt Dulce 700g</v>
          </cell>
          <cell r="C22">
            <v>2516</v>
          </cell>
          <cell r="D22">
            <v>132.42105263157896</v>
          </cell>
        </row>
        <row r="23">
          <cell r="A23">
            <v>130702</v>
          </cell>
          <cell r="B23" t="str">
            <v>Cremigurt Griego Fresa 700g</v>
          </cell>
          <cell r="C23">
            <v>9586</v>
          </cell>
          <cell r="D23">
            <v>504.5263157894737</v>
          </cell>
        </row>
        <row r="24">
          <cell r="A24">
            <v>130703</v>
          </cell>
          <cell r="B24" t="str">
            <v>Cremigurt Griego 700g</v>
          </cell>
          <cell r="C24">
            <v>16378</v>
          </cell>
          <cell r="D24">
            <v>862</v>
          </cell>
        </row>
        <row r="25">
          <cell r="A25">
            <v>130707</v>
          </cell>
          <cell r="B25" t="str">
            <v>Griego Mykonos 700g</v>
          </cell>
          <cell r="C25">
            <v>1152</v>
          </cell>
          <cell r="D25">
            <v>60.631578947368418</v>
          </cell>
        </row>
        <row r="26">
          <cell r="A26">
            <v>131150</v>
          </cell>
          <cell r="B26" t="str">
            <v>Cremigurt Power Natural 150g</v>
          </cell>
          <cell r="C26">
            <v>13311</v>
          </cell>
          <cell r="D26">
            <v>700.57894736842104</v>
          </cell>
        </row>
        <row r="27">
          <cell r="A27">
            <v>131151</v>
          </cell>
          <cell r="B27" t="str">
            <v>Cremigurt Power Mantecado 150g</v>
          </cell>
          <cell r="C27">
            <v>20615</v>
          </cell>
          <cell r="D27">
            <v>1085</v>
          </cell>
        </row>
        <row r="28">
          <cell r="A28">
            <v>131152</v>
          </cell>
          <cell r="B28" t="str">
            <v>Cremigurt Power CheesseCake Fresa 150g</v>
          </cell>
          <cell r="C28">
            <v>10664</v>
          </cell>
          <cell r="D28">
            <v>561.26315789473688</v>
          </cell>
        </row>
        <row r="29">
          <cell r="A29">
            <v>131153</v>
          </cell>
          <cell r="B29" t="str">
            <v>Cremigurt Power Cookies and Cream 150g</v>
          </cell>
          <cell r="C29">
            <v>8140</v>
          </cell>
          <cell r="D29">
            <v>428.42105263157896</v>
          </cell>
        </row>
        <row r="30">
          <cell r="A30">
            <v>131154</v>
          </cell>
          <cell r="B30" t="str">
            <v>Cremigurt Power Piña Colada 150g</v>
          </cell>
          <cell r="C30">
            <v>4746</v>
          </cell>
          <cell r="D30">
            <v>249.78947368421052</v>
          </cell>
        </row>
        <row r="31">
          <cell r="A31">
            <v>131155</v>
          </cell>
          <cell r="B31" t="str">
            <v>Cremigurt Power Dulce de Leche 150g</v>
          </cell>
          <cell r="C31">
            <v>5736</v>
          </cell>
          <cell r="D31">
            <v>301.89473684210526</v>
          </cell>
        </row>
        <row r="32">
          <cell r="A32">
            <v>131700</v>
          </cell>
          <cell r="B32" t="str">
            <v>Cremigurt Power Natural 700g</v>
          </cell>
          <cell r="C32">
            <v>2457</v>
          </cell>
          <cell r="D32">
            <v>129.31578947368422</v>
          </cell>
        </row>
        <row r="33">
          <cell r="A33">
            <v>131701</v>
          </cell>
          <cell r="B33" t="str">
            <v>Cremigurt Power Mantecado 700g</v>
          </cell>
          <cell r="C33">
            <v>2694</v>
          </cell>
          <cell r="D33">
            <v>141.78947368421052</v>
          </cell>
        </row>
        <row r="34">
          <cell r="A34">
            <v>132150</v>
          </cell>
          <cell r="B34" t="str">
            <v>Cremigurt Griego Fresa S/A 150g</v>
          </cell>
          <cell r="C34">
            <v>14915</v>
          </cell>
          <cell r="D34">
            <v>785</v>
          </cell>
        </row>
        <row r="35">
          <cell r="A35">
            <v>132151</v>
          </cell>
          <cell r="B35" t="str">
            <v>Cremigurt Griego Coco Vainilla S/A 150g</v>
          </cell>
          <cell r="C35">
            <v>11547</v>
          </cell>
          <cell r="D35">
            <v>607.73684210526312</v>
          </cell>
        </row>
        <row r="36">
          <cell r="A36">
            <v>132152</v>
          </cell>
          <cell r="B36" t="str">
            <v>Cremigurt Griego Pie de Limón S/A 150g</v>
          </cell>
          <cell r="C36">
            <v>15283</v>
          </cell>
          <cell r="D36">
            <v>804.36842105263156</v>
          </cell>
        </row>
        <row r="37">
          <cell r="A37">
            <v>132153</v>
          </cell>
          <cell r="B37" t="str">
            <v>Cremigurt Griego Caramelo Salado S/A 150g</v>
          </cell>
          <cell r="C37">
            <v>10118</v>
          </cell>
          <cell r="D37">
            <v>532.52631578947364</v>
          </cell>
        </row>
        <row r="38">
          <cell r="A38">
            <v>134000</v>
          </cell>
          <cell r="B38" t="str">
            <v>Cremigurt Griego Natural 4 Kg</v>
          </cell>
          <cell r="C38">
            <v>78</v>
          </cell>
          <cell r="D38">
            <v>4.1052631578947372</v>
          </cell>
        </row>
        <row r="39">
          <cell r="A39">
            <v>134001</v>
          </cell>
          <cell r="B39" t="str">
            <v>Cremigurt Griego Dulce 4 Kg</v>
          </cell>
          <cell r="C39">
            <v>11</v>
          </cell>
          <cell r="D39">
            <v>0.57894736842105265</v>
          </cell>
        </row>
        <row r="40">
          <cell r="A40">
            <v>140230</v>
          </cell>
          <cell r="B40" t="str">
            <v>Cremigurt Líquido Dulce 230g</v>
          </cell>
          <cell r="C40">
            <v>2642</v>
          </cell>
          <cell r="D40">
            <v>139.05263157894737</v>
          </cell>
        </row>
        <row r="41">
          <cell r="A41">
            <v>140231</v>
          </cell>
          <cell r="B41" t="str">
            <v>Cremigurt Líquido Fresa 230g</v>
          </cell>
          <cell r="C41">
            <v>10708</v>
          </cell>
          <cell r="D41">
            <v>563.57894736842104</v>
          </cell>
        </row>
        <row r="42">
          <cell r="A42">
            <v>140232</v>
          </cell>
          <cell r="B42" t="str">
            <v>Cremigurt Líquido Durazno 230g</v>
          </cell>
          <cell r="C42">
            <v>7709</v>
          </cell>
          <cell r="D42">
            <v>405.73684210526318</v>
          </cell>
        </row>
        <row r="43">
          <cell r="A43">
            <v>150360</v>
          </cell>
          <cell r="B43" t="str">
            <v>Tevia Limon 360ml</v>
          </cell>
          <cell r="C43">
            <v>4527</v>
          </cell>
          <cell r="D43">
            <v>238.26315789473685</v>
          </cell>
        </row>
        <row r="44">
          <cell r="A44">
            <v>150361</v>
          </cell>
          <cell r="B44" t="str">
            <v>Tevia Durazno 360ml</v>
          </cell>
          <cell r="C44">
            <v>9415</v>
          </cell>
          <cell r="D44">
            <v>495.5263157894737</v>
          </cell>
        </row>
        <row r="45">
          <cell r="A45">
            <v>150362</v>
          </cell>
          <cell r="B45" t="str">
            <v>Tevia Blueberry 360ml</v>
          </cell>
          <cell r="C45">
            <v>5766</v>
          </cell>
          <cell r="D45">
            <v>303.4736842105263</v>
          </cell>
        </row>
        <row r="46">
          <cell r="A46">
            <v>150363</v>
          </cell>
          <cell r="B46" t="str">
            <v>Tevia Tropical Punch 360ml</v>
          </cell>
          <cell r="C46">
            <v>5661</v>
          </cell>
          <cell r="D46">
            <v>297.94736842105266</v>
          </cell>
        </row>
        <row r="47">
          <cell r="A47">
            <v>151500</v>
          </cell>
          <cell r="B47" t="str">
            <v>Tevia Limon 1.5L</v>
          </cell>
          <cell r="C47">
            <v>1021</v>
          </cell>
          <cell r="D47">
            <v>53.736842105263158</v>
          </cell>
        </row>
        <row r="48">
          <cell r="A48">
            <v>151501</v>
          </cell>
          <cell r="B48" t="str">
            <v>Tevia Durazno 1.5 L</v>
          </cell>
          <cell r="C48">
            <v>2288</v>
          </cell>
          <cell r="D48">
            <v>120.42105263157895</v>
          </cell>
        </row>
        <row r="49">
          <cell r="A49">
            <v>151502</v>
          </cell>
          <cell r="B49" t="str">
            <v>Tevia Blueberry 1.5 L</v>
          </cell>
          <cell r="C49">
            <v>790</v>
          </cell>
          <cell r="D49">
            <v>41.578947368421055</v>
          </cell>
        </row>
        <row r="50">
          <cell r="A50">
            <v>151503</v>
          </cell>
          <cell r="B50" t="str">
            <v>Tevia Tropical Punch 1.5 L</v>
          </cell>
          <cell r="C50">
            <v>996</v>
          </cell>
          <cell r="D50">
            <v>52.421052631578945</v>
          </cell>
        </row>
      </sheetData>
      <sheetData sheetId="2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tabSelected="1" workbookViewId="0">
      <selection activeCell="F20" sqref="F20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25">
      <c r="A2" s="15">
        <f>'[1]VINCULO VTS BY SKU OPEN'!A4</f>
        <v>110150</v>
      </c>
      <c r="B2" s="8" t="str">
        <f>'[1]VINCULO VTS BY SKU OPEN'!B4</f>
        <v>Cremosillo Tradicional 150g</v>
      </c>
      <c r="C2" s="13">
        <f>'[1]VINCULO VTS BY SKU OPEN'!C4</f>
        <v>22297</v>
      </c>
      <c r="D2" s="12">
        <f ca="1">'[1]VINCULO VTS BY SKU OPEN'!D4</f>
        <v>1173.5263157894738</v>
      </c>
    </row>
    <row r="3" spans="1:4" x14ac:dyDescent="0.25">
      <c r="A3" s="15">
        <f>'[1]VINCULO VTS BY SKU OPEN'!A5</f>
        <v>110151</v>
      </c>
      <c r="B3" s="8" t="str">
        <f>'[1]VINCULO VTS BY SKU OPEN'!B5</f>
        <v>Cremosillo Coco 150g</v>
      </c>
      <c r="C3" s="13">
        <f>'[1]VINCULO VTS BY SKU OPEN'!C5</f>
        <v>924</v>
      </c>
      <c r="D3" s="12">
        <f ca="1">'[1]VINCULO VTS BY SKU OPEN'!D5</f>
        <v>48.631578947368418</v>
      </c>
    </row>
    <row r="4" spans="1:4" x14ac:dyDescent="0.25">
      <c r="A4" s="15">
        <f>'[1]VINCULO VTS BY SKU OPEN'!A6</f>
        <v>110230</v>
      </c>
      <c r="B4" s="8" t="str">
        <f>'[1]VINCULO VTS BY SKU OPEN'!B6</f>
        <v>Cremosillo Tradicional 230g</v>
      </c>
      <c r="C4" s="13">
        <f>'[1]VINCULO VTS BY SKU OPEN'!C6</f>
        <v>9343</v>
      </c>
      <c r="D4" s="12">
        <f ca="1">'[1]VINCULO VTS BY SKU OPEN'!D6</f>
        <v>491.73684210526318</v>
      </c>
    </row>
    <row r="5" spans="1:4" x14ac:dyDescent="0.25">
      <c r="A5" s="15">
        <f>'[1]VINCULO VTS BY SKU OPEN'!A7</f>
        <v>110400</v>
      </c>
      <c r="B5" s="8" t="str">
        <f>'[1]VINCULO VTS BY SKU OPEN'!B7</f>
        <v>Cremosillo Tradicional 400g</v>
      </c>
      <c r="C5" s="13">
        <f>'[1]VINCULO VTS BY SKU OPEN'!C7</f>
        <v>1987</v>
      </c>
      <c r="D5" s="12">
        <f ca="1">'[1]VINCULO VTS BY SKU OPEN'!D7</f>
        <v>104.57894736842105</v>
      </c>
    </row>
    <row r="6" spans="1:4" x14ac:dyDescent="0.25">
      <c r="A6" s="15">
        <f>'[1]VINCULO VTS BY SKU OPEN'!A8</f>
        <v>111000</v>
      </c>
      <c r="B6" s="8" t="str">
        <f>'[1]VINCULO VTS BY SKU OPEN'!B8</f>
        <v>Cremosillo Tradicional 1000g</v>
      </c>
      <c r="C6" s="13">
        <f>'[1]VINCULO VTS BY SKU OPEN'!C8</f>
        <v>252</v>
      </c>
      <c r="D6" s="12">
        <f ca="1">'[1]VINCULO VTS BY SKU OPEN'!D8</f>
        <v>13.263157894736842</v>
      </c>
    </row>
    <row r="7" spans="1:4" x14ac:dyDescent="0.25">
      <c r="A7" s="15">
        <f>'[1]VINCULO VTS BY SKU OPEN'!A9</f>
        <v>120130</v>
      </c>
      <c r="B7" s="8" t="str">
        <f>'[1]VINCULO VTS BY SKU OPEN'!B9</f>
        <v>Gelatina Saltarina Fresa 130g</v>
      </c>
      <c r="C7" s="13">
        <f>'[1]VINCULO VTS BY SKU OPEN'!C9</f>
        <v>26631</v>
      </c>
      <c r="D7" s="12">
        <f ca="1">'[1]VINCULO VTS BY SKU OPEN'!D9</f>
        <v>1401.6315789473683</v>
      </c>
    </row>
    <row r="8" spans="1:4" x14ac:dyDescent="0.25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'[1]VINCULO VTS BY SKU OPEN'!C10</f>
        <v>2804</v>
      </c>
      <c r="D8" s="12">
        <f ca="1">'[1]VINCULO VTS BY SKU OPEN'!D10</f>
        <v>147.57894736842104</v>
      </c>
    </row>
    <row r="9" spans="1:4" x14ac:dyDescent="0.25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'[1]VINCULO VTS BY SKU OPEN'!C11</f>
        <v>5905</v>
      </c>
      <c r="D9" s="12">
        <f ca="1">'[1]VINCULO VTS BY SKU OPEN'!D11</f>
        <v>310.78947368421052</v>
      </c>
    </row>
    <row r="10" spans="1:4" x14ac:dyDescent="0.25">
      <c r="A10" s="15">
        <f>'[1]VINCULO VTS BY SKU OPEN'!A12</f>
        <v>130150</v>
      </c>
      <c r="B10" s="8" t="str">
        <f>'[1]VINCULO VTS BY SKU OPEN'!B12</f>
        <v>Cremigurt Natural 150g</v>
      </c>
      <c r="C10" s="13">
        <f>'[1]VINCULO VTS BY SKU OPEN'!C12</f>
        <v>14758</v>
      </c>
      <c r="D10" s="12">
        <f ca="1">'[1]VINCULO VTS BY SKU OPEN'!D12</f>
        <v>776.73684210526312</v>
      </c>
    </row>
    <row r="11" spans="1:4" x14ac:dyDescent="0.25">
      <c r="A11" s="15">
        <f>'[1]VINCULO VTS BY SKU OPEN'!A13</f>
        <v>130151</v>
      </c>
      <c r="B11" s="8" t="str">
        <f>'[1]VINCULO VTS BY SKU OPEN'!B13</f>
        <v>Cremigurt Dulce 150g</v>
      </c>
      <c r="C11" s="13">
        <f>'[1]VINCULO VTS BY SKU OPEN'!C13</f>
        <v>7170</v>
      </c>
      <c r="D11" s="12">
        <f ca="1">'[1]VINCULO VTS BY SKU OPEN'!D13</f>
        <v>377.36842105263156</v>
      </c>
    </row>
    <row r="12" spans="1:4" x14ac:dyDescent="0.25">
      <c r="A12" s="15">
        <f>'[1]VINCULO VTS BY SKU OPEN'!A14</f>
        <v>130152</v>
      </c>
      <c r="B12" s="8" t="str">
        <f>'[1]VINCULO VTS BY SKU OPEN'!B14</f>
        <v>Cremigurt Fresa 150g</v>
      </c>
      <c r="C12" s="13">
        <f>'[1]VINCULO VTS BY SKU OPEN'!C14</f>
        <v>63741</v>
      </c>
      <c r="D12" s="12">
        <f ca="1">'[1]VINCULO VTS BY SKU OPEN'!D14</f>
        <v>3354.7894736842104</v>
      </c>
    </row>
    <row r="13" spans="1:4" x14ac:dyDescent="0.25">
      <c r="A13" s="15">
        <f>'[1]VINCULO VTS BY SKU OPEN'!A15</f>
        <v>130153</v>
      </c>
      <c r="B13" s="8" t="str">
        <f>'[1]VINCULO VTS BY SKU OPEN'!B15</f>
        <v>Cremigurt Durazno 150g</v>
      </c>
      <c r="C13" s="13">
        <f>'[1]VINCULO VTS BY SKU OPEN'!C15</f>
        <v>40339</v>
      </c>
      <c r="D13" s="12">
        <f ca="1">'[1]VINCULO VTS BY SKU OPEN'!D15</f>
        <v>2123.1052631578946</v>
      </c>
    </row>
    <row r="14" spans="1:4" x14ac:dyDescent="0.25">
      <c r="A14" s="15">
        <f>'[1]VINCULO VTS BY SKU OPEN'!A16</f>
        <v>130154</v>
      </c>
      <c r="B14" s="8" t="str">
        <f>'[1]VINCULO VTS BY SKU OPEN'!B16</f>
        <v>Cremigurt Piña 150g</v>
      </c>
      <c r="C14" s="13">
        <f>'[1]VINCULO VTS BY SKU OPEN'!C16</f>
        <v>40312</v>
      </c>
      <c r="D14" s="12">
        <f ca="1">'[1]VINCULO VTS BY SKU OPEN'!D16</f>
        <v>2121.6842105263158</v>
      </c>
    </row>
    <row r="15" spans="1:4" x14ac:dyDescent="0.25">
      <c r="A15" s="15">
        <f>'[1]VINCULO VTS BY SKU OPEN'!A17</f>
        <v>130155</v>
      </c>
      <c r="B15" s="8" t="str">
        <f>'[1]VINCULO VTS BY SKU OPEN'!B17</f>
        <v>Cremigurt Griego 150g</v>
      </c>
      <c r="C15" s="13">
        <f>'[1]VINCULO VTS BY SKU OPEN'!C17</f>
        <v>49802</v>
      </c>
      <c r="D15" s="12">
        <f ca="1">'[1]VINCULO VTS BY SKU OPEN'!D17</f>
        <v>2621.1578947368421</v>
      </c>
    </row>
    <row r="16" spans="1:4" x14ac:dyDescent="0.25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'[1]VINCULO VTS BY SKU OPEN'!C18</f>
        <v>13445</v>
      </c>
      <c r="D16" s="12">
        <f ca="1">'[1]VINCULO VTS BY SKU OPEN'!D18</f>
        <v>707.63157894736844</v>
      </c>
    </row>
    <row r="17" spans="1:4" x14ac:dyDescent="0.25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'[1]VINCULO VTS BY SKU OPEN'!C19</f>
        <v>15895</v>
      </c>
      <c r="D17" s="12">
        <f ca="1">'[1]VINCULO VTS BY SKU OPEN'!D19</f>
        <v>836.57894736842104</v>
      </c>
    </row>
    <row r="18" spans="1:4" x14ac:dyDescent="0.25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'[1]VINCULO VTS BY SKU OPEN'!C20</f>
        <v>16083</v>
      </c>
      <c r="D18" s="12">
        <f ca="1">'[1]VINCULO VTS BY SKU OPEN'!D20</f>
        <v>846.47368421052636</v>
      </c>
    </row>
    <row r="19" spans="1:4" x14ac:dyDescent="0.25">
      <c r="A19" s="15">
        <f>'[1]VINCULO VTS BY SKU OPEN'!A21</f>
        <v>130700</v>
      </c>
      <c r="B19" s="8" t="str">
        <f>'[1]VINCULO VTS BY SKU OPEN'!B21</f>
        <v>Cremigurt Natural 700g</v>
      </c>
      <c r="C19" s="13">
        <f>'[1]VINCULO VTS BY SKU OPEN'!C21</f>
        <v>5164</v>
      </c>
      <c r="D19" s="12">
        <f ca="1">'[1]VINCULO VTS BY SKU OPEN'!D21</f>
        <v>271.78947368421052</v>
      </c>
    </row>
    <row r="20" spans="1:4" x14ac:dyDescent="0.25">
      <c r="A20" s="15">
        <f>'[1]VINCULO VTS BY SKU OPEN'!A22</f>
        <v>130701</v>
      </c>
      <c r="B20" s="8" t="str">
        <f>'[1]VINCULO VTS BY SKU OPEN'!B22</f>
        <v>Cremigurt Dulce 700g</v>
      </c>
      <c r="C20" s="13">
        <f>'[1]VINCULO VTS BY SKU OPEN'!C22</f>
        <v>2516</v>
      </c>
      <c r="D20" s="12">
        <f ca="1">'[1]VINCULO VTS BY SKU OPEN'!D22</f>
        <v>132.42105263157896</v>
      </c>
    </row>
    <row r="21" spans="1:4" x14ac:dyDescent="0.25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'[1]VINCULO VTS BY SKU OPEN'!C23</f>
        <v>9586</v>
      </c>
      <c r="D21" s="12">
        <f ca="1">'[1]VINCULO VTS BY SKU OPEN'!D23</f>
        <v>504.5263157894737</v>
      </c>
    </row>
    <row r="22" spans="1:4" x14ac:dyDescent="0.25">
      <c r="A22" s="15">
        <f>'[1]VINCULO VTS BY SKU OPEN'!A24</f>
        <v>130703</v>
      </c>
      <c r="B22" s="8" t="str">
        <f>'[1]VINCULO VTS BY SKU OPEN'!B24</f>
        <v>Cremigurt Griego 700g</v>
      </c>
      <c r="C22" s="13">
        <f>'[1]VINCULO VTS BY SKU OPEN'!C24</f>
        <v>16378</v>
      </c>
      <c r="D22" s="12">
        <f ca="1">'[1]VINCULO VTS BY SKU OPEN'!D24</f>
        <v>862</v>
      </c>
    </row>
    <row r="23" spans="1:4" x14ac:dyDescent="0.25">
      <c r="A23" s="15">
        <f>'[1]VINCULO VTS BY SKU OPEN'!A25</f>
        <v>130707</v>
      </c>
      <c r="B23" s="8" t="str">
        <f>'[1]VINCULO VTS BY SKU OPEN'!B25</f>
        <v>Griego Mykonos 700g</v>
      </c>
      <c r="C23" s="13">
        <f>'[1]VINCULO VTS BY SKU OPEN'!C25</f>
        <v>1152</v>
      </c>
      <c r="D23" s="12">
        <f ca="1">'[1]VINCULO VTS BY SKU OPEN'!D25</f>
        <v>60.631578947368418</v>
      </c>
    </row>
    <row r="24" spans="1:4" x14ac:dyDescent="0.25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'[1]VINCULO VTS BY SKU OPEN'!C26</f>
        <v>13311</v>
      </c>
      <c r="D24" s="12">
        <f ca="1">'[1]VINCULO VTS BY SKU OPEN'!D26</f>
        <v>700.57894736842104</v>
      </c>
    </row>
    <row r="25" spans="1:4" x14ac:dyDescent="0.25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'[1]VINCULO VTS BY SKU OPEN'!C27</f>
        <v>20615</v>
      </c>
      <c r="D25" s="12">
        <f ca="1">'[1]VINCULO VTS BY SKU OPEN'!D27</f>
        <v>1085</v>
      </c>
    </row>
    <row r="26" spans="1:4" x14ac:dyDescent="0.25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'[1]VINCULO VTS BY SKU OPEN'!C28</f>
        <v>10664</v>
      </c>
      <c r="D26" s="12">
        <f ca="1">'[1]VINCULO VTS BY SKU OPEN'!D28</f>
        <v>561.26315789473688</v>
      </c>
    </row>
    <row r="27" spans="1:4" x14ac:dyDescent="0.25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'[1]VINCULO VTS BY SKU OPEN'!C29</f>
        <v>8140</v>
      </c>
      <c r="D27" s="12">
        <f ca="1">'[1]VINCULO VTS BY SKU OPEN'!D29</f>
        <v>428.42105263157896</v>
      </c>
    </row>
    <row r="28" spans="1:4" x14ac:dyDescent="0.25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'[1]VINCULO VTS BY SKU OPEN'!C30</f>
        <v>4746</v>
      </c>
      <c r="D28" s="12">
        <f ca="1">'[1]VINCULO VTS BY SKU OPEN'!D30</f>
        <v>249.78947368421052</v>
      </c>
    </row>
    <row r="29" spans="1:4" x14ac:dyDescent="0.25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'[1]VINCULO VTS BY SKU OPEN'!C31</f>
        <v>5736</v>
      </c>
      <c r="D29" s="12">
        <f ca="1">'[1]VINCULO VTS BY SKU OPEN'!D31</f>
        <v>301.89473684210526</v>
      </c>
    </row>
    <row r="30" spans="1:4" x14ac:dyDescent="0.25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'[1]VINCULO VTS BY SKU OPEN'!C32</f>
        <v>2457</v>
      </c>
      <c r="D30" s="12">
        <f ca="1">'[1]VINCULO VTS BY SKU OPEN'!D32</f>
        <v>129.31578947368422</v>
      </c>
    </row>
    <row r="31" spans="1:4" x14ac:dyDescent="0.25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'[1]VINCULO VTS BY SKU OPEN'!C33</f>
        <v>2694</v>
      </c>
      <c r="D31" s="12">
        <f ca="1">'[1]VINCULO VTS BY SKU OPEN'!D33</f>
        <v>141.78947368421052</v>
      </c>
    </row>
    <row r="32" spans="1:4" x14ac:dyDescent="0.25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'[1]VINCULO VTS BY SKU OPEN'!C34</f>
        <v>14915</v>
      </c>
      <c r="D32" s="12">
        <f ca="1">'[1]VINCULO VTS BY SKU OPEN'!D34</f>
        <v>785</v>
      </c>
    </row>
    <row r="33" spans="1:4" x14ac:dyDescent="0.25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'[1]VINCULO VTS BY SKU OPEN'!C35</f>
        <v>11547</v>
      </c>
      <c r="D33" s="12">
        <f ca="1">'[1]VINCULO VTS BY SKU OPEN'!D35</f>
        <v>607.73684210526312</v>
      </c>
    </row>
    <row r="34" spans="1:4" x14ac:dyDescent="0.25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'[1]VINCULO VTS BY SKU OPEN'!C36</f>
        <v>15283</v>
      </c>
      <c r="D34" s="12">
        <f ca="1">'[1]VINCULO VTS BY SKU OPEN'!D36</f>
        <v>804.36842105263156</v>
      </c>
    </row>
    <row r="35" spans="1:4" x14ac:dyDescent="0.25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'[1]VINCULO VTS BY SKU OPEN'!C37</f>
        <v>10118</v>
      </c>
      <c r="D35" s="12">
        <f ca="1">'[1]VINCULO VTS BY SKU OPEN'!D37</f>
        <v>532.52631578947364</v>
      </c>
    </row>
    <row r="36" spans="1:4" x14ac:dyDescent="0.25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'[1]VINCULO VTS BY SKU OPEN'!C38</f>
        <v>78</v>
      </c>
      <c r="D36" s="12">
        <f ca="1">'[1]VINCULO VTS BY SKU OPEN'!D38</f>
        <v>4.1052631578947372</v>
      </c>
    </row>
    <row r="37" spans="1:4" x14ac:dyDescent="0.25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'[1]VINCULO VTS BY SKU OPEN'!C39</f>
        <v>11</v>
      </c>
      <c r="D37" s="12">
        <f ca="1">'[1]VINCULO VTS BY SKU OPEN'!D39</f>
        <v>0.57894736842105265</v>
      </c>
    </row>
    <row r="38" spans="1:4" x14ac:dyDescent="0.25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'[1]VINCULO VTS BY SKU OPEN'!C40</f>
        <v>2642</v>
      </c>
      <c r="D38" s="12">
        <f ca="1">'[1]VINCULO VTS BY SKU OPEN'!D40</f>
        <v>139.05263157894737</v>
      </c>
    </row>
    <row r="39" spans="1:4" x14ac:dyDescent="0.25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'[1]VINCULO VTS BY SKU OPEN'!C41</f>
        <v>10708</v>
      </c>
      <c r="D39" s="12">
        <f ca="1">'[1]VINCULO VTS BY SKU OPEN'!D41</f>
        <v>563.57894736842104</v>
      </c>
    </row>
    <row r="40" spans="1:4" x14ac:dyDescent="0.25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'[1]VINCULO VTS BY SKU OPEN'!C42</f>
        <v>7709</v>
      </c>
      <c r="D40" s="12">
        <f ca="1">'[1]VINCULO VTS BY SKU OPEN'!D42</f>
        <v>405.73684210526318</v>
      </c>
    </row>
    <row r="41" spans="1:4" x14ac:dyDescent="0.25">
      <c r="A41" s="15">
        <f>'[1]VINCULO VTS BY SKU OPEN'!A43</f>
        <v>150360</v>
      </c>
      <c r="B41" s="8" t="str">
        <f>'[1]VINCULO VTS BY SKU OPEN'!B43</f>
        <v>Tevia Limon 360ml</v>
      </c>
      <c r="C41" s="13">
        <f>'[1]VINCULO VTS BY SKU OPEN'!C43</f>
        <v>4527</v>
      </c>
      <c r="D41" s="12">
        <f ca="1">'[1]VINCULO VTS BY SKU OPEN'!D43</f>
        <v>238.26315789473685</v>
      </c>
    </row>
    <row r="42" spans="1:4" x14ac:dyDescent="0.25">
      <c r="A42" s="15">
        <f>'[1]VINCULO VTS BY SKU OPEN'!A44</f>
        <v>150361</v>
      </c>
      <c r="B42" s="8" t="str">
        <f>'[1]VINCULO VTS BY SKU OPEN'!B44</f>
        <v>Tevia Durazno 360ml</v>
      </c>
      <c r="C42" s="13">
        <f>'[1]VINCULO VTS BY SKU OPEN'!C44</f>
        <v>9415</v>
      </c>
      <c r="D42" s="12">
        <f ca="1">'[1]VINCULO VTS BY SKU OPEN'!D44</f>
        <v>495.5263157894737</v>
      </c>
    </row>
    <row r="43" spans="1:4" x14ac:dyDescent="0.25">
      <c r="A43" s="15">
        <f>'[1]VINCULO VTS BY SKU OPEN'!A45</f>
        <v>150362</v>
      </c>
      <c r="B43" s="8" t="str">
        <f>'[1]VINCULO VTS BY SKU OPEN'!B45</f>
        <v>Tevia Blueberry 360ml</v>
      </c>
      <c r="C43" s="13">
        <f>'[1]VINCULO VTS BY SKU OPEN'!C45</f>
        <v>5766</v>
      </c>
      <c r="D43" s="12">
        <f ca="1">'[1]VINCULO VTS BY SKU OPEN'!D45</f>
        <v>303.4736842105263</v>
      </c>
    </row>
    <row r="44" spans="1:4" x14ac:dyDescent="0.25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'[1]VINCULO VTS BY SKU OPEN'!C46</f>
        <v>5661</v>
      </c>
      <c r="D44" s="12">
        <f ca="1">'[1]VINCULO VTS BY SKU OPEN'!D46</f>
        <v>297.94736842105266</v>
      </c>
    </row>
    <row r="45" spans="1:4" x14ac:dyDescent="0.25">
      <c r="A45" s="15">
        <f>'[1]VINCULO VTS BY SKU OPEN'!A47</f>
        <v>151500</v>
      </c>
      <c r="B45" s="8" t="str">
        <f>'[1]VINCULO VTS BY SKU OPEN'!B47</f>
        <v>Tevia Limon 1.5L</v>
      </c>
      <c r="C45" s="13">
        <f>'[1]VINCULO VTS BY SKU OPEN'!C47</f>
        <v>1021</v>
      </c>
      <c r="D45" s="12">
        <f ca="1">'[1]VINCULO VTS BY SKU OPEN'!D47</f>
        <v>53.736842105263158</v>
      </c>
    </row>
    <row r="46" spans="1:4" x14ac:dyDescent="0.25">
      <c r="A46" s="15">
        <f>'[1]VINCULO VTS BY SKU OPEN'!A48</f>
        <v>151501</v>
      </c>
      <c r="B46" s="8" t="str">
        <f>'[1]VINCULO VTS BY SKU OPEN'!B48</f>
        <v>Tevia Durazno 1.5 L</v>
      </c>
      <c r="C46" s="13">
        <f>'[1]VINCULO VTS BY SKU OPEN'!C48</f>
        <v>2288</v>
      </c>
      <c r="D46" s="12">
        <f ca="1">'[1]VINCULO VTS BY SKU OPEN'!D48</f>
        <v>120.42105263157895</v>
      </c>
    </row>
    <row r="47" spans="1:4" x14ac:dyDescent="0.25">
      <c r="A47" s="15">
        <f>'[1]VINCULO VTS BY SKU OPEN'!A49</f>
        <v>151502</v>
      </c>
      <c r="B47" s="8" t="str">
        <f>'[1]VINCULO VTS BY SKU OPEN'!B49</f>
        <v>Tevia Blueberry 1.5 L</v>
      </c>
      <c r="C47" s="13">
        <f>'[1]VINCULO VTS BY SKU OPEN'!C49</f>
        <v>790</v>
      </c>
      <c r="D47" s="12">
        <f ca="1">'[1]VINCULO VTS BY SKU OPEN'!D49</f>
        <v>41.578947368421055</v>
      </c>
    </row>
    <row r="48" spans="1:4" x14ac:dyDescent="0.25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'[1]VINCULO VTS BY SKU OPEN'!C50</f>
        <v>996</v>
      </c>
      <c r="D48" s="12">
        <f ca="1">'[1]VINCULO VTS BY SKU OPEN'!D50</f>
        <v>52.421052631578945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G9" sqref="G9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25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25" x14ac:dyDescent="0.35">
      <c r="A3" s="3">
        <f>'[1]VINCULO VTS BY SKU OPEN'!G3</f>
        <v>538322</v>
      </c>
      <c r="B3" s="3">
        <f>'[1]VINCULO VTS BY SKU OPEN'!H3</f>
        <v>526624</v>
      </c>
      <c r="C3" s="4">
        <f ca="1">'[1]VINCULO VTS BY SKU OPEN'!I3</f>
        <v>28332.736842105263</v>
      </c>
      <c r="D3" s="5">
        <f ca="1">'[1]VINCULO VTS BY SKU OPEN'!J3</f>
        <v>623320.21052631573</v>
      </c>
      <c r="E3" s="4">
        <f>'[1]VINCULO VTS BY SKU OPEN'!K3</f>
        <v>673091</v>
      </c>
      <c r="F3" s="6">
        <f>'[1]VINCULO VTS BY SKU OPEN'!L3</f>
        <v>0.79977595897137232</v>
      </c>
      <c r="G3" s="7">
        <f ca="1">'[1]VINCULO VTS BY SKU OPEN'!M3</f>
        <v>-49770.789473684272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/>
    </row>
    <row r="5" spans="1:7" x14ac:dyDescent="0.25">
      <c r="A5" s="9">
        <f>'[1]VINCULO VTS BY SKU OPEN'!G5</f>
        <v>11698</v>
      </c>
      <c r="B5" s="16">
        <f>'[1]VINCULO VTS BY SKU OPEN'!H5</f>
        <v>46266</v>
      </c>
      <c r="C5" s="16">
        <f ca="1">'[1]VINCULO VTS BY SKU OPEN'!I5</f>
        <v>46293</v>
      </c>
      <c r="D5" s="16">
        <f>'[1]VINCULO VTS BY SKU OPEN'!J5</f>
        <v>46295</v>
      </c>
      <c r="E5" s="19">
        <f ca="1">'[1]VINCULO VTS BY SKU OPEN'!K5</f>
        <v>19</v>
      </c>
      <c r="F5" s="17">
        <f ca="1">'[1]VINCULO VTS BY SKU OPEN'!L5</f>
        <v>3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2026-09-28T12:55:53Z</dcterms:modified>
</cp:coreProperties>
</file>