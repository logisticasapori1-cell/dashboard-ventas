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4D25E4E-52C3-4F44-B402-40F88B8EF8BA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G3" i="2"/>
  <c r="A4" i="2"/>
  <c r="B4" i="2"/>
  <c r="C4" i="2"/>
  <c r="D4" i="2"/>
  <c r="E4" i="2"/>
  <c r="F4" i="2"/>
  <c r="A5" i="2"/>
  <c r="B5" i="2"/>
  <c r="D5" i="2"/>
  <c r="C5" i="2"/>
  <c r="E5" i="2" l="1"/>
  <c r="F5" i="2"/>
  <c r="D29" i="1" l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D2" i="1" l="1"/>
  <c r="C3" i="2" l="1"/>
  <c r="D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<sst xmlns="http://schemas.openxmlformats.org/spreadsheetml/2006/main" count="4" uniqueCount="4">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</sst>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119681</v>
          </cell>
          <cell r="H3">
            <v>119681</v>
          </cell>
          <cell r="I3">
            <v>23936.2</v>
          </cell>
          <cell r="J3">
            <v>526596.4</v>
          </cell>
          <cell r="K3">
            <v>632000</v>
          </cell>
          <cell r="L3">
            <v>0.18936867088607595</v>
          </cell>
          <cell r="M3">
            <v>-512319</v>
          </cell>
        </row>
        <row r="4">
          <cell r="A4">
            <v>110150</v>
          </cell>
          <cell r="B4" t="str">
            <v>Cremosillo Tradicional 150g</v>
          </cell>
          <cell r="C4">
            <v>4937</v>
          </cell>
          <cell r="D4">
            <v>987.4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419</v>
          </cell>
          <cell r="D5">
            <v>83.8</v>
          </cell>
          <cell r="G5">
            <v>0</v>
          </cell>
          <cell r="H5">
            <v>46266</v>
          </cell>
          <cell r="I5">
            <v>46273</v>
          </cell>
          <cell r="J5">
            <v>46295</v>
          </cell>
          <cell r="K5">
            <v>5</v>
          </cell>
          <cell r="L5">
            <v>17</v>
          </cell>
        </row>
        <row r="6">
          <cell r="A6">
            <v>110230</v>
          </cell>
          <cell r="B6" t="str">
            <v>Cremosillo Tradicional 230g</v>
          </cell>
          <cell r="C6">
            <v>2445</v>
          </cell>
          <cell r="D6">
            <v>489</v>
          </cell>
        </row>
        <row r="7">
          <cell r="A7">
            <v>110400</v>
          </cell>
          <cell r="B7" t="str">
            <v>Cremosillo Tradicional 400g</v>
          </cell>
          <cell r="C7">
            <v>376</v>
          </cell>
          <cell r="D7">
            <v>75.2</v>
          </cell>
        </row>
        <row r="8">
          <cell r="A8">
            <v>111000</v>
          </cell>
          <cell r="B8" t="str">
            <v>Cremosillo Tradicional 1000g</v>
          </cell>
          <cell r="C8">
            <v>31</v>
          </cell>
          <cell r="D8">
            <v>6.2</v>
          </cell>
        </row>
        <row r="9">
          <cell r="A9">
            <v>120130</v>
          </cell>
          <cell r="B9" t="str">
            <v>Gelatina Saltarina Fresa 130g</v>
          </cell>
          <cell r="C9">
            <v>6695</v>
          </cell>
          <cell r="D9">
            <v>1339</v>
          </cell>
        </row>
        <row r="10">
          <cell r="A10">
            <v>120131</v>
          </cell>
          <cell r="B10" t="str">
            <v>Gelatina Saltarina Chicle 130g</v>
          </cell>
          <cell r="C10">
            <v>565</v>
          </cell>
          <cell r="D10">
            <v>113</v>
          </cell>
        </row>
        <row r="11">
          <cell r="A11">
            <v>120132</v>
          </cell>
          <cell r="B11" t="str">
            <v>Gelatina Saltarina Kolita 130g</v>
          </cell>
          <cell r="C11">
            <v>1178</v>
          </cell>
          <cell r="D11">
            <v>235.6</v>
          </cell>
        </row>
        <row r="12">
          <cell r="A12">
            <v>130150</v>
          </cell>
          <cell r="B12" t="str">
            <v>Cremigurt Natural 150g</v>
          </cell>
          <cell r="C12">
            <v>3329</v>
          </cell>
          <cell r="D12">
            <v>665.8</v>
          </cell>
        </row>
        <row r="13">
          <cell r="A13">
            <v>130151</v>
          </cell>
          <cell r="B13" t="str">
            <v>Cremigurt Dulce 150g</v>
          </cell>
          <cell r="C13">
            <v>1453</v>
          </cell>
          <cell r="D13">
            <v>290.60000000000002</v>
          </cell>
        </row>
        <row r="14">
          <cell r="A14">
            <v>130152</v>
          </cell>
          <cell r="B14" t="str">
            <v>Cremigurt Fresa 150g</v>
          </cell>
          <cell r="C14">
            <v>15518</v>
          </cell>
          <cell r="D14">
            <v>3103.6</v>
          </cell>
        </row>
        <row r="15">
          <cell r="A15">
            <v>130153</v>
          </cell>
          <cell r="B15" t="str">
            <v>Cremigurt Durazno 150g</v>
          </cell>
          <cell r="C15">
            <v>9416</v>
          </cell>
          <cell r="D15">
            <v>1883.2</v>
          </cell>
        </row>
        <row r="16">
          <cell r="A16">
            <v>130154</v>
          </cell>
          <cell r="B16" t="str">
            <v>Cremigurt Piña 150g</v>
          </cell>
          <cell r="C16">
            <v>9988</v>
          </cell>
          <cell r="D16">
            <v>1997.6</v>
          </cell>
        </row>
        <row r="17">
          <cell r="A17">
            <v>130155</v>
          </cell>
          <cell r="B17" t="str">
            <v>Cremigurt Griego 150g</v>
          </cell>
          <cell r="C17">
            <v>11515</v>
          </cell>
          <cell r="D17">
            <v>2303</v>
          </cell>
        </row>
        <row r="18">
          <cell r="A18">
            <v>130157</v>
          </cell>
          <cell r="B18" t="str">
            <v>Cremigurt Griego Mango 150g</v>
          </cell>
          <cell r="C18">
            <v>2893</v>
          </cell>
          <cell r="D18">
            <v>578.6</v>
          </cell>
        </row>
        <row r="19">
          <cell r="A19">
            <v>130158</v>
          </cell>
          <cell r="B19" t="str">
            <v>Cremigurt Griego Ciruela 150g</v>
          </cell>
          <cell r="C19">
            <v>3802</v>
          </cell>
          <cell r="D19">
            <v>760.4</v>
          </cell>
        </row>
        <row r="20">
          <cell r="A20">
            <v>130159</v>
          </cell>
          <cell r="B20" t="str">
            <v>Cremigurt Griego Mora 150g</v>
          </cell>
          <cell r="C20">
            <v>3760</v>
          </cell>
          <cell r="D20">
            <v>752</v>
          </cell>
        </row>
        <row r="21">
          <cell r="A21">
            <v>130700</v>
          </cell>
          <cell r="B21" t="str">
            <v>Cremigurt Natural 700g</v>
          </cell>
          <cell r="C21">
            <v>980</v>
          </cell>
          <cell r="D21">
            <v>196</v>
          </cell>
        </row>
        <row r="22">
          <cell r="A22">
            <v>130701</v>
          </cell>
          <cell r="B22" t="str">
            <v>Cremigurt Dulce 700g</v>
          </cell>
          <cell r="C22">
            <v>429</v>
          </cell>
          <cell r="D22">
            <v>85.8</v>
          </cell>
        </row>
        <row r="23">
          <cell r="A23">
            <v>130702</v>
          </cell>
          <cell r="B23" t="str">
            <v>Cremigurt Griego Fresa 700g</v>
          </cell>
          <cell r="C23">
            <v>2181</v>
          </cell>
          <cell r="D23">
            <v>436.2</v>
          </cell>
        </row>
        <row r="24">
          <cell r="A24">
            <v>130703</v>
          </cell>
          <cell r="B24" t="str">
            <v>Cremigurt Griego 700g</v>
          </cell>
          <cell r="C24">
            <v>3482</v>
          </cell>
          <cell r="D24">
            <v>696.4</v>
          </cell>
        </row>
        <row r="25">
          <cell r="A25">
            <v>130707</v>
          </cell>
          <cell r="B25" t="str">
            <v>Griego Mykonos 700g</v>
          </cell>
          <cell r="C25">
            <v>320</v>
          </cell>
          <cell r="D25">
            <v>64</v>
          </cell>
        </row>
        <row r="26">
          <cell r="A26">
            <v>131150</v>
          </cell>
          <cell r="B26" t="str">
            <v>Cremigurt Power Natural 150g</v>
          </cell>
          <cell r="C26">
            <v>3061</v>
          </cell>
          <cell r="D26">
            <v>612.20000000000005</v>
          </cell>
        </row>
        <row r="27">
          <cell r="A27">
            <v>131151</v>
          </cell>
          <cell r="B27" t="str">
            <v>Cremigurt Power Mantecado 150g</v>
          </cell>
          <cell r="C27">
            <v>4154</v>
          </cell>
          <cell r="D27">
            <v>830.8</v>
          </cell>
        </row>
        <row r="28">
          <cell r="A28">
            <v>131152</v>
          </cell>
          <cell r="B28" t="str">
            <v>Cremigurt Power CheesseCake Fresa 150g</v>
          </cell>
          <cell r="C28">
            <v>2150</v>
          </cell>
          <cell r="D28">
            <v>430</v>
          </cell>
        </row>
        <row r="29">
          <cell r="A29">
            <v>131153</v>
          </cell>
          <cell r="B29" t="str">
            <v>Cremigurt Power Cookies and Cream 150g</v>
          </cell>
          <cell r="C29">
            <v>1453</v>
          </cell>
          <cell r="D29">
            <v>290.60000000000002</v>
          </cell>
        </row>
        <row r="30">
          <cell r="A30">
            <v>131154</v>
          </cell>
          <cell r="B30" t="str">
            <v>Cremigurt Power Piña Colada 150g</v>
          </cell>
          <cell r="C30">
            <v>1125</v>
          </cell>
          <cell r="D30">
            <v>225</v>
          </cell>
        </row>
        <row r="31">
          <cell r="A31">
            <v>131155</v>
          </cell>
          <cell r="B31" t="str">
            <v>Cremigurt Power Dulce de Leche 150g</v>
          </cell>
          <cell r="C31">
            <v>1402</v>
          </cell>
          <cell r="D31">
            <v>280.39999999999998</v>
          </cell>
        </row>
        <row r="32">
          <cell r="A32">
            <v>131700</v>
          </cell>
          <cell r="B32" t="str">
            <v>Cremigurt Power Natural 700g</v>
          </cell>
          <cell r="C32">
            <v>520</v>
          </cell>
          <cell r="D32">
            <v>104</v>
          </cell>
        </row>
        <row r="33">
          <cell r="A33">
            <v>131701</v>
          </cell>
          <cell r="B33" t="str">
            <v>Cremigurt Power Mantecado 700g</v>
          </cell>
          <cell r="C33">
            <v>496</v>
          </cell>
          <cell r="D33">
            <v>99.2</v>
          </cell>
        </row>
        <row r="34">
          <cell r="A34">
            <v>132150</v>
          </cell>
          <cell r="B34" t="str">
            <v>Cremigurt Griego Fresa S/A 150g</v>
          </cell>
          <cell r="C34">
            <v>3030</v>
          </cell>
          <cell r="D34">
            <v>606</v>
          </cell>
        </row>
        <row r="35">
          <cell r="A35">
            <v>132151</v>
          </cell>
          <cell r="B35" t="str">
            <v>Cremigurt Griego Coco Vainilla S/A 150g</v>
          </cell>
          <cell r="C35">
            <v>2378</v>
          </cell>
          <cell r="D35">
            <v>475.6</v>
          </cell>
        </row>
        <row r="36">
          <cell r="A36">
            <v>132152</v>
          </cell>
          <cell r="B36" t="str">
            <v>Cremigurt Griego Pie de Limón S/A 150g</v>
          </cell>
          <cell r="C36">
            <v>3176</v>
          </cell>
          <cell r="D36">
            <v>635.20000000000005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1794</v>
          </cell>
          <cell r="D37">
            <v>358.8</v>
          </cell>
        </row>
        <row r="38">
          <cell r="A38">
            <v>134000</v>
          </cell>
          <cell r="B38" t="str">
            <v>Cremigurt Griego Natural 4 Kg</v>
          </cell>
          <cell r="C38">
            <v>20</v>
          </cell>
          <cell r="D38">
            <v>4</v>
          </cell>
        </row>
        <row r="39">
          <cell r="A39">
            <v>134001</v>
          </cell>
          <cell r="B39" t="str">
            <v>Cremigurt Griego Dulce 4 Kg</v>
          </cell>
          <cell r="C39">
            <v>6</v>
          </cell>
          <cell r="D39">
            <v>1.2</v>
          </cell>
        </row>
        <row r="40">
          <cell r="A40">
            <v>140230</v>
          </cell>
          <cell r="B40" t="str">
            <v>Cremigurt Líquido Dulce 230g</v>
          </cell>
          <cell r="C40">
            <v>483</v>
          </cell>
          <cell r="D40">
            <v>96.6</v>
          </cell>
        </row>
        <row r="41">
          <cell r="A41">
            <v>140231</v>
          </cell>
          <cell r="B41" t="str">
            <v>Cremigurt Líquido Fresa 230g</v>
          </cell>
          <cell r="C41">
            <v>2040</v>
          </cell>
          <cell r="D41">
            <v>408</v>
          </cell>
        </row>
        <row r="42">
          <cell r="A42">
            <v>140232</v>
          </cell>
          <cell r="B42" t="str">
            <v>Cremigurt Líquido Durazno 230g</v>
          </cell>
          <cell r="C42">
            <v>1964</v>
          </cell>
          <cell r="D42">
            <v>392.8</v>
          </cell>
        </row>
        <row r="43">
          <cell r="A43">
            <v>150360</v>
          </cell>
          <cell r="B43" t="str">
            <v>Tevia Limon 360ml</v>
          </cell>
          <cell r="C43">
            <v>703</v>
          </cell>
          <cell r="D43">
            <v>140.6</v>
          </cell>
        </row>
        <row r="44">
          <cell r="A44">
            <v>150361</v>
          </cell>
          <cell r="B44" t="str">
            <v>Tevia Durazno 360ml</v>
          </cell>
          <cell r="C44">
            <v>1248</v>
          </cell>
          <cell r="D44">
            <v>249.6</v>
          </cell>
        </row>
        <row r="45">
          <cell r="A45">
            <v>150362</v>
          </cell>
          <cell r="B45" t="str">
            <v>Tevia Blueberry 360ml</v>
          </cell>
          <cell r="C45">
            <v>963</v>
          </cell>
          <cell r="D45">
            <v>192.6</v>
          </cell>
        </row>
        <row r="46">
          <cell r="A46">
            <v>150363</v>
          </cell>
          <cell r="B46" t="str">
            <v>Tevia Tropical Punch 360ml</v>
          </cell>
          <cell r="C46">
            <v>1051</v>
          </cell>
          <cell r="D46">
            <v>210.2</v>
          </cell>
        </row>
        <row r="47">
          <cell r="A47">
            <v>151500</v>
          </cell>
          <cell r="B47" t="str">
            <v>Tevia Limon 1.5L</v>
          </cell>
          <cell r="C47">
            <v>144</v>
          </cell>
          <cell r="D47">
            <v>28.8</v>
          </cell>
        </row>
        <row r="48">
          <cell r="A48">
            <v>151501</v>
          </cell>
          <cell r="B48" t="str">
            <v>Tevia Durazno 1.5 L</v>
          </cell>
          <cell r="C48">
            <v>346</v>
          </cell>
          <cell r="D48">
            <v>69.2</v>
          </cell>
        </row>
        <row r="49">
          <cell r="A49">
            <v>151502</v>
          </cell>
          <cell r="B49" t="str">
            <v>Tevia Blueberry 1.5 L</v>
          </cell>
          <cell r="C49">
            <v>113</v>
          </cell>
          <cell r="D49">
            <v>22.6</v>
          </cell>
        </row>
        <row r="50">
          <cell r="A50">
            <v>151503</v>
          </cell>
          <cell r="B50" t="str">
            <v>Tevia Tropical Punch 1.5 L</v>
          </cell>
          <cell r="C50">
            <v>149</v>
          </cell>
          <cell r="D50">
            <v>29.8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workbookViewId="0">
      <selection activeCell="E17" sqref="E17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4937</v>
      </c>
      <c r="D2" s="12">
        <f ca="1">'[1]VINCULO VTS BY SKU OPEN'!D4</f>
        <v>987.4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419</v>
      </c>
      <c r="D3" s="12">
        <f ca="1">'[1]VINCULO VTS BY SKU OPEN'!D5</f>
        <v>83.8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2445</v>
      </c>
      <c r="D4" s="12">
        <f ca="1">'[1]VINCULO VTS BY SKU OPEN'!D6</f>
        <v>489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376</v>
      </c>
      <c r="D5" s="12">
        <f ca="1">'[1]VINCULO VTS BY SKU OPEN'!D7</f>
        <v>75.2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31</v>
      </c>
      <c r="D6" s="12">
        <f ca="1">'[1]VINCULO VTS BY SKU OPEN'!D8</f>
        <v>6.2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6695</v>
      </c>
      <c r="D7" s="12">
        <f ca="1">'[1]VINCULO VTS BY SKU OPEN'!D9</f>
        <v>1339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565</v>
      </c>
      <c r="D8" s="12">
        <f ca="1">'[1]VINCULO VTS BY SKU OPEN'!D10</f>
        <v>113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1178</v>
      </c>
      <c r="D9" s="12">
        <f ca="1">'[1]VINCULO VTS BY SKU OPEN'!D11</f>
        <v>235.6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3329</v>
      </c>
      <c r="D10" s="12">
        <f ca="1">'[1]VINCULO VTS BY SKU OPEN'!D12</f>
        <v>665.8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1453</v>
      </c>
      <c r="D11" s="12">
        <f ca="1">'[1]VINCULO VTS BY SKU OPEN'!D13</f>
        <v>290.60000000000002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15518</v>
      </c>
      <c r="D12" s="12">
        <f ca="1">'[1]VINCULO VTS BY SKU OPEN'!D14</f>
        <v>3103.6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9416</v>
      </c>
      <c r="D13" s="12">
        <f ca="1">'[1]VINCULO VTS BY SKU OPEN'!D15</f>
        <v>1883.2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9988</v>
      </c>
      <c r="D14" s="12">
        <f ca="1">'[1]VINCULO VTS BY SKU OPEN'!D16</f>
        <v>1997.6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11515</v>
      </c>
      <c r="D15" s="12">
        <f ca="1">'[1]VINCULO VTS BY SKU OPEN'!D17</f>
        <v>2303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2893</v>
      </c>
      <c r="D16" s="12">
        <f ca="1">'[1]VINCULO VTS BY SKU OPEN'!D18</f>
        <v>578.6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3802</v>
      </c>
      <c r="D17" s="12">
        <f ca="1">'[1]VINCULO VTS BY SKU OPEN'!D19</f>
        <v>760.4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3760</v>
      </c>
      <c r="D18" s="12">
        <f ca="1">'[1]VINCULO VTS BY SKU OPEN'!D20</f>
        <v>752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980</v>
      </c>
      <c r="D19" s="12">
        <f ca="1">'[1]VINCULO VTS BY SKU OPEN'!D21</f>
        <v>196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429</v>
      </c>
      <c r="D20" s="12">
        <f ca="1">'[1]VINCULO VTS BY SKU OPEN'!D22</f>
        <v>85.8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2181</v>
      </c>
      <c r="D21" s="12">
        <f ca="1">'[1]VINCULO VTS BY SKU OPEN'!D23</f>
        <v>436.2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3482</v>
      </c>
      <c r="D22" s="12">
        <f ca="1">'[1]VINCULO VTS BY SKU OPEN'!D24</f>
        <v>696.4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320</v>
      </c>
      <c r="D23" s="12">
        <f ca="1">'[1]VINCULO VTS BY SKU OPEN'!D25</f>
        <v>64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3061</v>
      </c>
      <c r="D24" s="12">
        <f ca="1">'[1]VINCULO VTS BY SKU OPEN'!D26</f>
        <v>612.20000000000005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4154</v>
      </c>
      <c r="D25" s="12">
        <f ca="1">'[1]VINCULO VTS BY SKU OPEN'!D27</f>
        <v>830.8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2150</v>
      </c>
      <c r="D26" s="12">
        <f ca="1">'[1]VINCULO VTS BY SKU OPEN'!D28</f>
        <v>430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1453</v>
      </c>
      <c r="D27" s="12">
        <f ca="1">'[1]VINCULO VTS BY SKU OPEN'!D29</f>
        <v>290.60000000000002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1125</v>
      </c>
      <c r="D28" s="12">
        <f ca="1">'[1]VINCULO VTS BY SKU OPEN'!D30</f>
        <v>225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1402</v>
      </c>
      <c r="D29" s="12">
        <f ca="1">'[1]VINCULO VTS BY SKU OPEN'!D31</f>
        <v>280.39999999999998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520</v>
      </c>
      <c r="D30" s="12">
        <f ca="1">'[1]VINCULO VTS BY SKU OPEN'!D32</f>
        <v>104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496</v>
      </c>
      <c r="D31" s="12">
        <f ca="1">'[1]VINCULO VTS BY SKU OPEN'!D33</f>
        <v>99.2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3030</v>
      </c>
      <c r="D32" s="12">
        <f ca="1">'[1]VINCULO VTS BY SKU OPEN'!D34</f>
        <v>606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2378</v>
      </c>
      <c r="D33" s="12">
        <f ca="1">'[1]VINCULO VTS BY SKU OPEN'!D35</f>
        <v>475.6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3176</v>
      </c>
      <c r="D34" s="12">
        <f ca="1">'[1]VINCULO VTS BY SKU OPEN'!D36</f>
        <v>635.20000000000005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1794</v>
      </c>
      <c r="D35" s="12">
        <f ca="1">'[1]VINCULO VTS BY SKU OPEN'!D37</f>
        <v>358.8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20</v>
      </c>
      <c r="D36" s="12">
        <f ca="1">'[1]VINCULO VTS BY SKU OPEN'!D38</f>
        <v>4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6</v>
      </c>
      <c r="D37" s="12">
        <f ca="1">'[1]VINCULO VTS BY SKU OPEN'!D39</f>
        <v>1.2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483</v>
      </c>
      <c r="D38" s="12">
        <f ca="1">'[1]VINCULO VTS BY SKU OPEN'!D40</f>
        <v>96.6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2040</v>
      </c>
      <c r="D39" s="12">
        <f ca="1">'[1]VINCULO VTS BY SKU OPEN'!D41</f>
        <v>408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1964</v>
      </c>
      <c r="D40" s="12">
        <f ca="1">'[1]VINCULO VTS BY SKU OPEN'!D42</f>
        <v>392.8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703</v>
      </c>
      <c r="D41" s="12">
        <f ca="1">'[1]VINCULO VTS BY SKU OPEN'!D43</f>
        <v>140.6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1248</v>
      </c>
      <c r="D42" s="12">
        <f ca="1">'[1]VINCULO VTS BY SKU OPEN'!D44</f>
        <v>249.6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963</v>
      </c>
      <c r="D43" s="12">
        <f ca="1">'[1]VINCULO VTS BY SKU OPEN'!D45</f>
        <v>192.6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1051</v>
      </c>
      <c r="D44" s="12">
        <f ca="1">'[1]VINCULO VTS BY SKU OPEN'!D46</f>
        <v>210.2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144</v>
      </c>
      <c r="D45" s="12">
        <f ca="1">'[1]VINCULO VTS BY SKU OPEN'!D47</f>
        <v>28.8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346</v>
      </c>
      <c r="D46" s="12">
        <f ca="1">'[1]VINCULO VTS BY SKU OPEN'!D48</f>
        <v>69.2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113</v>
      </c>
      <c r="D47" s="12">
        <f ca="1">'[1]VINCULO VTS BY SKU OPEN'!D49</f>
        <v>22.6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149</v>
      </c>
      <c r="D48" s="12">
        <f ca="1">'[1]VINCULO VTS BY SKU OPEN'!D50</f>
        <v>29.8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F18" sqref="F18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119681</v>
      </c>
      <c r="B3" s="3">
        <f>'[1]VINCULO VTS BY SKU OPEN'!H3</f>
        <v>119681</v>
      </c>
      <c r="C3" s="4">
        <f ca="1">'[1]VINCULO VTS BY SKU OPEN'!I3</f>
        <v>23936.2</v>
      </c>
      <c r="D3" s="5">
        <f ca="1">'[1]VINCULO VTS BY SKU OPEN'!J3</f>
        <v>526596.4</v>
      </c>
      <c r="E3" s="4">
        <f>'[1]VINCULO VTS BY SKU OPEN'!K3</f>
        <v>632000</v>
      </c>
      <c r="F3" s="6">
        <f>'[1]VINCULO VTS BY SKU OPEN'!L3</f>
        <v>0.18936867088607595</v>
      </c>
      <c r="G3" s="7">
        <f>'[1]VINCULO VTS BY SKU OPEN'!M3</f>
        <v>-512319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0</v>
      </c>
      <c r="B5" s="16">
        <f>'[1]VINCULO VTS BY SKU OPEN'!H5</f>
        <v>46266</v>
      </c>
      <c r="C5" s="16">
        <f ca="1">'[1]VINCULO VTS BY SKU OPEN'!I5</f>
        <v>46273</v>
      </c>
      <c r="D5" s="16">
        <f>'[1]VINCULO VTS BY SKU OPEN'!J5</f>
        <v>46295</v>
      </c>
      <c r="E5" s="19">
        <f ca="1">'[1]VINCULO VTS BY SKU OPEN'!K5</f>
        <v>5</v>
      </c>
      <c r="F5" s="17">
        <f ca="1">'[1]VINCULO VTS BY SKU OPEN'!L5</f>
        <v>17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2026-09-08T12:01:18Z</dcterms:modified>
</cp:coreProperties>
</file>