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E53B9ED9-41E9-4B05-B852-4E9857B7CD0C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1" i="1"/>
  <c r="D30" i="1"/>
  <c r="G3" i="2" l="1"/>
  <c r="F3" i="2"/>
  <c r="E5" i="2"/>
  <c r="F5" i="2"/>
  <c r="D33" i="1"/>
  <c r="D32" i="1"/>
  <c r="D6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5" i="1"/>
  <c r="D4" i="1"/>
  <c r="D3" i="1"/>
  <c r="D49" i="1"/>
  <c r="D2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<sst xmlns="http://schemas.openxmlformats.org/spreadsheetml/2006/main" count="61" uniqueCount="61">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</sst>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INVENTARIO NACIONAL 31-08-26"/>
      <sheetName val="INVENTARIO NACIONAL CIERRE"/>
      <sheetName val="CCC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">
          <cell r="G3">
            <v>579511</v>
          </cell>
          <cell r="H3">
            <v>574918</v>
          </cell>
          <cell r="I3">
            <v>27377.047619047618</v>
          </cell>
          <cell r="J3">
            <v>574918</v>
          </cell>
          <cell r="K3">
            <v>649023</v>
          </cell>
          <cell r="L3">
            <v>0.89289747820955501</v>
          </cell>
          <cell r="M3">
            <v>-69512</v>
          </cell>
        </row>
        <row r="4">
          <cell r="C4">
            <v>24950</v>
          </cell>
          <cell r="D4">
            <v>1188.0952380952381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1604</v>
          </cell>
          <cell r="D5">
            <v>76.38095238095238</v>
          </cell>
          <cell r="G5">
            <v>4593</v>
          </cell>
          <cell r="H5">
            <v>46237</v>
          </cell>
          <cell r="I5">
            <v>46265</v>
          </cell>
          <cell r="J5">
            <v>46265</v>
          </cell>
          <cell r="K5">
            <v>21</v>
          </cell>
          <cell r="L5">
            <v>0</v>
          </cell>
        </row>
        <row r="6">
          <cell r="C6">
            <v>10699</v>
          </cell>
          <cell r="D6">
            <v>509.47619047619048</v>
          </cell>
        </row>
        <row r="7">
          <cell r="C7">
            <v>2058</v>
          </cell>
          <cell r="D7">
            <v>98</v>
          </cell>
        </row>
        <row r="8">
          <cell r="C8">
            <v>251</v>
          </cell>
          <cell r="D8">
            <v>11.952380952380953</v>
          </cell>
        </row>
        <row r="9">
          <cell r="C9">
            <v>30667</v>
          </cell>
          <cell r="D9">
            <v>1460.3333333333333</v>
          </cell>
        </row>
        <row r="10">
          <cell r="C10">
            <v>3158</v>
          </cell>
          <cell r="D10">
            <v>150.38095238095238</v>
          </cell>
        </row>
        <row r="11">
          <cell r="C11">
            <v>7215</v>
          </cell>
          <cell r="D11">
            <v>343.57142857142856</v>
          </cell>
        </row>
        <row r="12">
          <cell r="C12">
            <v>16090</v>
          </cell>
          <cell r="D12">
            <v>766.19047619047615</v>
          </cell>
        </row>
        <row r="13">
          <cell r="C13">
            <v>7619</v>
          </cell>
          <cell r="D13">
            <v>362.8095238095238</v>
          </cell>
        </row>
        <row r="14">
          <cell r="C14">
            <v>73952</v>
          </cell>
          <cell r="D14">
            <v>3521.5238095238096</v>
          </cell>
        </row>
        <row r="15">
          <cell r="C15">
            <v>48405</v>
          </cell>
          <cell r="D15">
            <v>2305</v>
          </cell>
        </row>
        <row r="16">
          <cell r="C16">
            <v>47596</v>
          </cell>
          <cell r="D16">
            <v>2266.4761904761904</v>
          </cell>
        </row>
        <row r="17">
          <cell r="C17">
            <v>56154</v>
          </cell>
          <cell r="D17">
            <v>2674</v>
          </cell>
        </row>
        <row r="18">
          <cell r="C18">
            <v>245</v>
          </cell>
          <cell r="D18">
            <v>11.666666666666666</v>
          </cell>
        </row>
        <row r="19">
          <cell r="C19">
            <v>8173</v>
          </cell>
          <cell r="D19">
            <v>389.1904761904762</v>
          </cell>
        </row>
        <row r="20">
          <cell r="C20">
            <v>8996</v>
          </cell>
          <cell r="D20">
            <v>428.38095238095241</v>
          </cell>
        </row>
        <row r="21">
          <cell r="C21">
            <v>8206</v>
          </cell>
          <cell r="D21">
            <v>390.76190476190476</v>
          </cell>
        </row>
        <row r="22">
          <cell r="C22">
            <v>5082</v>
          </cell>
          <cell r="D22">
            <v>242</v>
          </cell>
        </row>
        <row r="23">
          <cell r="C23">
            <v>2986</v>
          </cell>
          <cell r="D23">
            <v>142.1904761904762</v>
          </cell>
        </row>
        <row r="24">
          <cell r="C24">
            <v>10775</v>
          </cell>
          <cell r="D24">
            <v>513.09523809523807</v>
          </cell>
        </row>
        <row r="25">
          <cell r="C25">
            <v>17039</v>
          </cell>
          <cell r="D25">
            <v>811.38095238095241</v>
          </cell>
        </row>
        <row r="26">
          <cell r="C26">
            <v>1574</v>
          </cell>
          <cell r="D26">
            <v>74.952380952380949</v>
          </cell>
        </row>
        <row r="27">
          <cell r="C27">
            <v>16547</v>
          </cell>
          <cell r="D27">
            <v>787.95238095238096</v>
          </cell>
        </row>
        <row r="28">
          <cell r="C28">
            <v>26748</v>
          </cell>
          <cell r="D28">
            <v>1273.7142857142858</v>
          </cell>
        </row>
        <row r="29">
          <cell r="C29">
            <v>11113</v>
          </cell>
          <cell r="D29">
            <v>529.19047619047615</v>
          </cell>
        </row>
        <row r="30">
          <cell r="C30">
            <v>8439</v>
          </cell>
          <cell r="D30">
            <v>401.85714285714283</v>
          </cell>
        </row>
        <row r="31">
          <cell r="C31">
            <v>1598</v>
          </cell>
          <cell r="D31">
            <v>76.095238095238102</v>
          </cell>
        </row>
        <row r="32">
          <cell r="C32">
            <v>1514</v>
          </cell>
          <cell r="D32">
            <v>72.095238095238102</v>
          </cell>
        </row>
        <row r="33">
          <cell r="C33">
            <v>2685</v>
          </cell>
          <cell r="D33">
            <v>127.85714285714286</v>
          </cell>
        </row>
        <row r="34">
          <cell r="C34">
            <v>3010</v>
          </cell>
          <cell r="D34">
            <v>143.33333333333334</v>
          </cell>
        </row>
        <row r="35">
          <cell r="C35">
            <v>13696</v>
          </cell>
          <cell r="D35">
            <v>652.19047619047615</v>
          </cell>
        </row>
        <row r="36">
          <cell r="C36">
            <v>13210</v>
          </cell>
          <cell r="D36">
            <v>629.04761904761904</v>
          </cell>
        </row>
        <row r="37">
          <cell r="C37">
            <v>17896</v>
          </cell>
          <cell r="D37">
            <v>852.19047619047615</v>
          </cell>
        </row>
        <row r="38">
          <cell r="C38">
            <v>12159</v>
          </cell>
          <cell r="D38">
            <v>579</v>
          </cell>
        </row>
        <row r="39">
          <cell r="C39">
            <v>52</v>
          </cell>
          <cell r="D39">
            <v>2.4761904761904763</v>
          </cell>
        </row>
        <row r="40">
          <cell r="C40">
            <v>9</v>
          </cell>
          <cell r="D40">
            <v>0.42857142857142855</v>
          </cell>
        </row>
        <row r="41">
          <cell r="C41">
            <v>2880</v>
          </cell>
          <cell r="D41">
            <v>137.14285714285714</v>
          </cell>
        </row>
        <row r="42">
          <cell r="C42">
            <v>11643</v>
          </cell>
          <cell r="D42">
            <v>554.42857142857144</v>
          </cell>
        </row>
        <row r="43">
          <cell r="C43">
            <v>2789</v>
          </cell>
          <cell r="D43">
            <v>132.8095238095238</v>
          </cell>
        </row>
        <row r="44">
          <cell r="C44">
            <v>6219</v>
          </cell>
          <cell r="D44">
            <v>296.14285714285717</v>
          </cell>
        </row>
        <row r="45">
          <cell r="C45">
            <v>11103</v>
          </cell>
          <cell r="D45">
            <v>528.71428571428567</v>
          </cell>
        </row>
        <row r="46">
          <cell r="C46">
            <v>6417</v>
          </cell>
          <cell r="D46">
            <v>305.57142857142856</v>
          </cell>
        </row>
        <row r="47">
          <cell r="C47">
            <v>6088</v>
          </cell>
          <cell r="D47">
            <v>289.90476190476193</v>
          </cell>
        </row>
        <row r="48">
          <cell r="C48">
            <v>1212</v>
          </cell>
          <cell r="D48">
            <v>57.714285714285715</v>
          </cell>
        </row>
        <row r="49">
          <cell r="C49">
            <v>2199</v>
          </cell>
          <cell r="D49">
            <v>104.71428571428571</v>
          </cell>
        </row>
        <row r="50">
          <cell r="C50">
            <v>1036</v>
          </cell>
          <cell r="D50">
            <v>49.333333333333336</v>
          </cell>
        </row>
      </sheetData>
      <sheetData sheetId="2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workbookViewId="0">
      <selection activeCell="G17" sqref="G17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24950</v>
      </c>
      <c r="D2" s="12">
        <f>'[1]VINCULO VTS BY SKU OPEN'!D4</f>
        <v>1188.0952380952381</v>
      </c>
    </row>
    <row r="3" spans="1:4" x14ac:dyDescent="0.25">
      <c r="A3" s="15">
        <v>110151</v>
      </c>
      <c r="B3" s="8" t="s">
        <v>5</v>
      </c>
      <c r="C3" s="13">
        <f>'[1]VINCULO VTS BY SKU OPEN'!C5</f>
        <v>1604</v>
      </c>
      <c r="D3" s="12">
        <f>'[1]VINCULO VTS BY SKU OPEN'!D5</f>
        <v>76.38095238095238</v>
      </c>
    </row>
    <row r="4" spans="1:4" x14ac:dyDescent="0.25">
      <c r="A4" s="15">
        <v>110230</v>
      </c>
      <c r="B4" s="8" t="s">
        <v>6</v>
      </c>
      <c r="C4" s="13">
        <f>'[1]VINCULO VTS BY SKU OPEN'!C6</f>
        <v>10699</v>
      </c>
      <c r="D4" s="12">
        <f>'[1]VINCULO VTS BY SKU OPEN'!D6</f>
        <v>509.47619047619048</v>
      </c>
    </row>
    <row r="5" spans="1:4" x14ac:dyDescent="0.25">
      <c r="A5" s="15">
        <v>110400</v>
      </c>
      <c r="B5" s="8" t="s">
        <v>7</v>
      </c>
      <c r="C5" s="13">
        <f>'[1]VINCULO VTS BY SKU OPEN'!C7</f>
        <v>2058</v>
      </c>
      <c r="D5" s="12">
        <f>'[1]VINCULO VTS BY SKU OPEN'!D7</f>
        <v>98</v>
      </c>
    </row>
    <row r="6" spans="1:4" x14ac:dyDescent="0.25">
      <c r="A6" s="15">
        <v>111000</v>
      </c>
      <c r="B6" s="8" t="s">
        <v>8</v>
      </c>
      <c r="C6" s="13">
        <f>'[1]VINCULO VTS BY SKU OPEN'!C8</f>
        <v>251</v>
      </c>
      <c r="D6" s="12">
        <f>'[1]VINCULO VTS BY SKU OPEN'!D8</f>
        <v>11.952380952380953</v>
      </c>
    </row>
    <row r="7" spans="1:4" x14ac:dyDescent="0.25">
      <c r="A7" s="15">
        <v>120130</v>
      </c>
      <c r="B7" s="8" t="s">
        <v>9</v>
      </c>
      <c r="C7" s="13">
        <f>'[1]VINCULO VTS BY SKU OPEN'!C9</f>
        <v>30667</v>
      </c>
      <c r="D7" s="12">
        <f>'[1]VINCULO VTS BY SKU OPEN'!D9</f>
        <v>1460.3333333333333</v>
      </c>
    </row>
    <row r="8" spans="1:4" x14ac:dyDescent="0.25">
      <c r="A8" s="15">
        <v>120131</v>
      </c>
      <c r="B8" s="8" t="s">
        <v>10</v>
      </c>
      <c r="C8" s="13">
        <f>'[1]VINCULO VTS BY SKU OPEN'!C10</f>
        <v>3158</v>
      </c>
      <c r="D8" s="12">
        <f>'[1]VINCULO VTS BY SKU OPEN'!D10</f>
        <v>150.38095238095238</v>
      </c>
    </row>
    <row r="9" spans="1:4" x14ac:dyDescent="0.25">
      <c r="A9" s="15">
        <v>120132</v>
      </c>
      <c r="B9" s="8" t="s">
        <v>11</v>
      </c>
      <c r="C9" s="13">
        <f>'[1]VINCULO VTS BY SKU OPEN'!C11</f>
        <v>7215</v>
      </c>
      <c r="D9" s="12">
        <f>'[1]VINCULO VTS BY SKU OPEN'!D11</f>
        <v>343.57142857142856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16090</v>
      </c>
      <c r="D10" s="12">
        <f>'[1]VINCULO VTS BY SKU OPEN'!D12</f>
        <v>766.19047619047615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7619</v>
      </c>
      <c r="D11" s="12">
        <f>'[1]VINCULO VTS BY SKU OPEN'!D13</f>
        <v>362.8095238095238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73952</v>
      </c>
      <c r="D12" s="12">
        <f>'[1]VINCULO VTS BY SKU OPEN'!D14</f>
        <v>3521.5238095238096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48405</v>
      </c>
      <c r="D13" s="12">
        <f>'[1]VINCULO VTS BY SKU OPEN'!D15</f>
        <v>2305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47596</v>
      </c>
      <c r="D14" s="12">
        <f>'[1]VINCULO VTS BY SKU OPEN'!D16</f>
        <v>2266.4761904761904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56154</v>
      </c>
      <c r="D15" s="12">
        <f>'[1]VINCULO VTS BY SKU OPEN'!D17</f>
        <v>2674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245</v>
      </c>
      <c r="D16" s="12">
        <f>'[1]VINCULO VTS BY SKU OPEN'!D18</f>
        <v>11.666666666666666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8173</v>
      </c>
      <c r="D17" s="12">
        <f>'[1]VINCULO VTS BY SKU OPEN'!D19</f>
        <v>389.1904761904762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8996</v>
      </c>
      <c r="D18" s="12">
        <f>'[1]VINCULO VTS BY SKU OPEN'!D20</f>
        <v>428.38095238095241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8206</v>
      </c>
      <c r="D19" s="12">
        <f>'[1]VINCULO VTS BY SKU OPEN'!D21</f>
        <v>390.76190476190476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5082</v>
      </c>
      <c r="D20" s="12">
        <f>'[1]VINCULO VTS BY SKU OPEN'!D22</f>
        <v>242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2986</v>
      </c>
      <c r="D21" s="12">
        <f>'[1]VINCULO VTS BY SKU OPEN'!D23</f>
        <v>142.1904761904762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10775</v>
      </c>
      <c r="D22" s="12">
        <f>'[1]VINCULO VTS BY SKU OPEN'!D24</f>
        <v>513.09523809523807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17039</v>
      </c>
      <c r="D23" s="12">
        <f>'[1]VINCULO VTS BY SKU OPEN'!D25</f>
        <v>811.38095238095241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1574</v>
      </c>
      <c r="D24" s="12">
        <f>'[1]VINCULO VTS BY SKU OPEN'!D26</f>
        <v>74.952380952380949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16547</v>
      </c>
      <c r="D25" s="12">
        <f>'[1]VINCULO VTS BY SKU OPEN'!D27</f>
        <v>787.95238095238096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26748</v>
      </c>
      <c r="D26" s="12">
        <f>'[1]VINCULO VTS BY SKU OPEN'!D28</f>
        <v>1273.7142857142858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11113</v>
      </c>
      <c r="D27" s="12">
        <f>'[1]VINCULO VTS BY SKU OPEN'!D29</f>
        <v>529.19047619047615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8439</v>
      </c>
      <c r="D28" s="12">
        <f>'[1]VINCULO VTS BY SKU OPEN'!D30</f>
        <v>401.85714285714283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1598</v>
      </c>
      <c r="D29" s="12">
        <f>'[1]VINCULO VTS BY SKU OPEN'!D31</f>
        <v>76.095238095238102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1514</v>
      </c>
      <c r="D30" s="12">
        <f>'[1]VINCULO VTS BY SKU OPEN'!$D$32</f>
        <v>72.095238095238102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2685</v>
      </c>
      <c r="D31" s="12">
        <f>'[1]VINCULO VTS BY SKU OPEN'!$D$33</f>
        <v>127.85714285714286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1514</v>
      </c>
      <c r="D32" s="12">
        <f>'[1]VINCULO VTS BY SKU OPEN'!D32</f>
        <v>72.095238095238102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2685</v>
      </c>
      <c r="D33" s="12">
        <f>'[1]VINCULO VTS BY SKU OPEN'!D33</f>
        <v>127.85714285714286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3010</v>
      </c>
      <c r="D34" s="12">
        <f>'[1]VINCULO VTS BY SKU OPEN'!D34</f>
        <v>143.33333333333334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13696</v>
      </c>
      <c r="D35" s="12">
        <f>'[1]VINCULO VTS BY SKU OPEN'!D35</f>
        <v>652.19047619047615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13210</v>
      </c>
      <c r="D36" s="12">
        <f>'[1]VINCULO VTS BY SKU OPEN'!D36</f>
        <v>629.04761904761904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17896</v>
      </c>
      <c r="D37" s="12">
        <f>'[1]VINCULO VTS BY SKU OPEN'!D37</f>
        <v>852.19047619047615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12159</v>
      </c>
      <c r="D38" s="12">
        <f>'[1]VINCULO VTS BY SKU OPEN'!D38</f>
        <v>579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52</v>
      </c>
      <c r="D39" s="12">
        <f>'[1]VINCULO VTS BY SKU OPEN'!D39</f>
        <v>2.4761904761904763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9</v>
      </c>
      <c r="D40" s="12">
        <f>'[1]VINCULO VTS BY SKU OPEN'!D40</f>
        <v>0.42857142857142855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2880</v>
      </c>
      <c r="D41" s="12">
        <f>'[1]VINCULO VTS BY SKU OPEN'!D41</f>
        <v>137.14285714285714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11643</v>
      </c>
      <c r="D42" s="12">
        <f>'[1]VINCULO VTS BY SKU OPEN'!D42</f>
        <v>554.42857142857144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2789</v>
      </c>
      <c r="D43" s="12">
        <f>'[1]VINCULO VTS BY SKU OPEN'!D43</f>
        <v>132.8095238095238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6219</v>
      </c>
      <c r="D44" s="12">
        <f>'[1]VINCULO VTS BY SKU OPEN'!D44</f>
        <v>296.14285714285717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11103</v>
      </c>
      <c r="D45" s="12">
        <f>'[1]VINCULO VTS BY SKU OPEN'!D45</f>
        <v>528.71428571428567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6417</v>
      </c>
      <c r="D46" s="12">
        <f>'[1]VINCULO VTS BY SKU OPEN'!D46</f>
        <v>305.57142857142856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6088</v>
      </c>
      <c r="D47" s="12">
        <f>'[1]VINCULO VTS BY SKU OPEN'!D47</f>
        <v>289.90476190476193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1212</v>
      </c>
      <c r="D48" s="12">
        <f>'[1]VINCULO VTS BY SKU OPEN'!D48</f>
        <v>57.714285714285715</v>
      </c>
    </row>
    <row r="49" spans="1:4" x14ac:dyDescent="0.25">
      <c r="A49" s="15"/>
      <c r="B49" s="8" t="s">
        <v>46</v>
      </c>
      <c r="C49" s="13">
        <f>'[1]VINCULO VTS BY SKU OPEN'!C49</f>
        <v>2199</v>
      </c>
      <c r="D49" s="12">
        <f>'[1]VINCULO VTS BY SKU OPEN'!D49</f>
        <v>104.71428571428571</v>
      </c>
    </row>
    <row r="50" spans="1:4" x14ac:dyDescent="0.25">
      <c r="A50" s="15"/>
      <c r="B50" s="8" t="s">
        <v>47</v>
      </c>
      <c r="C50" s="13">
        <f>'[1]VINCULO VTS BY SKU OPEN'!C50</f>
        <v>1036</v>
      </c>
      <c r="D50" s="12">
        <f>'[1]VINCULO VTS BY SKU OPEN'!D50</f>
        <v>49.333333333333336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H17" sqref="H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579511</v>
      </c>
      <c r="B3" s="3">
        <f>'[1]VINCULO VTS BY SKU OPEN'!$H$3</f>
        <v>574918</v>
      </c>
      <c r="C3" s="4">
        <f>'[1]VINCULO VTS BY SKU OPEN'!I3</f>
        <v>27377.047619047618</v>
      </c>
      <c r="D3" s="5">
        <f>'[1]VINCULO VTS BY SKU OPEN'!J3</f>
        <v>574918</v>
      </c>
      <c r="E3" s="4">
        <f>'[1]VINCULO VTS BY SKU OPEN'!K3</f>
        <v>649023</v>
      </c>
      <c r="F3" s="6">
        <f>'[1]VINCULO VTS BY SKU OPEN'!L3</f>
        <v>0.89289747820955501</v>
      </c>
      <c r="G3" s="7">
        <f>'[1]VINCULO VTS BY SKU OPEN'!M3</f>
        <v>-69512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4593</v>
      </c>
      <c r="B5" s="16">
        <f>'[1]VINCULO VTS BY SKU OPEN'!H5</f>
        <v>46237</v>
      </c>
      <c r="C5" s="16">
        <f>'[1]VINCULO VTS BY SKU OPEN'!I5</f>
        <v>46265</v>
      </c>
      <c r="D5" s="16">
        <f>'[1]VINCULO VTS BY SKU OPEN'!J5</f>
        <v>46265</v>
      </c>
      <c r="E5" s="19">
        <f>'[1]VINCULO VTS BY SKU OPEN'!K5</f>
        <v>21</v>
      </c>
      <c r="F5" s="17">
        <f>'[1]VINCULO VTS BY SKU OPEN'!L5</f>
        <v>0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2026-09-01T11:57:02Z</dcterms:modified>
</cp:coreProperties>
</file>