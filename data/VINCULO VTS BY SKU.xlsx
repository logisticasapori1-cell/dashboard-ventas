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004BBE0E-E2B4-4781-8720-9C0FF5C79003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1" i="2"/>
  <c r="A2" i="2"/>
  <c r="B2" i="2"/>
  <c r="C2" i="2"/>
  <c r="D2" i="2"/>
  <c r="E2" i="2"/>
  <c r="F2" i="2"/>
  <c r="G2" i="2"/>
  <c r="A3" i="2"/>
  <c r="B3" i="2"/>
  <c r="E3" i="2"/>
  <c r="F3" i="2"/>
  <c r="A4" i="2"/>
  <c r="B4" i="2"/>
  <c r="C4" i="2"/>
  <c r="D4" i="2"/>
  <c r="E4" i="2"/>
  <c r="F4" i="2"/>
  <c r="A5" i="2"/>
  <c r="B5" i="2"/>
  <c r="D5" i="2"/>
  <c r="C5" i="2" l="1"/>
  <c r="F5" i="2"/>
  <c r="E5" i="2" l="1"/>
  <c r="D29" i="1"/>
  <c r="D6" i="1"/>
  <c r="D30" i="1"/>
  <c r="D16" i="1"/>
  <c r="D17" i="1"/>
  <c r="D18" i="1"/>
  <c r="D47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D2" i="1" l="1"/>
  <c r="C3" i="2" l="1"/>
  <c r="D3" i="2"/>
  <c r="G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<sst xmlns="http://schemas.openxmlformats.org/spreadsheetml/2006/main" count="4" uniqueCount="4">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</sst>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339999</v>
          </cell>
          <cell r="H3">
            <v>330160</v>
          </cell>
          <cell r="I3">
            <v>28333.25</v>
          </cell>
          <cell r="J3">
            <v>623331.5</v>
          </cell>
          <cell r="K3">
            <v>673091</v>
          </cell>
          <cell r="L3">
            <v>0.50513080697855117</v>
          </cell>
          <cell r="M3">
            <v>-49759.5</v>
          </cell>
        </row>
        <row r="4">
          <cell r="A4">
            <v>110150</v>
          </cell>
          <cell r="B4" t="str">
            <v>Cremosillo Tradicional 150g</v>
          </cell>
          <cell r="C4">
            <v>14842</v>
          </cell>
          <cell r="D4">
            <v>1236.8333333333333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801</v>
          </cell>
          <cell r="D5">
            <v>66.75</v>
          </cell>
          <cell r="G5">
            <v>9839</v>
          </cell>
          <cell r="H5">
            <v>46266</v>
          </cell>
          <cell r="I5">
            <v>46282</v>
          </cell>
          <cell r="J5">
            <v>46295</v>
          </cell>
          <cell r="K5">
            <v>12</v>
          </cell>
          <cell r="L5">
            <v>10</v>
          </cell>
        </row>
        <row r="6">
          <cell r="A6">
            <v>110230</v>
          </cell>
          <cell r="B6" t="str">
            <v>Cremosillo Tradicional 230g</v>
          </cell>
          <cell r="C6">
            <v>5941</v>
          </cell>
          <cell r="D6">
            <v>495.08333333333331</v>
          </cell>
        </row>
        <row r="7">
          <cell r="A7">
            <v>110400</v>
          </cell>
          <cell r="B7" t="str">
            <v>Cremosillo Tradicional 400g</v>
          </cell>
          <cell r="C7">
            <v>1439</v>
          </cell>
          <cell r="D7">
            <v>119.91666666666667</v>
          </cell>
        </row>
        <row r="8">
          <cell r="A8">
            <v>111000</v>
          </cell>
          <cell r="B8" t="str">
            <v>Cremosillo Tradicional 1000g</v>
          </cell>
          <cell r="C8">
            <v>185</v>
          </cell>
          <cell r="D8">
            <v>15.416666666666666</v>
          </cell>
        </row>
        <row r="9">
          <cell r="A9">
            <v>120130</v>
          </cell>
          <cell r="B9" t="str">
            <v>Gelatina Saltarina Fresa 130g</v>
          </cell>
          <cell r="C9">
            <v>17164</v>
          </cell>
          <cell r="D9">
            <v>1430.3333333333333</v>
          </cell>
        </row>
        <row r="10">
          <cell r="A10">
            <v>120131</v>
          </cell>
          <cell r="B10" t="str">
            <v>Gelatina Saltarina Chicle 130g</v>
          </cell>
          <cell r="C10">
            <v>1768</v>
          </cell>
          <cell r="D10">
            <v>147.33333333333334</v>
          </cell>
        </row>
        <row r="11">
          <cell r="A11">
            <v>120132</v>
          </cell>
          <cell r="B11" t="str">
            <v>Gelatina Saltarina Kolita 130g</v>
          </cell>
          <cell r="C11">
            <v>3424</v>
          </cell>
          <cell r="D11">
            <v>285.33333333333331</v>
          </cell>
        </row>
        <row r="12">
          <cell r="A12">
            <v>130150</v>
          </cell>
          <cell r="B12" t="str">
            <v>Cremigurt Natural 150g</v>
          </cell>
          <cell r="C12">
            <v>8861</v>
          </cell>
          <cell r="D12">
            <v>738.41666666666663</v>
          </cell>
        </row>
        <row r="13">
          <cell r="A13">
            <v>130151</v>
          </cell>
          <cell r="B13" t="str">
            <v>Cremigurt Dulce 150g</v>
          </cell>
          <cell r="C13">
            <v>4199</v>
          </cell>
          <cell r="D13">
            <v>349.91666666666669</v>
          </cell>
        </row>
        <row r="14">
          <cell r="A14">
            <v>130152</v>
          </cell>
          <cell r="B14" t="str">
            <v>Cremigurt Fresa 150g</v>
          </cell>
          <cell r="C14">
            <v>41620</v>
          </cell>
          <cell r="D14">
            <v>3468.3333333333335</v>
          </cell>
        </row>
        <row r="15">
          <cell r="A15">
            <v>130153</v>
          </cell>
          <cell r="B15" t="str">
            <v>Cremigurt Durazno 150g</v>
          </cell>
          <cell r="C15">
            <v>25716</v>
          </cell>
          <cell r="D15">
            <v>2143</v>
          </cell>
        </row>
        <row r="16">
          <cell r="A16">
            <v>130154</v>
          </cell>
          <cell r="B16" t="str">
            <v>Cremigurt Piña 150g</v>
          </cell>
          <cell r="C16">
            <v>26192</v>
          </cell>
          <cell r="D16">
            <v>2182.6666666666665</v>
          </cell>
        </row>
        <row r="17">
          <cell r="A17">
            <v>130155</v>
          </cell>
          <cell r="B17" t="str">
            <v>Cremigurt Griego 150g</v>
          </cell>
          <cell r="C17">
            <v>31881</v>
          </cell>
          <cell r="D17">
            <v>2656.75</v>
          </cell>
        </row>
        <row r="18">
          <cell r="A18">
            <v>130157</v>
          </cell>
          <cell r="B18" t="str">
            <v>Cremigurt Griego Mango 150g</v>
          </cell>
          <cell r="C18">
            <v>8448</v>
          </cell>
          <cell r="D18">
            <v>704</v>
          </cell>
        </row>
        <row r="19">
          <cell r="A19">
            <v>130158</v>
          </cell>
          <cell r="B19" t="str">
            <v>Cremigurt Griego Ciruela 150g</v>
          </cell>
          <cell r="C19">
            <v>9831</v>
          </cell>
          <cell r="D19">
            <v>819.25</v>
          </cell>
        </row>
        <row r="20">
          <cell r="A20">
            <v>130159</v>
          </cell>
          <cell r="B20" t="str">
            <v>Cremigurt Griego Mora 150g</v>
          </cell>
          <cell r="C20">
            <v>10340</v>
          </cell>
          <cell r="D20">
            <v>861.66666666666663</v>
          </cell>
        </row>
        <row r="21">
          <cell r="A21">
            <v>130700</v>
          </cell>
          <cell r="B21" t="str">
            <v>Cremigurt Natural 700g</v>
          </cell>
          <cell r="C21">
            <v>3072</v>
          </cell>
          <cell r="D21">
            <v>256</v>
          </cell>
        </row>
        <row r="22">
          <cell r="A22">
            <v>130701</v>
          </cell>
          <cell r="B22" t="str">
            <v>Cremigurt Dulce 700g</v>
          </cell>
          <cell r="C22">
            <v>1459</v>
          </cell>
          <cell r="D22">
            <v>121.58333333333333</v>
          </cell>
        </row>
        <row r="23">
          <cell r="A23">
            <v>130702</v>
          </cell>
          <cell r="B23" t="str">
            <v>Cremigurt Griego Fresa 700g</v>
          </cell>
          <cell r="C23">
            <v>6175</v>
          </cell>
          <cell r="D23">
            <v>514.58333333333337</v>
          </cell>
        </row>
        <row r="24">
          <cell r="A24">
            <v>130703</v>
          </cell>
          <cell r="B24" t="str">
            <v>Cremigurt Griego 700g</v>
          </cell>
          <cell r="C24">
            <v>10099</v>
          </cell>
          <cell r="D24">
            <v>841.58333333333337</v>
          </cell>
        </row>
        <row r="25">
          <cell r="A25">
            <v>130707</v>
          </cell>
          <cell r="B25" t="str">
            <v>Griego Mykonos 700g</v>
          </cell>
          <cell r="C25">
            <v>930</v>
          </cell>
          <cell r="D25">
            <v>77.5</v>
          </cell>
        </row>
        <row r="26">
          <cell r="A26">
            <v>131150</v>
          </cell>
          <cell r="B26" t="str">
            <v>Cremigurt Power Natural 150g</v>
          </cell>
          <cell r="C26">
            <v>8345</v>
          </cell>
          <cell r="D26">
            <v>695.41666666666663</v>
          </cell>
        </row>
        <row r="27">
          <cell r="A27">
            <v>131151</v>
          </cell>
          <cell r="B27" t="str">
            <v>Cremigurt Power Mantecado 150g</v>
          </cell>
          <cell r="C27">
            <v>13347</v>
          </cell>
          <cell r="D27">
            <v>1112.25</v>
          </cell>
        </row>
        <row r="28">
          <cell r="A28">
            <v>131152</v>
          </cell>
          <cell r="B28" t="str">
            <v>Cremigurt Power CheesseCake Fresa 150g</v>
          </cell>
          <cell r="C28">
            <v>6806</v>
          </cell>
          <cell r="D28">
            <v>567.16666666666663</v>
          </cell>
        </row>
        <row r="29">
          <cell r="A29">
            <v>131153</v>
          </cell>
          <cell r="B29" t="str">
            <v>Cremigurt Power Cookies and Cream 150g</v>
          </cell>
          <cell r="C29">
            <v>5219</v>
          </cell>
          <cell r="D29">
            <v>434.91666666666669</v>
          </cell>
        </row>
        <row r="30">
          <cell r="A30">
            <v>131154</v>
          </cell>
          <cell r="B30" t="str">
            <v>Cremigurt Power Piña Colada 150g</v>
          </cell>
          <cell r="C30">
            <v>2686</v>
          </cell>
          <cell r="D30">
            <v>223.83333333333334</v>
          </cell>
        </row>
        <row r="31">
          <cell r="A31">
            <v>131155</v>
          </cell>
          <cell r="B31" t="str">
            <v>Cremigurt Power Dulce de Leche 150g</v>
          </cell>
          <cell r="C31">
            <v>3213</v>
          </cell>
          <cell r="D31">
            <v>267.75</v>
          </cell>
        </row>
        <row r="32">
          <cell r="A32">
            <v>131700</v>
          </cell>
          <cell r="B32" t="str">
            <v>Cremigurt Power Natural 700g</v>
          </cell>
          <cell r="C32">
            <v>1617</v>
          </cell>
          <cell r="D32">
            <v>134.75</v>
          </cell>
        </row>
        <row r="33">
          <cell r="A33">
            <v>131701</v>
          </cell>
          <cell r="B33" t="str">
            <v>Cremigurt Power Mantecado 700g</v>
          </cell>
          <cell r="C33">
            <v>1638</v>
          </cell>
          <cell r="D33">
            <v>136.5</v>
          </cell>
        </row>
        <row r="34">
          <cell r="A34">
            <v>132150</v>
          </cell>
          <cell r="B34" t="str">
            <v>Cremigurt Griego Fresa S/A 150g</v>
          </cell>
          <cell r="C34">
            <v>9095</v>
          </cell>
          <cell r="D34">
            <v>757.91666666666663</v>
          </cell>
        </row>
        <row r="35">
          <cell r="A35">
            <v>132151</v>
          </cell>
          <cell r="B35" t="str">
            <v>Cremigurt Griego Coco Vainilla S/A 150g</v>
          </cell>
          <cell r="C35">
            <v>7097</v>
          </cell>
          <cell r="D35">
            <v>591.41666666666663</v>
          </cell>
        </row>
        <row r="36">
          <cell r="A36">
            <v>132152</v>
          </cell>
          <cell r="B36" t="str">
            <v>Cremigurt Griego Pie de Limón S/A 150g</v>
          </cell>
          <cell r="C36">
            <v>9536</v>
          </cell>
          <cell r="D36">
            <v>794.66666666666663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6209</v>
          </cell>
          <cell r="D37">
            <v>517.41666666666663</v>
          </cell>
        </row>
        <row r="38">
          <cell r="A38">
            <v>134000</v>
          </cell>
          <cell r="B38" t="str">
            <v>Cremigurt Griego Natural 4 Kg</v>
          </cell>
          <cell r="C38">
            <v>51</v>
          </cell>
          <cell r="D38">
            <v>4.25</v>
          </cell>
        </row>
        <row r="39">
          <cell r="A39">
            <v>134001</v>
          </cell>
          <cell r="B39" t="str">
            <v>Cremigurt Griego Dulce 4 Kg</v>
          </cell>
          <cell r="C39">
            <v>7</v>
          </cell>
          <cell r="D39">
            <v>0.58333333333333337</v>
          </cell>
        </row>
        <row r="40">
          <cell r="A40">
            <v>140230</v>
          </cell>
          <cell r="B40" t="str">
            <v>Cremigurt Líquido Dulce 230g</v>
          </cell>
          <cell r="C40">
            <v>1757</v>
          </cell>
          <cell r="D40">
            <v>146.41666666666666</v>
          </cell>
        </row>
        <row r="41">
          <cell r="A41">
            <v>140231</v>
          </cell>
          <cell r="B41" t="str">
            <v>Cremigurt Líquido Fresa 230g</v>
          </cell>
          <cell r="C41">
            <v>6515</v>
          </cell>
          <cell r="D41">
            <v>542.91666666666663</v>
          </cell>
        </row>
        <row r="42">
          <cell r="A42">
            <v>140232</v>
          </cell>
          <cell r="B42" t="str">
            <v>Cremigurt Líquido Durazno 230g</v>
          </cell>
          <cell r="C42">
            <v>5043</v>
          </cell>
          <cell r="D42">
            <v>420.25</v>
          </cell>
        </row>
        <row r="43">
          <cell r="A43">
            <v>150360</v>
          </cell>
          <cell r="B43" t="str">
            <v>Tevia Limon 360ml</v>
          </cell>
          <cell r="C43">
            <v>2393</v>
          </cell>
          <cell r="D43">
            <v>199.41666666666666</v>
          </cell>
        </row>
        <row r="44">
          <cell r="A44">
            <v>150361</v>
          </cell>
          <cell r="B44" t="str">
            <v>Tevia Durazno 360ml</v>
          </cell>
          <cell r="C44">
            <v>5693</v>
          </cell>
          <cell r="D44">
            <v>474.41666666666669</v>
          </cell>
        </row>
        <row r="45">
          <cell r="A45">
            <v>150362</v>
          </cell>
          <cell r="B45" t="str">
            <v>Tevia Blueberry 360ml</v>
          </cell>
          <cell r="C45">
            <v>3547</v>
          </cell>
          <cell r="D45">
            <v>295.58333333333331</v>
          </cell>
        </row>
        <row r="46">
          <cell r="A46">
            <v>150363</v>
          </cell>
          <cell r="B46" t="str">
            <v>Tevia Tropical Punch 360ml</v>
          </cell>
          <cell r="C46">
            <v>2754</v>
          </cell>
          <cell r="D46">
            <v>229.5</v>
          </cell>
        </row>
        <row r="47">
          <cell r="A47">
            <v>151500</v>
          </cell>
          <cell r="B47" t="str">
            <v>Tevia Limon 1.5L</v>
          </cell>
          <cell r="C47">
            <v>442</v>
          </cell>
          <cell r="D47">
            <v>36.833333333333336</v>
          </cell>
        </row>
        <row r="48">
          <cell r="A48">
            <v>151501</v>
          </cell>
          <cell r="B48" t="str">
            <v>Tevia Durazno 1.5 L</v>
          </cell>
          <cell r="C48">
            <v>1327</v>
          </cell>
          <cell r="D48">
            <v>110.58333333333333</v>
          </cell>
        </row>
        <row r="49">
          <cell r="A49">
            <v>151502</v>
          </cell>
          <cell r="B49" t="str">
            <v>Tevia Blueberry 1.5 L</v>
          </cell>
          <cell r="C49">
            <v>549</v>
          </cell>
          <cell r="D49">
            <v>45.75</v>
          </cell>
        </row>
        <row r="50">
          <cell r="A50">
            <v>151503</v>
          </cell>
          <cell r="B50" t="str">
            <v>Tevia Tropical Punch 1.5 L</v>
          </cell>
          <cell r="C50">
            <v>726</v>
          </cell>
          <cell r="D50">
            <v>60.5</v>
          </cell>
        </row>
      </sheetData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F9" sqref="F9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14842</v>
      </c>
      <c r="D2" s="12">
        <f ca="1">'[1]VINCULO VTS BY SKU OPEN'!D4</f>
        <v>1236.8333333333333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801</v>
      </c>
      <c r="D3" s="12">
        <f ca="1">'[1]VINCULO VTS BY SKU OPEN'!D5</f>
        <v>66.75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5941</v>
      </c>
      <c r="D4" s="12">
        <f ca="1">'[1]VINCULO VTS BY SKU OPEN'!D6</f>
        <v>495.08333333333331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1439</v>
      </c>
      <c r="D5" s="12">
        <f ca="1">'[1]VINCULO VTS BY SKU OPEN'!D7</f>
        <v>119.91666666666667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185</v>
      </c>
      <c r="D6" s="12">
        <f ca="1">'[1]VINCULO VTS BY SKU OPEN'!D8</f>
        <v>15.416666666666666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17164</v>
      </c>
      <c r="D7" s="12">
        <f ca="1">'[1]VINCULO VTS BY SKU OPEN'!D9</f>
        <v>1430.3333333333333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1768</v>
      </c>
      <c r="D8" s="12">
        <f ca="1">'[1]VINCULO VTS BY SKU OPEN'!D10</f>
        <v>147.33333333333334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3424</v>
      </c>
      <c r="D9" s="12">
        <f ca="1">'[1]VINCULO VTS BY SKU OPEN'!D11</f>
        <v>285.33333333333331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8861</v>
      </c>
      <c r="D10" s="12">
        <f ca="1">'[1]VINCULO VTS BY SKU OPEN'!D12</f>
        <v>738.41666666666663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4199</v>
      </c>
      <c r="D11" s="12">
        <f ca="1">'[1]VINCULO VTS BY SKU OPEN'!D13</f>
        <v>349.91666666666669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41620</v>
      </c>
      <c r="D12" s="12">
        <f ca="1">'[1]VINCULO VTS BY SKU OPEN'!D14</f>
        <v>3468.3333333333335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25716</v>
      </c>
      <c r="D13" s="12">
        <f ca="1">'[1]VINCULO VTS BY SKU OPEN'!D15</f>
        <v>2143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26192</v>
      </c>
      <c r="D14" s="12">
        <f ca="1">'[1]VINCULO VTS BY SKU OPEN'!D16</f>
        <v>2182.6666666666665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31881</v>
      </c>
      <c r="D15" s="12">
        <f ca="1">'[1]VINCULO VTS BY SKU OPEN'!D17</f>
        <v>2656.75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8448</v>
      </c>
      <c r="D16" s="12">
        <f ca="1">'[1]VINCULO VTS BY SKU OPEN'!D18</f>
        <v>704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9831</v>
      </c>
      <c r="D17" s="12">
        <f ca="1">'[1]VINCULO VTS BY SKU OPEN'!D19</f>
        <v>819.25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10340</v>
      </c>
      <c r="D18" s="12">
        <f ca="1">'[1]VINCULO VTS BY SKU OPEN'!D20</f>
        <v>861.66666666666663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3072</v>
      </c>
      <c r="D19" s="12">
        <f ca="1">'[1]VINCULO VTS BY SKU OPEN'!D21</f>
        <v>256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1459</v>
      </c>
      <c r="D20" s="12">
        <f ca="1">'[1]VINCULO VTS BY SKU OPEN'!D22</f>
        <v>121.58333333333333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6175</v>
      </c>
      <c r="D21" s="12">
        <f ca="1">'[1]VINCULO VTS BY SKU OPEN'!D23</f>
        <v>514.58333333333337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10099</v>
      </c>
      <c r="D22" s="12">
        <f ca="1">'[1]VINCULO VTS BY SKU OPEN'!D24</f>
        <v>841.58333333333337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930</v>
      </c>
      <c r="D23" s="12">
        <f ca="1">'[1]VINCULO VTS BY SKU OPEN'!D25</f>
        <v>77.5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8345</v>
      </c>
      <c r="D24" s="12">
        <f ca="1">'[1]VINCULO VTS BY SKU OPEN'!D26</f>
        <v>695.41666666666663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13347</v>
      </c>
      <c r="D25" s="12">
        <f ca="1">'[1]VINCULO VTS BY SKU OPEN'!D27</f>
        <v>1112.25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6806</v>
      </c>
      <c r="D26" s="12">
        <f ca="1">'[1]VINCULO VTS BY SKU OPEN'!D28</f>
        <v>567.16666666666663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5219</v>
      </c>
      <c r="D27" s="12">
        <f ca="1">'[1]VINCULO VTS BY SKU OPEN'!D29</f>
        <v>434.91666666666669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2686</v>
      </c>
      <c r="D28" s="12">
        <f ca="1">'[1]VINCULO VTS BY SKU OPEN'!D30</f>
        <v>223.83333333333334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3213</v>
      </c>
      <c r="D29" s="12">
        <f ca="1">'[1]VINCULO VTS BY SKU OPEN'!D31</f>
        <v>267.75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1617</v>
      </c>
      <c r="D30" s="12">
        <f ca="1">'[1]VINCULO VTS BY SKU OPEN'!D32</f>
        <v>134.75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1638</v>
      </c>
      <c r="D31" s="12">
        <f ca="1">'[1]VINCULO VTS BY SKU OPEN'!D33</f>
        <v>136.5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9095</v>
      </c>
      <c r="D32" s="12">
        <f ca="1">'[1]VINCULO VTS BY SKU OPEN'!D34</f>
        <v>757.91666666666663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7097</v>
      </c>
      <c r="D33" s="12">
        <f ca="1">'[1]VINCULO VTS BY SKU OPEN'!D35</f>
        <v>591.41666666666663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9536</v>
      </c>
      <c r="D34" s="12">
        <f ca="1">'[1]VINCULO VTS BY SKU OPEN'!D36</f>
        <v>794.66666666666663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6209</v>
      </c>
      <c r="D35" s="12">
        <f ca="1">'[1]VINCULO VTS BY SKU OPEN'!D37</f>
        <v>517.41666666666663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51</v>
      </c>
      <c r="D36" s="12">
        <f ca="1">'[1]VINCULO VTS BY SKU OPEN'!D38</f>
        <v>4.25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7</v>
      </c>
      <c r="D37" s="12">
        <f ca="1">'[1]VINCULO VTS BY SKU OPEN'!D39</f>
        <v>0.58333333333333337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1757</v>
      </c>
      <c r="D38" s="12">
        <f ca="1">'[1]VINCULO VTS BY SKU OPEN'!D40</f>
        <v>146.41666666666666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6515</v>
      </c>
      <c r="D39" s="12">
        <f ca="1">'[1]VINCULO VTS BY SKU OPEN'!D41</f>
        <v>542.91666666666663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5043</v>
      </c>
      <c r="D40" s="12">
        <f ca="1">'[1]VINCULO VTS BY SKU OPEN'!D42</f>
        <v>420.25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2393</v>
      </c>
      <c r="D41" s="12">
        <f ca="1">'[1]VINCULO VTS BY SKU OPEN'!D43</f>
        <v>199.41666666666666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5693</v>
      </c>
      <c r="D42" s="12">
        <f ca="1">'[1]VINCULO VTS BY SKU OPEN'!D44</f>
        <v>474.41666666666669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3547</v>
      </c>
      <c r="D43" s="12">
        <f ca="1">'[1]VINCULO VTS BY SKU OPEN'!D45</f>
        <v>295.58333333333331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2754</v>
      </c>
      <c r="D44" s="12">
        <f ca="1">'[1]VINCULO VTS BY SKU OPEN'!D46</f>
        <v>229.5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442</v>
      </c>
      <c r="D45" s="12">
        <f ca="1">'[1]VINCULO VTS BY SKU OPEN'!D47</f>
        <v>36.833333333333336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1327</v>
      </c>
      <c r="D46" s="12">
        <f ca="1">'[1]VINCULO VTS BY SKU OPEN'!D48</f>
        <v>110.58333333333333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549</v>
      </c>
      <c r="D47" s="12">
        <f ca="1">'[1]VINCULO VTS BY SKU OPEN'!D49</f>
        <v>45.75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726</v>
      </c>
      <c r="D48" s="12">
        <f ca="1">'[1]VINCULO VTS BY SKU OPEN'!D50</f>
        <v>60.5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G9" sqref="G9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339999</v>
      </c>
      <c r="B3" s="3">
        <f>'[1]VINCULO VTS BY SKU OPEN'!H3</f>
        <v>330160</v>
      </c>
      <c r="C3" s="4">
        <f ca="1">'[1]VINCULO VTS BY SKU OPEN'!I3</f>
        <v>28333.25</v>
      </c>
      <c r="D3" s="5">
        <f ca="1">'[1]VINCULO VTS BY SKU OPEN'!J3</f>
        <v>623331.5</v>
      </c>
      <c r="E3" s="4">
        <f>'[1]VINCULO VTS BY SKU OPEN'!K3</f>
        <v>673091</v>
      </c>
      <c r="F3" s="6">
        <f>'[1]VINCULO VTS BY SKU OPEN'!L3</f>
        <v>0.50513080697855117</v>
      </c>
      <c r="G3" s="7">
        <f ca="1">'[1]VINCULO VTS BY SKU OPEN'!M3</f>
        <v>-49759.5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9839</v>
      </c>
      <c r="B5" s="16">
        <f>'[1]VINCULO VTS BY SKU OPEN'!H5</f>
        <v>46266</v>
      </c>
      <c r="C5" s="16">
        <f ca="1">'[1]VINCULO VTS BY SKU OPEN'!I5</f>
        <v>46282</v>
      </c>
      <c r="D5" s="16">
        <f>'[1]VINCULO VTS BY SKU OPEN'!J5</f>
        <v>46295</v>
      </c>
      <c r="E5" s="19">
        <f ca="1">'[1]VINCULO VTS BY SKU OPEN'!K5</f>
        <v>12</v>
      </c>
      <c r="F5" s="17">
        <f ca="1">'[1]VINCULO VTS BY SKU OPEN'!L5</f>
        <v>10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2026-09-17T12:35:13Z</dcterms:modified>
</cp:coreProperties>
</file>