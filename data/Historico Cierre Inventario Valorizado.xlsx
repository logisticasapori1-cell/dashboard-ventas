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"/>
    </mc:Choice>
  </mc:AlternateContent>
  <xr:revisionPtr revIDLastSave="0" documentId="8_{A685F691-1E4E-4538-ABD3-555504189A07}" xr6:coauthVersionLast="47" xr6:coauthVersionMax="47" xr10:uidLastSave="{00000000-0000-0000-0000-000000000000}"/>
  <bookViews>
    <workbookView xWindow="-120" yWindow="-120" windowWidth="29040" windowHeight="15720" activeTab="7" xr2:uid="{287844AE-1C75-4DEF-B5F9-A501B02DAC1F}"/>
  </bookViews>
  <sheets>
    <sheet name="ENERO 2026" sheetId="2" r:id="rId1"/>
    <sheet name="FEBRERO 2026" sheetId="3" r:id="rId2"/>
    <sheet name="MARZO 2026" sheetId="4" r:id="rId3"/>
    <sheet name="ABRIL 2026" sheetId="6" r:id="rId4"/>
    <sheet name="MAYO 2026" sheetId="7" r:id="rId5"/>
    <sheet name="JUNIO 2026" sheetId="10" r:id="rId6"/>
    <sheet name="JULIO 2026" sheetId="8" r:id="rId7"/>
    <sheet name="AGOSTO 2026" sheetId="9" r:id="rId8"/>
  </sheets>
  <externalReferences>
    <externalReference r:id="rId9"/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9" l="1"/>
  <c r="B2" i="9"/>
  <c r="A2" i="9"/>
</calcChain>
</file>

<file path=xl/sharedStrings.xml><?xml version="1.0" encoding="utf-8"?>
<sst xmlns="http://schemas.openxmlformats.org/spreadsheetml/2006/main" count="21" uniqueCount="3">
  <si>
    <t>VALOR $ MATERIA PRIMA</t>
  </si>
  <si>
    <t>VALOR $ MATERIAL EMPAQUE</t>
  </si>
  <si>
    <t>VALOR $ PRODUCTO TERMINADO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</si>
</sst>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[$$-240A]\ #,##0.00;\-[$$-240A]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8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Orbit\Desktop\Almac&#233;n\Master%20Producci&#242;n%20Planner%202026\Master_Prod_Planner_v3_AGOSTO.xlsx" TargetMode="External"/><Relationship Id="rId1" Type="http://schemas.openxmlformats.org/officeDocument/2006/relationships/externalLinkPath" Target="Almac&#233;n/Master%20Producci&#242;n%20Planner%202026/Master_Prod_Planner_v3_AGOSTO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Relationship Id="rId1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QUERIMIENTO COMPRAS"/>
      <sheetName val="DASHBOARD FINANCIERO"/>
      <sheetName val="VINCULO VTS BY SKU"/>
      <sheetName val="MPS"/>
      <sheetName val="FILL RATE"/>
      <sheetName val="BOM (Recetas)"/>
      <sheetName val="Explosión de materiales"/>
      <sheetName val="FOTORequerimienMateriaPrima08"/>
      <sheetName val="Requerimiento Materia Prima"/>
      <sheetName val="VINCULO MP"/>
      <sheetName val="VALOR $ CONSUMO MP"/>
      <sheetName val="FOTORequerimienMaterialConten08"/>
      <sheetName val="Requerimien Material Contenedor"/>
      <sheetName val="VINCULO MC"/>
      <sheetName val="VALOR $ CONSUMO MC"/>
      <sheetName val="FOTORequerimientoMaterialEmpa08"/>
      <sheetName val="Requerimiento Material Empaque"/>
      <sheetName val="VALOR $ CONSUMO ME"/>
      <sheetName val="VINCULO ME"/>
      <sheetName val="Plan Producción Semanal"/>
      <sheetName val="Plan Maduraciòn Semanal"/>
      <sheetName val="Panel Producción Diario"/>
    </sheetNames>
    <sheetDataSet>
      <sheetData sheetId="0"/>
      <sheetData sheetId="1">
        <row r="9">
          <cell r="B9">
            <v>204677.34834400003</v>
          </cell>
        </row>
        <row r="10">
          <cell r="B10">
            <v>302799.68968631624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INCULO VTS BY SKU JULIO"/>
      <sheetName val="VINCULO VTS BY SKU OPEN"/>
      <sheetName val="DESV. VTS BY SKU"/>
      <sheetName val="INVENTARIO NACIONAL 04-08-26"/>
      <sheetName val="INVENTARIO NACIONAL 05-08-26"/>
      <sheetName val="INVENTARIO NACIONAL 06-08-26"/>
      <sheetName val="INVENTARIO NACIONAL 07-08-26"/>
      <sheetName val="INVENTARIO NACIONAL 10-08-26"/>
      <sheetName val="INVENTARIO NACIONAL 11-08-26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63">
          <cell r="D63">
            <v>422625.38999999996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863F6-CD25-4417-AEB7-8E59FB3D1872}">
  <dimension ref="A1:B2"/>
  <sheetViews>
    <sheetView workbookViewId="0">
      <selection activeCell="G23" sqref="G23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151730.37290720001</v>
      </c>
      <c r="B2" s="1">
        <v>275241.84579999995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D2DCE-DF27-47A7-94D1-74A7C977FAA7}">
  <dimension ref="A1:B2"/>
  <sheetViews>
    <sheetView workbookViewId="0">
      <selection activeCell="B17" sqref="B17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92873.219450200006</v>
      </c>
      <c r="B2" s="1">
        <v>234411.3541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8C23A-8E2E-4986-BEED-9671CB283657}">
  <dimension ref="A1:B2"/>
  <sheetViews>
    <sheetView workbookViewId="0">
      <selection activeCell="B21" sqref="B21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227220.9444413966</v>
      </c>
      <c r="B2" s="1">
        <v>289106.26861773926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ADEB3-ADFD-433D-A188-BF7708AEE12C}">
  <dimension ref="A1:C2"/>
  <sheetViews>
    <sheetView workbookViewId="0">
      <selection activeCell="C1" sqref="C1:C2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174267.59465774411</v>
      </c>
      <c r="B2" s="1">
        <v>241308.36938299288</v>
      </c>
      <c r="C2" s="1">
        <v>309765.77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109B6-4DFC-4F4F-89D6-D773C5A51682}">
  <dimension ref="A1:C2"/>
  <sheetViews>
    <sheetView workbookViewId="0">
      <selection activeCell="F29" sqref="F29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272513.00512344769</v>
      </c>
      <c r="B2" s="1">
        <v>172847.55475944036</v>
      </c>
      <c r="C2" s="1">
        <v>368413.89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6F900-19C2-4C9D-9E22-92A456058EE1}">
  <dimension ref="A1:C2"/>
  <sheetViews>
    <sheetView workbookViewId="0">
      <selection activeCell="F20" sqref="F20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269579.949964353</v>
      </c>
      <c r="B2" s="1">
        <v>221937.94817864837</v>
      </c>
      <c r="C2" s="1">
        <v>373137.66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A4453-F91D-4484-8965-25EE453231F0}">
  <dimension ref="A1:C2"/>
  <sheetViews>
    <sheetView workbookViewId="0">
      <selection activeCell="C1" sqref="C1:C2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150253.06764921913</v>
      </c>
      <c r="B2" s="1">
        <v>349539.95608949504</v>
      </c>
      <c r="C2" s="1">
        <v>410977.30999999994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9A3B3-E35B-4012-8734-D5AF4CE689F0}">
  <dimension ref="A1:C2"/>
  <sheetViews>
    <sheetView tabSelected="1" workbookViewId="0">
      <selection activeCell="D10" sqref="D10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f>'[1]DASHBOARD FINANCIERO'!$B$9</f>
        <v>204677.34834400003</v>
      </c>
      <c r="B2" s="1">
        <f>'[1]DASHBOARD FINANCIERO'!$B$10</f>
        <v>302799.68968631624</v>
      </c>
      <c r="C2" s="1">
        <f>'[2]INVENTARIO NACIONAL 11-08-26'!$D$63</f>
        <v>422625.38999999996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ENERO 2026</vt:lpstr>
      <vt:lpstr>FEBRERO 2026</vt:lpstr>
      <vt:lpstr>MARZO 2026</vt:lpstr>
      <vt:lpstr>ABRIL 2026</vt:lpstr>
      <vt:lpstr>MAYO 2026</vt:lpstr>
      <vt:lpstr>JUNIO 2026</vt:lpstr>
      <vt:lpstr>JULIO 2026</vt:lpstr>
      <vt:lpstr>AGOSTO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2026-08-11T19:33:48Z</dcterms:created>
  <dcterms:modified xsi:type="dcterms:W3CDTF">2026-08-11T20:07:04Z</dcterms:modified>
</cp:coreProperties>
</file>