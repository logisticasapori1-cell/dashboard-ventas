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R:\SUPPLY CHAIN\dashboard_supply_v.2.0\data\"/>
    </mc:Choice>
  </mc:AlternateContent>
  <xr:revisionPtr revIDLastSave="0" documentId="13_ncr:1_{E564B34C-63C5-4BAD-84E5-9498ACB0D5B7}" xr6:coauthVersionLast="47" xr6:coauthVersionMax="47" xr10:uidLastSave="{00000000-0000-0000-0000-000000000000}"/>
  <bookViews>
    <workbookView xWindow="-120" yWindow="-120" windowWidth="29040" windowHeight="15720" firstSheet="4" activeTab="9" xr2:uid="{287844AE-1C75-4DEF-B5F9-A501B02DAC1F}"/>
  </bookViews>
  <sheets>
    <sheet name="ENERO 2026" sheetId="2" r:id="rId1"/>
    <sheet name="FEBRERO 2026" sheetId="3" r:id="rId2"/>
    <sheet name="MARZO 2026" sheetId="4" r:id="rId3"/>
    <sheet name="ABRIL 2026" sheetId="6" r:id="rId4"/>
    <sheet name="MAYO 2026" sheetId="7" r:id="rId5"/>
    <sheet name="JUNIO 2026" sheetId="10" r:id="rId6"/>
    <sheet name="JULIO 2026" sheetId="8" r:id="rId7"/>
    <sheet name="AGOSTO 2026" sheetId="9" r:id="rId8"/>
    <sheet name="SEPTIEMBRE 2026" sheetId="11" r:id="rId9"/>
    <sheet name="OCTUBRE 2026" sheetId="12" r:id="rId10"/>
  </sheets>
  <externalReferences>
    <externalReference r:id="rId11"/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2" l="1"/>
  <c r="B2" i="12" l="1"/>
  <c r="C2" i="12" l="1"/>
</calcChain>
</file>

<file path=xl/sharedStrings.xml><?xml version="1.0" encoding="utf-8"?>
<sst xmlns="http://schemas.openxmlformats.org/spreadsheetml/2006/main" count="27" uniqueCount="3">
  <si>
    <t>VALOR $ MATERIA PRIMA</t>
  </si>
  <si>
    <t>VALOR $ MATERIAL EMPAQUE</t>
  </si>
  <si>
    <t>VALOR $ PRODUCTO TERMINADO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</si>
</sst>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40A]\ #,##0.00;\-[$$-240A]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SUPPLY%20CHAIN\dashboard_supply_v.2.0\data\Sistema%20Integral%20de%20Control%20de%20Inventarios.xlsx" TargetMode="External"/><Relationship Id="rId1" Type="http://schemas.openxmlformats.org/officeDocument/2006/relationships/externalLinkPath" Target="Sistema%20Integral%20de%20Control%20de%20Inventario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LMACEN%202026/Control%20de%20Almacen/2026/OCTUBRE/Control%20Inventario%20Sapori%20almacen.xlsx" TargetMode="External"/><Relationship Id="rId2" Type="http://schemas.openxmlformats.org/officeDocument/2006/relationships/externalLinkPath" Target="file:///R:\ALMACEN%202026\Control%20de%20Almacen\2026\OCTUBRE\Control%20Inventario%20Sapori%20almacen.xlsx" TargetMode="External"/><Relationship Id="rId1" Type="http://schemas.openxmlformats.org/officeDocument/2006/relationships/externalLinkPath" Target="/ALMACEN%202026/Control%20de%20Almacen/2026/OCTUBRE/Control%20Inventario%20Sapori%20almac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67">
          <cell r="D67">
            <v>534411.87000000011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STRUCCIONES"/>
      <sheetName val="EXISTENCIAS Y CIERRE"/>
      <sheetName val="CONTEO DIARIO PRINCIPAL"/>
      <sheetName val="CONTEO DIARIO TRÁNSITO"/>
      <sheetName val="COMPRAS"/>
      <sheetName val="TRASLADOS"/>
      <sheetName val="REQUISICIONES"/>
      <sheetName val="INICIAL"/>
      <sheetName val="MAESTRO"/>
    </sheetNames>
    <sheetDataSet>
      <sheetData sheetId="0"/>
      <sheetData sheetId="1">
        <row r="4">
          <cell r="P4">
            <v>92510.888693558387</v>
          </cell>
        </row>
        <row r="5">
          <cell r="P5">
            <v>157791.63850160004</v>
          </cell>
        </row>
        <row r="6">
          <cell r="P6">
            <v>121918.11961999997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863F6-CD25-4417-AEB7-8E59FB3D1872}">
  <dimension ref="A1:B2"/>
  <sheetViews>
    <sheetView workbookViewId="0">
      <selection activeCell="G23" sqref="G23"/>
    </sheetView>
  </sheetViews>
  <sheetFormatPr baseColWidth="10" defaultRowHeight="15" x14ac:dyDescent="0.25"/>
  <cols>
    <col min="1" max="2" width="26.85546875" customWidth="1"/>
    <col min="3" max="3" width="22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151730.37290720001</v>
      </c>
      <c r="B2" s="1">
        <v>275241.84579999995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D2DCE-DF27-47A7-94D1-74A7C977FAA7}">
  <dimension ref="A1:B2"/>
  <sheetViews>
    <sheetView workbookViewId="0">
      <selection activeCell="B17" sqref="B17"/>
    </sheetView>
  </sheetViews>
  <sheetFormatPr baseColWidth="10" defaultRowHeight="15" x14ac:dyDescent="0.25"/>
  <cols>
    <col min="1" max="2" width="26.85546875" customWidth="1"/>
    <col min="3" max="3" width="22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92873.219450200006</v>
      </c>
      <c r="B2" s="1">
        <v>234411.3541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8C23A-8E2E-4986-BEED-9671CB283657}">
  <dimension ref="A1:B2"/>
  <sheetViews>
    <sheetView workbookViewId="0">
      <selection activeCell="B21" sqref="B21"/>
    </sheetView>
  </sheetViews>
  <sheetFormatPr baseColWidth="10" defaultRowHeight="15" x14ac:dyDescent="0.25"/>
  <cols>
    <col min="1" max="2" width="26.85546875" customWidth="1"/>
    <col min="3" max="3" width="22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227220.9444413966</v>
      </c>
      <c r="B2" s="1">
        <v>289106.26861773926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ADEB3-ADFD-433D-A188-BF7708AEE12C}">
  <dimension ref="A1:C2"/>
  <sheetViews>
    <sheetView workbookViewId="0">
      <selection activeCell="C1" sqref="C1:C2"/>
    </sheetView>
  </sheetViews>
  <sheetFormatPr baseColWidth="10" defaultRowHeight="15" x14ac:dyDescent="0.25"/>
  <cols>
    <col min="1" max="2" width="26.85546875" customWidth="1"/>
    <col min="3" max="3" width="22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174267.59465774411</v>
      </c>
      <c r="B2" s="1">
        <v>241308.36938299288</v>
      </c>
      <c r="C2" s="1">
        <v>309765.77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09B6-4DFC-4F4F-89D6-D773C5A51682}">
  <dimension ref="A1:C2"/>
  <sheetViews>
    <sheetView workbookViewId="0">
      <selection activeCell="F29" sqref="F29"/>
    </sheetView>
  </sheetViews>
  <sheetFormatPr baseColWidth="10" defaultRowHeight="15" x14ac:dyDescent="0.25"/>
  <cols>
    <col min="1" max="2" width="26.85546875" customWidth="1"/>
    <col min="3" max="3" width="22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272513.00512344769</v>
      </c>
      <c r="B2" s="1">
        <v>172847.55475944036</v>
      </c>
      <c r="C2" s="1">
        <v>368413.89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6F900-19C2-4C9D-9E22-92A456058EE1}">
  <dimension ref="A1:C2"/>
  <sheetViews>
    <sheetView workbookViewId="0">
      <selection activeCell="F20" sqref="F20"/>
    </sheetView>
  </sheetViews>
  <sheetFormatPr baseColWidth="10" defaultRowHeight="15" x14ac:dyDescent="0.25"/>
  <cols>
    <col min="1" max="2" width="26.85546875" customWidth="1"/>
    <col min="3" max="3" width="22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269579.949964353</v>
      </c>
      <c r="B2" s="1">
        <v>221937.94817864837</v>
      </c>
      <c r="C2" s="1">
        <v>373137.66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A4453-F91D-4484-8965-25EE453231F0}">
  <dimension ref="A1:C2"/>
  <sheetViews>
    <sheetView workbookViewId="0">
      <selection activeCell="C1" sqref="C1:C2"/>
    </sheetView>
  </sheetViews>
  <sheetFormatPr baseColWidth="10" defaultRowHeight="15" x14ac:dyDescent="0.25"/>
  <cols>
    <col min="1" max="2" width="26.85546875" customWidth="1"/>
    <col min="3" max="3" width="22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150253.06764921913</v>
      </c>
      <c r="B2" s="1">
        <v>349539.95608949504</v>
      </c>
      <c r="C2" s="1">
        <v>410977.30999999994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9A3B3-E35B-4012-8734-D5AF4CE689F0}">
  <dimension ref="A1:C2"/>
  <sheetViews>
    <sheetView workbookViewId="0">
      <selection activeCell="C9" sqref="C9"/>
    </sheetView>
  </sheetViews>
  <sheetFormatPr baseColWidth="10" defaultRowHeight="15" x14ac:dyDescent="0.25"/>
  <cols>
    <col min="1" max="2" width="26.85546875" customWidth="1"/>
    <col min="3" max="3" width="22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154039.39212143701</v>
      </c>
      <c r="B2" s="1">
        <v>292864</v>
      </c>
      <c r="C2" s="1">
        <v>371878.13999999996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4BA53-62BA-4AC1-8141-AF32DE6DBCCD}">
  <dimension ref="A1:C2"/>
  <sheetViews>
    <sheetView workbookViewId="0">
      <selection activeCell="G32" sqref="G32"/>
    </sheetView>
  </sheetViews>
  <sheetFormatPr baseColWidth="10" defaultRowHeight="15" x14ac:dyDescent="0.25"/>
  <cols>
    <col min="1" max="2" width="26.85546875" customWidth="1"/>
    <col min="3" max="3" width="22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98512</v>
      </c>
      <c r="B2" s="1">
        <v>303537</v>
      </c>
      <c r="C2" s="1">
        <v>496134.86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62089-9C49-42B8-9F67-5F0042ABFCDB}">
  <dimension ref="A1:C2"/>
  <sheetViews>
    <sheetView tabSelected="1" workbookViewId="0">
      <selection activeCell="C2" sqref="C2"/>
    </sheetView>
  </sheetViews>
  <sheetFormatPr baseColWidth="10" defaultRowHeight="15" x14ac:dyDescent="0.25"/>
  <cols>
    <col min="1" max="2" width="26.85546875" customWidth="1"/>
    <col min="3" max="3" width="22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f ca="1">'[2]EXISTENCIAS Y CIERRE'!$P$4</f>
        <v>92510.888693558387</v>
      </c>
      <c r="B2" s="1">
        <f ca="1">'[2]EXISTENCIAS Y CIERRE'!$P$5+'[2]EXISTENCIAS Y CIERRE'!$P$6</f>
        <v>279709.75812160003</v>
      </c>
      <c r="C2" s="1">
        <f>[1]Hoja1!$D$67</f>
        <v>534411.87000000011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ENERO 2026</vt:lpstr>
      <vt:lpstr>FEBRERO 2026</vt:lpstr>
      <vt:lpstr>MARZO 2026</vt:lpstr>
      <vt:lpstr>ABRIL 2026</vt:lpstr>
      <vt:lpstr>MAYO 2026</vt:lpstr>
      <vt:lpstr>JUNIO 2026</vt:lpstr>
      <vt:lpstr>JULIO 2026</vt:lpstr>
      <vt:lpstr>AGOSTO 2026</vt:lpstr>
      <vt:lpstr>SEPTIEMBRE 2026</vt:lpstr>
      <vt:lpstr>OCTUBRE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Orbit</dc:creator>
  <cp:lastModifiedBy>Orbit</cp:lastModifiedBy>
  <dcterms:created xsi:type="dcterms:W3CDTF">2026-08-11T19:33:48Z</dcterms:created>
  <dcterms:modified xsi:type="dcterms:W3CDTF">2026-10-30T12:46:17Z</dcterms:modified>
</cp:coreProperties>
</file>