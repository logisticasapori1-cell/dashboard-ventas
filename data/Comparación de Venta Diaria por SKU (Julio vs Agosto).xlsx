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03DD141-6C99-4077-A6CA-5D34B0F781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<sst xmlns="http://schemas.openxmlformats.org/spreadsheetml/2006/main" count="106" uniqueCount="64">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</sst>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F4">
            <v>1236.8333333333333</v>
          </cell>
          <cell r="G4">
            <v>4.1022044088176335E-2</v>
          </cell>
          <cell r="H4" t="str">
            <v>SUBIÓ</v>
          </cell>
        </row>
        <row r="5">
          <cell r="F5">
            <v>66.75</v>
          </cell>
          <cell r="G5">
            <v>-0.12609102244389025</v>
          </cell>
          <cell r="H5" t="str">
            <v>BAJO</v>
          </cell>
        </row>
        <row r="6">
          <cell r="F6">
            <v>495.08333333333331</v>
          </cell>
          <cell r="G6">
            <v>-2.825030376670723E-2</v>
          </cell>
          <cell r="H6" t="str">
            <v>BAJO</v>
          </cell>
        </row>
        <row r="7">
          <cell r="F7">
            <v>119.91666666666667</v>
          </cell>
          <cell r="G7">
            <v>0.22363945578231292</v>
          </cell>
          <cell r="H7" t="str">
            <v>SUBIÓ</v>
          </cell>
        </row>
        <row r="8">
          <cell r="F8">
            <v>15.416666666666666</v>
          </cell>
          <cell r="G8">
            <v>0.28984063745019917</v>
          </cell>
          <cell r="H8" t="str">
            <v>SUBIÓ</v>
          </cell>
        </row>
        <row r="9">
          <cell r="F9">
            <v>1430.3333333333333</v>
          </cell>
          <cell r="G9">
            <v>-2.054325496461995E-2</v>
          </cell>
          <cell r="H9" t="str">
            <v>BAJO</v>
          </cell>
        </row>
        <row r="10">
          <cell r="F10">
            <v>147.33333333333334</v>
          </cell>
          <cell r="G10">
            <v>-2.0265991133628813E-2</v>
          </cell>
          <cell r="H10" t="str">
            <v>BAJO</v>
          </cell>
        </row>
        <row r="11">
          <cell r="F11">
            <v>285.33333333333331</v>
          </cell>
          <cell r="G11">
            <v>-0.16950796950796954</v>
          </cell>
          <cell r="H11" t="str">
            <v>BAJO</v>
          </cell>
        </row>
        <row r="12">
          <cell r="F12">
            <v>738.41666666666663</v>
          </cell>
          <cell r="G12">
            <v>-3.6249223119950269E-2</v>
          </cell>
          <cell r="H12" t="str">
            <v>BAJO</v>
          </cell>
        </row>
        <row r="13">
          <cell r="F13">
            <v>349.91666666666669</v>
          </cell>
          <cell r="G13">
            <v>-3.553615960099743E-2</v>
          </cell>
          <cell r="H13" t="str">
            <v>BAJO</v>
          </cell>
        </row>
        <row r="14">
          <cell r="F14">
            <v>3468.3333333333335</v>
          </cell>
          <cell r="G14">
            <v>-1.5104392038078784E-2</v>
          </cell>
          <cell r="H14" t="str">
            <v>BAJO</v>
          </cell>
        </row>
        <row r="15">
          <cell r="F15">
            <v>2143</v>
          </cell>
          <cell r="G15">
            <v>-7.0281995661605201E-2</v>
          </cell>
          <cell r="H15" t="str">
            <v>BAJO</v>
          </cell>
        </row>
        <row r="16">
          <cell r="F16">
            <v>2182.6666666666665</v>
          </cell>
          <cell r="G16">
            <v>-3.6977897302294283E-2</v>
          </cell>
          <cell r="H16" t="str">
            <v>BAJO</v>
          </cell>
        </row>
        <row r="17">
          <cell r="F17">
            <v>2656.75</v>
          </cell>
          <cell r="G17">
            <v>-6.4510097232610697E-3</v>
          </cell>
          <cell r="H17" t="str">
            <v>BAJO</v>
          </cell>
        </row>
        <row r="18">
          <cell r="F18">
            <v>704</v>
          </cell>
          <cell r="G18">
            <v>0.80888290713324351</v>
          </cell>
          <cell r="H18" t="str">
            <v>SUBIÓ</v>
          </cell>
        </row>
        <row r="19">
          <cell r="F19">
            <v>819.25</v>
          </cell>
          <cell r="G19">
            <v>0.912433303690529</v>
          </cell>
          <cell r="H19" t="str">
            <v>SUBIÓ</v>
          </cell>
        </row>
        <row r="20">
          <cell r="F20">
            <v>861.66666666666663</v>
          </cell>
          <cell r="G20">
            <v>1.2050938337801607</v>
          </cell>
          <cell r="H20" t="str">
            <v>SUBIÓ</v>
          </cell>
        </row>
        <row r="21">
          <cell r="F21">
            <v>256</v>
          </cell>
          <cell r="G21">
            <v>5.7851239669421517E-2</v>
          </cell>
          <cell r="H21" t="str">
            <v>SUBIÓ</v>
          </cell>
        </row>
        <row r="22">
          <cell r="F22">
            <v>121.58333333333333</v>
          </cell>
          <cell r="G22">
            <v>-0.14492632283991969</v>
          </cell>
          <cell r="H22" t="str">
            <v>BAJO</v>
          </cell>
        </row>
        <row r="23">
          <cell r="F23">
            <v>514.58333333333337</v>
          </cell>
          <cell r="G23">
            <v>2.9002320185615993E-3</v>
          </cell>
          <cell r="H23" t="str">
            <v>SUBIÓ</v>
          </cell>
        </row>
        <row r="24">
          <cell r="F24">
            <v>841.58333333333337</v>
          </cell>
          <cell r="G24">
            <v>3.7223428604965081E-2</v>
          </cell>
          <cell r="H24" t="str">
            <v>SUBIÓ</v>
          </cell>
        </row>
        <row r="25">
          <cell r="F25">
            <v>77.5</v>
          </cell>
          <cell r="G25">
            <v>3.3989834815756126E-2</v>
          </cell>
          <cell r="H25" t="str">
            <v>SUBIÓ</v>
          </cell>
        </row>
        <row r="26">
          <cell r="F26">
            <v>695.41666666666663</v>
          </cell>
          <cell r="G26">
            <v>-0.11743820632138757</v>
          </cell>
          <cell r="H26" t="str">
            <v>BAJO</v>
          </cell>
        </row>
        <row r="27">
          <cell r="F27">
            <v>1112.25</v>
          </cell>
          <cell r="G27">
            <v>-0.1267664872139973</v>
          </cell>
          <cell r="H27" t="str">
            <v>BAJO</v>
          </cell>
        </row>
        <row r="28">
          <cell r="F28">
            <v>567.16666666666663</v>
          </cell>
          <cell r="G28">
            <v>7.1762800323944997E-2</v>
          </cell>
          <cell r="H28" t="str">
            <v>SUBIÓ</v>
          </cell>
        </row>
        <row r="29">
          <cell r="F29">
            <v>434.91666666666669</v>
          </cell>
          <cell r="G29">
            <v>8.226685626259056E-2</v>
          </cell>
          <cell r="H29" t="str">
            <v>SUBIÓ</v>
          </cell>
        </row>
        <row r="30">
          <cell r="F30">
            <v>223.83333333333334</v>
          </cell>
          <cell r="G30">
            <v>1.9414893617021276</v>
          </cell>
          <cell r="H30" t="str">
            <v>SUBIÓ</v>
          </cell>
        </row>
        <row r="31">
          <cell r="F31">
            <v>267.75</v>
          </cell>
          <cell r="G31">
            <v>2.713837516512549</v>
          </cell>
          <cell r="H31" t="str">
            <v>SUBIÓ</v>
          </cell>
        </row>
        <row r="32">
          <cell r="F32">
            <v>134.75</v>
          </cell>
          <cell r="G32">
            <v>5.3910614525139566E-2</v>
          </cell>
          <cell r="H32" t="str">
            <v>SUBIÓ</v>
          </cell>
        </row>
        <row r="33">
          <cell r="F33">
            <v>136.5</v>
          </cell>
          <cell r="G33">
            <v>-4.767441860465127E-2</v>
          </cell>
          <cell r="H33" t="str">
            <v>BAJO</v>
          </cell>
        </row>
        <row r="34">
          <cell r="F34">
            <v>757.91666666666663</v>
          </cell>
          <cell r="G34">
            <v>0.162109375</v>
          </cell>
          <cell r="H34" t="str">
            <v>SUBIÓ</v>
          </cell>
        </row>
        <row r="35">
          <cell r="F35">
            <v>591.41666666666663</v>
          </cell>
          <cell r="G35">
            <v>-5.9822104466313419E-2</v>
          </cell>
          <cell r="H35" t="str">
            <v>BAJO</v>
          </cell>
        </row>
        <row r="36">
          <cell r="F36">
            <v>794.66666666666663</v>
          </cell>
          <cell r="G36">
            <v>-6.7501117568171676E-2</v>
          </cell>
          <cell r="H36" t="str">
            <v>BAJO</v>
          </cell>
        </row>
        <row r="37">
          <cell r="F37">
            <v>517.41666666666663</v>
          </cell>
          <cell r="G37">
            <v>-0.10636154289004041</v>
          </cell>
          <cell r="H37" t="str">
            <v>BAJO</v>
          </cell>
        </row>
        <row r="38">
          <cell r="F38">
            <v>4.25</v>
          </cell>
          <cell r="G38">
            <v>0.71634615384615374</v>
          </cell>
          <cell r="H38" t="str">
            <v>SUBIÓ</v>
          </cell>
        </row>
        <row r="39">
          <cell r="F39">
            <v>0.58333333333333337</v>
          </cell>
          <cell r="G39">
            <v>0.36111111111111138</v>
          </cell>
          <cell r="H39" t="str">
            <v>SUBIÓ</v>
          </cell>
        </row>
        <row r="40">
          <cell r="F40">
            <v>146.41666666666666</v>
          </cell>
          <cell r="G40">
            <v>6.7621527777777635E-2</v>
          </cell>
          <cell r="H40" t="str">
            <v>SUBIÓ</v>
          </cell>
        </row>
        <row r="41">
          <cell r="F41">
            <v>542.91666666666663</v>
          </cell>
          <cell r="G41">
            <v>-2.0763548913510399E-2</v>
          </cell>
          <cell r="H41" t="str">
            <v>BAJO</v>
          </cell>
        </row>
        <row r="42">
          <cell r="F42">
            <v>420.25</v>
          </cell>
          <cell r="G42">
            <v>2.1643062029401223</v>
          </cell>
          <cell r="H42" t="str">
            <v>SUBIÓ</v>
          </cell>
        </row>
        <row r="43">
          <cell r="F43">
            <v>199.41666666666666</v>
          </cell>
          <cell r="G43">
            <v>-0.32662003537546236</v>
          </cell>
          <cell r="H43" t="str">
            <v>BAJO</v>
          </cell>
        </row>
        <row r="44">
          <cell r="F44">
            <v>474.41666666666669</v>
          </cell>
          <cell r="G44">
            <v>-0.10269746915248124</v>
          </cell>
          <cell r="H44" t="str">
            <v>BAJO</v>
          </cell>
        </row>
        <row r="45">
          <cell r="F45">
            <v>295.58333333333331</v>
          </cell>
          <cell r="G45">
            <v>-3.2686613682406107E-2</v>
          </cell>
          <cell r="H45" t="str">
            <v>BAJO</v>
          </cell>
        </row>
        <row r="46">
          <cell r="F46">
            <v>229.5</v>
          </cell>
          <cell r="G46">
            <v>-0.2083607095926413</v>
          </cell>
          <cell r="H46" t="str">
            <v>BAJO</v>
          </cell>
        </row>
        <row r="47">
          <cell r="F47">
            <v>36.833333333333336</v>
          </cell>
          <cell r="G47">
            <v>-0.36179867986798675</v>
          </cell>
          <cell r="H47" t="str">
            <v>BAJO</v>
          </cell>
        </row>
        <row r="48">
          <cell r="F48">
            <v>110.58333333333333</v>
          </cell>
          <cell r="G48">
            <v>5.6048203728967794E-2</v>
          </cell>
          <cell r="H48" t="str">
            <v>SUBIÓ</v>
          </cell>
        </row>
        <row r="49">
          <cell r="F49">
            <v>45.75</v>
          </cell>
          <cell r="G49">
            <v>-7.2635135135135198E-2</v>
          </cell>
          <cell r="H49" t="str">
            <v>BAJO</v>
          </cell>
        </row>
        <row r="50">
          <cell r="F50">
            <v>60.5</v>
          </cell>
          <cell r="G50">
            <v>9.3373493975903665E-2</v>
          </cell>
          <cell r="H50" t="str">
            <v>SUBIÓ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F19" sqref="F19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1236.8333333333333</v>
      </c>
      <c r="F2" s="5">
        <f ca="1">'[1]DESV. VTS BY SKU'!G4</f>
        <v>4.1022044088176335E-2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66.75</v>
      </c>
      <c r="F3" s="6">
        <f ca="1">'[1]DESV. VTS BY SKU'!G5</f>
        <v>-0.12609102244389025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495.08333333333331</v>
      </c>
      <c r="F4" s="5">
        <f ca="1">'[1]DESV. VTS BY SKU'!G6</f>
        <v>-2.825030376670723E-2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119.91666666666667</v>
      </c>
      <c r="F5" s="6">
        <f ca="1">'[1]DESV. VTS BY SKU'!G7</f>
        <v>0.22363945578231292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15.416666666666666</v>
      </c>
      <c r="F6" s="5">
        <f ca="1">'[1]DESV. VTS BY SKU'!G8</f>
        <v>0.28984063745019917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1430.3333333333333</v>
      </c>
      <c r="F7" s="6">
        <f ca="1">'[1]DESV. VTS BY SKU'!G9</f>
        <v>-2.054325496461995E-2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147.33333333333334</v>
      </c>
      <c r="F8" s="5">
        <f ca="1">'[1]DESV. VTS BY SKU'!G10</f>
        <v>-2.0265991133628813E-2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285.33333333333331</v>
      </c>
      <c r="F9" s="6">
        <f ca="1">'[1]DESV. VTS BY SKU'!G11</f>
        <v>-0.16950796950796954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738.41666666666663</v>
      </c>
      <c r="F10" s="5">
        <f ca="1">'[1]DESV. VTS BY SKU'!G12</f>
        <v>-3.6249223119950269E-2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349.91666666666669</v>
      </c>
      <c r="F11" s="6">
        <f ca="1">'[1]DESV. VTS BY SKU'!G13</f>
        <v>-3.553615960099743E-2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3468.3333333333335</v>
      </c>
      <c r="F12" s="5">
        <f ca="1">'[1]DESV. VTS BY SKU'!G14</f>
        <v>-1.5104392038078784E-2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2143</v>
      </c>
      <c r="F13" s="6">
        <f ca="1">'[1]DESV. VTS BY SKU'!G15</f>
        <v>-7.0281995661605201E-2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2182.6666666666665</v>
      </c>
      <c r="F14" s="5">
        <f ca="1">'[1]DESV. VTS BY SKU'!G16</f>
        <v>-3.6977897302294283E-2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2656.75</v>
      </c>
      <c r="F15" s="6">
        <f ca="1">'[1]DESV. VTS BY SKU'!G17</f>
        <v>-6.4510097232610697E-3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704</v>
      </c>
      <c r="F16" s="6">
        <f ca="1">'[1]DESV. VTS BY SKU'!G18</f>
        <v>0.80888290713324351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819.25</v>
      </c>
      <c r="F17" s="6">
        <f ca="1">'[1]DESV. VTS BY SKU'!G19</f>
        <v>0.912433303690529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861.66666666666663</v>
      </c>
      <c r="F18" s="6">
        <f ca="1">'[1]DESV. VTS BY SKU'!G20</f>
        <v>1.2050938337801607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256</v>
      </c>
      <c r="F19" s="6">
        <f ca="1">'[1]DESV. VTS BY SKU'!G21</f>
        <v>5.7851239669421517E-2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121.58333333333333</v>
      </c>
      <c r="F20" s="5">
        <f ca="1">'[1]DESV. VTS BY SKU'!G22</f>
        <v>-0.14492632283991969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514.58333333333337</v>
      </c>
      <c r="F21" s="6">
        <f ca="1">'[1]DESV. VTS BY SKU'!G23</f>
        <v>2.9002320185615993E-3</v>
      </c>
      <c r="G21" s="7" t="str">
        <f ca="1">'[1]DESV. VTS BY SKU'!H23</f>
        <v>SUBIÓ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841.58333333333337</v>
      </c>
      <c r="F22" s="5">
        <f ca="1">'[1]DESV. VTS BY SKU'!G24</f>
        <v>3.7223428604965081E-2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77.5</v>
      </c>
      <c r="F23" s="5">
        <f ca="1">'[1]DESV. VTS BY SKU'!G25</f>
        <v>3.3989834815756126E-2</v>
      </c>
      <c r="G23" s="7" t="str">
        <f ca="1">'[1]DESV. VTS BY SKU'!H25</f>
        <v>SUBIÓ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695.41666666666663</v>
      </c>
      <c r="F24" s="6">
        <f ca="1">'[1]DESV. VTS BY SKU'!G26</f>
        <v>-0.11743820632138757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1112.25</v>
      </c>
      <c r="F25" s="5">
        <f ca="1">'[1]DESV. VTS BY SKU'!G27</f>
        <v>-0.1267664872139973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567.16666666666663</v>
      </c>
      <c r="F26" s="6">
        <f ca="1">'[1]DESV. VTS BY SKU'!G28</f>
        <v>7.1762800323944997E-2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434.91666666666669</v>
      </c>
      <c r="F27" s="5">
        <f ca="1">'[1]DESV. VTS BY SKU'!G29</f>
        <v>8.226685626259056E-2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223.83333333333334</v>
      </c>
      <c r="F28" s="5">
        <f ca="1">'[1]DESV. VTS BY SKU'!G30</f>
        <v>1.9414893617021276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267.75</v>
      </c>
      <c r="F29" s="5">
        <f ca="1">'[1]DESV. VTS BY SKU'!G31</f>
        <v>2.713837516512549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134.75</v>
      </c>
      <c r="F30" s="6">
        <f ca="1">'[1]DESV. VTS BY SKU'!G32</f>
        <v>5.3910614525139566E-2</v>
      </c>
      <c r="G30" s="7" t="str">
        <f ca="1">'[1]DESV. VTS BY SKU'!H32</f>
        <v>SUBIÓ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136.5</v>
      </c>
      <c r="F31" s="5">
        <f ca="1">'[1]DESV. VTS BY SKU'!G33</f>
        <v>-4.767441860465127E-2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757.91666666666663</v>
      </c>
      <c r="F32" s="6">
        <f ca="1">'[1]DESV. VTS BY SKU'!G34</f>
        <v>0.162109375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591.41666666666663</v>
      </c>
      <c r="F33" s="5">
        <f ca="1">'[1]DESV. VTS BY SKU'!G35</f>
        <v>-5.9822104466313419E-2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794.66666666666663</v>
      </c>
      <c r="F34" s="6">
        <f ca="1">'[1]DESV. VTS BY SKU'!G36</f>
        <v>-6.7501117568171676E-2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517.41666666666663</v>
      </c>
      <c r="F35" s="5">
        <f ca="1">'[1]DESV. VTS BY SKU'!G37</f>
        <v>-0.10636154289004041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4.25</v>
      </c>
      <c r="F36" s="6">
        <f ca="1">'[1]DESV. VTS BY SKU'!G38</f>
        <v>0.71634615384615374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0.58333333333333337</v>
      </c>
      <c r="F37" s="5">
        <f ca="1">'[1]DESV. VTS BY SKU'!G39</f>
        <v>0.36111111111111138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146.41666666666666</v>
      </c>
      <c r="F38" s="6">
        <f ca="1">'[1]DESV. VTS BY SKU'!G40</f>
        <v>6.7621527777777635E-2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542.91666666666663</v>
      </c>
      <c r="F39" s="5">
        <f ca="1">'[1]DESV. VTS BY SKU'!G41</f>
        <v>-2.0763548913510399E-2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420.25</v>
      </c>
      <c r="F40" s="6">
        <f ca="1">'[1]DESV. VTS BY SKU'!G42</f>
        <v>2.1643062029401223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199.41666666666666</v>
      </c>
      <c r="F41" s="5">
        <f ca="1">'[1]DESV. VTS BY SKU'!G43</f>
        <v>-0.32662003537546236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474.41666666666669</v>
      </c>
      <c r="F42" s="6">
        <f ca="1">'[1]DESV. VTS BY SKU'!G44</f>
        <v>-0.10269746915248124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295.58333333333331</v>
      </c>
      <c r="F43" s="5">
        <f ca="1">'[1]DESV. VTS BY SKU'!G45</f>
        <v>-3.2686613682406107E-2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229.5</v>
      </c>
      <c r="F44" s="6">
        <f ca="1">'[1]DESV. VTS BY SKU'!G46</f>
        <v>-0.2083607095926413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36.833333333333336</v>
      </c>
      <c r="F45" s="5">
        <f ca="1">'[1]DESV. VTS BY SKU'!G47</f>
        <v>-0.36179867986798675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110.58333333333333</v>
      </c>
      <c r="F46" s="6">
        <f ca="1">'[1]DESV. VTS BY SKU'!G48</f>
        <v>5.6048203728967794E-2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45.75</v>
      </c>
      <c r="F47" s="5">
        <f ca="1">'[1]DESV. VTS BY SKU'!G49</f>
        <v>-7.2635135135135198E-2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60.5</v>
      </c>
      <c r="F48" s="6">
        <f ca="1">'[1]DESV. VTS BY SKU'!G50</f>
        <v>9.3373493975903665E-2</v>
      </c>
      <c r="G48" s="7" t="str">
        <f ca="1">'[1]DESV. VTS BY SKU'!H50</f>
        <v>SUBIÓ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2026-09-17T12:30:36Z</dcterms:modified>
</cp:coreProperties>
</file>