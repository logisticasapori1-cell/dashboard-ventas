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08DAE008-4E32-4A59-B05D-1343527EBC8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0" i="1"/>
  <c r="E29" i="1"/>
  <c r="E14" i="1"/>
  <c r="E13" i="1"/>
  <c r="E12" i="1"/>
  <c r="E11" i="1"/>
  <c r="E10" i="1"/>
  <c r="E9" i="1"/>
  <c r="E8" i="1"/>
  <c r="E7" i="1"/>
  <c r="E32" i="1"/>
  <c r="E5" i="1"/>
  <c r="E4" i="1"/>
  <c r="E44" i="1"/>
  <c r="E35" i="1"/>
  <c r="E3" i="1"/>
  <c r="E43" i="1"/>
  <c r="E45" i="1"/>
  <c r="E31" i="1"/>
  <c r="E34" i="1"/>
  <c r="E33" i="1"/>
  <c r="E36" i="1"/>
  <c r="E38" i="1"/>
  <c r="E37" i="1"/>
  <c r="E40" i="1"/>
  <c r="E39" i="1"/>
  <c r="E28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6" i="1"/>
  <c r="F2" i="1" l="1"/>
  <c r="F30" i="1"/>
  <c r="F29" i="1"/>
  <c r="F14" i="1"/>
  <c r="F13" i="1"/>
  <c r="F12" i="1"/>
  <c r="F11" i="1"/>
  <c r="F10" i="1"/>
  <c r="F9" i="1"/>
  <c r="F8" i="1"/>
  <c r="F7" i="1"/>
  <c r="F32" i="1"/>
  <c r="F5" i="1"/>
  <c r="F4" i="1"/>
  <c r="F44" i="1"/>
  <c r="F35" i="1"/>
  <c r="F3" i="1"/>
  <c r="F43" i="1"/>
  <c r="F45" i="1"/>
  <c r="F31" i="1"/>
  <c r="F34" i="1"/>
  <c r="F33" i="1"/>
  <c r="F36" i="1"/>
  <c r="F38" i="1"/>
  <c r="F37" i="1"/>
  <c r="F40" i="1"/>
  <c r="F39" i="1"/>
  <c r="F28" i="1"/>
  <c r="F42" i="1"/>
  <c r="F41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2" i="1" l="1"/>
  <c r="G30" i="1"/>
  <c r="G29" i="1"/>
  <c r="G14" i="1"/>
  <c r="G13" i="1"/>
  <c r="G12" i="1"/>
  <c r="G11" i="1"/>
  <c r="G10" i="1"/>
  <c r="G9" i="1"/>
  <c r="G8" i="1"/>
  <c r="G7" i="1"/>
  <c r="G32" i="1"/>
  <c r="G5" i="1"/>
  <c r="G4" i="1"/>
  <c r="G44" i="1"/>
  <c r="G35" i="1"/>
  <c r="G3" i="1"/>
  <c r="G43" i="1"/>
  <c r="G45" i="1"/>
  <c r="G31" i="1"/>
  <c r="G34" i="1"/>
  <c r="G33" i="1"/>
  <c r="G36" i="1"/>
  <c r="G38" i="1"/>
  <c r="G37" i="1"/>
  <c r="G40" i="1"/>
  <c r="G39" i="1"/>
  <c r="G28" i="1"/>
  <c r="G42" i="1"/>
  <c r="G41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<sst xmlns="http://schemas.openxmlformats.org/spreadsheetml/2006/main" count="102" uniqueCount="62">
  <si>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</si>
  <si>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</si>
  <si>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</si>
  <si>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</si>
  <si>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</si>
  <si>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</si>
  <si>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</si>
  <si>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</si>
  <si>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</si>
  <si>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</si>
  <si>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</si>
  <si>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</si>
  <si>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</si>
  <si>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</si>
  <si>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</si>
  <si>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</si>
  <si>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</si>
  <si>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</si>
  <si>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</si>
  <si>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</si>
  <si>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</si>
  <si>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</si>
  <si>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</si>
  <si>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</si>
  <si>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</si>
  <si>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</si>
  <si>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</si>
  <si>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</si>
  <si>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</si>
  <si>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</si>
  <si>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</si>
  <si>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</si>
  <si>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</si>
  <si>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</si>
  <si>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</si>
  <si>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</si>
  <si>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</si>
  <si>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</si>
  <si>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</si>
  <si>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</si>
  <si>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</si>
  <si>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</si>
  <si>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</si>
  <si>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</si>
  <si>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</si>
  <si>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</si>
  <si>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</si>
  <si>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</si>
  <si>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</si>
  <si>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</si>
  <si>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</si>
  <si>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</si>
  <si>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</si>
  <si>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</si>
  <si>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</si>
  <si>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</si>
  <si>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</si>
  <si>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</si>
  <si>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</si>
  <si>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</si>
  <si>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</si>
  <si>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PROMD VTA DIA 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</si>
</sst>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INVENTARIO NACIONAL 20-08-26-2"/>
      <sheetName val="INVENTARIO NACIONAL 21-08-26"/>
      <sheetName val="INVENTARIO NACIONAL 24-08-26"/>
      <sheetName val="INVENTARIO NACIONAL 25-08-26"/>
      <sheetName val="INVENTARIO NACIONAL 25-08-26-2"/>
      <sheetName val="INVENTARIO NACIONAL 27-08-26"/>
      <sheetName val="Hoja1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4">
          <cell r="F4">
            <v>1185.0555555555557</v>
          </cell>
          <cell r="G4">
            <v>5.9461241150122968E-2</v>
          </cell>
          <cell r="H4" t="str">
            <v>SUBIÓ</v>
          </cell>
        </row>
        <row r="5">
          <cell r="F5">
            <v>71.944444444444443</v>
          </cell>
          <cell r="G5">
            <v>-7.7097505668934252E-2</v>
          </cell>
          <cell r="H5" t="str">
            <v>BAJO</v>
          </cell>
        </row>
        <row r="6">
          <cell r="F6">
            <v>492</v>
          </cell>
          <cell r="G6">
            <v>-0.10136986301369866</v>
          </cell>
          <cell r="H6" t="str">
            <v>BAJO</v>
          </cell>
        </row>
        <row r="7">
          <cell r="F7">
            <v>85.722222222222229</v>
          </cell>
          <cell r="G7">
            <v>-0.12325016788057219</v>
          </cell>
          <cell r="H7" t="str">
            <v>BAJO</v>
          </cell>
        </row>
        <row r="8">
          <cell r="F8">
            <v>11</v>
          </cell>
          <cell r="G8">
            <v>-0.34059945504087197</v>
          </cell>
          <cell r="H8" t="str">
            <v>BAJO</v>
          </cell>
        </row>
        <row r="9">
          <cell r="F9">
            <v>1434.8333333333333</v>
          </cell>
          <cell r="G9">
            <v>0.10805719367218924</v>
          </cell>
          <cell r="H9" t="str">
            <v>SUBIÓ</v>
          </cell>
        </row>
        <row r="10">
          <cell r="F10">
            <v>143.94444444444446</v>
          </cell>
          <cell r="G10">
            <v>0.17811673280423279</v>
          </cell>
          <cell r="H10" t="str">
            <v>SUBIÓ</v>
          </cell>
        </row>
        <row r="11">
          <cell r="F11">
            <v>321.77777777777777</v>
          </cell>
          <cell r="G11">
            <v>5.9429977717915472E-2</v>
          </cell>
          <cell r="H11" t="str">
            <v>SUBIÓ</v>
          </cell>
        </row>
        <row r="12">
          <cell r="F12">
            <v>748</v>
          </cell>
          <cell r="G12">
            <v>0.1299093655589123</v>
          </cell>
          <cell r="H12" t="str">
            <v>SUBIÓ</v>
          </cell>
        </row>
        <row r="13">
          <cell r="F13">
            <v>353</v>
          </cell>
          <cell r="G13">
            <v>-0.12888390353337076</v>
          </cell>
          <cell r="H13" t="str">
            <v>BAJO</v>
          </cell>
        </row>
        <row r="14">
          <cell r="F14">
            <v>3477.7777777777778</v>
          </cell>
          <cell r="G14">
            <v>7.0070504064434269E-2</v>
          </cell>
          <cell r="H14" t="str">
            <v>SUBIÓ</v>
          </cell>
        </row>
        <row r="15">
          <cell r="F15">
            <v>2268.0555555555557</v>
          </cell>
          <cell r="G15">
            <v>4.1087093603368041E-2</v>
          </cell>
          <cell r="H15" t="str">
            <v>SUBIÓ</v>
          </cell>
        </row>
        <row r="16">
          <cell r="F16">
            <v>2204.9444444444443</v>
          </cell>
          <cell r="G16">
            <v>1.9606057209050398E-2</v>
          </cell>
          <cell r="H16" t="str">
            <v>SUBIÓ</v>
          </cell>
        </row>
        <row r="17">
          <cell r="F17">
            <v>2637</v>
          </cell>
          <cell r="G17">
            <v>9.661077821673647E-2</v>
          </cell>
          <cell r="H17" t="str">
            <v>SUBIÓ</v>
          </cell>
        </row>
        <row r="18">
          <cell r="F18">
            <v>17.833333333333332</v>
          </cell>
          <cell r="G18">
            <v>-0.86605212245362462</v>
          </cell>
          <cell r="H18" t="str">
            <v>BAJO</v>
          </cell>
        </row>
        <row r="19">
          <cell r="F19">
            <v>228.88888888888889</v>
          </cell>
          <cell r="G19">
            <v>1.3394154871313235E-2</v>
          </cell>
          <cell r="H19" t="str">
            <v>SUBIÓ</v>
          </cell>
        </row>
        <row r="20">
          <cell r="F20">
            <v>135.33333333333334</v>
          </cell>
          <cell r="G20">
            <v>-8.5023560745748794E-2</v>
          </cell>
          <cell r="H20" t="str">
            <v>BAJO</v>
          </cell>
        </row>
        <row r="21">
          <cell r="F21">
            <v>510.66666666666669</v>
          </cell>
          <cell r="G21">
            <v>4.9478436867507414E-2</v>
          </cell>
          <cell r="H21" t="str">
            <v>SUBIÓ</v>
          </cell>
        </row>
        <row r="22">
          <cell r="F22">
            <v>811.55555555555554</v>
          </cell>
          <cell r="G22">
            <v>1.9018447704024943E-2</v>
          </cell>
          <cell r="H22" t="str">
            <v>SUBIÓ</v>
          </cell>
        </row>
        <row r="23">
          <cell r="F23">
            <v>0</v>
          </cell>
          <cell r="G23">
            <v>-1</v>
          </cell>
          <cell r="H23" t="str">
            <v>BAJO</v>
          </cell>
        </row>
        <row r="24">
          <cell r="F24">
            <v>69.666666666666671</v>
          </cell>
          <cell r="G24">
            <v>0.41651263093037594</v>
          </cell>
          <cell r="H24" t="str">
            <v>SUBIÓ</v>
          </cell>
        </row>
        <row r="25">
          <cell r="F25">
            <v>709.16666666666663</v>
          </cell>
          <cell r="G25">
            <v>3.5692157904053667E-2</v>
          </cell>
          <cell r="H25" t="str">
            <v>SUBIÓ</v>
          </cell>
        </row>
        <row r="26">
          <cell r="F26">
            <v>1162.1666666666667</v>
          </cell>
          <cell r="G26">
            <v>4.7383010391490288E-2</v>
          </cell>
          <cell r="H26" t="str">
            <v>SUBIÓ</v>
          </cell>
        </row>
        <row r="27">
          <cell r="F27">
            <v>516.11111111111109</v>
          </cell>
          <cell r="G27">
            <v>6.8754183400267621E-2</v>
          </cell>
          <cell r="H27" t="str">
            <v>SUBIÓ</v>
          </cell>
        </row>
        <row r="28">
          <cell r="F28">
            <v>395.72222222222223</v>
          </cell>
          <cell r="G28">
            <v>8.0001102703000759E-2</v>
          </cell>
          <cell r="H28" t="str">
            <v>SUBIÓ</v>
          </cell>
        </row>
        <row r="29">
          <cell r="F29">
            <v>114.77777777777777</v>
          </cell>
          <cell r="G29">
            <v>7.2234017456947353E-2</v>
          </cell>
          <cell r="H29" t="str">
            <v>SUBIÓ</v>
          </cell>
        </row>
        <row r="30">
          <cell r="F30">
            <v>134.38888888888889</v>
          </cell>
          <cell r="G30">
            <v>9.6645235740191238E-2</v>
          </cell>
          <cell r="H30" t="str">
            <v>SUBIÓ</v>
          </cell>
        </row>
        <row r="31">
          <cell r="F31">
            <v>637.22222222222217</v>
          </cell>
          <cell r="G31">
            <v>-0.19413147339107339</v>
          </cell>
          <cell r="H31" t="str">
            <v>BAJO</v>
          </cell>
        </row>
        <row r="32">
          <cell r="F32">
            <v>631.38888888888891</v>
          </cell>
          <cell r="G32">
            <v>-3.0936545587026854E-2</v>
          </cell>
          <cell r="H32" t="str">
            <v>BAJO</v>
          </cell>
        </row>
        <row r="33">
          <cell r="F33">
            <v>841.33333333333337</v>
          </cell>
          <cell r="G33">
            <v>-1.5463732153773169E-3</v>
          </cell>
          <cell r="H33" t="str">
            <v>BAJO</v>
          </cell>
        </row>
        <row r="34">
          <cell r="F34">
            <v>570.16666666666663</v>
          </cell>
          <cell r="G34">
            <v>-3.8384159254554184E-3</v>
          </cell>
          <cell r="H34" t="str">
            <v>BAJO</v>
          </cell>
        </row>
        <row r="35">
          <cell r="F35">
            <v>134.55555555555554</v>
          </cell>
          <cell r="G35">
            <v>-0.36693280106453763</v>
          </cell>
          <cell r="H35" t="str">
            <v>BAJO</v>
          </cell>
        </row>
        <row r="36">
          <cell r="F36">
            <v>525.55555555555554</v>
          </cell>
          <cell r="G36">
            <v>0.80321619186248006</v>
          </cell>
          <cell r="H36" t="str">
            <v>SUBIÓ</v>
          </cell>
        </row>
        <row r="37">
          <cell r="F37">
            <v>38.055555555555557</v>
          </cell>
          <cell r="G37">
            <v>-0.89830897337274118</v>
          </cell>
          <cell r="H37" t="str">
            <v>BAJO</v>
          </cell>
        </row>
        <row r="38">
          <cell r="F38">
            <v>302.55555555555554</v>
          </cell>
          <cell r="G38">
            <v>0.10844666481635667</v>
          </cell>
          <cell r="H38" t="str">
            <v>SUBIÓ</v>
          </cell>
        </row>
        <row r="39">
          <cell r="F39">
            <v>539.55555555555554</v>
          </cell>
          <cell r="G39">
            <v>0.28340601386336051</v>
          </cell>
          <cell r="H39" t="str">
            <v>SUBIÓ</v>
          </cell>
        </row>
        <row r="40">
          <cell r="F40">
            <v>316.16666666666669</v>
          </cell>
          <cell r="G40">
            <v>0.28285995327677371</v>
          </cell>
          <cell r="H40" t="str">
            <v>SUBIÓ</v>
          </cell>
        </row>
        <row r="41">
          <cell r="F41">
            <v>293.38888888888891</v>
          </cell>
          <cell r="G41">
            <v>0.11381459112261516</v>
          </cell>
          <cell r="H41" t="str">
            <v>SUBIÓ</v>
          </cell>
        </row>
        <row r="42">
          <cell r="F42">
            <v>60.833333333333336</v>
          </cell>
          <cell r="G42">
            <v>0.21888281724347314</v>
          </cell>
          <cell r="H42" t="str">
            <v>SUBIÓ</v>
          </cell>
        </row>
        <row r="43">
          <cell r="F43">
            <v>109.16666666666667</v>
          </cell>
          <cell r="G43">
            <v>0.37473764548750244</v>
          </cell>
          <cell r="H43" t="str">
            <v>SUBIÓ</v>
          </cell>
        </row>
        <row r="44">
          <cell r="F44">
            <v>51.777777777777779</v>
          </cell>
          <cell r="G44">
            <v>0.5107574417919245</v>
          </cell>
          <cell r="H44" t="str">
            <v>SUBIÓ</v>
          </cell>
        </row>
        <row r="45">
          <cell r="F45">
            <v>57.5</v>
          </cell>
          <cell r="G45">
            <v>0.53333333333333344</v>
          </cell>
          <cell r="H45" t="str">
            <v>SUBIÓ</v>
          </cell>
        </row>
        <row r="46">
          <cell r="F46">
            <v>0.5</v>
          </cell>
          <cell r="G46">
            <v>-0.38888888888888895</v>
          </cell>
          <cell r="H46" t="str">
            <v>BAJO</v>
          </cell>
        </row>
        <row r="47">
          <cell r="F47">
            <v>2.4444444444444446</v>
          </cell>
          <cell r="G47">
            <v>-0.25308641975308643</v>
          </cell>
          <cell r="H47" t="str">
            <v>BAJO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G28" sqref="G28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59</v>
      </c>
      <c r="D1" s="4" t="s">
        <v>61</v>
      </c>
      <c r="E1" s="4" t="s">
        <v>60</v>
      </c>
      <c r="F1" s="4" t="s">
        <v>2</v>
      </c>
      <c r="G1" t="s">
        <v>3</v>
      </c>
      <c r="H1" s="4" t="s">
        <v>53</v>
      </c>
    </row>
    <row r="2" spans="1:8" x14ac:dyDescent="0.2">
      <c r="A2">
        <v>110150</v>
      </c>
      <c r="B2" t="s">
        <v>4</v>
      </c>
      <c r="C2" s="4" t="s">
        <v>54</v>
      </c>
      <c r="D2" s="5">
        <v>1118.5454545454545</v>
      </c>
      <c r="E2" s="5">
        <f ca="1">'[1]DESV. VTS BY SKU'!F4</f>
        <v>1185.0555555555557</v>
      </c>
      <c r="F2" s="6">
        <f ca="1">'[1]DESV. VTS BY SKU'!G4</f>
        <v>5.9461241150122968E-2</v>
      </c>
      <c r="G2" s="8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5</v>
      </c>
      <c r="C3" s="4" t="s">
        <v>54</v>
      </c>
      <c r="D3" s="5">
        <v>77.954545454545453</v>
      </c>
      <c r="E3" s="5">
        <f ca="1">'[1]DESV. VTS BY SKU'!F5</f>
        <v>71.944444444444443</v>
      </c>
      <c r="F3" s="7">
        <f ca="1">'[1]DESV. VTS BY SKU'!G5</f>
        <v>-7.7097505668934252E-2</v>
      </c>
      <c r="G3" s="8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6</v>
      </c>
      <c r="C4" s="4" t="s">
        <v>54</v>
      </c>
      <c r="D4" s="5">
        <v>547.5</v>
      </c>
      <c r="E4" s="5">
        <f ca="1">'[1]DESV. VTS BY SKU'!F6</f>
        <v>492</v>
      </c>
      <c r="F4" s="6">
        <f ca="1">'[1]DESV. VTS BY SKU'!G6</f>
        <v>-0.10136986301369866</v>
      </c>
      <c r="G4" s="8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4" t="s">
        <v>54</v>
      </c>
      <c r="D5" s="5">
        <v>97.772727272727266</v>
      </c>
      <c r="E5" s="5">
        <f ca="1">'[1]DESV. VTS BY SKU'!F7</f>
        <v>85.722222222222229</v>
      </c>
      <c r="F5" s="7">
        <f ca="1">'[1]DESV. VTS BY SKU'!G7</f>
        <v>-0.12325016788057219</v>
      </c>
      <c r="G5" s="8" t="str">
        <f ca="1">'[1]DESV. VTS BY SKU'!H7</f>
        <v>BAJO</v>
      </c>
      <c r="H5">
        <v>3.61</v>
      </c>
    </row>
    <row r="6" spans="1:8" x14ac:dyDescent="0.2">
      <c r="A6">
        <v>111000</v>
      </c>
      <c r="B6" t="s">
        <v>8</v>
      </c>
      <c r="C6" s="4" t="s">
        <v>54</v>
      </c>
      <c r="D6" s="5">
        <v>16.681818181818183</v>
      </c>
      <c r="E6" s="5">
        <f ca="1">'[1]DESV. VTS BY SKU'!F8</f>
        <v>11</v>
      </c>
      <c r="F6" s="6">
        <f ca="1">'[1]DESV. VTS BY SKU'!G8</f>
        <v>-0.34059945504087197</v>
      </c>
      <c r="G6" s="8" t="str">
        <f ca="1">'[1]DESV. VTS BY SKU'!H8</f>
        <v>BAJO</v>
      </c>
      <c r="H6">
        <v>8.7799999999999994</v>
      </c>
    </row>
    <row r="7" spans="1:8" x14ac:dyDescent="0.2">
      <c r="A7">
        <v>120130</v>
      </c>
      <c r="B7" t="s">
        <v>9</v>
      </c>
      <c r="C7" s="4" t="s">
        <v>57</v>
      </c>
      <c r="D7" s="5">
        <v>1294.909090909091</v>
      </c>
      <c r="E7" s="5">
        <f ca="1">'[1]DESV. VTS BY SKU'!F9</f>
        <v>1434.8333333333333</v>
      </c>
      <c r="F7" s="7">
        <f ca="1">'[1]DESV. VTS BY SKU'!G9</f>
        <v>0.10805719367218924</v>
      </c>
      <c r="G7" s="8" t="str">
        <f ca="1">'[1]DESV. VTS BY SKU'!H9</f>
        <v>SUBIÓ</v>
      </c>
      <c r="H7">
        <v>0.63</v>
      </c>
    </row>
    <row r="8" spans="1:8" x14ac:dyDescent="0.2">
      <c r="A8">
        <v>120131</v>
      </c>
      <c r="B8" t="s">
        <v>10</v>
      </c>
      <c r="C8" s="4" t="s">
        <v>57</v>
      </c>
      <c r="D8" s="5">
        <v>122.18181818181819</v>
      </c>
      <c r="E8" s="5">
        <f ca="1">'[1]DESV. VTS BY SKU'!F10</f>
        <v>143.94444444444446</v>
      </c>
      <c r="F8" s="6">
        <f ca="1">'[1]DESV. VTS BY SKU'!G10</f>
        <v>0.17811673280423279</v>
      </c>
      <c r="G8" s="8" t="str">
        <f ca="1">'[1]DESV. VTS BY SKU'!H10</f>
        <v>SUBIÓ</v>
      </c>
      <c r="H8">
        <v>0.63</v>
      </c>
    </row>
    <row r="9" spans="1:8" x14ac:dyDescent="0.2">
      <c r="A9">
        <v>120132</v>
      </c>
      <c r="B9" t="s">
        <v>11</v>
      </c>
      <c r="C9" s="4" t="s">
        <v>57</v>
      </c>
      <c r="D9" s="5">
        <v>303.72727272727275</v>
      </c>
      <c r="E9" s="5">
        <f ca="1">'[1]DESV. VTS BY SKU'!F11</f>
        <v>321.77777777777777</v>
      </c>
      <c r="F9" s="7">
        <f ca="1">'[1]DESV. VTS BY SKU'!G11</f>
        <v>5.9429977717915472E-2</v>
      </c>
      <c r="G9" s="8" t="str">
        <f ca="1">'[1]DESV. VTS BY SKU'!H11</f>
        <v>SUBIÓ</v>
      </c>
      <c r="H9">
        <v>0.63</v>
      </c>
    </row>
    <row r="10" spans="1:8" x14ac:dyDescent="0.2">
      <c r="A10">
        <v>130150</v>
      </c>
      <c r="B10" t="s">
        <v>12</v>
      </c>
      <c r="C10" s="4" t="s">
        <v>55</v>
      </c>
      <c r="D10" s="5">
        <v>662</v>
      </c>
      <c r="E10" s="5">
        <f ca="1">'[1]DESV. VTS BY SKU'!F12</f>
        <v>748</v>
      </c>
      <c r="F10" s="6">
        <f ca="1">'[1]DESV. VTS BY SKU'!G12</f>
        <v>0.1299093655589123</v>
      </c>
      <c r="G10" s="8" t="str">
        <f ca="1">'[1]DESV. VTS BY SKU'!H12</f>
        <v>SUBIÓ</v>
      </c>
      <c r="H10">
        <v>1.0900000000000001</v>
      </c>
    </row>
    <row r="11" spans="1:8" x14ac:dyDescent="0.2">
      <c r="A11">
        <v>130151</v>
      </c>
      <c r="B11" t="s">
        <v>13</v>
      </c>
      <c r="C11" s="4" t="s">
        <v>55</v>
      </c>
      <c r="D11" s="5">
        <v>405.22727272727275</v>
      </c>
      <c r="E11" s="5">
        <f ca="1">'[1]DESV. VTS BY SKU'!F13</f>
        <v>353</v>
      </c>
      <c r="F11" s="7">
        <f ca="1">'[1]DESV. VTS BY SKU'!G13</f>
        <v>-0.12888390353337076</v>
      </c>
      <c r="G11" s="8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4" t="s">
        <v>55</v>
      </c>
      <c r="D12" s="5">
        <v>3250.0454545454545</v>
      </c>
      <c r="E12" s="5">
        <f ca="1">'[1]DESV. VTS BY SKU'!F14</f>
        <v>3477.7777777777778</v>
      </c>
      <c r="F12" s="6">
        <f ca="1">'[1]DESV. VTS BY SKU'!G14</f>
        <v>7.0070504064434269E-2</v>
      </c>
      <c r="G12" s="8" t="str">
        <f ca="1">'[1]DESV. VTS BY SKU'!H14</f>
        <v>SUBIÓ</v>
      </c>
      <c r="H12">
        <v>1.1599999999999999</v>
      </c>
    </row>
    <row r="13" spans="1:8" x14ac:dyDescent="0.2">
      <c r="A13">
        <v>130153</v>
      </c>
      <c r="B13" t="s">
        <v>15</v>
      </c>
      <c r="C13" s="4" t="s">
        <v>55</v>
      </c>
      <c r="D13" s="5">
        <v>2178.5454545454545</v>
      </c>
      <c r="E13" s="5">
        <f ca="1">'[1]DESV. VTS BY SKU'!F15</f>
        <v>2268.0555555555557</v>
      </c>
      <c r="F13" s="7">
        <f ca="1">'[1]DESV. VTS BY SKU'!G15</f>
        <v>4.1087093603368041E-2</v>
      </c>
      <c r="G13" s="8" t="str">
        <f ca="1">'[1]DESV. VTS BY SKU'!H15</f>
        <v>SUBIÓ</v>
      </c>
      <c r="H13">
        <v>1.1599999999999999</v>
      </c>
    </row>
    <row r="14" spans="1:8" x14ac:dyDescent="0.2">
      <c r="A14">
        <v>130154</v>
      </c>
      <c r="B14" t="s">
        <v>16</v>
      </c>
      <c r="C14" s="4" t="s">
        <v>55</v>
      </c>
      <c r="D14" s="5">
        <v>2162.5454545454545</v>
      </c>
      <c r="E14" s="5">
        <f ca="1">'[1]DESV. VTS BY SKU'!F16</f>
        <v>2204.9444444444443</v>
      </c>
      <c r="F14" s="6">
        <f ca="1">'[1]DESV. VTS BY SKU'!G16</f>
        <v>1.9606057209050398E-2</v>
      </c>
      <c r="G14" s="8" t="str">
        <f ca="1">'[1]DESV. VTS BY SKU'!H16</f>
        <v>SUBIÓ</v>
      </c>
      <c r="H14">
        <v>1.1599999999999999</v>
      </c>
    </row>
    <row r="15" spans="1:8" x14ac:dyDescent="0.2">
      <c r="A15">
        <v>130155</v>
      </c>
      <c r="B15" t="s">
        <v>17</v>
      </c>
      <c r="C15" s="4" t="s">
        <v>55</v>
      </c>
      <c r="D15" s="5">
        <v>2404.681818181818</v>
      </c>
      <c r="E15" s="5">
        <f ca="1">'[1]DESV. VTS BY SKU'!F17</f>
        <v>2637</v>
      </c>
      <c r="F15" s="7">
        <f ca="1">'[1]DESV. VTS BY SKU'!G17</f>
        <v>9.661077821673647E-2</v>
      </c>
      <c r="G15" s="8" t="str">
        <f ca="1">'[1]DESV. VTS BY SKU'!H17</f>
        <v>SUBIÓ</v>
      </c>
      <c r="H15">
        <v>1.1599999999999999</v>
      </c>
    </row>
    <row r="16" spans="1:8" x14ac:dyDescent="0.2">
      <c r="A16">
        <v>130156</v>
      </c>
      <c r="B16" t="s">
        <v>18</v>
      </c>
      <c r="C16" s="4" t="s">
        <v>55</v>
      </c>
      <c r="D16" s="5">
        <v>133.13636363636363</v>
      </c>
      <c r="E16" s="5">
        <f ca="1">'[1]DESV. VTS BY SKU'!F18</f>
        <v>17.833333333333332</v>
      </c>
      <c r="F16" s="6">
        <f ca="1">'[1]DESV. VTS BY SKU'!G18</f>
        <v>-0.86605212245362462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19</v>
      </c>
      <c r="C17" s="4" t="s">
        <v>55</v>
      </c>
      <c r="D17" s="5">
        <v>225.86363636363637</v>
      </c>
      <c r="E17" s="5">
        <f ca="1">'[1]DESV. VTS BY SKU'!F19</f>
        <v>228.88888888888889</v>
      </c>
      <c r="F17" s="7">
        <f ca="1">'[1]DESV. VTS BY SKU'!G19</f>
        <v>1.3394154871313235E-2</v>
      </c>
      <c r="G17" s="8" t="str">
        <f ca="1">'[1]DESV. VTS BY SKU'!H19</f>
        <v>SUBIÓ</v>
      </c>
      <c r="H17">
        <v>3.68</v>
      </c>
    </row>
    <row r="18" spans="1:8" x14ac:dyDescent="0.2">
      <c r="A18">
        <v>130701</v>
      </c>
      <c r="B18" t="s">
        <v>20</v>
      </c>
      <c r="C18" s="4" t="s">
        <v>55</v>
      </c>
      <c r="D18" s="5">
        <v>147.90909090909091</v>
      </c>
      <c r="E18" s="5">
        <f ca="1">'[1]DESV. VTS BY SKU'!F20</f>
        <v>135.33333333333334</v>
      </c>
      <c r="F18" s="6">
        <f ca="1">'[1]DESV. VTS BY SKU'!G20</f>
        <v>-8.5023560745748794E-2</v>
      </c>
      <c r="G18" s="8" t="str">
        <f ca="1">'[1]DESV. VTS BY SKU'!H20</f>
        <v>BAJO</v>
      </c>
      <c r="H18">
        <v>3.68</v>
      </c>
    </row>
    <row r="19" spans="1:8" x14ac:dyDescent="0.2">
      <c r="A19">
        <v>130702</v>
      </c>
      <c r="B19" t="s">
        <v>21</v>
      </c>
      <c r="C19" s="4" t="s">
        <v>55</v>
      </c>
      <c r="D19" s="5">
        <v>486.59090909090907</v>
      </c>
      <c r="E19" s="5">
        <f ca="1">'[1]DESV. VTS BY SKU'!F21</f>
        <v>510.66666666666669</v>
      </c>
      <c r="F19" s="7">
        <f ca="1">'[1]DESV. VTS BY SKU'!G21</f>
        <v>4.9478436867507414E-2</v>
      </c>
      <c r="G19" s="8" t="str">
        <f ca="1">'[1]DESV. VTS BY SKU'!H21</f>
        <v>SUBIÓ</v>
      </c>
      <c r="H19">
        <v>4.1500000000000004</v>
      </c>
    </row>
    <row r="20" spans="1:8" x14ac:dyDescent="0.2">
      <c r="A20">
        <v>130703</v>
      </c>
      <c r="B20" t="s">
        <v>22</v>
      </c>
      <c r="C20" s="4" t="s">
        <v>55</v>
      </c>
      <c r="D20" s="5">
        <v>796.40909090909088</v>
      </c>
      <c r="E20" s="5">
        <f ca="1">'[1]DESV. VTS BY SKU'!F22</f>
        <v>811.55555555555554</v>
      </c>
      <c r="F20" s="6">
        <f ca="1">'[1]DESV. VTS BY SKU'!G22</f>
        <v>1.9018447704024943E-2</v>
      </c>
      <c r="G20" s="8" t="str">
        <f ca="1">'[1]DESV. VTS BY SKU'!H22</f>
        <v>SUBIÓ</v>
      </c>
      <c r="H20">
        <v>4.1500000000000004</v>
      </c>
    </row>
    <row r="21" spans="1:8" x14ac:dyDescent="0.2">
      <c r="A21">
        <v>130704</v>
      </c>
      <c r="B21" t="s">
        <v>23</v>
      </c>
      <c r="C21" s="4" t="s">
        <v>55</v>
      </c>
      <c r="D21" s="5">
        <v>5</v>
      </c>
      <c r="E21" s="5">
        <f ca="1">'[1]DESV. VTS BY SKU'!F23</f>
        <v>0</v>
      </c>
      <c r="F21" s="7">
        <f ca="1">'[1]DESV. VTS BY SKU'!G23</f>
        <v>-1</v>
      </c>
      <c r="G21" s="8" t="str">
        <f ca="1">'[1]DESV. VTS BY SKU'!H23</f>
        <v>BAJO</v>
      </c>
      <c r="H21">
        <v>4.1500000000000004</v>
      </c>
    </row>
    <row r="22" spans="1:8" x14ac:dyDescent="0.2">
      <c r="A22">
        <v>130707</v>
      </c>
      <c r="B22" t="s">
        <v>24</v>
      </c>
      <c r="C22" s="4" t="s">
        <v>55</v>
      </c>
      <c r="D22" s="5">
        <v>49.18181818181818</v>
      </c>
      <c r="E22" s="5">
        <f ca="1">'[1]DESV. VTS BY SKU'!F24</f>
        <v>69.666666666666671</v>
      </c>
      <c r="F22" s="6">
        <f ca="1">'[1]DESV. VTS BY SKU'!G24</f>
        <v>0.41651263093037594</v>
      </c>
      <c r="G22" s="8" t="str">
        <f ca="1">'[1]DESV. VTS BY SKU'!H24</f>
        <v>SUBIÓ</v>
      </c>
      <c r="H22">
        <v>4.1500000000000004</v>
      </c>
    </row>
    <row r="23" spans="1:8" x14ac:dyDescent="0.2">
      <c r="A23">
        <v>131150</v>
      </c>
      <c r="B23" t="s">
        <v>25</v>
      </c>
      <c r="C23" s="4" t="s">
        <v>58</v>
      </c>
      <c r="D23" s="5">
        <v>684.72727272727275</v>
      </c>
      <c r="E23" s="5">
        <f ca="1">'[1]DESV. VTS BY SKU'!F25</f>
        <v>709.16666666666663</v>
      </c>
      <c r="F23" s="7">
        <f ca="1">'[1]DESV. VTS BY SKU'!G25</f>
        <v>3.5692157904053667E-2</v>
      </c>
      <c r="G23" s="8" t="str">
        <f ca="1">'[1]DESV. VTS BY SKU'!H25</f>
        <v>SUBIÓ</v>
      </c>
      <c r="H23">
        <v>1.63</v>
      </c>
    </row>
    <row r="24" spans="1:8" x14ac:dyDescent="0.2">
      <c r="A24">
        <v>131151</v>
      </c>
      <c r="B24" t="s">
        <v>26</v>
      </c>
      <c r="C24" s="4" t="s">
        <v>58</v>
      </c>
      <c r="D24" s="5">
        <v>1109.590909090909</v>
      </c>
      <c r="E24" s="5">
        <f ca="1">'[1]DESV. VTS BY SKU'!F26</f>
        <v>1162.1666666666667</v>
      </c>
      <c r="F24" s="6">
        <f ca="1">'[1]DESV. VTS BY SKU'!G26</f>
        <v>4.7383010391490288E-2</v>
      </c>
      <c r="G24" s="8" t="str">
        <f ca="1">'[1]DESV. VTS BY SKU'!H26</f>
        <v>SUBIÓ</v>
      </c>
      <c r="H24">
        <v>1.63</v>
      </c>
    </row>
    <row r="25" spans="1:8" x14ac:dyDescent="0.2">
      <c r="A25">
        <v>131152</v>
      </c>
      <c r="B25" t="s">
        <v>27</v>
      </c>
      <c r="C25" s="4" t="s">
        <v>58</v>
      </c>
      <c r="D25" s="5">
        <v>482.90909090909093</v>
      </c>
      <c r="E25" s="5">
        <f ca="1">'[1]DESV. VTS BY SKU'!F27</f>
        <v>516.11111111111109</v>
      </c>
      <c r="F25" s="7">
        <f ca="1">'[1]DESV. VTS BY SKU'!G27</f>
        <v>6.8754183400267621E-2</v>
      </c>
      <c r="G25" s="8" t="str">
        <f ca="1">'[1]DESV. VTS BY SKU'!H27</f>
        <v>SUBIÓ</v>
      </c>
      <c r="H25">
        <v>1.63</v>
      </c>
    </row>
    <row r="26" spans="1:8" x14ac:dyDescent="0.2">
      <c r="A26">
        <v>131153</v>
      </c>
      <c r="B26" t="s">
        <v>28</v>
      </c>
      <c r="C26" s="4" t="s">
        <v>58</v>
      </c>
      <c r="D26" s="5">
        <v>366.40909090909093</v>
      </c>
      <c r="E26" s="5">
        <f ca="1">'[1]DESV. VTS BY SKU'!F28</f>
        <v>395.72222222222223</v>
      </c>
      <c r="F26" s="6">
        <f ca="1">'[1]DESV. VTS BY SKU'!G28</f>
        <v>8.0001102703000759E-2</v>
      </c>
      <c r="G26" s="8" t="str">
        <f ca="1">'[1]DESV. VTS BY SKU'!H28</f>
        <v>SUBIÓ</v>
      </c>
      <c r="H26">
        <v>1.63</v>
      </c>
    </row>
    <row r="27" spans="1:8" x14ac:dyDescent="0.2">
      <c r="A27">
        <v>131700</v>
      </c>
      <c r="B27" t="s">
        <v>29</v>
      </c>
      <c r="C27" s="4" t="s">
        <v>58</v>
      </c>
      <c r="D27" s="5">
        <v>107.04545454545455</v>
      </c>
      <c r="E27" s="5">
        <f ca="1">'[1]DESV. VTS BY SKU'!F29</f>
        <v>114.77777777777777</v>
      </c>
      <c r="F27" s="7">
        <f ca="1">'[1]DESV. VTS BY SKU'!G29</f>
        <v>7.2234017456947353E-2</v>
      </c>
      <c r="G27" s="8" t="str">
        <f ca="1">'[1]DESV. VTS BY SKU'!H29</f>
        <v>SUBIÓ</v>
      </c>
      <c r="H27">
        <v>6.15</v>
      </c>
    </row>
    <row r="28" spans="1:8" x14ac:dyDescent="0.2">
      <c r="A28">
        <v>131701</v>
      </c>
      <c r="B28" t="s">
        <v>30</v>
      </c>
      <c r="C28" s="4" t="s">
        <v>58</v>
      </c>
      <c r="D28" s="5">
        <v>122.54545454545455</v>
      </c>
      <c r="E28" s="5">
        <f ca="1">'[1]DESV. VTS BY SKU'!F30</f>
        <v>134.38888888888889</v>
      </c>
      <c r="F28" s="6">
        <f ca="1">'[1]DESV. VTS BY SKU'!G30</f>
        <v>9.6645235740191238E-2</v>
      </c>
      <c r="G28" s="8" t="str">
        <f ca="1">'[1]DESV. VTS BY SKU'!H30</f>
        <v>SUBIÓ</v>
      </c>
      <c r="H28">
        <v>6.15</v>
      </c>
    </row>
    <row r="29" spans="1:8" x14ac:dyDescent="0.2">
      <c r="A29">
        <v>132150</v>
      </c>
      <c r="B29" t="s">
        <v>31</v>
      </c>
      <c r="C29" s="4" t="s">
        <v>55</v>
      </c>
      <c r="D29" s="5">
        <v>790.72727272727275</v>
      </c>
      <c r="E29" s="5">
        <f ca="1">'[1]DESV. VTS BY SKU'!F31</f>
        <v>637.22222222222217</v>
      </c>
      <c r="F29" s="7">
        <f ca="1">'[1]DESV. VTS BY SKU'!G31</f>
        <v>-0.19413147339107339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32</v>
      </c>
      <c r="C30" s="4" t="s">
        <v>55</v>
      </c>
      <c r="D30" s="5">
        <v>651.5454545454545</v>
      </c>
      <c r="E30" s="5">
        <f ca="1">'[1]DESV. VTS BY SKU'!F32</f>
        <v>631.38888888888891</v>
      </c>
      <c r="F30" s="6">
        <f ca="1">'[1]DESV. VTS BY SKU'!G32</f>
        <v>-3.0936545587026854E-2</v>
      </c>
      <c r="G30" s="8" t="str">
        <f ca="1">'[1]DESV. VTS BY SKU'!H32</f>
        <v>BAJO</v>
      </c>
      <c r="H30">
        <v>1.1599999999999999</v>
      </c>
    </row>
    <row r="31" spans="1:8" x14ac:dyDescent="0.2">
      <c r="A31">
        <v>132152</v>
      </c>
      <c r="B31" t="s">
        <v>33</v>
      </c>
      <c r="C31" s="4" t="s">
        <v>55</v>
      </c>
      <c r="D31" s="5">
        <v>842.63636363636363</v>
      </c>
      <c r="E31" s="5">
        <f ca="1">'[1]DESV. VTS BY SKU'!F33</f>
        <v>841.33333333333337</v>
      </c>
      <c r="F31" s="7">
        <f ca="1">'[1]DESV. VTS BY SKU'!G33</f>
        <v>-1.5463732153773169E-3</v>
      </c>
      <c r="G31" s="8" t="str">
        <f ca="1">'[1]DESV. VTS BY SKU'!H33</f>
        <v>BAJO</v>
      </c>
      <c r="H31">
        <v>1.1599999999999999</v>
      </c>
    </row>
    <row r="32" spans="1:8" x14ac:dyDescent="0.2">
      <c r="A32">
        <v>132153</v>
      </c>
      <c r="B32" t="s">
        <v>34</v>
      </c>
      <c r="C32" s="4" t="s">
        <v>55</v>
      </c>
      <c r="D32" s="5">
        <v>572.36363636363637</v>
      </c>
      <c r="E32" s="5">
        <f ca="1">'[1]DESV. VTS BY SKU'!F34</f>
        <v>570.16666666666663</v>
      </c>
      <c r="F32" s="6">
        <f ca="1">'[1]DESV. VTS BY SKU'!G34</f>
        <v>-3.8384159254554184E-3</v>
      </c>
      <c r="G32" s="8" t="str">
        <f ca="1">'[1]DESV. VTS BY SKU'!H34</f>
        <v>BAJO</v>
      </c>
      <c r="H32">
        <v>1.1599999999999999</v>
      </c>
    </row>
    <row r="33" spans="1:8" x14ac:dyDescent="0.2">
      <c r="A33">
        <v>140230</v>
      </c>
      <c r="B33" t="s">
        <v>35</v>
      </c>
      <c r="C33" s="4" t="s">
        <v>55</v>
      </c>
      <c r="D33" s="5">
        <v>212.54545454545453</v>
      </c>
      <c r="E33" s="5">
        <f ca="1">'[1]DESV. VTS BY SKU'!F35</f>
        <v>134.55555555555554</v>
      </c>
      <c r="F33" s="7">
        <f ca="1">'[1]DESV. VTS BY SKU'!G35</f>
        <v>-0.36693280106453763</v>
      </c>
      <c r="G33" s="8" t="str">
        <f ca="1">'[1]DESV. VTS BY SKU'!H35</f>
        <v>BAJO</v>
      </c>
      <c r="H33">
        <v>1.1599999999999999</v>
      </c>
    </row>
    <row r="34" spans="1:8" x14ac:dyDescent="0.2">
      <c r="A34">
        <v>140231</v>
      </c>
      <c r="B34" t="s">
        <v>36</v>
      </c>
      <c r="C34" s="4" t="s">
        <v>55</v>
      </c>
      <c r="D34" s="5">
        <v>291.45454545454544</v>
      </c>
      <c r="E34" s="5">
        <f ca="1">'[1]DESV. VTS BY SKU'!F36</f>
        <v>525.55555555555554</v>
      </c>
      <c r="F34" s="6">
        <f ca="1">'[1]DESV. VTS BY SKU'!G36</f>
        <v>0.80321619186248006</v>
      </c>
      <c r="G34" s="8" t="str">
        <f ca="1">'[1]DESV. VTS BY SKU'!H36</f>
        <v>SUBIÓ</v>
      </c>
      <c r="H34">
        <v>1.1599999999999999</v>
      </c>
    </row>
    <row r="35" spans="1:8" x14ac:dyDescent="0.2">
      <c r="A35">
        <v>140232</v>
      </c>
      <c r="B35" t="s">
        <v>37</v>
      </c>
      <c r="C35" s="4" t="s">
        <v>55</v>
      </c>
      <c r="D35" s="5">
        <v>374.22727272727275</v>
      </c>
      <c r="E35" s="5">
        <f ca="1">'[1]DESV. VTS BY SKU'!F37</f>
        <v>38.055555555555557</v>
      </c>
      <c r="F35" s="7">
        <f ca="1">'[1]DESV. VTS BY SKU'!G37</f>
        <v>-0.89830897337274118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47</v>
      </c>
      <c r="C36" s="4" t="s">
        <v>56</v>
      </c>
      <c r="D36" s="5">
        <v>272.95454545454544</v>
      </c>
      <c r="E36" s="5">
        <f ca="1">'[1]DESV. VTS BY SKU'!F38</f>
        <v>302.55555555555554</v>
      </c>
      <c r="F36" s="6">
        <f ca="1">'[1]DESV. VTS BY SKU'!G38</f>
        <v>0.10844666481635667</v>
      </c>
      <c r="G36" s="8" t="str">
        <f ca="1">'[1]DESV. VTS BY SKU'!H38</f>
        <v>SUBIÓ</v>
      </c>
      <c r="H36">
        <v>0.81</v>
      </c>
    </row>
    <row r="37" spans="1:8" x14ac:dyDescent="0.2">
      <c r="A37">
        <v>150361</v>
      </c>
      <c r="B37" t="s">
        <v>38</v>
      </c>
      <c r="C37" s="4" t="s">
        <v>56</v>
      </c>
      <c r="D37" s="5">
        <v>420.40909090909093</v>
      </c>
      <c r="E37" s="5">
        <f ca="1">'[1]DESV. VTS BY SKU'!F39</f>
        <v>539.55555555555554</v>
      </c>
      <c r="F37" s="7">
        <f ca="1">'[1]DESV. VTS BY SKU'!G39</f>
        <v>0.28340601386336051</v>
      </c>
      <c r="G37" s="8" t="str">
        <f ca="1">'[1]DESV. VTS BY SKU'!H39</f>
        <v>SUBIÓ</v>
      </c>
      <c r="H37">
        <v>0.81</v>
      </c>
    </row>
    <row r="38" spans="1:8" x14ac:dyDescent="0.2">
      <c r="A38">
        <v>150362</v>
      </c>
      <c r="B38" t="s">
        <v>39</v>
      </c>
      <c r="C38" s="4" t="s">
        <v>56</v>
      </c>
      <c r="D38" s="5">
        <v>246.45454545454547</v>
      </c>
      <c r="E38" s="5">
        <f ca="1">'[1]DESV. VTS BY SKU'!F40</f>
        <v>316.16666666666669</v>
      </c>
      <c r="F38" s="6">
        <f ca="1">'[1]DESV. VTS BY SKU'!G40</f>
        <v>0.28285995327677371</v>
      </c>
      <c r="G38" s="8" t="str">
        <f ca="1">'[1]DESV. VTS BY SKU'!H40</f>
        <v>SUBIÓ</v>
      </c>
      <c r="H38">
        <v>0.81</v>
      </c>
    </row>
    <row r="39" spans="1:8" x14ac:dyDescent="0.2">
      <c r="A39">
        <v>150363</v>
      </c>
      <c r="B39" t="s">
        <v>40</v>
      </c>
      <c r="C39" s="4" t="s">
        <v>56</v>
      </c>
      <c r="D39" s="5">
        <v>263.40909090909093</v>
      </c>
      <c r="E39" s="5">
        <f ca="1">'[1]DESV. VTS BY SKU'!F41</f>
        <v>293.38888888888891</v>
      </c>
      <c r="F39" s="7">
        <f ca="1">'[1]DESV. VTS BY SKU'!G41</f>
        <v>0.11381459112261516</v>
      </c>
      <c r="G39" s="8" t="str">
        <f ca="1">'[1]DESV. VTS BY SKU'!H41</f>
        <v>SUBIÓ</v>
      </c>
      <c r="H39">
        <v>0.81</v>
      </c>
    </row>
    <row r="40" spans="1:8" x14ac:dyDescent="0.2">
      <c r="A40">
        <v>151500</v>
      </c>
      <c r="B40" t="s">
        <v>48</v>
      </c>
      <c r="C40" s="4" t="s">
        <v>56</v>
      </c>
      <c r="D40" s="5">
        <v>49.909090909090907</v>
      </c>
      <c r="E40" s="5">
        <f ca="1">'[1]DESV. VTS BY SKU'!F42</f>
        <v>60.833333333333336</v>
      </c>
      <c r="F40" s="6">
        <f ca="1">'[1]DESV. VTS BY SKU'!G42</f>
        <v>0.21888281724347314</v>
      </c>
      <c r="G40" s="8" t="str">
        <f ca="1">'[1]DESV. VTS BY SKU'!H42</f>
        <v>SUBIÓ</v>
      </c>
      <c r="H40">
        <v>2.62</v>
      </c>
    </row>
    <row r="41" spans="1:8" x14ac:dyDescent="0.2">
      <c r="A41">
        <v>151501</v>
      </c>
      <c r="B41" t="s">
        <v>49</v>
      </c>
      <c r="C41" s="4" t="s">
        <v>56</v>
      </c>
      <c r="D41" s="5">
        <v>79.409090909090907</v>
      </c>
      <c r="E41" s="5">
        <f ca="1">'[1]DESV. VTS BY SKU'!F43</f>
        <v>109.16666666666667</v>
      </c>
      <c r="F41" s="7">
        <f ca="1">'[1]DESV. VTS BY SKU'!G43</f>
        <v>0.37473764548750244</v>
      </c>
      <c r="G41" s="8" t="str">
        <f ca="1">'[1]DESV. VTS BY SKU'!H43</f>
        <v>SUBIÓ</v>
      </c>
      <c r="H41">
        <v>2.62</v>
      </c>
    </row>
    <row r="42" spans="1:8" x14ac:dyDescent="0.2">
      <c r="A42">
        <v>151502</v>
      </c>
      <c r="B42" t="s">
        <v>50</v>
      </c>
      <c r="C42" s="4" t="s">
        <v>56</v>
      </c>
      <c r="D42" s="5">
        <v>34.272727272727273</v>
      </c>
      <c r="E42" s="5">
        <f ca="1">'[1]DESV. VTS BY SKU'!F44</f>
        <v>51.777777777777779</v>
      </c>
      <c r="F42" s="6">
        <f ca="1">'[1]DESV. VTS BY SKU'!G44</f>
        <v>0.5107574417919245</v>
      </c>
      <c r="G42" s="8" t="str">
        <f ca="1">'[1]DESV. VTS BY SKU'!H44</f>
        <v>SUBIÓ</v>
      </c>
      <c r="H42">
        <v>2.62</v>
      </c>
    </row>
    <row r="43" spans="1:8" x14ac:dyDescent="0.2">
      <c r="A43">
        <v>151503</v>
      </c>
      <c r="B43" t="s">
        <v>51</v>
      </c>
      <c r="C43" s="4" t="s">
        <v>56</v>
      </c>
      <c r="D43" s="5">
        <v>37.5</v>
      </c>
      <c r="E43" s="5">
        <f ca="1">'[1]DESV. VTS BY SKU'!F45</f>
        <v>57.5</v>
      </c>
      <c r="F43" s="7">
        <f ca="1">'[1]DESV. VTS BY SKU'!G45</f>
        <v>0.53333333333333344</v>
      </c>
      <c r="G43" s="8" t="str">
        <f ca="1">'[1]DESV. VTS BY SKU'!H45</f>
        <v>SUBIÓ</v>
      </c>
      <c r="H43">
        <v>2.62</v>
      </c>
    </row>
    <row r="44" spans="1:8" x14ac:dyDescent="0.2">
      <c r="A44" s="3" t="s">
        <v>52</v>
      </c>
      <c r="B44" t="s">
        <v>41</v>
      </c>
      <c r="C44" s="4" t="s">
        <v>55</v>
      </c>
      <c r="D44" s="5">
        <v>0.81818181818181823</v>
      </c>
      <c r="E44" s="5">
        <f ca="1">'[1]DESV. VTS BY SKU'!F46</f>
        <v>0.5</v>
      </c>
      <c r="F44" s="6">
        <f ca="1">'[1]DESV. VTS BY SKU'!G46</f>
        <v>-0.38888888888888895</v>
      </c>
      <c r="G44" s="8" t="str">
        <f ca="1">'[1]DESV. VTS BY SKU'!H46</f>
        <v>BAJO</v>
      </c>
      <c r="H44">
        <v>18</v>
      </c>
    </row>
    <row r="45" spans="1:8" x14ac:dyDescent="0.2">
      <c r="A45" s="3" t="s">
        <v>52</v>
      </c>
      <c r="B45" t="s">
        <v>42</v>
      </c>
      <c r="C45" s="4" t="s">
        <v>55</v>
      </c>
      <c r="D45" s="5">
        <v>3.2727272727272729</v>
      </c>
      <c r="E45" s="5">
        <f ca="1">'[1]DESV. VTS BY SKU'!F47</f>
        <v>2.4444444444444446</v>
      </c>
      <c r="F45" s="7">
        <f ca="1">'[1]DESV. VTS BY SKU'!G47</f>
        <v>-0.25308641975308643</v>
      </c>
      <c r="G45" s="8" t="str">
        <f ca="1">'[1]DESV. VTS BY SKU'!H47</f>
        <v>BAJO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43</v>
      </c>
      <c r="B1" s="1" t="s">
        <v>44</v>
      </c>
    </row>
    <row r="2" spans="1:2" x14ac:dyDescent="0.2">
      <c r="A2" s="2" t="s">
        <v>45</v>
      </c>
      <c r="B2" s="1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2026-08-27T12:48:56Z</dcterms:modified>
</cp:coreProperties>
</file>