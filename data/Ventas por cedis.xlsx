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8504A562-3978-466D-99B2-252D05E72FD3}" xr6:coauthVersionLast="47" xr6:coauthVersionMax="47" xr10:uidLastSave="{00000000-0000-0000-0000-000000000000}"/>
  <bookViews>
    <workbookView xWindow="-120" yWindow="-120" windowWidth="29040" windowHeight="15720" tabRatio="679" firstSheet="4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  <externalReference r:id="rId9"/>
  </externalReferences>
  <calcPr calcId="191029"/>
  <pivotCaches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55" l="1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D1" i="50"/>
  <c r="D1" i="52" s="1"/>
  <c r="D3" i="50"/>
  <c r="D3" i="55" s="1"/>
  <c r="C1" i="55"/>
  <c r="C2" i="55"/>
  <c r="C3" i="55"/>
  <c r="C1" i="54"/>
  <c r="C2" i="54"/>
  <c r="C3" i="54"/>
  <c r="C1" i="53"/>
  <c r="C2" i="53"/>
  <c r="C3" i="53"/>
  <c r="C1" i="52"/>
  <c r="C2" i="52"/>
  <c r="C3" i="52"/>
  <c r="C1" i="51"/>
  <c r="C2" i="51"/>
  <c r="C3" i="51"/>
  <c r="C1" i="50"/>
  <c r="C2" i="50"/>
  <c r="C3" i="50"/>
  <c r="D3" i="53" l="1"/>
  <c r="D1" i="53"/>
  <c r="D1" i="54"/>
  <c r="D3" i="54"/>
  <c r="D3" i="51"/>
  <c r="D1" i="51"/>
  <c r="D1" i="55"/>
  <c r="D3" i="52"/>
  <c r="C55" i="55"/>
  <c r="D2" i="50" l="1"/>
  <c r="D2" i="55" l="1"/>
  <c r="D2" i="53"/>
  <c r="D2" i="54"/>
  <c r="D2" i="51"/>
  <c r="D2" i="52"/>
  <c r="E3" i="50"/>
  <c r="E2" i="50"/>
  <c r="E2" i="55" l="1"/>
  <c r="E2" i="52"/>
  <c r="E2" i="51"/>
  <c r="E2" i="53"/>
  <c r="E2" i="54"/>
  <c r="E3" i="55"/>
  <c r="E3" i="53"/>
  <c r="E3" i="54"/>
  <c r="E3" i="52"/>
  <c r="E3" i="51"/>
  <c r="D8" i="55"/>
  <c r="D21" i="50"/>
  <c r="D18" i="50"/>
  <c r="D42" i="50"/>
  <c r="D45" i="51"/>
  <c r="D47" i="51"/>
  <c r="D41" i="51"/>
  <c r="D44" i="51"/>
  <c r="D23" i="51"/>
  <c r="D20" i="51"/>
  <c r="D42" i="51"/>
  <c r="D32" i="51"/>
  <c r="D8" i="50"/>
  <c r="D9" i="50"/>
  <c r="D11" i="50"/>
  <c r="D12" i="50"/>
  <c r="D13" i="50"/>
  <c r="D14" i="50"/>
  <c r="D15" i="50"/>
  <c r="D16" i="50"/>
  <c r="D17" i="50"/>
  <c r="D19" i="50"/>
  <c r="D20" i="50"/>
  <c r="D22" i="50"/>
  <c r="D23" i="50"/>
  <c r="D24" i="50"/>
  <c r="D25" i="50"/>
  <c r="D26" i="50"/>
  <c r="D27" i="50"/>
  <c r="D28" i="50"/>
  <c r="D29" i="50"/>
  <c r="D30" i="50"/>
  <c r="D31" i="50"/>
  <c r="D32" i="50"/>
  <c r="D33" i="50"/>
  <c r="D34" i="50"/>
  <c r="D35" i="50"/>
  <c r="D36" i="50"/>
  <c r="D37" i="50"/>
  <c r="D38" i="50"/>
  <c r="D39" i="50"/>
  <c r="D40" i="50"/>
  <c r="D41" i="50"/>
  <c r="D43" i="50"/>
  <c r="D44" i="50"/>
  <c r="D45" i="50"/>
  <c r="D46" i="50"/>
  <c r="D47" i="50"/>
  <c r="D48" i="50"/>
  <c r="D49" i="50"/>
  <c r="D50" i="50"/>
  <c r="D51" i="50"/>
  <c r="D52" i="50"/>
  <c r="D53" i="50"/>
  <c r="D54" i="50"/>
  <c r="D10" i="50"/>
  <c r="D8" i="51"/>
  <c r="D9" i="51"/>
  <c r="D10" i="51"/>
  <c r="D11" i="51"/>
  <c r="D12" i="51"/>
  <c r="D13" i="51"/>
  <c r="D14" i="51"/>
  <c r="D16" i="51"/>
  <c r="D17" i="51"/>
  <c r="D18" i="51"/>
  <c r="D19" i="51"/>
  <c r="D21" i="51"/>
  <c r="D22" i="51"/>
  <c r="D24" i="51"/>
  <c r="D25" i="51"/>
  <c r="D26" i="51"/>
  <c r="D27" i="51"/>
  <c r="D28" i="51"/>
  <c r="D29" i="51"/>
  <c r="D30" i="51"/>
  <c r="D31" i="51"/>
  <c r="D33" i="51"/>
  <c r="D34" i="51"/>
  <c r="D35" i="51"/>
  <c r="D36" i="51"/>
  <c r="D37" i="51"/>
  <c r="D38" i="51"/>
  <c r="D39" i="51"/>
  <c r="D40" i="51"/>
  <c r="D43" i="51"/>
  <c r="D46" i="51"/>
  <c r="D48" i="51"/>
  <c r="D49" i="51"/>
  <c r="D50" i="51"/>
  <c r="D51" i="51"/>
  <c r="D52" i="51"/>
  <c r="D53" i="51"/>
  <c r="D54" i="51"/>
  <c r="D15" i="51"/>
  <c r="D9" i="52"/>
  <c r="D17" i="52"/>
  <c r="D8" i="52"/>
  <c r="D19" i="52"/>
  <c r="D23" i="52"/>
  <c r="D15" i="52"/>
  <c r="D10" i="52"/>
  <c r="D20" i="52"/>
  <c r="D21" i="52"/>
  <c r="D22" i="52"/>
  <c r="D24" i="52"/>
  <c r="D26" i="52"/>
  <c r="D27" i="52"/>
  <c r="D28" i="52"/>
  <c r="D29" i="52"/>
  <c r="D30" i="52"/>
  <c r="D31" i="52"/>
  <c r="D33" i="52"/>
  <c r="D34" i="52"/>
  <c r="D36" i="52"/>
  <c r="D38" i="52"/>
  <c r="D39" i="52"/>
  <c r="D41" i="52"/>
  <c r="D42" i="52"/>
  <c r="D44" i="52"/>
  <c r="D46" i="52"/>
  <c r="D48" i="52"/>
  <c r="D50" i="52"/>
  <c r="D51" i="52"/>
  <c r="D52" i="52"/>
  <c r="D53" i="52"/>
  <c r="D54" i="52"/>
  <c r="D12" i="52"/>
  <c r="D49" i="52"/>
  <c r="D47" i="52"/>
  <c r="D45" i="52"/>
  <c r="D43" i="52"/>
  <c r="D40" i="52"/>
  <c r="D37" i="52"/>
  <c r="D35" i="52"/>
  <c r="D32" i="52"/>
  <c r="D25" i="52"/>
  <c r="D18" i="52"/>
  <c r="D16" i="52"/>
  <c r="D14" i="52"/>
  <c r="D13" i="52"/>
  <c r="D11" i="52"/>
  <c r="D13" i="53"/>
  <c r="D8" i="53"/>
  <c r="D9" i="53"/>
  <c r="D10" i="53"/>
  <c r="D11" i="53"/>
  <c r="D12" i="53"/>
  <c r="D14" i="53"/>
  <c r="D16" i="53"/>
  <c r="D17" i="53"/>
  <c r="D19" i="53"/>
  <c r="D20" i="53"/>
  <c r="D21" i="53"/>
  <c r="D22" i="53"/>
  <c r="D23" i="53"/>
  <c r="D24" i="53"/>
  <c r="D26" i="53"/>
  <c r="D27" i="53"/>
  <c r="D29" i="53"/>
  <c r="D30" i="53"/>
  <c r="D31" i="53"/>
  <c r="D32" i="53"/>
  <c r="D33" i="53"/>
  <c r="D34" i="53"/>
  <c r="D35" i="53"/>
  <c r="D36" i="53"/>
  <c r="D37" i="53"/>
  <c r="D38" i="53"/>
  <c r="D39" i="53"/>
  <c r="D40" i="53"/>
  <c r="D41" i="53"/>
  <c r="D43" i="53"/>
  <c r="D44" i="53"/>
  <c r="D45" i="53"/>
  <c r="D46" i="53"/>
  <c r="D47" i="53"/>
  <c r="D48" i="53"/>
  <c r="D49" i="53"/>
  <c r="D50" i="53"/>
  <c r="D51" i="53"/>
  <c r="D52" i="53"/>
  <c r="D53" i="53"/>
  <c r="D54" i="53"/>
  <c r="D42" i="53"/>
  <c r="D28" i="53"/>
  <c r="D25" i="53"/>
  <c r="D18" i="53"/>
  <c r="D15" i="53"/>
  <c r="D10" i="54"/>
  <c r="D8" i="54"/>
  <c r="D9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30" i="54"/>
  <c r="D31" i="54"/>
  <c r="D32" i="54"/>
  <c r="D33" i="54"/>
  <c r="D34" i="54"/>
  <c r="D35" i="54"/>
  <c r="D36" i="54"/>
  <c r="D37" i="54"/>
  <c r="D38" i="54"/>
  <c r="D39" i="54"/>
  <c r="D40" i="54"/>
  <c r="D41" i="54"/>
  <c r="D42" i="54"/>
  <c r="D43" i="54"/>
  <c r="D44" i="54"/>
  <c r="D45" i="54"/>
  <c r="D46" i="54"/>
  <c r="D47" i="54"/>
  <c r="D48" i="54"/>
  <c r="D49" i="54"/>
  <c r="D50" i="54"/>
  <c r="D51" i="54"/>
  <c r="D52" i="54"/>
  <c r="D53" i="54"/>
  <c r="D54" i="54"/>
  <c r="D29" i="54"/>
  <c r="D36" i="55" l="1"/>
  <c r="D9" i="55"/>
  <c r="D34" i="55"/>
  <c r="D22" i="55"/>
  <c r="D14" i="55"/>
  <c r="D50" i="55"/>
  <c r="D40" i="55"/>
  <c r="D15" i="55"/>
  <c r="D32" i="55"/>
  <c r="D21" i="55"/>
  <c r="D13" i="55"/>
  <c r="D49" i="55"/>
  <c r="D37" i="55"/>
  <c r="D20" i="55"/>
  <c r="D55" i="50"/>
  <c r="D54" i="55"/>
  <c r="D47" i="55"/>
  <c r="D55" i="53"/>
  <c r="D42" i="55"/>
  <c r="D12" i="55"/>
  <c r="D19" i="55"/>
  <c r="D18" i="55"/>
  <c r="D23" i="55"/>
  <c r="D29" i="55"/>
  <c r="D35" i="55"/>
  <c r="D55" i="52"/>
  <c r="D11" i="55"/>
  <c r="D10" i="55"/>
  <c r="D45" i="55"/>
  <c r="D55" i="51"/>
  <c r="D51" i="55"/>
  <c r="D28" i="55"/>
  <c r="D48" i="55"/>
  <c r="D27" i="55"/>
  <c r="D33" i="55"/>
  <c r="D55" i="54"/>
  <c r="D44" i="55"/>
  <c r="D26" i="55"/>
  <c r="D46" i="55"/>
  <c r="D31" i="55"/>
  <c r="D41" i="55"/>
  <c r="D25" i="55"/>
  <c r="D17" i="55"/>
  <c r="D53" i="55"/>
  <c r="D30" i="55"/>
  <c r="D38" i="55"/>
  <c r="D24" i="55"/>
  <c r="D16" i="55"/>
  <c r="D52" i="55"/>
  <c r="D43" i="55"/>
  <c r="D39" i="55"/>
  <c r="E8" i="55"/>
  <c r="E39" i="55"/>
  <c r="E30" i="55"/>
  <c r="E31" i="55"/>
  <c r="E33" i="55"/>
  <c r="E35" i="55"/>
  <c r="E37" i="55"/>
  <c r="E40" i="55"/>
  <c r="E42" i="55"/>
  <c r="E43" i="55"/>
  <c r="E45" i="55"/>
  <c r="E46" i="55"/>
  <c r="E47" i="55"/>
  <c r="E48" i="55"/>
  <c r="E49" i="55"/>
  <c r="E50" i="55"/>
  <c r="E51" i="55"/>
  <c r="E52" i="55"/>
  <c r="E53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9" i="55"/>
  <c r="E32" i="55"/>
  <c r="E34" i="55"/>
  <c r="E36" i="55"/>
  <c r="E38" i="55"/>
  <c r="E41" i="55"/>
  <c r="E44" i="55"/>
  <c r="E54" i="55"/>
  <c r="E28" i="55"/>
  <c r="E10" i="54"/>
  <c r="E9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30" i="54"/>
  <c r="E31" i="54"/>
  <c r="E32" i="54"/>
  <c r="E33" i="54"/>
  <c r="E34" i="54"/>
  <c r="E35" i="54"/>
  <c r="E36" i="54"/>
  <c r="E37" i="54"/>
  <c r="E38" i="54"/>
  <c r="E39" i="54"/>
  <c r="E40" i="54"/>
  <c r="E41" i="54"/>
  <c r="E42" i="54"/>
  <c r="E43" i="54"/>
  <c r="E44" i="54"/>
  <c r="E45" i="54"/>
  <c r="E46" i="54"/>
  <c r="E47" i="54"/>
  <c r="E48" i="54"/>
  <c r="E49" i="54"/>
  <c r="E50" i="54"/>
  <c r="E51" i="54"/>
  <c r="E52" i="54"/>
  <c r="E53" i="54"/>
  <c r="E54" i="54"/>
  <c r="E29" i="54"/>
  <c r="E13" i="53"/>
  <c r="E9" i="53"/>
  <c r="E10" i="53"/>
  <c r="E11" i="53"/>
  <c r="E12" i="53"/>
  <c r="E14" i="53"/>
  <c r="E16" i="53"/>
  <c r="E17" i="53"/>
  <c r="E19" i="53"/>
  <c r="E20" i="53"/>
  <c r="E21" i="53"/>
  <c r="E22" i="53"/>
  <c r="E23" i="53"/>
  <c r="E24" i="53"/>
  <c r="E26" i="53"/>
  <c r="E27" i="53"/>
  <c r="E29" i="53"/>
  <c r="E30" i="53"/>
  <c r="E31" i="53"/>
  <c r="E32" i="53"/>
  <c r="E33" i="53"/>
  <c r="E34" i="53"/>
  <c r="E35" i="53"/>
  <c r="E36" i="53"/>
  <c r="E37" i="53"/>
  <c r="E38" i="53"/>
  <c r="E39" i="53"/>
  <c r="E40" i="53"/>
  <c r="E41" i="53"/>
  <c r="E43" i="53"/>
  <c r="E44" i="53"/>
  <c r="E45" i="53"/>
  <c r="E46" i="53"/>
  <c r="E47" i="53"/>
  <c r="E48" i="53"/>
  <c r="E49" i="53"/>
  <c r="E50" i="53"/>
  <c r="E51" i="53"/>
  <c r="E52" i="53"/>
  <c r="E53" i="53"/>
  <c r="E54" i="53"/>
  <c r="E42" i="53"/>
  <c r="E28" i="53"/>
  <c r="E25" i="53"/>
  <c r="E18" i="53"/>
  <c r="E15" i="53"/>
  <c r="E9" i="52"/>
  <c r="E17" i="52"/>
  <c r="E19" i="52"/>
  <c r="E23" i="52"/>
  <c r="E15" i="52"/>
  <c r="E10" i="52"/>
  <c r="E20" i="52"/>
  <c r="E21" i="52"/>
  <c r="E22" i="52"/>
  <c r="E24" i="52"/>
  <c r="E26" i="52"/>
  <c r="E27" i="52"/>
  <c r="E28" i="52"/>
  <c r="E29" i="52"/>
  <c r="E30" i="52"/>
  <c r="E31" i="52"/>
  <c r="E33" i="52"/>
  <c r="E34" i="52"/>
  <c r="E36" i="52"/>
  <c r="E38" i="52"/>
  <c r="E39" i="52"/>
  <c r="E41" i="52"/>
  <c r="E42" i="52"/>
  <c r="E44" i="52"/>
  <c r="E46" i="52"/>
  <c r="E48" i="52"/>
  <c r="E50" i="52"/>
  <c r="E51" i="52"/>
  <c r="E52" i="52"/>
  <c r="E53" i="52"/>
  <c r="E54" i="52"/>
  <c r="E12" i="52"/>
  <c r="E49" i="52"/>
  <c r="E47" i="52"/>
  <c r="E45" i="52"/>
  <c r="E43" i="52"/>
  <c r="E40" i="52"/>
  <c r="E37" i="52"/>
  <c r="E35" i="52"/>
  <c r="E32" i="52"/>
  <c r="E25" i="52"/>
  <c r="E18" i="52"/>
  <c r="E16" i="52"/>
  <c r="E14" i="52"/>
  <c r="E13" i="52"/>
  <c r="E11" i="52"/>
  <c r="E45" i="51"/>
  <c r="E47" i="51"/>
  <c r="E41" i="51"/>
  <c r="E44" i="51"/>
  <c r="E23" i="51"/>
  <c r="E20" i="51"/>
  <c r="E42" i="51"/>
  <c r="E32" i="51"/>
  <c r="E8" i="51"/>
  <c r="E9" i="51"/>
  <c r="E10" i="51"/>
  <c r="E11" i="51"/>
  <c r="E12" i="51"/>
  <c r="E13" i="51"/>
  <c r="E14" i="51"/>
  <c r="E16" i="51"/>
  <c r="E17" i="51"/>
  <c r="E18" i="51"/>
  <c r="E19" i="51"/>
  <c r="E21" i="51"/>
  <c r="E22" i="51"/>
  <c r="E24" i="51"/>
  <c r="E25" i="51"/>
  <c r="E26" i="51"/>
  <c r="E27" i="51"/>
  <c r="E28" i="51"/>
  <c r="E29" i="51"/>
  <c r="E30" i="51"/>
  <c r="E31" i="51"/>
  <c r="E33" i="51"/>
  <c r="E34" i="51"/>
  <c r="E35" i="51"/>
  <c r="E36" i="51"/>
  <c r="E37" i="51"/>
  <c r="E38" i="51"/>
  <c r="E39" i="51"/>
  <c r="E40" i="51"/>
  <c r="E43" i="51"/>
  <c r="E46" i="51"/>
  <c r="E48" i="51"/>
  <c r="E49" i="51"/>
  <c r="E50" i="51"/>
  <c r="E51" i="51"/>
  <c r="E52" i="51"/>
  <c r="E53" i="51"/>
  <c r="E54" i="51"/>
  <c r="E21" i="50"/>
  <c r="E18" i="50"/>
  <c r="E42" i="50"/>
  <c r="E8" i="50"/>
  <c r="E9" i="50"/>
  <c r="E11" i="50"/>
  <c r="E12" i="50"/>
  <c r="E13" i="50"/>
  <c r="E14" i="50"/>
  <c r="E15" i="50"/>
  <c r="E16" i="50"/>
  <c r="E17" i="50"/>
  <c r="E19" i="50"/>
  <c r="E20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9" i="55"/>
  <c r="E10" i="50"/>
  <c r="E15" i="51"/>
  <c r="E8" i="52"/>
  <c r="E8" i="53"/>
  <c r="E8" i="54"/>
  <c r="E10" i="55"/>
  <c r="D55" i="55" l="1"/>
  <c r="E55" i="52"/>
  <c r="E55" i="50"/>
  <c r="E55" i="55"/>
  <c r="E55" i="51"/>
  <c r="E55" i="53"/>
  <c r="E55" i="5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<sst xmlns="http://schemas.openxmlformats.org/spreadsheetml/2006/main" count="320" uniqueCount="62">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</sst>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ales/Ventas%20por%20cides%20SEPTIEMBRE.xlsx" TargetMode="External"/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/SUPPLY%20CHAIN/Sales/Ventas%20por%20cides%20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ales/Ventas%20por%20cedis%20OCTUBRE.xlsx" TargetMode="External"/><Relationship Id="rId2" Type="http://schemas.openxmlformats.org/officeDocument/2006/relationships/externalLinkPath" Target="file:///R:\SUPPLY%20CHAIN\Sales\Ventas%20por%20cedis%20OCTUBRE.xlsx" TargetMode="External"/><Relationship Id="rId1" Type="http://schemas.openxmlformats.org/officeDocument/2006/relationships/externalLinkPath" Target="/SUPPLY%20CHAIN/Sales/Ventas%20por%20cedis%20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2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3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4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5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6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8">
          <cell r="C8">
            <v>363</v>
          </cell>
          <cell r="D8">
            <v>60.5</v>
          </cell>
          <cell r="E8">
            <v>1270.5</v>
          </cell>
        </row>
        <row r="9">
          <cell r="C9">
            <v>23</v>
          </cell>
          <cell r="D9">
            <v>3.8333333333333335</v>
          </cell>
          <cell r="E9">
            <v>80.5</v>
          </cell>
        </row>
        <row r="10">
          <cell r="C10">
            <v>127</v>
          </cell>
          <cell r="D10">
            <v>21.166666666666668</v>
          </cell>
          <cell r="E10">
            <v>444.5</v>
          </cell>
        </row>
        <row r="11">
          <cell r="C11">
            <v>15</v>
          </cell>
          <cell r="D11">
            <v>2.5</v>
          </cell>
          <cell r="E11">
            <v>52.5</v>
          </cell>
        </row>
        <row r="12">
          <cell r="C12">
            <v>2</v>
          </cell>
          <cell r="D12">
            <v>0.33333333333333331</v>
          </cell>
          <cell r="E12">
            <v>7</v>
          </cell>
        </row>
        <row r="13">
          <cell r="C13">
            <v>458</v>
          </cell>
          <cell r="D13">
            <v>76.333333333333329</v>
          </cell>
          <cell r="E13">
            <v>1603</v>
          </cell>
        </row>
        <row r="14">
          <cell r="C14">
            <v>32</v>
          </cell>
          <cell r="D14">
            <v>5.333333333333333</v>
          </cell>
          <cell r="E14">
            <v>112</v>
          </cell>
        </row>
        <row r="15">
          <cell r="C15">
            <v>69</v>
          </cell>
          <cell r="D15">
            <v>11.5</v>
          </cell>
          <cell r="E15">
            <v>241.5</v>
          </cell>
        </row>
        <row r="16">
          <cell r="C16">
            <v>206</v>
          </cell>
          <cell r="D16">
            <v>34.333333333333336</v>
          </cell>
          <cell r="E16">
            <v>721</v>
          </cell>
        </row>
        <row r="17">
          <cell r="C17">
            <v>49</v>
          </cell>
          <cell r="D17">
            <v>8.1666666666666661</v>
          </cell>
          <cell r="E17">
            <v>171.5</v>
          </cell>
        </row>
        <row r="18">
          <cell r="C18">
            <v>1058</v>
          </cell>
          <cell r="D18">
            <v>176.33333333333334</v>
          </cell>
          <cell r="E18">
            <v>3703</v>
          </cell>
        </row>
        <row r="19">
          <cell r="C19">
            <v>561</v>
          </cell>
          <cell r="D19">
            <v>93.5</v>
          </cell>
          <cell r="E19">
            <v>1963.5</v>
          </cell>
        </row>
        <row r="20">
          <cell r="C20">
            <v>622</v>
          </cell>
          <cell r="D20">
            <v>103.66666666666667</v>
          </cell>
          <cell r="E20">
            <v>2177</v>
          </cell>
        </row>
        <row r="21">
          <cell r="C21">
            <v>633</v>
          </cell>
          <cell r="D21">
            <v>105.5</v>
          </cell>
          <cell r="E21">
            <v>2215.5</v>
          </cell>
        </row>
        <row r="22">
          <cell r="C22">
            <v>160</v>
          </cell>
          <cell r="D22">
            <v>26.666666666666668</v>
          </cell>
          <cell r="E22">
            <v>560</v>
          </cell>
        </row>
        <row r="23">
          <cell r="C23">
            <v>296</v>
          </cell>
          <cell r="D23">
            <v>49.333333333333336</v>
          </cell>
          <cell r="E23">
            <v>1036</v>
          </cell>
        </row>
        <row r="24">
          <cell r="C24">
            <v>285</v>
          </cell>
          <cell r="D24">
            <v>47.5</v>
          </cell>
          <cell r="E24">
            <v>997.5</v>
          </cell>
        </row>
        <row r="25">
          <cell r="C25">
            <v>21</v>
          </cell>
          <cell r="D25">
            <v>3.5</v>
          </cell>
          <cell r="E25">
            <v>73.5</v>
          </cell>
        </row>
        <row r="26">
          <cell r="C26">
            <v>7</v>
          </cell>
          <cell r="D26">
            <v>1.1666666666666667</v>
          </cell>
          <cell r="E26">
            <v>24.5</v>
          </cell>
        </row>
        <row r="27">
          <cell r="C27">
            <v>80</v>
          </cell>
          <cell r="D27">
            <v>13.333333333333334</v>
          </cell>
          <cell r="E27">
            <v>280</v>
          </cell>
        </row>
        <row r="28">
          <cell r="C28">
            <v>79</v>
          </cell>
          <cell r="D28">
            <v>13.166666666666666</v>
          </cell>
          <cell r="E28">
            <v>276.5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239</v>
          </cell>
          <cell r="D30">
            <v>39.833333333333336</v>
          </cell>
          <cell r="E30">
            <v>836.5</v>
          </cell>
        </row>
        <row r="31">
          <cell r="C31">
            <v>480</v>
          </cell>
          <cell r="D31">
            <v>80</v>
          </cell>
          <cell r="E31">
            <v>1680</v>
          </cell>
        </row>
        <row r="32">
          <cell r="C32">
            <v>325</v>
          </cell>
          <cell r="D32">
            <v>54.166666666666664</v>
          </cell>
          <cell r="E32">
            <v>1137.5</v>
          </cell>
        </row>
        <row r="33">
          <cell r="C33">
            <v>286</v>
          </cell>
          <cell r="D33">
            <v>47.666666666666664</v>
          </cell>
          <cell r="E33">
            <v>1001</v>
          </cell>
        </row>
        <row r="34">
          <cell r="C34">
            <v>172</v>
          </cell>
          <cell r="D34">
            <v>28.666666666666668</v>
          </cell>
          <cell r="E34">
            <v>602</v>
          </cell>
        </row>
        <row r="35">
          <cell r="C35">
            <v>238</v>
          </cell>
          <cell r="D35">
            <v>39.666666666666664</v>
          </cell>
          <cell r="E35">
            <v>833</v>
          </cell>
        </row>
        <row r="36">
          <cell r="C36">
            <v>11</v>
          </cell>
          <cell r="D36">
            <v>1.8333333333333333</v>
          </cell>
          <cell r="E36">
            <v>38.5</v>
          </cell>
        </row>
        <row r="37">
          <cell r="C37">
            <v>26</v>
          </cell>
          <cell r="D37">
            <v>4.333333333333333</v>
          </cell>
          <cell r="E37">
            <v>91</v>
          </cell>
        </row>
        <row r="38">
          <cell r="C38">
            <v>270</v>
          </cell>
          <cell r="D38">
            <v>45</v>
          </cell>
          <cell r="E38">
            <v>945</v>
          </cell>
        </row>
        <row r="39">
          <cell r="C39">
            <v>131</v>
          </cell>
          <cell r="D39">
            <v>21.833333333333332</v>
          </cell>
          <cell r="E39">
            <v>458.5</v>
          </cell>
        </row>
        <row r="40">
          <cell r="C40">
            <v>228</v>
          </cell>
          <cell r="D40">
            <v>38</v>
          </cell>
          <cell r="E40">
            <v>798</v>
          </cell>
        </row>
        <row r="41">
          <cell r="C41">
            <v>129</v>
          </cell>
          <cell r="D41">
            <v>21.5</v>
          </cell>
          <cell r="E41">
            <v>451.5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7</v>
          </cell>
          <cell r="D44">
            <v>1.1666666666666667</v>
          </cell>
          <cell r="E44">
            <v>24.5</v>
          </cell>
        </row>
        <row r="45">
          <cell r="C45">
            <v>44</v>
          </cell>
          <cell r="D45">
            <v>7.333333333333333</v>
          </cell>
          <cell r="E45">
            <v>154</v>
          </cell>
        </row>
        <row r="46">
          <cell r="C46">
            <v>87</v>
          </cell>
          <cell r="D46">
            <v>14.5</v>
          </cell>
          <cell r="E46">
            <v>304.5</v>
          </cell>
        </row>
        <row r="47">
          <cell r="C47">
            <v>6</v>
          </cell>
          <cell r="D47">
            <v>1</v>
          </cell>
          <cell r="E47">
            <v>21</v>
          </cell>
        </row>
        <row r="48">
          <cell r="C48">
            <v>234</v>
          </cell>
          <cell r="D48">
            <v>39</v>
          </cell>
          <cell r="E48">
            <v>819</v>
          </cell>
        </row>
        <row r="49">
          <cell r="C49">
            <v>63</v>
          </cell>
          <cell r="D49">
            <v>10.5</v>
          </cell>
          <cell r="E49">
            <v>220.5</v>
          </cell>
        </row>
        <row r="50">
          <cell r="C50">
            <v>131</v>
          </cell>
          <cell r="D50">
            <v>21.833333333333332</v>
          </cell>
          <cell r="E50">
            <v>458.5</v>
          </cell>
        </row>
        <row r="51">
          <cell r="C51">
            <v>4</v>
          </cell>
          <cell r="D51">
            <v>0.66666666666666663</v>
          </cell>
          <cell r="E51">
            <v>14</v>
          </cell>
        </row>
        <row r="52">
          <cell r="C52">
            <v>59</v>
          </cell>
          <cell r="D52">
            <v>9.8333333333333339</v>
          </cell>
          <cell r="E52">
            <v>206.5</v>
          </cell>
        </row>
        <row r="53">
          <cell r="C53">
            <v>4</v>
          </cell>
          <cell r="D53">
            <v>0.66666666666666663</v>
          </cell>
          <cell r="E53">
            <v>14</v>
          </cell>
        </row>
        <row r="54">
          <cell r="C54">
            <v>3</v>
          </cell>
          <cell r="D54">
            <v>0.5</v>
          </cell>
          <cell r="E54">
            <v>10.5</v>
          </cell>
        </row>
      </sheetData>
      <sheetData sheetId="2">
        <row r="8">
          <cell r="C8">
            <v>287</v>
          </cell>
          <cell r="D8">
            <v>47.833333333333336</v>
          </cell>
          <cell r="E8">
            <v>1004.5</v>
          </cell>
        </row>
        <row r="9">
          <cell r="C9">
            <v>4</v>
          </cell>
          <cell r="D9">
            <v>0.66666666666666663</v>
          </cell>
          <cell r="E9">
            <v>14</v>
          </cell>
        </row>
        <row r="10">
          <cell r="C10">
            <v>108</v>
          </cell>
          <cell r="D10">
            <v>18</v>
          </cell>
          <cell r="E10">
            <v>378</v>
          </cell>
        </row>
        <row r="11">
          <cell r="C11">
            <v>13</v>
          </cell>
          <cell r="D11">
            <v>2.1666666666666665</v>
          </cell>
          <cell r="E11">
            <v>45.5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1127</v>
          </cell>
          <cell r="D13">
            <v>187.83333333333334</v>
          </cell>
          <cell r="E13">
            <v>3944.5</v>
          </cell>
        </row>
        <row r="14">
          <cell r="C14">
            <v>80</v>
          </cell>
          <cell r="D14">
            <v>13.333333333333334</v>
          </cell>
          <cell r="E14">
            <v>280</v>
          </cell>
        </row>
        <row r="15">
          <cell r="C15">
            <v>259</v>
          </cell>
          <cell r="D15">
            <v>43.166666666666664</v>
          </cell>
          <cell r="E15">
            <v>906.5</v>
          </cell>
        </row>
        <row r="16">
          <cell r="C16">
            <v>427</v>
          </cell>
          <cell r="D16">
            <v>71.166666666666671</v>
          </cell>
          <cell r="E16">
            <v>1494.5</v>
          </cell>
        </row>
        <row r="17">
          <cell r="C17">
            <v>124</v>
          </cell>
          <cell r="D17">
            <v>20.666666666666668</v>
          </cell>
          <cell r="E17">
            <v>434</v>
          </cell>
        </row>
        <row r="18">
          <cell r="C18">
            <v>3484</v>
          </cell>
          <cell r="D18">
            <v>580.66666666666663</v>
          </cell>
          <cell r="E18">
            <v>12194</v>
          </cell>
        </row>
        <row r="19">
          <cell r="C19">
            <v>1781</v>
          </cell>
          <cell r="D19">
            <v>296.83333333333331</v>
          </cell>
          <cell r="E19">
            <v>6233.5</v>
          </cell>
        </row>
        <row r="20">
          <cell r="C20">
            <v>1898</v>
          </cell>
          <cell r="D20">
            <v>316.33333333333331</v>
          </cell>
          <cell r="E20">
            <v>6643</v>
          </cell>
        </row>
        <row r="21">
          <cell r="C21">
            <v>2286</v>
          </cell>
          <cell r="D21">
            <v>381</v>
          </cell>
          <cell r="E21">
            <v>8001</v>
          </cell>
        </row>
        <row r="22">
          <cell r="C22">
            <v>754</v>
          </cell>
          <cell r="D22">
            <v>125.66666666666667</v>
          </cell>
          <cell r="E22">
            <v>2639</v>
          </cell>
        </row>
        <row r="23">
          <cell r="C23">
            <v>1013</v>
          </cell>
          <cell r="D23">
            <v>168.83333333333334</v>
          </cell>
          <cell r="E23">
            <v>3545.5</v>
          </cell>
        </row>
        <row r="24">
          <cell r="C24">
            <v>995</v>
          </cell>
          <cell r="D24">
            <v>165.83333333333334</v>
          </cell>
          <cell r="E24">
            <v>3482.5</v>
          </cell>
        </row>
        <row r="25">
          <cell r="C25">
            <v>179</v>
          </cell>
          <cell r="D25">
            <v>29.833333333333332</v>
          </cell>
          <cell r="E25">
            <v>626.5</v>
          </cell>
        </row>
        <row r="26">
          <cell r="C26">
            <v>38</v>
          </cell>
          <cell r="D26">
            <v>6.333333333333333</v>
          </cell>
          <cell r="E26">
            <v>133</v>
          </cell>
        </row>
        <row r="27">
          <cell r="C27">
            <v>487</v>
          </cell>
          <cell r="D27">
            <v>81.166666666666671</v>
          </cell>
          <cell r="E27">
            <v>1704.5</v>
          </cell>
        </row>
        <row r="28">
          <cell r="C28">
            <v>614</v>
          </cell>
          <cell r="D28">
            <v>102.33333333333333</v>
          </cell>
          <cell r="E28">
            <v>2149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265</v>
          </cell>
          <cell r="D30">
            <v>44.166666666666664</v>
          </cell>
          <cell r="E30">
            <v>927.5</v>
          </cell>
        </row>
        <row r="31">
          <cell r="C31">
            <v>569</v>
          </cell>
          <cell r="D31">
            <v>94.833333333333329</v>
          </cell>
          <cell r="E31">
            <v>1991.5</v>
          </cell>
        </row>
        <row r="32">
          <cell r="C32">
            <v>348</v>
          </cell>
          <cell r="D32">
            <v>58</v>
          </cell>
          <cell r="E32">
            <v>1218</v>
          </cell>
        </row>
        <row r="33">
          <cell r="C33">
            <v>255</v>
          </cell>
          <cell r="D33">
            <v>42.5</v>
          </cell>
          <cell r="E33">
            <v>892.5</v>
          </cell>
        </row>
        <row r="34">
          <cell r="C34">
            <v>232</v>
          </cell>
          <cell r="D34">
            <v>38.666666666666664</v>
          </cell>
          <cell r="E34">
            <v>812</v>
          </cell>
        </row>
        <row r="35">
          <cell r="C35">
            <v>349</v>
          </cell>
          <cell r="D35">
            <v>58.166666666666664</v>
          </cell>
          <cell r="E35">
            <v>1221.5</v>
          </cell>
        </row>
        <row r="36">
          <cell r="C36">
            <v>45</v>
          </cell>
          <cell r="D36">
            <v>7.5</v>
          </cell>
          <cell r="E36">
            <v>157.5</v>
          </cell>
        </row>
        <row r="37">
          <cell r="C37">
            <v>71</v>
          </cell>
          <cell r="D37">
            <v>11.833333333333334</v>
          </cell>
          <cell r="E37">
            <v>248.5</v>
          </cell>
        </row>
        <row r="38">
          <cell r="C38">
            <v>692</v>
          </cell>
          <cell r="D38">
            <v>115.33333333333333</v>
          </cell>
          <cell r="E38">
            <v>2422</v>
          </cell>
        </row>
        <row r="39">
          <cell r="C39">
            <v>374</v>
          </cell>
          <cell r="D39">
            <v>62.333333333333336</v>
          </cell>
          <cell r="E39">
            <v>1309</v>
          </cell>
        </row>
        <row r="40">
          <cell r="C40">
            <v>513</v>
          </cell>
          <cell r="D40">
            <v>85.5</v>
          </cell>
          <cell r="E40">
            <v>1795.5</v>
          </cell>
        </row>
        <row r="41">
          <cell r="C41">
            <v>229</v>
          </cell>
          <cell r="D41">
            <v>38.166666666666664</v>
          </cell>
          <cell r="E41">
            <v>801.5</v>
          </cell>
        </row>
        <row r="42">
          <cell r="C42">
            <v>7</v>
          </cell>
          <cell r="D42">
            <v>1.1666666666666667</v>
          </cell>
          <cell r="E42">
            <v>24.5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242</v>
          </cell>
          <cell r="D45">
            <v>40.333333333333336</v>
          </cell>
          <cell r="E45">
            <v>847</v>
          </cell>
        </row>
        <row r="46">
          <cell r="C46">
            <v>208</v>
          </cell>
          <cell r="D46">
            <v>34.666666666666664</v>
          </cell>
          <cell r="E46">
            <v>728</v>
          </cell>
        </row>
        <row r="47">
          <cell r="C47">
            <v>164</v>
          </cell>
          <cell r="D47">
            <v>27.333333333333332</v>
          </cell>
          <cell r="E47">
            <v>574</v>
          </cell>
        </row>
        <row r="48">
          <cell r="C48">
            <v>316</v>
          </cell>
          <cell r="D48">
            <v>52.666666666666664</v>
          </cell>
          <cell r="E48">
            <v>1106</v>
          </cell>
        </row>
        <row r="49">
          <cell r="C49">
            <v>120</v>
          </cell>
          <cell r="D49">
            <v>20</v>
          </cell>
          <cell r="E49">
            <v>420</v>
          </cell>
        </row>
        <row r="50">
          <cell r="C50">
            <v>137</v>
          </cell>
          <cell r="D50">
            <v>22.833333333333332</v>
          </cell>
          <cell r="E50">
            <v>479.5</v>
          </cell>
        </row>
        <row r="51">
          <cell r="C51">
            <v>31</v>
          </cell>
          <cell r="D51">
            <v>5.166666666666667</v>
          </cell>
          <cell r="E51">
            <v>108.5</v>
          </cell>
        </row>
        <row r="52">
          <cell r="C52">
            <v>7</v>
          </cell>
          <cell r="D52">
            <v>1.1666666666666667</v>
          </cell>
          <cell r="E52">
            <v>24.5</v>
          </cell>
        </row>
        <row r="53">
          <cell r="C53">
            <v>36</v>
          </cell>
          <cell r="D53">
            <v>6</v>
          </cell>
          <cell r="E53">
            <v>126</v>
          </cell>
        </row>
        <row r="54">
          <cell r="C54">
            <v>36</v>
          </cell>
          <cell r="D54">
            <v>6</v>
          </cell>
          <cell r="E54">
            <v>126</v>
          </cell>
        </row>
      </sheetData>
      <sheetData sheetId="3">
        <row r="8">
          <cell r="C8">
            <v>3688</v>
          </cell>
          <cell r="D8">
            <v>614.66666666666663</v>
          </cell>
          <cell r="E8">
            <v>12908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1748</v>
          </cell>
          <cell r="D10">
            <v>291.33333333333331</v>
          </cell>
          <cell r="E10">
            <v>6118</v>
          </cell>
        </row>
        <row r="11">
          <cell r="C11">
            <v>299</v>
          </cell>
          <cell r="D11">
            <v>49.833333333333336</v>
          </cell>
          <cell r="E11">
            <v>1046.5</v>
          </cell>
        </row>
        <row r="12">
          <cell r="C12">
            <v>39</v>
          </cell>
          <cell r="D12">
            <v>6.5</v>
          </cell>
          <cell r="E12">
            <v>136.5</v>
          </cell>
        </row>
        <row r="13">
          <cell r="C13">
            <v>4659</v>
          </cell>
          <cell r="D13">
            <v>776.5</v>
          </cell>
          <cell r="E13">
            <v>16306.5</v>
          </cell>
        </row>
        <row r="14">
          <cell r="C14">
            <v>266</v>
          </cell>
          <cell r="D14">
            <v>44.333333333333336</v>
          </cell>
          <cell r="E14">
            <v>931</v>
          </cell>
        </row>
        <row r="15">
          <cell r="C15">
            <v>872</v>
          </cell>
          <cell r="D15">
            <v>145.33333333333334</v>
          </cell>
          <cell r="E15">
            <v>3052</v>
          </cell>
        </row>
        <row r="16">
          <cell r="C16">
            <v>1812</v>
          </cell>
          <cell r="D16">
            <v>302</v>
          </cell>
          <cell r="E16">
            <v>6342</v>
          </cell>
        </row>
        <row r="17">
          <cell r="C17">
            <v>1133</v>
          </cell>
          <cell r="D17">
            <v>188.83333333333334</v>
          </cell>
          <cell r="E17">
            <v>3965.5</v>
          </cell>
        </row>
        <row r="18">
          <cell r="C18">
            <v>9497</v>
          </cell>
          <cell r="D18">
            <v>1582.8333333333333</v>
          </cell>
          <cell r="E18">
            <v>33239.5</v>
          </cell>
        </row>
        <row r="19">
          <cell r="C19">
            <v>6193</v>
          </cell>
          <cell r="D19">
            <v>1032.1666666666667</v>
          </cell>
          <cell r="E19">
            <v>21675.5</v>
          </cell>
        </row>
        <row r="20">
          <cell r="C20">
            <v>5935</v>
          </cell>
          <cell r="D20">
            <v>989.16666666666663</v>
          </cell>
          <cell r="E20">
            <v>20772.5</v>
          </cell>
        </row>
        <row r="21">
          <cell r="C21">
            <v>7906</v>
          </cell>
          <cell r="D21">
            <v>1317.6666666666667</v>
          </cell>
          <cell r="E21">
            <v>27671</v>
          </cell>
        </row>
        <row r="22">
          <cell r="C22">
            <v>2559</v>
          </cell>
          <cell r="D22">
            <v>426.5</v>
          </cell>
          <cell r="E22">
            <v>8956.5</v>
          </cell>
        </row>
        <row r="23">
          <cell r="C23">
            <v>2744</v>
          </cell>
          <cell r="D23">
            <v>457.33333333333331</v>
          </cell>
          <cell r="E23">
            <v>9604</v>
          </cell>
        </row>
        <row r="24">
          <cell r="C24">
            <v>2819</v>
          </cell>
          <cell r="D24">
            <v>469.83333333333331</v>
          </cell>
          <cell r="E24">
            <v>9866.5</v>
          </cell>
        </row>
        <row r="25">
          <cell r="C25">
            <v>630</v>
          </cell>
          <cell r="D25">
            <v>105</v>
          </cell>
          <cell r="E25">
            <v>2205</v>
          </cell>
        </row>
        <row r="26">
          <cell r="C26">
            <v>400</v>
          </cell>
          <cell r="D26">
            <v>66.666666666666671</v>
          </cell>
          <cell r="E26">
            <v>1400</v>
          </cell>
        </row>
        <row r="27">
          <cell r="C27">
            <v>1192</v>
          </cell>
          <cell r="D27">
            <v>198.66666666666666</v>
          </cell>
          <cell r="E27">
            <v>4172</v>
          </cell>
        </row>
        <row r="28">
          <cell r="C28">
            <v>2579</v>
          </cell>
          <cell r="D28">
            <v>429.83333333333331</v>
          </cell>
          <cell r="E28">
            <v>9026.5</v>
          </cell>
        </row>
        <row r="29">
          <cell r="C29">
            <v>260</v>
          </cell>
          <cell r="D29">
            <v>43.333333333333336</v>
          </cell>
          <cell r="E29">
            <v>910</v>
          </cell>
        </row>
        <row r="30">
          <cell r="C30">
            <v>2155</v>
          </cell>
          <cell r="D30">
            <v>359.16666666666669</v>
          </cell>
          <cell r="E30">
            <v>7542.5</v>
          </cell>
        </row>
        <row r="31">
          <cell r="C31">
            <v>3483</v>
          </cell>
          <cell r="D31">
            <v>580.5</v>
          </cell>
          <cell r="E31">
            <v>12190.5</v>
          </cell>
        </row>
        <row r="32">
          <cell r="C32">
            <v>1762</v>
          </cell>
          <cell r="D32">
            <v>293.66666666666669</v>
          </cell>
          <cell r="E32">
            <v>6167</v>
          </cell>
        </row>
        <row r="33">
          <cell r="C33">
            <v>1257</v>
          </cell>
          <cell r="D33">
            <v>209.5</v>
          </cell>
          <cell r="E33">
            <v>4399.5</v>
          </cell>
        </row>
        <row r="34">
          <cell r="C34">
            <v>657</v>
          </cell>
          <cell r="D34">
            <v>109.5</v>
          </cell>
          <cell r="E34">
            <v>2299.5</v>
          </cell>
        </row>
        <row r="35">
          <cell r="C35">
            <v>873</v>
          </cell>
          <cell r="D35">
            <v>145.5</v>
          </cell>
          <cell r="E35">
            <v>3055.5</v>
          </cell>
        </row>
        <row r="36">
          <cell r="C36">
            <v>299</v>
          </cell>
          <cell r="D36">
            <v>49.833333333333336</v>
          </cell>
          <cell r="E36">
            <v>1046.5</v>
          </cell>
        </row>
        <row r="37">
          <cell r="C37">
            <v>338</v>
          </cell>
          <cell r="D37">
            <v>56.333333333333336</v>
          </cell>
          <cell r="E37">
            <v>1183</v>
          </cell>
        </row>
        <row r="38">
          <cell r="C38">
            <v>2021</v>
          </cell>
          <cell r="D38">
            <v>336.83333333333331</v>
          </cell>
          <cell r="E38">
            <v>7073.5</v>
          </cell>
        </row>
        <row r="39">
          <cell r="C39">
            <v>1625</v>
          </cell>
          <cell r="D39">
            <v>270.83333333333331</v>
          </cell>
          <cell r="E39">
            <v>5687.5</v>
          </cell>
        </row>
        <row r="40">
          <cell r="C40">
            <v>2175</v>
          </cell>
          <cell r="D40">
            <v>362.5</v>
          </cell>
          <cell r="E40">
            <v>7612.5</v>
          </cell>
        </row>
        <row r="41">
          <cell r="C41">
            <v>1418</v>
          </cell>
          <cell r="D41">
            <v>236.33333333333334</v>
          </cell>
          <cell r="E41">
            <v>4963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4</v>
          </cell>
          <cell r="D44">
            <v>0.66666666666666663</v>
          </cell>
          <cell r="E44">
            <v>14</v>
          </cell>
        </row>
        <row r="45">
          <cell r="C45">
            <v>1863</v>
          </cell>
          <cell r="D45">
            <v>310.5</v>
          </cell>
          <cell r="E45">
            <v>6520.5</v>
          </cell>
        </row>
        <row r="46">
          <cell r="C46">
            <v>1356</v>
          </cell>
          <cell r="D46">
            <v>226</v>
          </cell>
          <cell r="E46">
            <v>4746</v>
          </cell>
        </row>
        <row r="47">
          <cell r="C47">
            <v>776</v>
          </cell>
          <cell r="D47">
            <v>129.33333333333334</v>
          </cell>
          <cell r="E47">
            <v>2716</v>
          </cell>
        </row>
        <row r="48">
          <cell r="C48">
            <v>1358</v>
          </cell>
          <cell r="D48">
            <v>226.33333333333334</v>
          </cell>
          <cell r="E48">
            <v>4753</v>
          </cell>
        </row>
        <row r="49">
          <cell r="C49">
            <v>849</v>
          </cell>
          <cell r="D49">
            <v>141.5</v>
          </cell>
          <cell r="E49">
            <v>2971.5</v>
          </cell>
        </row>
        <row r="50">
          <cell r="C50">
            <v>778</v>
          </cell>
          <cell r="D50">
            <v>129.66666666666666</v>
          </cell>
          <cell r="E50">
            <v>2723</v>
          </cell>
        </row>
        <row r="51">
          <cell r="C51">
            <v>50</v>
          </cell>
          <cell r="D51">
            <v>8.3333333333333339</v>
          </cell>
          <cell r="E51">
            <v>175</v>
          </cell>
        </row>
        <row r="52">
          <cell r="C52">
            <v>190</v>
          </cell>
          <cell r="D52">
            <v>31.666666666666668</v>
          </cell>
          <cell r="E52">
            <v>665</v>
          </cell>
        </row>
        <row r="53">
          <cell r="C53">
            <v>104</v>
          </cell>
          <cell r="D53">
            <v>17.333333333333332</v>
          </cell>
          <cell r="E53">
            <v>364</v>
          </cell>
        </row>
        <row r="54">
          <cell r="C54">
            <v>119</v>
          </cell>
          <cell r="D54">
            <v>19.833333333333332</v>
          </cell>
          <cell r="E54">
            <v>416.5</v>
          </cell>
        </row>
      </sheetData>
      <sheetData sheetId="4">
        <row r="8">
          <cell r="C8">
            <v>1579</v>
          </cell>
          <cell r="D8">
            <v>263.16666666666669</v>
          </cell>
          <cell r="E8">
            <v>5526.5</v>
          </cell>
        </row>
        <row r="9">
          <cell r="C9">
            <v>23</v>
          </cell>
          <cell r="D9">
            <v>3.8333333333333335</v>
          </cell>
          <cell r="E9">
            <v>80.5</v>
          </cell>
        </row>
        <row r="10">
          <cell r="C10">
            <v>961</v>
          </cell>
          <cell r="D10">
            <v>160.16666666666666</v>
          </cell>
          <cell r="E10">
            <v>3363.5</v>
          </cell>
        </row>
        <row r="11">
          <cell r="C11">
            <v>181</v>
          </cell>
          <cell r="D11">
            <v>30.166666666666668</v>
          </cell>
          <cell r="E11">
            <v>633.5</v>
          </cell>
        </row>
        <row r="12">
          <cell r="C12">
            <v>23</v>
          </cell>
          <cell r="D12">
            <v>3.8333333333333335</v>
          </cell>
          <cell r="E12">
            <v>80.5</v>
          </cell>
        </row>
        <row r="13">
          <cell r="C13">
            <v>2741</v>
          </cell>
          <cell r="D13">
            <v>456.83333333333331</v>
          </cell>
          <cell r="E13">
            <v>9593.5</v>
          </cell>
        </row>
        <row r="14">
          <cell r="C14">
            <v>529</v>
          </cell>
          <cell r="D14">
            <v>88.166666666666671</v>
          </cell>
          <cell r="E14">
            <v>1851.5</v>
          </cell>
        </row>
        <row r="15">
          <cell r="C15">
            <v>1142</v>
          </cell>
          <cell r="D15">
            <v>190.33333333333334</v>
          </cell>
          <cell r="E15">
            <v>3997</v>
          </cell>
        </row>
        <row r="16">
          <cell r="C16">
            <v>2347</v>
          </cell>
          <cell r="D16">
            <v>391.16666666666669</v>
          </cell>
          <cell r="E16">
            <v>8214.5</v>
          </cell>
        </row>
        <row r="17">
          <cell r="C17">
            <v>921</v>
          </cell>
          <cell r="D17">
            <v>153.5</v>
          </cell>
          <cell r="E17">
            <v>3223.5</v>
          </cell>
        </row>
        <row r="18">
          <cell r="C18">
            <v>6940</v>
          </cell>
          <cell r="D18">
            <v>1156.6666666666667</v>
          </cell>
          <cell r="E18">
            <v>24290</v>
          </cell>
        </row>
        <row r="19">
          <cell r="C19">
            <v>4075</v>
          </cell>
          <cell r="D19">
            <v>679.16666666666663</v>
          </cell>
          <cell r="E19">
            <v>14262.5</v>
          </cell>
        </row>
        <row r="20">
          <cell r="C20">
            <v>3985</v>
          </cell>
          <cell r="D20">
            <v>664.16666666666663</v>
          </cell>
          <cell r="E20">
            <v>13947.5</v>
          </cell>
        </row>
        <row r="21">
          <cell r="C21">
            <v>4950</v>
          </cell>
          <cell r="D21">
            <v>825</v>
          </cell>
          <cell r="E21">
            <v>17325</v>
          </cell>
        </row>
        <row r="22">
          <cell r="C22">
            <v>1153</v>
          </cell>
          <cell r="D22">
            <v>192.16666666666666</v>
          </cell>
          <cell r="E22">
            <v>4035.5</v>
          </cell>
        </row>
        <row r="23">
          <cell r="C23">
            <v>2119</v>
          </cell>
          <cell r="D23">
            <v>353.16666666666669</v>
          </cell>
          <cell r="E23">
            <v>7416.5</v>
          </cell>
        </row>
        <row r="24">
          <cell r="C24">
            <v>1844</v>
          </cell>
          <cell r="D24">
            <v>307.33333333333331</v>
          </cell>
          <cell r="E24">
            <v>6454</v>
          </cell>
        </row>
        <row r="25">
          <cell r="C25">
            <v>795</v>
          </cell>
          <cell r="D25">
            <v>132.5</v>
          </cell>
          <cell r="E25">
            <v>2782.5</v>
          </cell>
        </row>
        <row r="26">
          <cell r="C26">
            <v>373</v>
          </cell>
          <cell r="D26">
            <v>62.166666666666664</v>
          </cell>
          <cell r="E26">
            <v>1305.5</v>
          </cell>
        </row>
        <row r="27">
          <cell r="C27">
            <v>1269</v>
          </cell>
          <cell r="D27">
            <v>211.5</v>
          </cell>
          <cell r="E27">
            <v>4441.5</v>
          </cell>
        </row>
        <row r="28">
          <cell r="C28">
            <v>1784</v>
          </cell>
          <cell r="D28">
            <v>297.33333333333331</v>
          </cell>
          <cell r="E28">
            <v>6244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971</v>
          </cell>
          <cell r="D30">
            <v>161.83333333333334</v>
          </cell>
          <cell r="E30">
            <v>3398.5</v>
          </cell>
        </row>
        <row r="31">
          <cell r="C31">
            <v>1495</v>
          </cell>
          <cell r="D31">
            <v>249.16666666666666</v>
          </cell>
          <cell r="E31">
            <v>5232.5</v>
          </cell>
        </row>
        <row r="32">
          <cell r="C32">
            <v>1118</v>
          </cell>
          <cell r="D32">
            <v>186.33333333333334</v>
          </cell>
          <cell r="E32">
            <v>3913</v>
          </cell>
        </row>
        <row r="33">
          <cell r="C33">
            <v>960</v>
          </cell>
          <cell r="D33">
            <v>160</v>
          </cell>
          <cell r="E33">
            <v>3360</v>
          </cell>
        </row>
        <row r="34">
          <cell r="C34">
            <v>529</v>
          </cell>
          <cell r="D34">
            <v>88.166666666666671</v>
          </cell>
          <cell r="E34">
            <v>1851.5</v>
          </cell>
        </row>
        <row r="35">
          <cell r="C35">
            <v>263</v>
          </cell>
          <cell r="D35">
            <v>43.833333333333336</v>
          </cell>
          <cell r="E35">
            <v>920.5</v>
          </cell>
        </row>
        <row r="36">
          <cell r="C36">
            <v>240</v>
          </cell>
          <cell r="D36">
            <v>40</v>
          </cell>
          <cell r="E36">
            <v>840</v>
          </cell>
        </row>
        <row r="37">
          <cell r="C37">
            <v>278</v>
          </cell>
          <cell r="D37">
            <v>46.333333333333336</v>
          </cell>
          <cell r="E37">
            <v>973</v>
          </cell>
        </row>
        <row r="38">
          <cell r="C38">
            <v>1871</v>
          </cell>
          <cell r="D38">
            <v>311.83333333333331</v>
          </cell>
          <cell r="E38">
            <v>6548.5</v>
          </cell>
        </row>
        <row r="39">
          <cell r="C39">
            <v>1221</v>
          </cell>
          <cell r="D39">
            <v>203.5</v>
          </cell>
          <cell r="E39">
            <v>4273.5</v>
          </cell>
        </row>
        <row r="40">
          <cell r="C40">
            <v>1622</v>
          </cell>
          <cell r="D40">
            <v>270.33333333333331</v>
          </cell>
          <cell r="E40">
            <v>5677</v>
          </cell>
        </row>
        <row r="41">
          <cell r="C41">
            <v>1129</v>
          </cell>
          <cell r="D41">
            <v>188.16666666666666</v>
          </cell>
          <cell r="E41">
            <v>3951.5</v>
          </cell>
        </row>
        <row r="42">
          <cell r="C42">
            <v>15</v>
          </cell>
          <cell r="D42">
            <v>2.5</v>
          </cell>
          <cell r="E42">
            <v>52.5</v>
          </cell>
        </row>
        <row r="43">
          <cell r="C43">
            <v>8</v>
          </cell>
          <cell r="D43">
            <v>1.3333333333333333</v>
          </cell>
          <cell r="E43">
            <v>28</v>
          </cell>
        </row>
        <row r="44">
          <cell r="C44">
            <v>213</v>
          </cell>
          <cell r="D44">
            <v>35.5</v>
          </cell>
          <cell r="E44">
            <v>745.5</v>
          </cell>
        </row>
        <row r="45">
          <cell r="C45">
            <v>1489</v>
          </cell>
          <cell r="D45">
            <v>248.16666666666666</v>
          </cell>
          <cell r="E45">
            <v>5211.5</v>
          </cell>
        </row>
        <row r="46">
          <cell r="C46">
            <v>938</v>
          </cell>
          <cell r="D46">
            <v>156.33333333333334</v>
          </cell>
          <cell r="E46">
            <v>3283</v>
          </cell>
        </row>
        <row r="47">
          <cell r="C47">
            <v>670</v>
          </cell>
          <cell r="D47">
            <v>111.66666666666667</v>
          </cell>
          <cell r="E47">
            <v>2345</v>
          </cell>
        </row>
        <row r="48">
          <cell r="C48">
            <v>962</v>
          </cell>
          <cell r="D48">
            <v>160.33333333333334</v>
          </cell>
          <cell r="E48">
            <v>3367</v>
          </cell>
        </row>
        <row r="49">
          <cell r="C49">
            <v>502</v>
          </cell>
          <cell r="D49">
            <v>83.666666666666671</v>
          </cell>
          <cell r="E49">
            <v>1757</v>
          </cell>
        </row>
        <row r="50">
          <cell r="C50">
            <v>556</v>
          </cell>
          <cell r="D50">
            <v>92.666666666666671</v>
          </cell>
          <cell r="E50">
            <v>1946</v>
          </cell>
        </row>
        <row r="51">
          <cell r="C51">
            <v>148</v>
          </cell>
          <cell r="D51">
            <v>24.666666666666668</v>
          </cell>
          <cell r="E51">
            <v>518</v>
          </cell>
        </row>
        <row r="52">
          <cell r="C52">
            <v>241</v>
          </cell>
          <cell r="D52">
            <v>40.166666666666664</v>
          </cell>
          <cell r="E52">
            <v>843.5</v>
          </cell>
        </row>
        <row r="53">
          <cell r="C53">
            <v>164</v>
          </cell>
          <cell r="D53">
            <v>27.333333333333332</v>
          </cell>
          <cell r="E53">
            <v>574</v>
          </cell>
        </row>
        <row r="54">
          <cell r="C54">
            <v>162</v>
          </cell>
          <cell r="D54">
            <v>27</v>
          </cell>
          <cell r="E54">
            <v>567</v>
          </cell>
        </row>
      </sheetData>
      <sheetData sheetId="5">
        <row r="8">
          <cell r="C8">
            <v>250</v>
          </cell>
          <cell r="D8">
            <v>41.666666666666664</v>
          </cell>
          <cell r="E8">
            <v>875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54</v>
          </cell>
          <cell r="D10">
            <v>9</v>
          </cell>
          <cell r="E10">
            <v>189</v>
          </cell>
        </row>
        <row r="11">
          <cell r="C11">
            <v>17</v>
          </cell>
          <cell r="D11">
            <v>2.8333333333333335</v>
          </cell>
          <cell r="E11">
            <v>59.5</v>
          </cell>
        </row>
        <row r="12">
          <cell r="C12">
            <v>3</v>
          </cell>
          <cell r="D12">
            <v>0.5</v>
          </cell>
          <cell r="E12">
            <v>10.5</v>
          </cell>
        </row>
        <row r="13">
          <cell r="C13">
            <v>116</v>
          </cell>
          <cell r="D13">
            <v>19.333333333333332</v>
          </cell>
          <cell r="E13">
            <v>406</v>
          </cell>
        </row>
        <row r="14">
          <cell r="C14">
            <v>51</v>
          </cell>
          <cell r="D14">
            <v>8.5</v>
          </cell>
          <cell r="E14">
            <v>178.5</v>
          </cell>
        </row>
        <row r="15">
          <cell r="C15">
            <v>111</v>
          </cell>
          <cell r="D15">
            <v>18.5</v>
          </cell>
          <cell r="E15">
            <v>388.5</v>
          </cell>
        </row>
        <row r="16">
          <cell r="C16">
            <v>148</v>
          </cell>
          <cell r="D16">
            <v>24.666666666666668</v>
          </cell>
          <cell r="E16">
            <v>518</v>
          </cell>
        </row>
        <row r="17">
          <cell r="C17">
            <v>15</v>
          </cell>
          <cell r="D17">
            <v>2.5</v>
          </cell>
          <cell r="E17">
            <v>52.5</v>
          </cell>
        </row>
        <row r="18">
          <cell r="C18">
            <v>482</v>
          </cell>
          <cell r="D18">
            <v>80.333333333333329</v>
          </cell>
          <cell r="E18">
            <v>1687</v>
          </cell>
        </row>
        <row r="19">
          <cell r="C19">
            <v>338</v>
          </cell>
          <cell r="D19">
            <v>56.333333333333336</v>
          </cell>
          <cell r="E19">
            <v>1183</v>
          </cell>
        </row>
        <row r="20">
          <cell r="C20">
            <v>252</v>
          </cell>
          <cell r="D20">
            <v>42</v>
          </cell>
          <cell r="E20">
            <v>882</v>
          </cell>
        </row>
        <row r="21">
          <cell r="C21">
            <v>328</v>
          </cell>
          <cell r="D21">
            <v>54.666666666666664</v>
          </cell>
          <cell r="E21">
            <v>1148</v>
          </cell>
        </row>
        <row r="22">
          <cell r="C22">
            <v>150</v>
          </cell>
          <cell r="D22">
            <v>25</v>
          </cell>
          <cell r="E22">
            <v>525</v>
          </cell>
        </row>
        <row r="23">
          <cell r="C23">
            <v>153</v>
          </cell>
          <cell r="D23">
            <v>25.5</v>
          </cell>
          <cell r="E23">
            <v>535.5</v>
          </cell>
        </row>
        <row r="24">
          <cell r="C24">
            <v>169</v>
          </cell>
          <cell r="D24">
            <v>28.166666666666668</v>
          </cell>
          <cell r="E24">
            <v>591.5</v>
          </cell>
        </row>
        <row r="25">
          <cell r="C25">
            <v>49</v>
          </cell>
          <cell r="D25">
            <v>8.1666666666666661</v>
          </cell>
          <cell r="E25">
            <v>171.5</v>
          </cell>
        </row>
        <row r="26">
          <cell r="C26">
            <v>5</v>
          </cell>
          <cell r="D26">
            <v>0.83333333333333337</v>
          </cell>
          <cell r="E26">
            <v>17.5</v>
          </cell>
        </row>
        <row r="27">
          <cell r="C27">
            <v>33</v>
          </cell>
          <cell r="D27">
            <v>5.5</v>
          </cell>
          <cell r="E27">
            <v>115.5</v>
          </cell>
        </row>
        <row r="28">
          <cell r="C28">
            <v>114</v>
          </cell>
          <cell r="D28">
            <v>19</v>
          </cell>
          <cell r="E28">
            <v>399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116</v>
          </cell>
          <cell r="D30">
            <v>19.333333333333332</v>
          </cell>
          <cell r="E30">
            <v>406</v>
          </cell>
        </row>
        <row r="31">
          <cell r="C31">
            <v>175</v>
          </cell>
          <cell r="D31">
            <v>29.166666666666668</v>
          </cell>
          <cell r="E31">
            <v>612.5</v>
          </cell>
        </row>
        <row r="32">
          <cell r="C32">
            <v>21</v>
          </cell>
          <cell r="D32">
            <v>3.5</v>
          </cell>
          <cell r="E32">
            <v>73.5</v>
          </cell>
        </row>
        <row r="33">
          <cell r="C33">
            <v>206</v>
          </cell>
          <cell r="D33">
            <v>34.333333333333336</v>
          </cell>
          <cell r="E33">
            <v>721</v>
          </cell>
        </row>
        <row r="34">
          <cell r="C34">
            <v>69</v>
          </cell>
          <cell r="D34">
            <v>11.5</v>
          </cell>
          <cell r="E34">
            <v>241.5</v>
          </cell>
        </row>
        <row r="35">
          <cell r="C35">
            <v>70</v>
          </cell>
          <cell r="D35">
            <v>11.666666666666666</v>
          </cell>
          <cell r="E35">
            <v>245</v>
          </cell>
        </row>
        <row r="36">
          <cell r="C36">
            <v>27</v>
          </cell>
          <cell r="D36">
            <v>4.5</v>
          </cell>
          <cell r="E36">
            <v>94.5</v>
          </cell>
        </row>
        <row r="37">
          <cell r="C37">
            <v>36</v>
          </cell>
          <cell r="D37">
            <v>6</v>
          </cell>
          <cell r="E37">
            <v>126</v>
          </cell>
        </row>
        <row r="38">
          <cell r="C38">
            <v>219</v>
          </cell>
          <cell r="D38">
            <v>36.5</v>
          </cell>
          <cell r="E38">
            <v>766.5</v>
          </cell>
        </row>
        <row r="39">
          <cell r="C39">
            <v>243</v>
          </cell>
          <cell r="D39">
            <v>40.5</v>
          </cell>
          <cell r="E39">
            <v>850.5</v>
          </cell>
        </row>
        <row r="40">
          <cell r="C40">
            <v>180</v>
          </cell>
          <cell r="D40">
            <v>30</v>
          </cell>
          <cell r="E40">
            <v>630</v>
          </cell>
        </row>
        <row r="41">
          <cell r="C41">
            <v>198</v>
          </cell>
          <cell r="D41">
            <v>33</v>
          </cell>
          <cell r="E41">
            <v>693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</row>
        <row r="46">
          <cell r="C46">
            <v>56</v>
          </cell>
          <cell r="D46">
            <v>9.3333333333333339</v>
          </cell>
          <cell r="E46">
            <v>196</v>
          </cell>
        </row>
        <row r="47">
          <cell r="C47">
            <v>44</v>
          </cell>
          <cell r="D47">
            <v>7.333333333333333</v>
          </cell>
          <cell r="E47">
            <v>154</v>
          </cell>
        </row>
        <row r="48">
          <cell r="C48">
            <v>30</v>
          </cell>
          <cell r="D48">
            <v>5</v>
          </cell>
          <cell r="E48">
            <v>105</v>
          </cell>
        </row>
        <row r="49">
          <cell r="C49">
            <v>18</v>
          </cell>
          <cell r="D49">
            <v>3</v>
          </cell>
          <cell r="E49">
            <v>63</v>
          </cell>
        </row>
        <row r="50">
          <cell r="C50">
            <v>18</v>
          </cell>
          <cell r="D50">
            <v>3</v>
          </cell>
          <cell r="E50">
            <v>63</v>
          </cell>
        </row>
        <row r="51">
          <cell r="C51">
            <v>9</v>
          </cell>
          <cell r="D51">
            <v>1.5</v>
          </cell>
          <cell r="E51">
            <v>31.5</v>
          </cell>
        </row>
        <row r="52">
          <cell r="C52">
            <v>10</v>
          </cell>
          <cell r="D52">
            <v>1.6666666666666667</v>
          </cell>
          <cell r="E52">
            <v>35</v>
          </cell>
        </row>
        <row r="53">
          <cell r="C53">
            <v>3</v>
          </cell>
          <cell r="D53">
            <v>0.5</v>
          </cell>
          <cell r="E53">
            <v>10.5</v>
          </cell>
        </row>
        <row r="54">
          <cell r="C54">
            <v>3</v>
          </cell>
          <cell r="D54">
            <v>0.5</v>
          </cell>
          <cell r="E54">
            <v>10.5</v>
          </cell>
        </row>
      </sheetData>
      <sheetData sheetId="6">
        <row r="1">
          <cell r="D1">
            <v>46296</v>
          </cell>
        </row>
        <row r="2">
          <cell r="D2">
            <v>46304</v>
          </cell>
          <cell r="E2">
            <v>6</v>
          </cell>
        </row>
        <row r="3">
          <cell r="D3">
            <v>46326</v>
          </cell>
          <cell r="E3">
            <v>15</v>
          </cell>
        </row>
        <row r="8">
          <cell r="C8">
            <v>7023</v>
          </cell>
          <cell r="D8">
            <v>1170.5</v>
          </cell>
          <cell r="E8">
            <v>24580.5</v>
          </cell>
        </row>
        <row r="9">
          <cell r="C9">
            <v>50</v>
          </cell>
          <cell r="D9">
            <v>8.3333333333333339</v>
          </cell>
          <cell r="E9">
            <v>175</v>
          </cell>
        </row>
        <row r="10">
          <cell r="C10">
            <v>2946</v>
          </cell>
          <cell r="D10">
            <v>491</v>
          </cell>
          <cell r="E10">
            <v>10311</v>
          </cell>
        </row>
        <row r="11">
          <cell r="C11">
            <v>531</v>
          </cell>
          <cell r="D11">
            <v>88.5</v>
          </cell>
          <cell r="E11">
            <v>1858.5</v>
          </cell>
        </row>
        <row r="12">
          <cell r="C12">
            <v>67</v>
          </cell>
          <cell r="D12">
            <v>11.166666666666666</v>
          </cell>
          <cell r="E12">
            <v>234.5</v>
          </cell>
        </row>
        <row r="13">
          <cell r="C13">
            <v>9144</v>
          </cell>
          <cell r="D13">
            <v>1524</v>
          </cell>
          <cell r="E13">
            <v>32004</v>
          </cell>
        </row>
        <row r="14">
          <cell r="C14">
            <v>958</v>
          </cell>
          <cell r="D14">
            <v>159.66666666666666</v>
          </cell>
          <cell r="E14">
            <v>3353</v>
          </cell>
        </row>
        <row r="15">
          <cell r="C15">
            <v>2453</v>
          </cell>
          <cell r="D15">
            <v>408.83333333333331</v>
          </cell>
          <cell r="E15">
            <v>8585.5</v>
          </cell>
        </row>
        <row r="16">
          <cell r="C16">
            <v>4939</v>
          </cell>
          <cell r="D16">
            <v>823.16666666666663</v>
          </cell>
          <cell r="E16">
            <v>17286.5</v>
          </cell>
        </row>
        <row r="17">
          <cell r="C17">
            <v>2217</v>
          </cell>
          <cell r="D17">
            <v>369.5</v>
          </cell>
          <cell r="E17">
            <v>7759.5</v>
          </cell>
        </row>
        <row r="18">
          <cell r="C18">
            <v>21459</v>
          </cell>
          <cell r="D18">
            <v>3576.5</v>
          </cell>
          <cell r="E18">
            <v>75106.5</v>
          </cell>
        </row>
        <row r="19">
          <cell r="C19">
            <v>12943</v>
          </cell>
          <cell r="D19">
            <v>2157.1666666666665</v>
          </cell>
          <cell r="E19">
            <v>45300.5</v>
          </cell>
        </row>
        <row r="20">
          <cell r="C20">
            <v>12688</v>
          </cell>
          <cell r="D20">
            <v>2114.6666666666665</v>
          </cell>
          <cell r="E20">
            <v>44408</v>
          </cell>
        </row>
        <row r="21">
          <cell r="C21">
            <v>16097</v>
          </cell>
          <cell r="D21">
            <v>2682.8333333333335</v>
          </cell>
          <cell r="E21">
            <v>56339.5</v>
          </cell>
        </row>
        <row r="22">
          <cell r="C22">
            <v>4776</v>
          </cell>
          <cell r="D22">
            <v>796</v>
          </cell>
          <cell r="E22">
            <v>16716</v>
          </cell>
        </row>
        <row r="23">
          <cell r="C23">
            <v>6325</v>
          </cell>
          <cell r="D23">
            <v>1054.1666666666667</v>
          </cell>
          <cell r="E23">
            <v>22137.5</v>
          </cell>
        </row>
        <row r="24">
          <cell r="C24">
            <v>6106</v>
          </cell>
          <cell r="D24">
            <v>1017.6666666666666</v>
          </cell>
          <cell r="E24">
            <v>21371</v>
          </cell>
        </row>
        <row r="25">
          <cell r="C25">
            <v>1674</v>
          </cell>
          <cell r="D25">
            <v>279</v>
          </cell>
          <cell r="E25">
            <v>5859</v>
          </cell>
        </row>
        <row r="26">
          <cell r="C26">
            <v>814</v>
          </cell>
          <cell r="D26">
            <v>135.66666666666666</v>
          </cell>
          <cell r="E26">
            <v>2849</v>
          </cell>
        </row>
        <row r="27">
          <cell r="C27">
            <v>3061</v>
          </cell>
          <cell r="D27">
            <v>510.16666666666669</v>
          </cell>
          <cell r="E27">
            <v>10713.5</v>
          </cell>
        </row>
        <row r="28">
          <cell r="C28">
            <v>5170</v>
          </cell>
          <cell r="D28">
            <v>861.66666666666663</v>
          </cell>
          <cell r="E28">
            <v>18095</v>
          </cell>
        </row>
        <row r="29">
          <cell r="C29">
            <v>260</v>
          </cell>
          <cell r="D29">
            <v>43.333333333333336</v>
          </cell>
          <cell r="E29">
            <v>910</v>
          </cell>
        </row>
        <row r="30">
          <cell r="C30">
            <v>3741</v>
          </cell>
          <cell r="D30">
            <v>623.5</v>
          </cell>
          <cell r="E30">
            <v>13093.5</v>
          </cell>
        </row>
        <row r="31">
          <cell r="C31">
            <v>6195</v>
          </cell>
          <cell r="D31">
            <v>1032.5</v>
          </cell>
          <cell r="E31">
            <v>21682.5</v>
          </cell>
        </row>
        <row r="32">
          <cell r="C32">
            <v>3566</v>
          </cell>
          <cell r="D32">
            <v>594.33333333333337</v>
          </cell>
          <cell r="E32">
            <v>12481</v>
          </cell>
        </row>
        <row r="33">
          <cell r="C33">
            <v>2944</v>
          </cell>
          <cell r="D33">
            <v>490.66666666666669</v>
          </cell>
          <cell r="E33">
            <v>10304</v>
          </cell>
        </row>
        <row r="34">
          <cell r="C34">
            <v>1661</v>
          </cell>
          <cell r="D34">
            <v>276.83333333333331</v>
          </cell>
          <cell r="E34">
            <v>5813.5</v>
          </cell>
        </row>
        <row r="35">
          <cell r="C35">
            <v>1796</v>
          </cell>
          <cell r="D35">
            <v>299.33333333333331</v>
          </cell>
          <cell r="E35">
            <v>6286</v>
          </cell>
        </row>
        <row r="36">
          <cell r="C36">
            <v>622</v>
          </cell>
          <cell r="D36">
            <v>103.66666666666667</v>
          </cell>
          <cell r="E36">
            <v>2177</v>
          </cell>
        </row>
        <row r="37">
          <cell r="C37">
            <v>749</v>
          </cell>
          <cell r="D37">
            <v>124.83333333333333</v>
          </cell>
          <cell r="E37">
            <v>2621.5</v>
          </cell>
        </row>
        <row r="38">
          <cell r="C38">
            <v>5071</v>
          </cell>
          <cell r="D38">
            <v>845.16666666666663</v>
          </cell>
          <cell r="E38">
            <v>17748.5</v>
          </cell>
        </row>
        <row r="39">
          <cell r="C39">
            <v>3592</v>
          </cell>
          <cell r="D39">
            <v>598.66666666666663</v>
          </cell>
          <cell r="E39">
            <v>12572</v>
          </cell>
        </row>
        <row r="40">
          <cell r="C40">
            <v>4718</v>
          </cell>
          <cell r="D40">
            <v>786.33333333333337</v>
          </cell>
          <cell r="E40">
            <v>16513</v>
          </cell>
        </row>
        <row r="41">
          <cell r="C41">
            <v>3097</v>
          </cell>
          <cell r="D41">
            <v>516.16666666666663</v>
          </cell>
          <cell r="E41">
            <v>10839.5</v>
          </cell>
        </row>
        <row r="42">
          <cell r="C42">
            <v>21</v>
          </cell>
          <cell r="D42">
            <v>3.5</v>
          </cell>
          <cell r="E42">
            <v>73.5</v>
          </cell>
        </row>
        <row r="43">
          <cell r="C43">
            <v>8</v>
          </cell>
          <cell r="D43">
            <v>1.3333333333333333</v>
          </cell>
          <cell r="E43">
            <v>28</v>
          </cell>
        </row>
        <row r="44">
          <cell r="C44">
            <v>224</v>
          </cell>
          <cell r="D44">
            <v>37.333333333333336</v>
          </cell>
          <cell r="E44">
            <v>784</v>
          </cell>
        </row>
        <row r="45">
          <cell r="C45">
            <v>3650</v>
          </cell>
          <cell r="D45">
            <v>608.33333333333337</v>
          </cell>
          <cell r="E45">
            <v>12775</v>
          </cell>
        </row>
        <row r="46">
          <cell r="C46">
            <v>2645</v>
          </cell>
          <cell r="D46">
            <v>440.83333333333331</v>
          </cell>
          <cell r="E46">
            <v>9257.5</v>
          </cell>
        </row>
        <row r="47">
          <cell r="C47">
            <v>1659</v>
          </cell>
          <cell r="D47">
            <v>276.5</v>
          </cell>
          <cell r="E47">
            <v>5806.5</v>
          </cell>
        </row>
        <row r="48">
          <cell r="C48">
            <v>2900</v>
          </cell>
          <cell r="D48">
            <v>483.33333333333331</v>
          </cell>
          <cell r="E48">
            <v>10150</v>
          </cell>
        </row>
        <row r="49">
          <cell r="C49">
            <v>1552</v>
          </cell>
          <cell r="D49">
            <v>258.66666666666669</v>
          </cell>
          <cell r="E49">
            <v>5432</v>
          </cell>
        </row>
        <row r="50">
          <cell r="C50">
            <v>1620</v>
          </cell>
          <cell r="D50">
            <v>270</v>
          </cell>
          <cell r="E50">
            <v>5670</v>
          </cell>
        </row>
        <row r="51">
          <cell r="C51">
            <v>242</v>
          </cell>
          <cell r="D51">
            <v>40.333333333333336</v>
          </cell>
          <cell r="E51">
            <v>847</v>
          </cell>
        </row>
        <row r="52">
          <cell r="C52">
            <v>507</v>
          </cell>
          <cell r="D52">
            <v>84.5</v>
          </cell>
          <cell r="E52">
            <v>1774.5</v>
          </cell>
        </row>
        <row r="53">
          <cell r="C53">
            <v>311</v>
          </cell>
          <cell r="D53">
            <v>51.833333333333336</v>
          </cell>
          <cell r="E53">
            <v>1088.5</v>
          </cell>
        </row>
        <row r="54">
          <cell r="C54">
            <v>323</v>
          </cell>
          <cell r="D54">
            <v>53.833333333333336</v>
          </cell>
          <cell r="E54">
            <v>1130.5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H15" sqref="H1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'[2]VENTAS CONSOLIDADA 1,0'!D1</f>
        <v>46296</v>
      </c>
      <c r="E1" s="11"/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'[2]VENTAS CONSOLIDADA 1,0'!D2</f>
        <v>46304</v>
      </c>
      <c r="E2" s="4">
        <f ca="1">'[2]VENTAS CONSOLIDADA 1,0'!E2</f>
        <v>6</v>
      </c>
    </row>
    <row r="3" spans="1:5" x14ac:dyDescent="0.25">
      <c r="B3" s="9"/>
      <c r="C3" s="2" t="str">
        <f>'[1]VENTAS CONSOLIDADA ZULIA'!C3</f>
        <v>FINAL VENTAS</v>
      </c>
      <c r="D3" s="3">
        <f>'[2]VENTAS CONSOLIDADA 1,0'!D3</f>
        <v>46326</v>
      </c>
      <c r="E3" s="4">
        <f ca="1">'[2]VENTAS CONSOLIDADA 1,0'!E3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ZULIA'!C8</f>
        <v>250</v>
      </c>
      <c r="D8" s="5">
        <f ca="1">'[2]VENTAS CONSOLIDADA ZULIA'!D8</f>
        <v>41.666666666666664</v>
      </c>
      <c r="E8" s="5">
        <f ca="1">'[2]VENTAS CONSOLIDADA ZULIA'!E8</f>
        <v>875</v>
      </c>
    </row>
    <row r="9" spans="1:5" x14ac:dyDescent="0.25">
      <c r="A9">
        <v>110151</v>
      </c>
      <c r="B9" t="s">
        <v>5</v>
      </c>
      <c r="C9">
        <f>'[2]VENTAS CONSOLIDADA ZULIA'!C9</f>
        <v>0</v>
      </c>
      <c r="D9" s="5">
        <f ca="1">'[2]VENTAS CONSOLIDADA ZULIA'!D9</f>
        <v>0</v>
      </c>
      <c r="E9" s="5">
        <f ca="1">'[2]VENTAS CONSOLIDADA ZULIA'!E9</f>
        <v>0</v>
      </c>
    </row>
    <row r="10" spans="1:5" x14ac:dyDescent="0.25">
      <c r="A10">
        <v>110230</v>
      </c>
      <c r="B10" t="s">
        <v>1</v>
      </c>
      <c r="C10">
        <f>'[2]VENTAS CONSOLIDADA ZULIA'!C10</f>
        <v>54</v>
      </c>
      <c r="D10" s="5">
        <f ca="1">'[2]VENTAS CONSOLIDADA ZULIA'!D10</f>
        <v>9</v>
      </c>
      <c r="E10" s="5">
        <f ca="1">'[2]VENTAS CONSOLIDADA ZULIA'!E10</f>
        <v>189</v>
      </c>
    </row>
    <row r="11" spans="1:5" x14ac:dyDescent="0.25">
      <c r="A11">
        <v>110400</v>
      </c>
      <c r="B11" t="s">
        <v>13</v>
      </c>
      <c r="C11">
        <f>'[2]VENTAS CONSOLIDADA ZULIA'!C11</f>
        <v>17</v>
      </c>
      <c r="D11" s="5">
        <f ca="1">'[2]VENTAS CONSOLIDADA ZULIA'!D11</f>
        <v>2.8333333333333335</v>
      </c>
      <c r="E11" s="5">
        <f ca="1">'[2]VENTAS CONSOLIDADA ZULIA'!E11</f>
        <v>59.5</v>
      </c>
    </row>
    <row r="12" spans="1:5" x14ac:dyDescent="0.25">
      <c r="A12">
        <v>111000</v>
      </c>
      <c r="B12" t="s">
        <v>14</v>
      </c>
      <c r="C12">
        <f>'[2]VENTAS CONSOLIDADA ZULIA'!C12</f>
        <v>3</v>
      </c>
      <c r="D12" s="5">
        <f ca="1">'[2]VENTAS CONSOLIDADA ZULIA'!D12</f>
        <v>0.5</v>
      </c>
      <c r="E12" s="5">
        <f ca="1">'[2]VENTAS CONSOLIDADA ZULIA'!E12</f>
        <v>10.5</v>
      </c>
    </row>
    <row r="13" spans="1:5" x14ac:dyDescent="0.25">
      <c r="A13">
        <v>120130</v>
      </c>
      <c r="B13" t="s">
        <v>15</v>
      </c>
      <c r="C13">
        <f>'[2]VENTAS CONSOLIDADA ZULIA'!C13</f>
        <v>116</v>
      </c>
      <c r="D13" s="5">
        <f ca="1">'[2]VENTAS CONSOLIDADA ZULIA'!D13</f>
        <v>19.333333333333332</v>
      </c>
      <c r="E13" s="5">
        <f ca="1">'[2]VENTAS CONSOLIDADA ZULIA'!E13</f>
        <v>406</v>
      </c>
    </row>
    <row r="14" spans="1:5" x14ac:dyDescent="0.25">
      <c r="A14">
        <v>120131</v>
      </c>
      <c r="B14" t="s">
        <v>23</v>
      </c>
      <c r="C14">
        <f>'[2]VENTAS CONSOLIDADA ZULIA'!C14</f>
        <v>51</v>
      </c>
      <c r="D14" s="5">
        <f ca="1">'[2]VENTAS CONSOLIDADA ZULIA'!D14</f>
        <v>8.5</v>
      </c>
      <c r="E14" s="5">
        <f ca="1">'[2]VENTAS CONSOLIDADA ZULIA'!E14</f>
        <v>178.5</v>
      </c>
    </row>
    <row r="15" spans="1:5" x14ac:dyDescent="0.25">
      <c r="A15">
        <v>120132</v>
      </c>
      <c r="B15" t="s">
        <v>21</v>
      </c>
      <c r="C15">
        <f>'[2]VENTAS CONSOLIDADA ZULIA'!C15</f>
        <v>111</v>
      </c>
      <c r="D15" s="5">
        <f ca="1">'[2]VENTAS CONSOLIDADA ZULIA'!D15</f>
        <v>18.5</v>
      </c>
      <c r="E15" s="5">
        <f ca="1">'[2]VENTAS CONSOLIDADA ZULIA'!E15</f>
        <v>388.5</v>
      </c>
    </row>
    <row r="16" spans="1:5" x14ac:dyDescent="0.25">
      <c r="A16">
        <v>130150</v>
      </c>
      <c r="B16" t="s">
        <v>0</v>
      </c>
      <c r="C16">
        <f>'[2]VENTAS CONSOLIDADA ZULIA'!C16</f>
        <v>148</v>
      </c>
      <c r="D16" s="5">
        <f ca="1">'[2]VENTAS CONSOLIDADA ZULIA'!D16</f>
        <v>24.666666666666668</v>
      </c>
      <c r="E16" s="5">
        <f ca="1">'[2]VENTAS CONSOLIDADA ZULIA'!E16</f>
        <v>518</v>
      </c>
    </row>
    <row r="17" spans="1:5" x14ac:dyDescent="0.25">
      <c r="A17">
        <v>130151</v>
      </c>
      <c r="B17" t="s">
        <v>4</v>
      </c>
      <c r="C17">
        <f>'[2]VENTAS CONSOLIDADA ZULIA'!C17</f>
        <v>15</v>
      </c>
      <c r="D17" s="5">
        <f ca="1">'[2]VENTAS CONSOLIDADA ZULIA'!D17</f>
        <v>2.5</v>
      </c>
      <c r="E17" s="5">
        <f ca="1">'[2]VENTAS CONSOLIDADA ZULIA'!E17</f>
        <v>52.5</v>
      </c>
    </row>
    <row r="18" spans="1:5" x14ac:dyDescent="0.25">
      <c r="A18">
        <v>130152</v>
      </c>
      <c r="B18" t="s">
        <v>51</v>
      </c>
      <c r="C18">
        <f>'[2]VENTAS CONSOLIDADA ZULIA'!C18</f>
        <v>482</v>
      </c>
      <c r="D18" s="5">
        <f ca="1">'[2]VENTAS CONSOLIDADA ZULIA'!D18</f>
        <v>80.333333333333329</v>
      </c>
      <c r="E18" s="5">
        <f ca="1">'[2]VENTAS CONSOLIDADA ZULIA'!E18</f>
        <v>1687</v>
      </c>
    </row>
    <row r="19" spans="1:5" x14ac:dyDescent="0.25">
      <c r="A19">
        <v>130153</v>
      </c>
      <c r="B19" t="s">
        <v>52</v>
      </c>
      <c r="C19">
        <f>'[2]VENTAS CONSOLIDADA ZULIA'!C19</f>
        <v>338</v>
      </c>
      <c r="D19" s="5">
        <f ca="1">'[2]VENTAS CONSOLIDADA ZULIA'!D19</f>
        <v>56.333333333333336</v>
      </c>
      <c r="E19" s="5">
        <f ca="1">'[2]VENTAS CONSOLIDADA ZULIA'!E19</f>
        <v>1183</v>
      </c>
    </row>
    <row r="20" spans="1:5" x14ac:dyDescent="0.25">
      <c r="A20">
        <v>130154</v>
      </c>
      <c r="B20" t="s">
        <v>53</v>
      </c>
      <c r="C20">
        <f>'[2]VENTAS CONSOLIDADA ZULIA'!C20</f>
        <v>252</v>
      </c>
      <c r="D20" s="5">
        <f ca="1">'[2]VENTAS CONSOLIDADA ZULIA'!D20</f>
        <v>42</v>
      </c>
      <c r="E20" s="5">
        <f ca="1">'[2]VENTAS CONSOLIDADA ZULIA'!E20</f>
        <v>882</v>
      </c>
    </row>
    <row r="21" spans="1:5" x14ac:dyDescent="0.25">
      <c r="A21">
        <v>130155</v>
      </c>
      <c r="B21" t="s">
        <v>16</v>
      </c>
      <c r="C21">
        <f>'[2]VENTAS CONSOLIDADA ZULIA'!C21</f>
        <v>328</v>
      </c>
      <c r="D21" s="5">
        <f ca="1">'[2]VENTAS CONSOLIDADA ZULIA'!D21</f>
        <v>54.666666666666664</v>
      </c>
      <c r="E21" s="5">
        <f ca="1">'[2]VENTAS CONSOLIDADA ZULIA'!E21</f>
        <v>1148</v>
      </c>
    </row>
    <row r="22" spans="1:5" x14ac:dyDescent="0.25">
      <c r="A22">
        <v>130157</v>
      </c>
      <c r="B22" t="s">
        <v>43</v>
      </c>
      <c r="C22">
        <f>'[2]VENTAS CONSOLIDADA ZULIA'!C22</f>
        <v>150</v>
      </c>
      <c r="D22" s="5">
        <f ca="1">'[2]VENTAS CONSOLIDADA ZULIA'!D22</f>
        <v>25</v>
      </c>
      <c r="E22" s="5">
        <f ca="1">'[2]VENTAS CONSOLIDADA ZULIA'!E22</f>
        <v>525</v>
      </c>
    </row>
    <row r="23" spans="1:5" x14ac:dyDescent="0.25">
      <c r="A23">
        <v>130158</v>
      </c>
      <c r="B23" t="s">
        <v>44</v>
      </c>
      <c r="C23">
        <f>'[2]VENTAS CONSOLIDADA ZULIA'!C23</f>
        <v>153</v>
      </c>
      <c r="D23" s="5">
        <f ca="1">'[2]VENTAS CONSOLIDADA ZULIA'!D23</f>
        <v>25.5</v>
      </c>
      <c r="E23" s="5">
        <f ca="1">'[2]VENTAS CONSOLIDADA ZULIA'!E23</f>
        <v>535.5</v>
      </c>
    </row>
    <row r="24" spans="1:5" x14ac:dyDescent="0.25">
      <c r="A24">
        <v>130159</v>
      </c>
      <c r="B24" t="s">
        <v>45</v>
      </c>
      <c r="C24">
        <f>'[2]VENTAS CONSOLIDADA ZULIA'!C24</f>
        <v>169</v>
      </c>
      <c r="D24" s="5">
        <f ca="1">'[2]VENTAS CONSOLIDADA ZULIA'!D24</f>
        <v>28.166666666666668</v>
      </c>
      <c r="E24" s="5">
        <f ca="1">'[2]VENTAS CONSOLIDADA ZULIA'!E24</f>
        <v>591.5</v>
      </c>
    </row>
    <row r="25" spans="1:5" x14ac:dyDescent="0.25">
      <c r="A25">
        <v>130700</v>
      </c>
      <c r="B25" t="s">
        <v>3</v>
      </c>
      <c r="C25">
        <f>'[2]VENTAS CONSOLIDADA ZULIA'!C25</f>
        <v>49</v>
      </c>
      <c r="D25" s="5">
        <f ca="1">'[2]VENTAS CONSOLIDADA ZULIA'!D25</f>
        <v>8.1666666666666661</v>
      </c>
      <c r="E25" s="5">
        <f ca="1">'[2]VENTAS CONSOLIDADA ZULIA'!E25</f>
        <v>171.5</v>
      </c>
    </row>
    <row r="26" spans="1:5" x14ac:dyDescent="0.25">
      <c r="A26">
        <v>130701</v>
      </c>
      <c r="B26" t="s">
        <v>30</v>
      </c>
      <c r="C26">
        <f>'[2]VENTAS CONSOLIDADA ZULIA'!C26</f>
        <v>5</v>
      </c>
      <c r="D26" s="5">
        <f ca="1">'[2]VENTAS CONSOLIDADA ZULIA'!D26</f>
        <v>0.83333333333333337</v>
      </c>
      <c r="E26" s="5">
        <f ca="1">'[2]VENTAS CONSOLIDADA ZULIA'!E26</f>
        <v>17.5</v>
      </c>
    </row>
    <row r="27" spans="1:5" x14ac:dyDescent="0.25">
      <c r="A27">
        <v>130702</v>
      </c>
      <c r="B27" t="s">
        <v>12</v>
      </c>
      <c r="C27">
        <f>'[2]VENTAS CONSOLIDADA ZULIA'!C27</f>
        <v>33</v>
      </c>
      <c r="D27" s="5">
        <f ca="1">'[2]VENTAS CONSOLIDADA ZULIA'!D27</f>
        <v>5.5</v>
      </c>
      <c r="E27" s="5">
        <f ca="1">'[2]VENTAS CONSOLIDADA ZULIA'!E27</f>
        <v>115.5</v>
      </c>
    </row>
    <row r="28" spans="1:5" x14ac:dyDescent="0.25">
      <c r="A28">
        <v>130703</v>
      </c>
      <c r="B28" t="s">
        <v>17</v>
      </c>
      <c r="C28">
        <f>'[2]VENTAS CONSOLIDADA ZULIA'!C28</f>
        <v>114</v>
      </c>
      <c r="D28" s="5">
        <f ca="1">'[2]VENTAS CONSOLIDADA ZULIA'!D28</f>
        <v>19</v>
      </c>
      <c r="E28" s="5">
        <f ca="1">'[2]VENTAS CONSOLIDADA ZULIA'!E28</f>
        <v>399</v>
      </c>
    </row>
    <row r="29" spans="1:5" x14ac:dyDescent="0.25">
      <c r="A29">
        <v>130707</v>
      </c>
      <c r="B29" t="s">
        <v>42</v>
      </c>
      <c r="C29">
        <f>'[2]VENTAS CONSOLIDADA ZULIA'!C29</f>
        <v>0</v>
      </c>
      <c r="D29" s="5">
        <f ca="1">'[2]VENTAS CONSOLIDADA ZULIA'!D29</f>
        <v>0</v>
      </c>
      <c r="E29" s="5">
        <f ca="1">'[2]VENTAS CONSOLIDADA ZULIA'!E29</f>
        <v>0</v>
      </c>
    </row>
    <row r="30" spans="1:5" x14ac:dyDescent="0.25">
      <c r="A30">
        <v>131150</v>
      </c>
      <c r="B30" t="s">
        <v>22</v>
      </c>
      <c r="C30">
        <f>'[2]VENTAS CONSOLIDADA ZULIA'!C30</f>
        <v>116</v>
      </c>
      <c r="D30" s="5">
        <f ca="1">'[2]VENTAS CONSOLIDADA ZULIA'!D30</f>
        <v>19.333333333333332</v>
      </c>
      <c r="E30" s="5">
        <f ca="1">'[2]VENTAS CONSOLIDADA ZULIA'!E30</f>
        <v>406</v>
      </c>
    </row>
    <row r="31" spans="1:5" x14ac:dyDescent="0.25">
      <c r="A31">
        <v>131151</v>
      </c>
      <c r="B31" t="s">
        <v>19</v>
      </c>
      <c r="C31">
        <f>'[2]VENTAS CONSOLIDADA ZULIA'!C31</f>
        <v>175</v>
      </c>
      <c r="D31" s="5">
        <f ca="1">'[2]VENTAS CONSOLIDADA ZULIA'!D31</f>
        <v>29.166666666666668</v>
      </c>
      <c r="E31" s="5">
        <f ca="1">'[2]VENTAS CONSOLIDADA ZULIA'!E31</f>
        <v>612.5</v>
      </c>
    </row>
    <row r="32" spans="1:5" x14ac:dyDescent="0.25">
      <c r="A32">
        <v>131152</v>
      </c>
      <c r="B32" t="s">
        <v>32</v>
      </c>
      <c r="C32">
        <f>'[2]VENTAS CONSOLIDADA ZULIA'!C32</f>
        <v>21</v>
      </c>
      <c r="D32" s="5">
        <f ca="1">'[2]VENTAS CONSOLIDADA ZULIA'!D32</f>
        <v>3.5</v>
      </c>
      <c r="E32" s="5">
        <f ca="1">'[2]VENTAS CONSOLIDADA ZULIA'!E32</f>
        <v>73.5</v>
      </c>
    </row>
    <row r="33" spans="1:5" x14ac:dyDescent="0.25">
      <c r="A33">
        <v>131153</v>
      </c>
      <c r="B33" t="s">
        <v>11</v>
      </c>
      <c r="C33">
        <f>'[2]VENTAS CONSOLIDADA ZULIA'!C33</f>
        <v>206</v>
      </c>
      <c r="D33" s="5">
        <f ca="1">'[2]VENTAS CONSOLIDADA ZULIA'!D33</f>
        <v>34.333333333333336</v>
      </c>
      <c r="E33" s="5">
        <f ca="1">'[2]VENTAS CONSOLIDADA ZULIA'!E33</f>
        <v>721</v>
      </c>
    </row>
    <row r="34" spans="1:5" x14ac:dyDescent="0.25">
      <c r="A34">
        <v>131154</v>
      </c>
      <c r="B34" t="s">
        <v>48</v>
      </c>
      <c r="C34">
        <f>'[2]VENTAS CONSOLIDADA ZULIA'!C34</f>
        <v>69</v>
      </c>
      <c r="D34" s="5">
        <f ca="1">'[2]VENTAS CONSOLIDADA ZULIA'!D34</f>
        <v>11.5</v>
      </c>
      <c r="E34" s="5">
        <f ca="1">'[2]VENTAS CONSOLIDADA ZULIA'!E34</f>
        <v>241.5</v>
      </c>
    </row>
    <row r="35" spans="1:5" x14ac:dyDescent="0.25">
      <c r="A35">
        <v>131155</v>
      </c>
      <c r="B35" t="s">
        <v>57</v>
      </c>
      <c r="C35">
        <f>'[2]VENTAS CONSOLIDADA ZULIA'!C35</f>
        <v>70</v>
      </c>
      <c r="D35" s="5">
        <f ca="1">'[2]VENTAS CONSOLIDADA ZULIA'!D35</f>
        <v>11.666666666666666</v>
      </c>
      <c r="E35" s="5">
        <f ca="1">'[2]VENTAS CONSOLIDADA ZULIA'!E35</f>
        <v>245</v>
      </c>
    </row>
    <row r="36" spans="1:5" x14ac:dyDescent="0.25">
      <c r="A36">
        <v>131700</v>
      </c>
      <c r="B36" t="s">
        <v>20</v>
      </c>
      <c r="C36">
        <f>'[2]VENTAS CONSOLIDADA ZULIA'!C36</f>
        <v>27</v>
      </c>
      <c r="D36" s="5">
        <f ca="1">'[2]VENTAS CONSOLIDADA ZULIA'!D36</f>
        <v>4.5</v>
      </c>
      <c r="E36" s="5">
        <f ca="1">'[2]VENTAS CONSOLIDADA ZULIA'!E36</f>
        <v>94.5</v>
      </c>
    </row>
    <row r="37" spans="1:5" x14ac:dyDescent="0.25">
      <c r="A37">
        <v>131701</v>
      </c>
      <c r="B37" t="s">
        <v>24</v>
      </c>
      <c r="C37">
        <f>'[2]VENTAS CONSOLIDADA ZULIA'!C37</f>
        <v>36</v>
      </c>
      <c r="D37" s="5">
        <f ca="1">'[2]VENTAS CONSOLIDADA ZULIA'!D37</f>
        <v>6</v>
      </c>
      <c r="E37" s="5">
        <f ca="1">'[2]VENTAS CONSOLIDADA ZULIA'!E37</f>
        <v>126</v>
      </c>
    </row>
    <row r="38" spans="1:5" x14ac:dyDescent="0.25">
      <c r="A38">
        <v>132150</v>
      </c>
      <c r="B38" t="s">
        <v>25</v>
      </c>
      <c r="C38">
        <f>'[2]VENTAS CONSOLIDADA ZULIA'!C38</f>
        <v>219</v>
      </c>
      <c r="D38" s="5">
        <f ca="1">'[2]VENTAS CONSOLIDADA ZULIA'!D38</f>
        <v>36.5</v>
      </c>
      <c r="E38" s="5">
        <f ca="1">'[2]VENTAS CONSOLIDADA ZULIA'!E38</f>
        <v>766.5</v>
      </c>
    </row>
    <row r="39" spans="1:5" x14ac:dyDescent="0.25">
      <c r="A39">
        <v>132151</v>
      </c>
      <c r="B39" t="s">
        <v>26</v>
      </c>
      <c r="C39">
        <f>'[2]VENTAS CONSOLIDADA ZULIA'!C39</f>
        <v>243</v>
      </c>
      <c r="D39" s="5">
        <f ca="1">'[2]VENTAS CONSOLIDADA ZULIA'!D39</f>
        <v>40.5</v>
      </c>
      <c r="E39" s="5">
        <f ca="1">'[2]VENTAS CONSOLIDADA ZULIA'!E39</f>
        <v>850.5</v>
      </c>
    </row>
    <row r="40" spans="1:5" x14ac:dyDescent="0.25">
      <c r="A40">
        <v>132152</v>
      </c>
      <c r="B40" t="s">
        <v>27</v>
      </c>
      <c r="C40">
        <f>'[2]VENTAS CONSOLIDADA ZULIA'!C40</f>
        <v>180</v>
      </c>
      <c r="D40" s="5">
        <f ca="1">'[2]VENTAS CONSOLIDADA ZULIA'!D40</f>
        <v>30</v>
      </c>
      <c r="E40" s="5">
        <f ca="1">'[2]VENTAS CONSOLIDADA ZULIA'!E40</f>
        <v>630</v>
      </c>
    </row>
    <row r="41" spans="1:5" x14ac:dyDescent="0.25">
      <c r="A41">
        <v>132153</v>
      </c>
      <c r="B41" t="s">
        <v>40</v>
      </c>
      <c r="C41">
        <f>'[2]VENTAS CONSOLIDADA ZULIA'!C41</f>
        <v>198</v>
      </c>
      <c r="D41" s="5">
        <f ca="1">'[2]VENTAS CONSOLIDADA ZULIA'!D41</f>
        <v>33</v>
      </c>
      <c r="E41" s="5">
        <f ca="1">'[2]VENTAS CONSOLIDADA ZULIA'!E41</f>
        <v>693</v>
      </c>
    </row>
    <row r="42" spans="1:5" x14ac:dyDescent="0.25">
      <c r="A42">
        <v>134000</v>
      </c>
      <c r="B42" t="s">
        <v>35</v>
      </c>
      <c r="C42">
        <f>'[2]VENTAS CONSOLIDADA ZULIA'!C42</f>
        <v>0</v>
      </c>
      <c r="D42" s="5">
        <f ca="1">'[2]VENTAS CONSOLIDADA ZULIA'!D42</f>
        <v>0</v>
      </c>
      <c r="E42" s="5">
        <f ca="1">'[2]VENTAS CONSOLIDADA ZULIA'!E42</f>
        <v>0</v>
      </c>
    </row>
    <row r="43" spans="1:5" x14ac:dyDescent="0.25">
      <c r="A43">
        <v>134001</v>
      </c>
      <c r="B43" t="s">
        <v>47</v>
      </c>
      <c r="C43">
        <f>'[2]VENTAS CONSOLIDADA ZULIA'!C43</f>
        <v>0</v>
      </c>
      <c r="D43" s="5">
        <f ca="1">'[2]VENTAS CONSOLIDADA ZULIA'!D43</f>
        <v>0</v>
      </c>
      <c r="E43" s="5">
        <f ca="1">'[2]VENTAS CONSOLIDADA ZULIA'!E43</f>
        <v>0</v>
      </c>
    </row>
    <row r="44" spans="1:5" x14ac:dyDescent="0.25">
      <c r="A44">
        <v>140230</v>
      </c>
      <c r="B44" t="s">
        <v>18</v>
      </c>
      <c r="C44">
        <f>'[2]VENTAS CONSOLIDADA ZULIA'!C44</f>
        <v>0</v>
      </c>
      <c r="D44" s="5">
        <f ca="1">'[2]VENTAS CONSOLIDADA ZULIA'!D44</f>
        <v>0</v>
      </c>
      <c r="E44" s="5">
        <f ca="1">'[2]VENTAS CONSOLIDADA ZULIA'!E44</f>
        <v>0</v>
      </c>
    </row>
    <row r="45" spans="1:5" x14ac:dyDescent="0.25">
      <c r="A45">
        <v>140231</v>
      </c>
      <c r="B45" t="s">
        <v>10</v>
      </c>
      <c r="C45">
        <f>'[2]VENTAS CONSOLIDADA ZULIA'!C45</f>
        <v>0</v>
      </c>
      <c r="D45" s="5">
        <f ca="1">'[2]VENTAS CONSOLIDADA ZULIA'!D45</f>
        <v>0</v>
      </c>
      <c r="E45" s="5">
        <f ca="1">'[2]VENTAS CONSOLIDADA ZULIA'!E45</f>
        <v>0</v>
      </c>
    </row>
    <row r="46" spans="1:5" x14ac:dyDescent="0.25">
      <c r="A46">
        <v>140232</v>
      </c>
      <c r="B46" t="s">
        <v>9</v>
      </c>
      <c r="C46">
        <f>'[2]VENTAS CONSOLIDADA ZULIA'!C46</f>
        <v>56</v>
      </c>
      <c r="D46" s="5">
        <f ca="1">'[2]VENTAS CONSOLIDADA ZULIA'!D46</f>
        <v>9.3333333333333339</v>
      </c>
      <c r="E46" s="5">
        <f ca="1">'[2]VENTAS CONSOLIDADA ZULIA'!E46</f>
        <v>196</v>
      </c>
    </row>
    <row r="47" spans="1:5" x14ac:dyDescent="0.25">
      <c r="A47">
        <v>150360</v>
      </c>
      <c r="B47" t="s">
        <v>28</v>
      </c>
      <c r="C47">
        <f>'[2]VENTAS CONSOLIDADA ZULIA'!C47</f>
        <v>44</v>
      </c>
      <c r="D47" s="5">
        <f ca="1">'[2]VENTAS CONSOLIDADA ZULIA'!D47</f>
        <v>7.333333333333333</v>
      </c>
      <c r="E47" s="5">
        <f ca="1">'[2]VENTAS CONSOLIDADA ZULIA'!E47</f>
        <v>154</v>
      </c>
    </row>
    <row r="48" spans="1:5" x14ac:dyDescent="0.25">
      <c r="A48">
        <v>150361</v>
      </c>
      <c r="B48" t="s">
        <v>29</v>
      </c>
      <c r="C48">
        <f>'[2]VENTAS CONSOLIDADA ZULIA'!C48</f>
        <v>30</v>
      </c>
      <c r="D48" s="5">
        <f ca="1">'[2]VENTAS CONSOLIDADA ZULIA'!D48</f>
        <v>5</v>
      </c>
      <c r="E48" s="5">
        <f ca="1">'[2]VENTAS CONSOLIDADA ZULIA'!E48</f>
        <v>105</v>
      </c>
    </row>
    <row r="49" spans="1:5" x14ac:dyDescent="0.25">
      <c r="A49">
        <v>150362</v>
      </c>
      <c r="B49" t="s">
        <v>36</v>
      </c>
      <c r="C49">
        <f>'[2]VENTAS CONSOLIDADA ZULIA'!C49</f>
        <v>18</v>
      </c>
      <c r="D49" s="5">
        <f ca="1">'[2]VENTAS CONSOLIDADA ZULIA'!D49</f>
        <v>3</v>
      </c>
      <c r="E49" s="5">
        <f ca="1">'[2]VENTAS CONSOLIDADA ZULIA'!E49</f>
        <v>63</v>
      </c>
    </row>
    <row r="50" spans="1:5" x14ac:dyDescent="0.25">
      <c r="A50">
        <v>150363</v>
      </c>
      <c r="B50" t="s">
        <v>31</v>
      </c>
      <c r="C50">
        <f>'[2]VENTAS CONSOLIDADA ZULIA'!C50</f>
        <v>18</v>
      </c>
      <c r="D50" s="5">
        <f ca="1">'[2]VENTAS CONSOLIDADA ZULIA'!D50</f>
        <v>3</v>
      </c>
      <c r="E50" s="5">
        <f ca="1">'[2]VENTAS CONSOLIDADA ZULIA'!E50</f>
        <v>63</v>
      </c>
    </row>
    <row r="51" spans="1:5" x14ac:dyDescent="0.25">
      <c r="A51">
        <v>151500</v>
      </c>
      <c r="B51" t="s">
        <v>41</v>
      </c>
      <c r="C51">
        <f>'[2]VENTAS CONSOLIDADA ZULIA'!C51</f>
        <v>9</v>
      </c>
      <c r="D51" s="5">
        <f ca="1">'[2]VENTAS CONSOLIDADA ZULIA'!D51</f>
        <v>1.5</v>
      </c>
      <c r="E51" s="5">
        <f ca="1">'[2]VENTAS CONSOLIDADA ZULIA'!E51</f>
        <v>31.5</v>
      </c>
    </row>
    <row r="52" spans="1:5" x14ac:dyDescent="0.25">
      <c r="A52">
        <v>151501</v>
      </c>
      <c r="B52" t="s">
        <v>33</v>
      </c>
      <c r="C52">
        <f>'[2]VENTAS CONSOLIDADA ZULIA'!C52</f>
        <v>10</v>
      </c>
      <c r="D52" s="5">
        <f ca="1">'[2]VENTAS CONSOLIDADA ZULIA'!D52</f>
        <v>1.6666666666666667</v>
      </c>
      <c r="E52" s="5">
        <f ca="1">'[2]VENTAS CONSOLIDADA ZULIA'!E52</f>
        <v>35</v>
      </c>
    </row>
    <row r="53" spans="1:5" x14ac:dyDescent="0.25">
      <c r="A53">
        <v>151502</v>
      </c>
      <c r="B53" t="s">
        <v>37</v>
      </c>
      <c r="C53">
        <f>'[2]VENTAS CONSOLIDADA ZULIA'!C53</f>
        <v>3</v>
      </c>
      <c r="D53" s="5">
        <f ca="1">'[2]VENTAS CONSOLIDADA ZULIA'!D53</f>
        <v>0.5</v>
      </c>
      <c r="E53" s="5">
        <f ca="1">'[2]VENTAS CONSOLIDADA ZULIA'!E53</f>
        <v>10.5</v>
      </c>
    </row>
    <row r="54" spans="1:5" x14ac:dyDescent="0.25">
      <c r="A54">
        <v>151503</v>
      </c>
      <c r="B54" t="s">
        <v>34</v>
      </c>
      <c r="C54">
        <f>'[2]VENTAS CONSOLIDADA ZULIA'!C54</f>
        <v>3</v>
      </c>
      <c r="D54" s="5">
        <f ca="1">'[2]VENTAS CONSOLIDADA ZULIA'!D54</f>
        <v>0.5</v>
      </c>
      <c r="E54" s="5">
        <f ca="1">'[2]VENTAS CONSOLIDADA ZULIA'!E54</f>
        <v>10.5</v>
      </c>
    </row>
    <row r="55" spans="1:5" x14ac:dyDescent="0.25">
      <c r="D55" s="5">
        <f ca="1">SUM(D8:D54)</f>
        <v>764.83333333333337</v>
      </c>
      <c r="E55" s="5">
        <f ca="1">SUM(E8:E54)</f>
        <v>16061.5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F22" sqref="F22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'VENTAS CONSOLIDADA ZULIA'!D2</f>
        <v>46304</v>
      </c>
      <c r="E2" s="4">
        <f ca="1">'VENTAS CONSOLIDADA ZULIA'!E2</f>
        <v>6</v>
      </c>
    </row>
    <row r="3" spans="1:5" x14ac:dyDescent="0.25">
      <c r="B3" s="9"/>
      <c r="C3" s="2" t="str">
        <f>'[1]VENTAS CONSOLIDADA VALENCIA'!C3</f>
        <v>FINAL VENTAS</v>
      </c>
      <c r="D3" s="3">
        <f>'VENTAS CONSOLIDADA ZULIA'!D3</f>
        <v>46326</v>
      </c>
      <c r="E3" s="4">
        <f ca="1">'VENTAS CONSOLIDADA ZULIA'!E3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VALENCIA'!C8</f>
        <v>1579</v>
      </c>
      <c r="D8" s="5">
        <f ca="1">'[2]VENTAS CONSOLIDADA VALENCIA'!D8</f>
        <v>263.16666666666669</v>
      </c>
      <c r="E8" s="5">
        <f ca="1">'[2]VENTAS CONSOLIDADA VALENCIA'!E8</f>
        <v>5526.5</v>
      </c>
    </row>
    <row r="9" spans="1:5" x14ac:dyDescent="0.25">
      <c r="A9">
        <v>110151</v>
      </c>
      <c r="B9" t="s">
        <v>5</v>
      </c>
      <c r="C9">
        <f>'[2]VENTAS CONSOLIDADA VALENCIA'!C9</f>
        <v>23</v>
      </c>
      <c r="D9" s="5">
        <f ca="1">'[2]VENTAS CONSOLIDADA VALENCIA'!D9</f>
        <v>3.8333333333333335</v>
      </c>
      <c r="E9" s="5">
        <f ca="1">'[2]VENTAS CONSOLIDADA VALENCIA'!E9</f>
        <v>80.5</v>
      </c>
    </row>
    <row r="10" spans="1:5" x14ac:dyDescent="0.25">
      <c r="A10">
        <v>110230</v>
      </c>
      <c r="B10" t="s">
        <v>1</v>
      </c>
      <c r="C10">
        <f>'[2]VENTAS CONSOLIDADA VALENCIA'!C10</f>
        <v>961</v>
      </c>
      <c r="D10" s="5">
        <f ca="1">'[2]VENTAS CONSOLIDADA VALENCIA'!D10</f>
        <v>160.16666666666666</v>
      </c>
      <c r="E10" s="5">
        <f ca="1">'[2]VENTAS CONSOLIDADA VALENCIA'!E10</f>
        <v>3363.5</v>
      </c>
    </row>
    <row r="11" spans="1:5" x14ac:dyDescent="0.25">
      <c r="A11">
        <v>110400</v>
      </c>
      <c r="B11" t="s">
        <v>13</v>
      </c>
      <c r="C11">
        <f>'[2]VENTAS CONSOLIDADA VALENCIA'!C11</f>
        <v>181</v>
      </c>
      <c r="D11" s="5">
        <f ca="1">'[2]VENTAS CONSOLIDADA VALENCIA'!D11</f>
        <v>30.166666666666668</v>
      </c>
      <c r="E11" s="5">
        <f ca="1">'[2]VENTAS CONSOLIDADA VALENCIA'!E11</f>
        <v>633.5</v>
      </c>
    </row>
    <row r="12" spans="1:5" x14ac:dyDescent="0.25">
      <c r="A12">
        <v>111000</v>
      </c>
      <c r="B12" t="s">
        <v>14</v>
      </c>
      <c r="C12">
        <f>'[2]VENTAS CONSOLIDADA VALENCIA'!C12</f>
        <v>23</v>
      </c>
      <c r="D12" s="5">
        <f ca="1">'[2]VENTAS CONSOLIDADA VALENCIA'!D12</f>
        <v>3.8333333333333335</v>
      </c>
      <c r="E12" s="5">
        <f ca="1">'[2]VENTAS CONSOLIDADA VALENCIA'!E12</f>
        <v>80.5</v>
      </c>
    </row>
    <row r="13" spans="1:5" x14ac:dyDescent="0.25">
      <c r="A13">
        <v>120130</v>
      </c>
      <c r="B13" t="s">
        <v>15</v>
      </c>
      <c r="C13">
        <f>'[2]VENTAS CONSOLIDADA VALENCIA'!C13</f>
        <v>2741</v>
      </c>
      <c r="D13" s="5">
        <f ca="1">'[2]VENTAS CONSOLIDADA VALENCIA'!D13</f>
        <v>456.83333333333331</v>
      </c>
      <c r="E13" s="5">
        <f ca="1">'[2]VENTAS CONSOLIDADA VALENCIA'!E13</f>
        <v>9593.5</v>
      </c>
    </row>
    <row r="14" spans="1:5" x14ac:dyDescent="0.25">
      <c r="A14">
        <v>120131</v>
      </c>
      <c r="B14" t="s">
        <v>23</v>
      </c>
      <c r="C14">
        <f>'[2]VENTAS CONSOLIDADA VALENCIA'!C14</f>
        <v>529</v>
      </c>
      <c r="D14" s="5">
        <f ca="1">'[2]VENTAS CONSOLIDADA VALENCIA'!D14</f>
        <v>88.166666666666671</v>
      </c>
      <c r="E14" s="5">
        <f ca="1">'[2]VENTAS CONSOLIDADA VALENCIA'!E14</f>
        <v>1851.5</v>
      </c>
    </row>
    <row r="15" spans="1:5" x14ac:dyDescent="0.25">
      <c r="A15">
        <v>120132</v>
      </c>
      <c r="B15" t="s">
        <v>21</v>
      </c>
      <c r="C15">
        <f>'[2]VENTAS CONSOLIDADA VALENCIA'!C15</f>
        <v>1142</v>
      </c>
      <c r="D15" s="5">
        <f ca="1">'[2]VENTAS CONSOLIDADA VALENCIA'!D15</f>
        <v>190.33333333333334</v>
      </c>
      <c r="E15" s="5">
        <f ca="1">'[2]VENTAS CONSOLIDADA VALENCIA'!E15</f>
        <v>3997</v>
      </c>
    </row>
    <row r="16" spans="1:5" x14ac:dyDescent="0.25">
      <c r="A16">
        <v>130150</v>
      </c>
      <c r="B16" t="s">
        <v>0</v>
      </c>
      <c r="C16">
        <f>'[2]VENTAS CONSOLIDADA VALENCIA'!C16</f>
        <v>2347</v>
      </c>
      <c r="D16" s="5">
        <f ca="1">'[2]VENTAS CONSOLIDADA VALENCIA'!D16</f>
        <v>391.16666666666669</v>
      </c>
      <c r="E16" s="5">
        <f ca="1">'[2]VENTAS CONSOLIDADA VALENCIA'!E16</f>
        <v>8214.5</v>
      </c>
    </row>
    <row r="17" spans="1:5" x14ac:dyDescent="0.25">
      <c r="A17">
        <v>130151</v>
      </c>
      <c r="B17" t="s">
        <v>4</v>
      </c>
      <c r="C17">
        <f>'[2]VENTAS CONSOLIDADA VALENCIA'!C17</f>
        <v>921</v>
      </c>
      <c r="D17" s="5">
        <f ca="1">'[2]VENTAS CONSOLIDADA VALENCIA'!D17</f>
        <v>153.5</v>
      </c>
      <c r="E17" s="5">
        <f ca="1">'[2]VENTAS CONSOLIDADA VALENCIA'!E17</f>
        <v>3223.5</v>
      </c>
    </row>
    <row r="18" spans="1:5" x14ac:dyDescent="0.25">
      <c r="A18">
        <v>130152</v>
      </c>
      <c r="B18" t="s">
        <v>51</v>
      </c>
      <c r="C18">
        <f>'[2]VENTAS CONSOLIDADA VALENCIA'!C18</f>
        <v>6940</v>
      </c>
      <c r="D18" s="5">
        <f ca="1">'[2]VENTAS CONSOLIDADA VALENCIA'!D18</f>
        <v>1156.6666666666667</v>
      </c>
      <c r="E18" s="5">
        <f ca="1">'[2]VENTAS CONSOLIDADA VALENCIA'!E18</f>
        <v>24290</v>
      </c>
    </row>
    <row r="19" spans="1:5" x14ac:dyDescent="0.25">
      <c r="A19">
        <v>130153</v>
      </c>
      <c r="B19" t="s">
        <v>52</v>
      </c>
      <c r="C19">
        <f>'[2]VENTAS CONSOLIDADA VALENCIA'!C19</f>
        <v>4075</v>
      </c>
      <c r="D19" s="5">
        <f ca="1">'[2]VENTAS CONSOLIDADA VALENCIA'!D19</f>
        <v>679.16666666666663</v>
      </c>
      <c r="E19" s="5">
        <f ca="1">'[2]VENTAS CONSOLIDADA VALENCIA'!E19</f>
        <v>14262.5</v>
      </c>
    </row>
    <row r="20" spans="1:5" x14ac:dyDescent="0.25">
      <c r="A20">
        <v>130154</v>
      </c>
      <c r="B20" t="s">
        <v>53</v>
      </c>
      <c r="C20">
        <f>'[2]VENTAS CONSOLIDADA VALENCIA'!C20</f>
        <v>3985</v>
      </c>
      <c r="D20" s="5">
        <f ca="1">'[2]VENTAS CONSOLIDADA VALENCIA'!D20</f>
        <v>664.16666666666663</v>
      </c>
      <c r="E20" s="5">
        <f ca="1">'[2]VENTAS CONSOLIDADA VALENCIA'!E20</f>
        <v>13947.5</v>
      </c>
    </row>
    <row r="21" spans="1:5" x14ac:dyDescent="0.25">
      <c r="A21">
        <v>130155</v>
      </c>
      <c r="B21" t="s">
        <v>16</v>
      </c>
      <c r="C21">
        <f>'[2]VENTAS CONSOLIDADA VALENCIA'!C21</f>
        <v>4950</v>
      </c>
      <c r="D21" s="5">
        <f ca="1">'[2]VENTAS CONSOLIDADA VALENCIA'!D21</f>
        <v>825</v>
      </c>
      <c r="E21" s="5">
        <f ca="1">'[2]VENTAS CONSOLIDADA VALENCIA'!E21</f>
        <v>17325</v>
      </c>
    </row>
    <row r="22" spans="1:5" x14ac:dyDescent="0.25">
      <c r="A22">
        <v>130157</v>
      </c>
      <c r="B22" t="s">
        <v>43</v>
      </c>
      <c r="C22">
        <f>'[2]VENTAS CONSOLIDADA VALENCIA'!C22</f>
        <v>1153</v>
      </c>
      <c r="D22" s="5">
        <f ca="1">'[2]VENTAS CONSOLIDADA VALENCIA'!D22</f>
        <v>192.16666666666666</v>
      </c>
      <c r="E22" s="5">
        <f ca="1">'[2]VENTAS CONSOLIDADA VALENCIA'!E22</f>
        <v>4035.5</v>
      </c>
    </row>
    <row r="23" spans="1:5" x14ac:dyDescent="0.25">
      <c r="A23">
        <v>130158</v>
      </c>
      <c r="B23" t="s">
        <v>44</v>
      </c>
      <c r="C23">
        <f>'[2]VENTAS CONSOLIDADA VALENCIA'!C23</f>
        <v>2119</v>
      </c>
      <c r="D23" s="5">
        <f ca="1">'[2]VENTAS CONSOLIDADA VALENCIA'!D23</f>
        <v>353.16666666666669</v>
      </c>
      <c r="E23" s="5">
        <f ca="1">'[2]VENTAS CONSOLIDADA VALENCIA'!E23</f>
        <v>7416.5</v>
      </c>
    </row>
    <row r="24" spans="1:5" x14ac:dyDescent="0.25">
      <c r="A24">
        <v>130159</v>
      </c>
      <c r="B24" t="s">
        <v>45</v>
      </c>
      <c r="C24">
        <f>'[2]VENTAS CONSOLIDADA VALENCIA'!C24</f>
        <v>1844</v>
      </c>
      <c r="D24" s="5">
        <f ca="1">'[2]VENTAS CONSOLIDADA VALENCIA'!D24</f>
        <v>307.33333333333331</v>
      </c>
      <c r="E24" s="5">
        <f ca="1">'[2]VENTAS CONSOLIDADA VALENCIA'!E24</f>
        <v>6454</v>
      </c>
    </row>
    <row r="25" spans="1:5" x14ac:dyDescent="0.25">
      <c r="A25">
        <v>130700</v>
      </c>
      <c r="B25" t="s">
        <v>3</v>
      </c>
      <c r="C25">
        <f>'[2]VENTAS CONSOLIDADA VALENCIA'!C25</f>
        <v>795</v>
      </c>
      <c r="D25" s="5">
        <f ca="1">'[2]VENTAS CONSOLIDADA VALENCIA'!D25</f>
        <v>132.5</v>
      </c>
      <c r="E25" s="5">
        <f ca="1">'[2]VENTAS CONSOLIDADA VALENCIA'!E25</f>
        <v>2782.5</v>
      </c>
    </row>
    <row r="26" spans="1:5" x14ac:dyDescent="0.25">
      <c r="A26">
        <v>130701</v>
      </c>
      <c r="B26" t="s">
        <v>30</v>
      </c>
      <c r="C26">
        <f>'[2]VENTAS CONSOLIDADA VALENCIA'!C26</f>
        <v>373</v>
      </c>
      <c r="D26" s="5">
        <f ca="1">'[2]VENTAS CONSOLIDADA VALENCIA'!D26</f>
        <v>62.166666666666664</v>
      </c>
      <c r="E26" s="5">
        <f ca="1">'[2]VENTAS CONSOLIDADA VALENCIA'!E26</f>
        <v>1305.5</v>
      </c>
    </row>
    <row r="27" spans="1:5" x14ac:dyDescent="0.25">
      <c r="A27">
        <v>130702</v>
      </c>
      <c r="B27" t="s">
        <v>12</v>
      </c>
      <c r="C27">
        <f>'[2]VENTAS CONSOLIDADA VALENCIA'!C27</f>
        <v>1269</v>
      </c>
      <c r="D27" s="5">
        <f ca="1">'[2]VENTAS CONSOLIDADA VALENCIA'!D27</f>
        <v>211.5</v>
      </c>
      <c r="E27" s="5">
        <f ca="1">'[2]VENTAS CONSOLIDADA VALENCIA'!E27</f>
        <v>4441.5</v>
      </c>
    </row>
    <row r="28" spans="1:5" x14ac:dyDescent="0.25">
      <c r="A28">
        <v>130703</v>
      </c>
      <c r="B28" t="s">
        <v>17</v>
      </c>
      <c r="C28">
        <f>'[2]VENTAS CONSOLIDADA VALENCIA'!C28</f>
        <v>1784</v>
      </c>
      <c r="D28" s="5">
        <f ca="1">'[2]VENTAS CONSOLIDADA VALENCIA'!D28</f>
        <v>297.33333333333331</v>
      </c>
      <c r="E28" s="5">
        <f ca="1">'[2]VENTAS CONSOLIDADA VALENCIA'!E28</f>
        <v>6244</v>
      </c>
    </row>
    <row r="29" spans="1:5" x14ac:dyDescent="0.25">
      <c r="A29">
        <v>130707</v>
      </c>
      <c r="B29" t="s">
        <v>42</v>
      </c>
      <c r="C29">
        <f>'[2]VENTAS CONSOLIDADA VALENCIA'!C29</f>
        <v>0</v>
      </c>
      <c r="D29" s="5">
        <f ca="1">'[2]VENTAS CONSOLIDADA VALENCIA'!D29</f>
        <v>0</v>
      </c>
      <c r="E29" s="5">
        <f ca="1">'[2]VENTAS CONSOLIDADA VALENCIA'!E29</f>
        <v>0</v>
      </c>
    </row>
    <row r="30" spans="1:5" x14ac:dyDescent="0.25">
      <c r="A30">
        <v>131150</v>
      </c>
      <c r="B30" t="s">
        <v>22</v>
      </c>
      <c r="C30">
        <f>'[2]VENTAS CONSOLIDADA VALENCIA'!C30</f>
        <v>971</v>
      </c>
      <c r="D30" s="5">
        <f ca="1">'[2]VENTAS CONSOLIDADA VALENCIA'!D30</f>
        <v>161.83333333333334</v>
      </c>
      <c r="E30" s="5">
        <f ca="1">'[2]VENTAS CONSOLIDADA VALENCIA'!E30</f>
        <v>3398.5</v>
      </c>
    </row>
    <row r="31" spans="1:5" x14ac:dyDescent="0.25">
      <c r="A31">
        <v>131151</v>
      </c>
      <c r="B31" t="s">
        <v>19</v>
      </c>
      <c r="C31">
        <f>'[2]VENTAS CONSOLIDADA VALENCIA'!C31</f>
        <v>1495</v>
      </c>
      <c r="D31" s="5">
        <f ca="1">'[2]VENTAS CONSOLIDADA VALENCIA'!D31</f>
        <v>249.16666666666666</v>
      </c>
      <c r="E31" s="5">
        <f ca="1">'[2]VENTAS CONSOLIDADA VALENCIA'!E31</f>
        <v>5232.5</v>
      </c>
    </row>
    <row r="32" spans="1:5" x14ac:dyDescent="0.25">
      <c r="A32">
        <v>131152</v>
      </c>
      <c r="B32" t="s">
        <v>32</v>
      </c>
      <c r="C32">
        <f>'[2]VENTAS CONSOLIDADA VALENCIA'!C32</f>
        <v>1118</v>
      </c>
      <c r="D32" s="5">
        <f ca="1">'[2]VENTAS CONSOLIDADA VALENCIA'!D32</f>
        <v>186.33333333333334</v>
      </c>
      <c r="E32" s="5">
        <f ca="1">'[2]VENTAS CONSOLIDADA VALENCIA'!E32</f>
        <v>3913</v>
      </c>
    </row>
    <row r="33" spans="1:5" x14ac:dyDescent="0.25">
      <c r="A33">
        <v>131153</v>
      </c>
      <c r="B33" t="s">
        <v>11</v>
      </c>
      <c r="C33">
        <f>'[2]VENTAS CONSOLIDADA VALENCIA'!C33</f>
        <v>960</v>
      </c>
      <c r="D33" s="5">
        <f ca="1">'[2]VENTAS CONSOLIDADA VALENCIA'!D33</f>
        <v>160</v>
      </c>
      <c r="E33" s="5">
        <f ca="1">'[2]VENTAS CONSOLIDADA VALENCIA'!E33</f>
        <v>3360</v>
      </c>
    </row>
    <row r="34" spans="1:5" x14ac:dyDescent="0.25">
      <c r="A34">
        <v>131154</v>
      </c>
      <c r="B34" t="s">
        <v>48</v>
      </c>
      <c r="C34">
        <f>'[2]VENTAS CONSOLIDADA VALENCIA'!C34</f>
        <v>529</v>
      </c>
      <c r="D34" s="5">
        <f ca="1">'[2]VENTAS CONSOLIDADA VALENCIA'!D34</f>
        <v>88.166666666666671</v>
      </c>
      <c r="E34" s="5">
        <f ca="1">'[2]VENTAS CONSOLIDADA VALENCIA'!E34</f>
        <v>1851.5</v>
      </c>
    </row>
    <row r="35" spans="1:5" x14ac:dyDescent="0.25">
      <c r="A35">
        <v>131155</v>
      </c>
      <c r="B35" t="s">
        <v>57</v>
      </c>
      <c r="C35">
        <f>'[2]VENTAS CONSOLIDADA VALENCIA'!C35</f>
        <v>263</v>
      </c>
      <c r="D35" s="5">
        <f ca="1">'[2]VENTAS CONSOLIDADA VALENCIA'!D35</f>
        <v>43.833333333333336</v>
      </c>
      <c r="E35" s="5">
        <f ca="1">'[2]VENTAS CONSOLIDADA VALENCIA'!E35</f>
        <v>920.5</v>
      </c>
    </row>
    <row r="36" spans="1:5" x14ac:dyDescent="0.25">
      <c r="A36">
        <v>131700</v>
      </c>
      <c r="B36" t="s">
        <v>20</v>
      </c>
      <c r="C36">
        <f>'[2]VENTAS CONSOLIDADA VALENCIA'!C36</f>
        <v>240</v>
      </c>
      <c r="D36" s="5">
        <f ca="1">'[2]VENTAS CONSOLIDADA VALENCIA'!D36</f>
        <v>40</v>
      </c>
      <c r="E36" s="5">
        <f ca="1">'[2]VENTAS CONSOLIDADA VALENCIA'!E36</f>
        <v>840</v>
      </c>
    </row>
    <row r="37" spans="1:5" x14ac:dyDescent="0.25">
      <c r="A37">
        <v>131701</v>
      </c>
      <c r="B37" t="s">
        <v>24</v>
      </c>
      <c r="C37">
        <f>'[2]VENTAS CONSOLIDADA VALENCIA'!C37</f>
        <v>278</v>
      </c>
      <c r="D37" s="5">
        <f ca="1">'[2]VENTAS CONSOLIDADA VALENCIA'!D37</f>
        <v>46.333333333333336</v>
      </c>
      <c r="E37" s="5">
        <f ca="1">'[2]VENTAS CONSOLIDADA VALENCIA'!E37</f>
        <v>973</v>
      </c>
    </row>
    <row r="38" spans="1:5" x14ac:dyDescent="0.25">
      <c r="A38">
        <v>132150</v>
      </c>
      <c r="B38" t="s">
        <v>25</v>
      </c>
      <c r="C38">
        <f>'[2]VENTAS CONSOLIDADA VALENCIA'!C38</f>
        <v>1871</v>
      </c>
      <c r="D38" s="5">
        <f ca="1">'[2]VENTAS CONSOLIDADA VALENCIA'!D38</f>
        <v>311.83333333333331</v>
      </c>
      <c r="E38" s="5">
        <f ca="1">'[2]VENTAS CONSOLIDADA VALENCIA'!E38</f>
        <v>6548.5</v>
      </c>
    </row>
    <row r="39" spans="1:5" x14ac:dyDescent="0.25">
      <c r="A39">
        <v>132151</v>
      </c>
      <c r="B39" t="s">
        <v>26</v>
      </c>
      <c r="C39">
        <f>'[2]VENTAS CONSOLIDADA VALENCIA'!C39</f>
        <v>1221</v>
      </c>
      <c r="D39" s="5">
        <f ca="1">'[2]VENTAS CONSOLIDADA VALENCIA'!D39</f>
        <v>203.5</v>
      </c>
      <c r="E39" s="5">
        <f ca="1">'[2]VENTAS CONSOLIDADA VALENCIA'!E39</f>
        <v>4273.5</v>
      </c>
    </row>
    <row r="40" spans="1:5" x14ac:dyDescent="0.25">
      <c r="A40">
        <v>132152</v>
      </c>
      <c r="B40" t="s">
        <v>27</v>
      </c>
      <c r="C40">
        <f>'[2]VENTAS CONSOLIDADA VALENCIA'!C40</f>
        <v>1622</v>
      </c>
      <c r="D40" s="5">
        <f ca="1">'[2]VENTAS CONSOLIDADA VALENCIA'!D40</f>
        <v>270.33333333333331</v>
      </c>
      <c r="E40" s="5">
        <f ca="1">'[2]VENTAS CONSOLIDADA VALENCIA'!E40</f>
        <v>5677</v>
      </c>
    </row>
    <row r="41" spans="1:5" x14ac:dyDescent="0.25">
      <c r="A41">
        <v>132153</v>
      </c>
      <c r="B41" t="s">
        <v>40</v>
      </c>
      <c r="C41">
        <f>'[2]VENTAS CONSOLIDADA VALENCIA'!C41</f>
        <v>1129</v>
      </c>
      <c r="D41" s="5">
        <f ca="1">'[2]VENTAS CONSOLIDADA VALENCIA'!D41</f>
        <v>188.16666666666666</v>
      </c>
      <c r="E41" s="5">
        <f ca="1">'[2]VENTAS CONSOLIDADA VALENCIA'!E41</f>
        <v>3951.5</v>
      </c>
    </row>
    <row r="42" spans="1:5" x14ac:dyDescent="0.25">
      <c r="A42">
        <v>134000</v>
      </c>
      <c r="B42" t="s">
        <v>35</v>
      </c>
      <c r="C42">
        <f>'[2]VENTAS CONSOLIDADA VALENCIA'!C42</f>
        <v>15</v>
      </c>
      <c r="D42" s="5">
        <f ca="1">'[2]VENTAS CONSOLIDADA VALENCIA'!D42</f>
        <v>2.5</v>
      </c>
      <c r="E42" s="5">
        <f ca="1">'[2]VENTAS CONSOLIDADA VALENCIA'!E42</f>
        <v>52.5</v>
      </c>
    </row>
    <row r="43" spans="1:5" x14ac:dyDescent="0.25">
      <c r="A43">
        <v>134001</v>
      </c>
      <c r="B43" t="s">
        <v>47</v>
      </c>
      <c r="C43">
        <f>'[2]VENTAS CONSOLIDADA VALENCIA'!C43</f>
        <v>8</v>
      </c>
      <c r="D43" s="5">
        <f ca="1">'[2]VENTAS CONSOLIDADA VALENCIA'!D43</f>
        <v>1.3333333333333333</v>
      </c>
      <c r="E43" s="5">
        <f ca="1">'[2]VENTAS CONSOLIDADA VALENCIA'!E43</f>
        <v>28</v>
      </c>
    </row>
    <row r="44" spans="1:5" x14ac:dyDescent="0.25">
      <c r="A44">
        <v>140230</v>
      </c>
      <c r="B44" t="s">
        <v>18</v>
      </c>
      <c r="C44">
        <f>'[2]VENTAS CONSOLIDADA VALENCIA'!C44</f>
        <v>213</v>
      </c>
      <c r="D44" s="5">
        <f ca="1">'[2]VENTAS CONSOLIDADA VALENCIA'!D44</f>
        <v>35.5</v>
      </c>
      <c r="E44" s="5">
        <f ca="1">'[2]VENTAS CONSOLIDADA VALENCIA'!E44</f>
        <v>745.5</v>
      </c>
    </row>
    <row r="45" spans="1:5" x14ac:dyDescent="0.25">
      <c r="A45">
        <v>140231</v>
      </c>
      <c r="B45" t="s">
        <v>10</v>
      </c>
      <c r="C45">
        <f>'[2]VENTAS CONSOLIDADA VALENCIA'!C45</f>
        <v>1489</v>
      </c>
      <c r="D45" s="5">
        <f ca="1">'[2]VENTAS CONSOLIDADA VALENCIA'!D45</f>
        <v>248.16666666666666</v>
      </c>
      <c r="E45" s="5">
        <f ca="1">'[2]VENTAS CONSOLIDADA VALENCIA'!E45</f>
        <v>5211.5</v>
      </c>
    </row>
    <row r="46" spans="1:5" x14ac:dyDescent="0.25">
      <c r="A46">
        <v>140232</v>
      </c>
      <c r="B46" t="s">
        <v>9</v>
      </c>
      <c r="C46">
        <f>'[2]VENTAS CONSOLIDADA VALENCIA'!C46</f>
        <v>938</v>
      </c>
      <c r="D46" s="5">
        <f ca="1">'[2]VENTAS CONSOLIDADA VALENCIA'!D46</f>
        <v>156.33333333333334</v>
      </c>
      <c r="E46" s="5">
        <f ca="1">'[2]VENTAS CONSOLIDADA VALENCIA'!E46</f>
        <v>3283</v>
      </c>
    </row>
    <row r="47" spans="1:5" x14ac:dyDescent="0.25">
      <c r="A47">
        <v>150360</v>
      </c>
      <c r="B47" t="s">
        <v>28</v>
      </c>
      <c r="C47">
        <f>'[2]VENTAS CONSOLIDADA VALENCIA'!C47</f>
        <v>670</v>
      </c>
      <c r="D47" s="5">
        <f ca="1">'[2]VENTAS CONSOLIDADA VALENCIA'!D47</f>
        <v>111.66666666666667</v>
      </c>
      <c r="E47" s="5">
        <f ca="1">'[2]VENTAS CONSOLIDADA VALENCIA'!E47</f>
        <v>2345</v>
      </c>
    </row>
    <row r="48" spans="1:5" x14ac:dyDescent="0.25">
      <c r="A48">
        <v>150361</v>
      </c>
      <c r="B48" t="s">
        <v>29</v>
      </c>
      <c r="C48">
        <f>'[2]VENTAS CONSOLIDADA VALENCIA'!C48</f>
        <v>962</v>
      </c>
      <c r="D48" s="5">
        <f ca="1">'[2]VENTAS CONSOLIDADA VALENCIA'!D48</f>
        <v>160.33333333333334</v>
      </c>
      <c r="E48" s="5">
        <f ca="1">'[2]VENTAS CONSOLIDADA VALENCIA'!E48</f>
        <v>3367</v>
      </c>
    </row>
    <row r="49" spans="1:5" x14ac:dyDescent="0.25">
      <c r="A49">
        <v>150362</v>
      </c>
      <c r="B49" t="s">
        <v>36</v>
      </c>
      <c r="C49">
        <f>'[2]VENTAS CONSOLIDADA VALENCIA'!C49</f>
        <v>502</v>
      </c>
      <c r="D49" s="5">
        <f ca="1">'[2]VENTAS CONSOLIDADA VALENCIA'!D49</f>
        <v>83.666666666666671</v>
      </c>
      <c r="E49" s="5">
        <f ca="1">'[2]VENTAS CONSOLIDADA VALENCIA'!E49</f>
        <v>1757</v>
      </c>
    </row>
    <row r="50" spans="1:5" x14ac:dyDescent="0.25">
      <c r="A50">
        <v>150363</v>
      </c>
      <c r="B50" t="s">
        <v>31</v>
      </c>
      <c r="C50">
        <f>'[2]VENTAS CONSOLIDADA VALENCIA'!C50</f>
        <v>556</v>
      </c>
      <c r="D50" s="5">
        <f ca="1">'[2]VENTAS CONSOLIDADA VALENCIA'!D50</f>
        <v>92.666666666666671</v>
      </c>
      <c r="E50" s="5">
        <f ca="1">'[2]VENTAS CONSOLIDADA VALENCIA'!E50</f>
        <v>1946</v>
      </c>
    </row>
    <row r="51" spans="1:5" x14ac:dyDescent="0.25">
      <c r="A51">
        <v>151500</v>
      </c>
      <c r="B51" t="s">
        <v>41</v>
      </c>
      <c r="C51">
        <f>'[2]VENTAS CONSOLIDADA VALENCIA'!C51</f>
        <v>148</v>
      </c>
      <c r="D51" s="5">
        <f ca="1">'[2]VENTAS CONSOLIDADA VALENCIA'!D51</f>
        <v>24.666666666666668</v>
      </c>
      <c r="E51" s="5">
        <f ca="1">'[2]VENTAS CONSOLIDADA VALENCIA'!E51</f>
        <v>518</v>
      </c>
    </row>
    <row r="52" spans="1:5" x14ac:dyDescent="0.25">
      <c r="A52">
        <v>151501</v>
      </c>
      <c r="B52" t="s">
        <v>33</v>
      </c>
      <c r="C52">
        <f>'[2]VENTAS CONSOLIDADA VALENCIA'!C52</f>
        <v>241</v>
      </c>
      <c r="D52" s="5">
        <f ca="1">'[2]VENTAS CONSOLIDADA VALENCIA'!D52</f>
        <v>40.166666666666664</v>
      </c>
      <c r="E52" s="5">
        <f ca="1">'[2]VENTAS CONSOLIDADA VALENCIA'!E52</f>
        <v>843.5</v>
      </c>
    </row>
    <row r="53" spans="1:5" x14ac:dyDescent="0.25">
      <c r="A53">
        <v>151502</v>
      </c>
      <c r="B53" t="s">
        <v>37</v>
      </c>
      <c r="C53">
        <f>'[2]VENTAS CONSOLIDADA VALENCIA'!C53</f>
        <v>164</v>
      </c>
      <c r="D53" s="5">
        <f ca="1">'[2]VENTAS CONSOLIDADA VALENCIA'!D53</f>
        <v>27.333333333333332</v>
      </c>
      <c r="E53" s="5">
        <f ca="1">'[2]VENTAS CONSOLIDADA VALENCIA'!E53</f>
        <v>574</v>
      </c>
    </row>
    <row r="54" spans="1:5" x14ac:dyDescent="0.25">
      <c r="A54">
        <v>151503</v>
      </c>
      <c r="B54" t="s">
        <v>34</v>
      </c>
      <c r="C54">
        <f>'[2]VENTAS CONSOLIDADA VALENCIA'!C54</f>
        <v>162</v>
      </c>
      <c r="D54" s="5">
        <f ca="1">'[2]VENTAS CONSOLIDADA VALENCIA'!D54</f>
        <v>27</v>
      </c>
      <c r="E54" s="5">
        <f ca="1">'[2]VENTAS CONSOLIDADA VALENCIA'!E54</f>
        <v>567</v>
      </c>
    </row>
    <row r="55" spans="1:5" x14ac:dyDescent="0.25">
      <c r="D55" s="5">
        <f ca="1">SUM(D8:D54)</f>
        <v>9583.1666666666642</v>
      </c>
      <c r="E55" s="5">
        <f ca="1">SUM(E8:E54)</f>
        <v>201246.5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23" sqref="F23:G23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'VENTAS CONSOLIDADA ZULIA'!D1</f>
        <v>46296</v>
      </c>
      <c r="E1" s="11"/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'VENTAS CONSOLIDADA ZULIA'!D2</f>
        <v>46304</v>
      </c>
      <c r="E2" s="4">
        <f ca="1">'VENTAS CONSOLIDADA ZULIA'!E2</f>
        <v>6</v>
      </c>
    </row>
    <row r="3" spans="1:6" x14ac:dyDescent="0.25">
      <c r="B3" s="9"/>
      <c r="C3" s="2" t="str">
        <f>'[1]VENTAS CONSOLIDADA CARACAS'!C3</f>
        <v>FINAL VENTAS</v>
      </c>
      <c r="D3" s="3">
        <f>'VENTAS CONSOLIDADA ZULIA'!D3</f>
        <v>46326</v>
      </c>
      <c r="E3" s="4">
        <f ca="1">'VENTAS CONSOLIDADA ZULIA'!E3</f>
        <v>15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'[2]VENTAS CONSOLIDADA CARACAS'!C8</f>
        <v>3688</v>
      </c>
      <c r="D8" s="5">
        <f ca="1">'[2]VENTAS CONSOLIDADA CARACAS'!D8</f>
        <v>614.66666666666663</v>
      </c>
      <c r="E8" s="5">
        <f ca="1">'[2]VENTAS CONSOLIDADA CARACAS'!E8</f>
        <v>12908</v>
      </c>
      <c r="F8" s="5"/>
    </row>
    <row r="9" spans="1:6" x14ac:dyDescent="0.25">
      <c r="A9">
        <v>110151</v>
      </c>
      <c r="B9" t="s">
        <v>5</v>
      </c>
      <c r="C9">
        <f>'[2]VENTAS CONSOLIDADA CARACAS'!C9</f>
        <v>0</v>
      </c>
      <c r="D9" s="5">
        <f ca="1">'[2]VENTAS CONSOLIDADA CARACAS'!D9</f>
        <v>0</v>
      </c>
      <c r="E9" s="5">
        <f ca="1">'[2]VENTAS CONSOLIDADA CARACAS'!E9</f>
        <v>0</v>
      </c>
    </row>
    <row r="10" spans="1:6" x14ac:dyDescent="0.25">
      <c r="A10">
        <v>110230</v>
      </c>
      <c r="B10" t="s">
        <v>1</v>
      </c>
      <c r="C10">
        <f>'[2]VENTAS CONSOLIDADA CARACAS'!C10</f>
        <v>1748</v>
      </c>
      <c r="D10" s="5">
        <f ca="1">'[2]VENTAS CONSOLIDADA CARACAS'!D10</f>
        <v>291.33333333333331</v>
      </c>
      <c r="E10" s="5">
        <f ca="1">'[2]VENTAS CONSOLIDADA CARACAS'!E10</f>
        <v>6118</v>
      </c>
    </row>
    <row r="11" spans="1:6" x14ac:dyDescent="0.25">
      <c r="A11">
        <v>110400</v>
      </c>
      <c r="B11" t="s">
        <v>13</v>
      </c>
      <c r="C11">
        <f>'[2]VENTAS CONSOLIDADA CARACAS'!C11</f>
        <v>299</v>
      </c>
      <c r="D11" s="5">
        <f ca="1">'[2]VENTAS CONSOLIDADA CARACAS'!D11</f>
        <v>49.833333333333336</v>
      </c>
      <c r="E11" s="5">
        <f ca="1">'[2]VENTAS CONSOLIDADA CARACAS'!E11</f>
        <v>1046.5</v>
      </c>
    </row>
    <row r="12" spans="1:6" x14ac:dyDescent="0.25">
      <c r="A12">
        <v>111000</v>
      </c>
      <c r="B12" t="s">
        <v>14</v>
      </c>
      <c r="C12">
        <f>'[2]VENTAS CONSOLIDADA CARACAS'!C12</f>
        <v>39</v>
      </c>
      <c r="D12" s="5">
        <f ca="1">'[2]VENTAS CONSOLIDADA CARACAS'!D12</f>
        <v>6.5</v>
      </c>
      <c r="E12" s="5">
        <f ca="1">'[2]VENTAS CONSOLIDADA CARACAS'!E12</f>
        <v>136.5</v>
      </c>
    </row>
    <row r="13" spans="1:6" x14ac:dyDescent="0.25">
      <c r="A13">
        <v>120130</v>
      </c>
      <c r="B13" t="s">
        <v>15</v>
      </c>
      <c r="C13">
        <f>'[2]VENTAS CONSOLIDADA CARACAS'!C13</f>
        <v>4659</v>
      </c>
      <c r="D13" s="5">
        <f ca="1">'[2]VENTAS CONSOLIDADA CARACAS'!D13</f>
        <v>776.5</v>
      </c>
      <c r="E13" s="5">
        <f ca="1">'[2]VENTAS CONSOLIDADA CARACAS'!E13</f>
        <v>16306.5</v>
      </c>
    </row>
    <row r="14" spans="1:6" x14ac:dyDescent="0.25">
      <c r="A14">
        <v>120131</v>
      </c>
      <c r="B14" t="s">
        <v>23</v>
      </c>
      <c r="C14">
        <f>'[2]VENTAS CONSOLIDADA CARACAS'!C14</f>
        <v>266</v>
      </c>
      <c r="D14" s="5">
        <f ca="1">'[2]VENTAS CONSOLIDADA CARACAS'!D14</f>
        <v>44.333333333333336</v>
      </c>
      <c r="E14" s="5">
        <f ca="1">'[2]VENTAS CONSOLIDADA CARACAS'!E14</f>
        <v>931</v>
      </c>
    </row>
    <row r="15" spans="1:6" x14ac:dyDescent="0.25">
      <c r="A15">
        <v>120132</v>
      </c>
      <c r="B15" t="s">
        <v>21</v>
      </c>
      <c r="C15">
        <f>'[2]VENTAS CONSOLIDADA CARACAS'!C15</f>
        <v>872</v>
      </c>
      <c r="D15" s="5">
        <f ca="1">'[2]VENTAS CONSOLIDADA CARACAS'!D15</f>
        <v>145.33333333333334</v>
      </c>
      <c r="E15" s="5">
        <f ca="1">'[2]VENTAS CONSOLIDADA CARACAS'!E15</f>
        <v>3052</v>
      </c>
    </row>
    <row r="16" spans="1:6" x14ac:dyDescent="0.25">
      <c r="A16">
        <v>130150</v>
      </c>
      <c r="B16" t="s">
        <v>0</v>
      </c>
      <c r="C16">
        <f>'[2]VENTAS CONSOLIDADA CARACAS'!C16</f>
        <v>1812</v>
      </c>
      <c r="D16" s="5">
        <f ca="1">'[2]VENTAS CONSOLIDADA CARACAS'!D16</f>
        <v>302</v>
      </c>
      <c r="E16" s="5">
        <f ca="1">'[2]VENTAS CONSOLIDADA CARACAS'!E16</f>
        <v>6342</v>
      </c>
    </row>
    <row r="17" spans="1:5" x14ac:dyDescent="0.25">
      <c r="A17">
        <v>130151</v>
      </c>
      <c r="B17" t="s">
        <v>4</v>
      </c>
      <c r="C17">
        <f>'[2]VENTAS CONSOLIDADA CARACAS'!C17</f>
        <v>1133</v>
      </c>
      <c r="D17" s="5">
        <f ca="1">'[2]VENTAS CONSOLIDADA CARACAS'!D17</f>
        <v>188.83333333333334</v>
      </c>
      <c r="E17" s="5">
        <f ca="1">'[2]VENTAS CONSOLIDADA CARACAS'!E17</f>
        <v>3965.5</v>
      </c>
    </row>
    <row r="18" spans="1:5" x14ac:dyDescent="0.25">
      <c r="A18">
        <v>130152</v>
      </c>
      <c r="B18" t="s">
        <v>51</v>
      </c>
      <c r="C18">
        <f>'[2]VENTAS CONSOLIDADA CARACAS'!C18</f>
        <v>9497</v>
      </c>
      <c r="D18" s="5">
        <f ca="1">'[2]VENTAS CONSOLIDADA CARACAS'!D18</f>
        <v>1582.8333333333333</v>
      </c>
      <c r="E18" s="5">
        <f ca="1">'[2]VENTAS CONSOLIDADA CARACAS'!E18</f>
        <v>33239.5</v>
      </c>
    </row>
    <row r="19" spans="1:5" x14ac:dyDescent="0.25">
      <c r="A19">
        <v>130153</v>
      </c>
      <c r="B19" t="s">
        <v>52</v>
      </c>
      <c r="C19">
        <f>'[2]VENTAS CONSOLIDADA CARACAS'!C19</f>
        <v>6193</v>
      </c>
      <c r="D19" s="5">
        <f ca="1">'[2]VENTAS CONSOLIDADA CARACAS'!D19</f>
        <v>1032.1666666666667</v>
      </c>
      <c r="E19" s="5">
        <f ca="1">'[2]VENTAS CONSOLIDADA CARACAS'!E19</f>
        <v>21675.5</v>
      </c>
    </row>
    <row r="20" spans="1:5" x14ac:dyDescent="0.25">
      <c r="A20">
        <v>130154</v>
      </c>
      <c r="B20" t="s">
        <v>53</v>
      </c>
      <c r="C20">
        <f>'[2]VENTAS CONSOLIDADA CARACAS'!C20</f>
        <v>5935</v>
      </c>
      <c r="D20" s="5">
        <f ca="1">'[2]VENTAS CONSOLIDADA CARACAS'!D20</f>
        <v>989.16666666666663</v>
      </c>
      <c r="E20" s="5">
        <f ca="1">'[2]VENTAS CONSOLIDADA CARACAS'!E20</f>
        <v>20772.5</v>
      </c>
    </row>
    <row r="21" spans="1:5" x14ac:dyDescent="0.25">
      <c r="A21">
        <v>130155</v>
      </c>
      <c r="B21" t="s">
        <v>16</v>
      </c>
      <c r="C21">
        <f>'[2]VENTAS CONSOLIDADA CARACAS'!C21</f>
        <v>7906</v>
      </c>
      <c r="D21" s="5">
        <f ca="1">'[2]VENTAS CONSOLIDADA CARACAS'!D21</f>
        <v>1317.6666666666667</v>
      </c>
      <c r="E21" s="5">
        <f ca="1">'[2]VENTAS CONSOLIDADA CARACAS'!E21</f>
        <v>27671</v>
      </c>
    </row>
    <row r="22" spans="1:5" x14ac:dyDescent="0.25">
      <c r="A22">
        <v>130157</v>
      </c>
      <c r="B22" t="s">
        <v>43</v>
      </c>
      <c r="C22">
        <f>'[2]VENTAS CONSOLIDADA CARACAS'!C22</f>
        <v>2559</v>
      </c>
      <c r="D22" s="5">
        <f ca="1">'[2]VENTAS CONSOLIDADA CARACAS'!D22</f>
        <v>426.5</v>
      </c>
      <c r="E22" s="5">
        <f ca="1">'[2]VENTAS CONSOLIDADA CARACAS'!E22</f>
        <v>8956.5</v>
      </c>
    </row>
    <row r="23" spans="1:5" x14ac:dyDescent="0.25">
      <c r="A23">
        <v>130158</v>
      </c>
      <c r="B23" t="s">
        <v>44</v>
      </c>
      <c r="C23">
        <f>'[2]VENTAS CONSOLIDADA CARACAS'!C23</f>
        <v>2744</v>
      </c>
      <c r="D23" s="5">
        <f ca="1">'[2]VENTAS CONSOLIDADA CARACAS'!D23</f>
        <v>457.33333333333331</v>
      </c>
      <c r="E23" s="5">
        <f ca="1">'[2]VENTAS CONSOLIDADA CARACAS'!E23</f>
        <v>9604</v>
      </c>
    </row>
    <row r="24" spans="1:5" x14ac:dyDescent="0.25">
      <c r="A24">
        <v>130159</v>
      </c>
      <c r="B24" t="s">
        <v>45</v>
      </c>
      <c r="C24">
        <f>'[2]VENTAS CONSOLIDADA CARACAS'!C24</f>
        <v>2819</v>
      </c>
      <c r="D24" s="5">
        <f ca="1">'[2]VENTAS CONSOLIDADA CARACAS'!D24</f>
        <v>469.83333333333331</v>
      </c>
      <c r="E24" s="5">
        <f ca="1">'[2]VENTAS CONSOLIDADA CARACAS'!E24</f>
        <v>9866.5</v>
      </c>
    </row>
    <row r="25" spans="1:5" x14ac:dyDescent="0.25">
      <c r="A25">
        <v>130700</v>
      </c>
      <c r="B25" t="s">
        <v>3</v>
      </c>
      <c r="C25">
        <f>'[2]VENTAS CONSOLIDADA CARACAS'!C25</f>
        <v>630</v>
      </c>
      <c r="D25" s="5">
        <f ca="1">'[2]VENTAS CONSOLIDADA CARACAS'!D25</f>
        <v>105</v>
      </c>
      <c r="E25" s="5">
        <f ca="1">'[2]VENTAS CONSOLIDADA CARACAS'!E25</f>
        <v>2205</v>
      </c>
    </row>
    <row r="26" spans="1:5" x14ac:dyDescent="0.25">
      <c r="A26">
        <v>130701</v>
      </c>
      <c r="B26" t="s">
        <v>30</v>
      </c>
      <c r="C26">
        <f>'[2]VENTAS CONSOLIDADA CARACAS'!C26</f>
        <v>400</v>
      </c>
      <c r="D26" s="5">
        <f ca="1">'[2]VENTAS CONSOLIDADA CARACAS'!D26</f>
        <v>66.666666666666671</v>
      </c>
      <c r="E26" s="5">
        <f ca="1">'[2]VENTAS CONSOLIDADA CARACAS'!E26</f>
        <v>1400</v>
      </c>
    </row>
    <row r="27" spans="1:5" x14ac:dyDescent="0.25">
      <c r="A27">
        <v>130702</v>
      </c>
      <c r="B27" t="s">
        <v>12</v>
      </c>
      <c r="C27">
        <f>'[2]VENTAS CONSOLIDADA CARACAS'!C27</f>
        <v>1192</v>
      </c>
      <c r="D27" s="5">
        <f ca="1">'[2]VENTAS CONSOLIDADA CARACAS'!D27</f>
        <v>198.66666666666666</v>
      </c>
      <c r="E27" s="5">
        <f ca="1">'[2]VENTAS CONSOLIDADA CARACAS'!E27</f>
        <v>4172</v>
      </c>
    </row>
    <row r="28" spans="1:5" x14ac:dyDescent="0.25">
      <c r="A28">
        <v>130703</v>
      </c>
      <c r="B28" t="s">
        <v>17</v>
      </c>
      <c r="C28">
        <f>'[2]VENTAS CONSOLIDADA CARACAS'!C28</f>
        <v>2579</v>
      </c>
      <c r="D28" s="5">
        <f ca="1">'[2]VENTAS CONSOLIDADA CARACAS'!D28</f>
        <v>429.83333333333331</v>
      </c>
      <c r="E28" s="5">
        <f ca="1">'[2]VENTAS CONSOLIDADA CARACAS'!E28</f>
        <v>9026.5</v>
      </c>
    </row>
    <row r="29" spans="1:5" x14ac:dyDescent="0.25">
      <c r="A29">
        <v>130707</v>
      </c>
      <c r="B29" t="s">
        <v>42</v>
      </c>
      <c r="C29">
        <f>'[2]VENTAS CONSOLIDADA CARACAS'!C29</f>
        <v>260</v>
      </c>
      <c r="D29" s="5">
        <f ca="1">'[2]VENTAS CONSOLIDADA CARACAS'!D29</f>
        <v>43.333333333333336</v>
      </c>
      <c r="E29" s="5">
        <f ca="1">'[2]VENTAS CONSOLIDADA CARACAS'!E29</f>
        <v>910</v>
      </c>
    </row>
    <row r="30" spans="1:5" x14ac:dyDescent="0.25">
      <c r="A30">
        <v>131150</v>
      </c>
      <c r="B30" t="s">
        <v>22</v>
      </c>
      <c r="C30">
        <f>'[2]VENTAS CONSOLIDADA CARACAS'!C30</f>
        <v>2155</v>
      </c>
      <c r="D30" s="5">
        <f ca="1">'[2]VENTAS CONSOLIDADA CARACAS'!D30</f>
        <v>359.16666666666669</v>
      </c>
      <c r="E30" s="5">
        <f ca="1">'[2]VENTAS CONSOLIDADA CARACAS'!E30</f>
        <v>7542.5</v>
      </c>
    </row>
    <row r="31" spans="1:5" x14ac:dyDescent="0.25">
      <c r="A31">
        <v>131151</v>
      </c>
      <c r="B31" t="s">
        <v>19</v>
      </c>
      <c r="C31">
        <f>'[2]VENTAS CONSOLIDADA CARACAS'!C31</f>
        <v>3483</v>
      </c>
      <c r="D31" s="5">
        <f ca="1">'[2]VENTAS CONSOLIDADA CARACAS'!D31</f>
        <v>580.5</v>
      </c>
      <c r="E31" s="5">
        <f ca="1">'[2]VENTAS CONSOLIDADA CARACAS'!E31</f>
        <v>12190.5</v>
      </c>
    </row>
    <row r="32" spans="1:5" x14ac:dyDescent="0.25">
      <c r="A32">
        <v>131152</v>
      </c>
      <c r="B32" t="s">
        <v>32</v>
      </c>
      <c r="C32">
        <f>'[2]VENTAS CONSOLIDADA CARACAS'!C32</f>
        <v>1762</v>
      </c>
      <c r="D32" s="5">
        <f ca="1">'[2]VENTAS CONSOLIDADA CARACAS'!D32</f>
        <v>293.66666666666669</v>
      </c>
      <c r="E32" s="5">
        <f ca="1">'[2]VENTAS CONSOLIDADA CARACAS'!E32</f>
        <v>6167</v>
      </c>
    </row>
    <row r="33" spans="1:5" x14ac:dyDescent="0.25">
      <c r="A33">
        <v>131153</v>
      </c>
      <c r="B33" t="s">
        <v>11</v>
      </c>
      <c r="C33">
        <f>'[2]VENTAS CONSOLIDADA CARACAS'!C33</f>
        <v>1257</v>
      </c>
      <c r="D33" s="5">
        <f ca="1">'[2]VENTAS CONSOLIDADA CARACAS'!D33</f>
        <v>209.5</v>
      </c>
      <c r="E33" s="5">
        <f ca="1">'[2]VENTAS CONSOLIDADA CARACAS'!E33</f>
        <v>4399.5</v>
      </c>
    </row>
    <row r="34" spans="1:5" x14ac:dyDescent="0.25">
      <c r="A34">
        <v>131154</v>
      </c>
      <c r="B34" t="s">
        <v>48</v>
      </c>
      <c r="C34">
        <f>'[2]VENTAS CONSOLIDADA CARACAS'!C34</f>
        <v>657</v>
      </c>
      <c r="D34" s="5">
        <f ca="1">'[2]VENTAS CONSOLIDADA CARACAS'!D34</f>
        <v>109.5</v>
      </c>
      <c r="E34" s="5">
        <f ca="1">'[2]VENTAS CONSOLIDADA CARACAS'!E34</f>
        <v>2299.5</v>
      </c>
    </row>
    <row r="35" spans="1:5" x14ac:dyDescent="0.25">
      <c r="A35">
        <v>131155</v>
      </c>
      <c r="B35" t="s">
        <v>57</v>
      </c>
      <c r="C35">
        <f>'[2]VENTAS CONSOLIDADA CARACAS'!C35</f>
        <v>873</v>
      </c>
      <c r="D35" s="5">
        <f ca="1">'[2]VENTAS CONSOLIDADA CARACAS'!D35</f>
        <v>145.5</v>
      </c>
      <c r="E35" s="5">
        <f ca="1">'[2]VENTAS CONSOLIDADA CARACAS'!E35</f>
        <v>3055.5</v>
      </c>
    </row>
    <row r="36" spans="1:5" x14ac:dyDescent="0.25">
      <c r="A36">
        <v>131700</v>
      </c>
      <c r="B36" t="s">
        <v>20</v>
      </c>
      <c r="C36">
        <f>'[2]VENTAS CONSOLIDADA CARACAS'!C36</f>
        <v>299</v>
      </c>
      <c r="D36" s="5">
        <f ca="1">'[2]VENTAS CONSOLIDADA CARACAS'!D36</f>
        <v>49.833333333333336</v>
      </c>
      <c r="E36" s="5">
        <f ca="1">'[2]VENTAS CONSOLIDADA CARACAS'!E36</f>
        <v>1046.5</v>
      </c>
    </row>
    <row r="37" spans="1:5" x14ac:dyDescent="0.25">
      <c r="A37">
        <v>131701</v>
      </c>
      <c r="B37" t="s">
        <v>24</v>
      </c>
      <c r="C37">
        <f>'[2]VENTAS CONSOLIDADA CARACAS'!C37</f>
        <v>338</v>
      </c>
      <c r="D37" s="5">
        <f ca="1">'[2]VENTAS CONSOLIDADA CARACAS'!D37</f>
        <v>56.333333333333336</v>
      </c>
      <c r="E37" s="5">
        <f ca="1">'[2]VENTAS CONSOLIDADA CARACAS'!E37</f>
        <v>1183</v>
      </c>
    </row>
    <row r="38" spans="1:5" x14ac:dyDescent="0.25">
      <c r="A38">
        <v>132150</v>
      </c>
      <c r="B38" t="s">
        <v>25</v>
      </c>
      <c r="C38">
        <f>'[2]VENTAS CONSOLIDADA CARACAS'!C38</f>
        <v>2021</v>
      </c>
      <c r="D38" s="5">
        <f ca="1">'[2]VENTAS CONSOLIDADA CARACAS'!D38</f>
        <v>336.83333333333331</v>
      </c>
      <c r="E38" s="5">
        <f ca="1">'[2]VENTAS CONSOLIDADA CARACAS'!E38</f>
        <v>7073.5</v>
      </c>
    </row>
    <row r="39" spans="1:5" x14ac:dyDescent="0.25">
      <c r="A39">
        <v>132151</v>
      </c>
      <c r="B39" t="s">
        <v>26</v>
      </c>
      <c r="C39">
        <f>'[2]VENTAS CONSOLIDADA CARACAS'!C39</f>
        <v>1625</v>
      </c>
      <c r="D39" s="5">
        <f ca="1">'[2]VENTAS CONSOLIDADA CARACAS'!D39</f>
        <v>270.83333333333331</v>
      </c>
      <c r="E39" s="5">
        <f ca="1">'[2]VENTAS CONSOLIDADA CARACAS'!E39</f>
        <v>5687.5</v>
      </c>
    </row>
    <row r="40" spans="1:5" x14ac:dyDescent="0.25">
      <c r="A40">
        <v>132152</v>
      </c>
      <c r="B40" t="s">
        <v>27</v>
      </c>
      <c r="C40">
        <f>'[2]VENTAS CONSOLIDADA CARACAS'!C40</f>
        <v>2175</v>
      </c>
      <c r="D40" s="5">
        <f ca="1">'[2]VENTAS CONSOLIDADA CARACAS'!D40</f>
        <v>362.5</v>
      </c>
      <c r="E40" s="5">
        <f ca="1">'[2]VENTAS CONSOLIDADA CARACAS'!E40</f>
        <v>7612.5</v>
      </c>
    </row>
    <row r="41" spans="1:5" x14ac:dyDescent="0.25">
      <c r="A41">
        <v>132153</v>
      </c>
      <c r="B41" t="s">
        <v>40</v>
      </c>
      <c r="C41">
        <f>'[2]VENTAS CONSOLIDADA CARACAS'!C41</f>
        <v>1418</v>
      </c>
      <c r="D41" s="5">
        <f ca="1">'[2]VENTAS CONSOLIDADA CARACAS'!D41</f>
        <v>236.33333333333334</v>
      </c>
      <c r="E41" s="5">
        <f ca="1">'[2]VENTAS CONSOLIDADA CARACAS'!E41</f>
        <v>4963</v>
      </c>
    </row>
    <row r="42" spans="1:5" x14ac:dyDescent="0.25">
      <c r="A42">
        <v>134000</v>
      </c>
      <c r="B42" t="s">
        <v>35</v>
      </c>
      <c r="C42">
        <f>'[2]VENTAS CONSOLIDADA CARACAS'!C42</f>
        <v>0</v>
      </c>
      <c r="D42" s="5">
        <f ca="1">'[2]VENTAS CONSOLIDADA CARACAS'!D42</f>
        <v>0</v>
      </c>
      <c r="E42" s="5">
        <f ca="1">'[2]VENTAS CONSOLIDADA CARACAS'!E42</f>
        <v>0</v>
      </c>
    </row>
    <row r="43" spans="1:5" x14ac:dyDescent="0.25">
      <c r="A43">
        <v>134001</v>
      </c>
      <c r="B43" t="s">
        <v>47</v>
      </c>
      <c r="C43">
        <f>'[2]VENTAS CONSOLIDADA CARACAS'!C43</f>
        <v>0</v>
      </c>
      <c r="D43" s="5">
        <f ca="1">'[2]VENTAS CONSOLIDADA CARACAS'!D43</f>
        <v>0</v>
      </c>
      <c r="E43" s="5">
        <f ca="1">'[2]VENTAS CONSOLIDADA CARACAS'!E43</f>
        <v>0</v>
      </c>
    </row>
    <row r="44" spans="1:5" x14ac:dyDescent="0.25">
      <c r="A44">
        <v>140230</v>
      </c>
      <c r="B44" t="s">
        <v>18</v>
      </c>
      <c r="C44">
        <f>'[2]VENTAS CONSOLIDADA CARACAS'!C44</f>
        <v>4</v>
      </c>
      <c r="D44" s="5">
        <f ca="1">'[2]VENTAS CONSOLIDADA CARACAS'!D44</f>
        <v>0.66666666666666663</v>
      </c>
      <c r="E44" s="5">
        <f ca="1">'[2]VENTAS CONSOLIDADA CARACAS'!E44</f>
        <v>14</v>
      </c>
    </row>
    <row r="45" spans="1:5" x14ac:dyDescent="0.25">
      <c r="A45">
        <v>140231</v>
      </c>
      <c r="B45" t="s">
        <v>10</v>
      </c>
      <c r="C45">
        <f>'[2]VENTAS CONSOLIDADA CARACAS'!C45</f>
        <v>1863</v>
      </c>
      <c r="D45" s="5">
        <f ca="1">'[2]VENTAS CONSOLIDADA CARACAS'!D45</f>
        <v>310.5</v>
      </c>
      <c r="E45" s="5">
        <f ca="1">'[2]VENTAS CONSOLIDADA CARACAS'!E45</f>
        <v>6520.5</v>
      </c>
    </row>
    <row r="46" spans="1:5" x14ac:dyDescent="0.25">
      <c r="A46">
        <v>140232</v>
      </c>
      <c r="B46" t="s">
        <v>9</v>
      </c>
      <c r="C46">
        <f>'[2]VENTAS CONSOLIDADA CARACAS'!C46</f>
        <v>1356</v>
      </c>
      <c r="D46" s="5">
        <f ca="1">'[2]VENTAS CONSOLIDADA CARACAS'!D46</f>
        <v>226</v>
      </c>
      <c r="E46" s="5">
        <f ca="1">'[2]VENTAS CONSOLIDADA CARACAS'!E46</f>
        <v>4746</v>
      </c>
    </row>
    <row r="47" spans="1:5" x14ac:dyDescent="0.25">
      <c r="A47">
        <v>150360</v>
      </c>
      <c r="B47" t="s">
        <v>28</v>
      </c>
      <c r="C47">
        <f>'[2]VENTAS CONSOLIDADA CARACAS'!C47</f>
        <v>776</v>
      </c>
      <c r="D47" s="5">
        <f ca="1">'[2]VENTAS CONSOLIDADA CARACAS'!D47</f>
        <v>129.33333333333334</v>
      </c>
      <c r="E47" s="5">
        <f ca="1">'[2]VENTAS CONSOLIDADA CARACAS'!E47</f>
        <v>2716</v>
      </c>
    </row>
    <row r="48" spans="1:5" x14ac:dyDescent="0.25">
      <c r="A48">
        <v>150361</v>
      </c>
      <c r="B48" t="s">
        <v>29</v>
      </c>
      <c r="C48">
        <f>'[2]VENTAS CONSOLIDADA CARACAS'!C48</f>
        <v>1358</v>
      </c>
      <c r="D48" s="5">
        <f ca="1">'[2]VENTAS CONSOLIDADA CARACAS'!D48</f>
        <v>226.33333333333334</v>
      </c>
      <c r="E48" s="5">
        <f ca="1">'[2]VENTAS CONSOLIDADA CARACAS'!E48</f>
        <v>4753</v>
      </c>
    </row>
    <row r="49" spans="1:5" x14ac:dyDescent="0.25">
      <c r="A49">
        <v>150362</v>
      </c>
      <c r="B49" t="s">
        <v>36</v>
      </c>
      <c r="C49">
        <f>'[2]VENTAS CONSOLIDADA CARACAS'!C49</f>
        <v>849</v>
      </c>
      <c r="D49" s="5">
        <f ca="1">'[2]VENTAS CONSOLIDADA CARACAS'!D49</f>
        <v>141.5</v>
      </c>
      <c r="E49" s="5">
        <f ca="1">'[2]VENTAS CONSOLIDADA CARACAS'!E49</f>
        <v>2971.5</v>
      </c>
    </row>
    <row r="50" spans="1:5" x14ac:dyDescent="0.25">
      <c r="A50">
        <v>150363</v>
      </c>
      <c r="B50" t="s">
        <v>31</v>
      </c>
      <c r="C50">
        <f>'[2]VENTAS CONSOLIDADA CARACAS'!C50</f>
        <v>778</v>
      </c>
      <c r="D50" s="5">
        <f ca="1">'[2]VENTAS CONSOLIDADA CARACAS'!D50</f>
        <v>129.66666666666666</v>
      </c>
      <c r="E50" s="5">
        <f ca="1">'[2]VENTAS CONSOLIDADA CARACAS'!E50</f>
        <v>2723</v>
      </c>
    </row>
    <row r="51" spans="1:5" x14ac:dyDescent="0.25">
      <c r="A51">
        <v>151500</v>
      </c>
      <c r="B51" t="s">
        <v>41</v>
      </c>
      <c r="C51">
        <f>'[2]VENTAS CONSOLIDADA CARACAS'!C51</f>
        <v>50</v>
      </c>
      <c r="D51" s="5">
        <f ca="1">'[2]VENTAS CONSOLIDADA CARACAS'!D51</f>
        <v>8.3333333333333339</v>
      </c>
      <c r="E51" s="5">
        <f ca="1">'[2]VENTAS CONSOLIDADA CARACAS'!E51</f>
        <v>175</v>
      </c>
    </row>
    <row r="52" spans="1:5" x14ac:dyDescent="0.25">
      <c r="A52">
        <v>151501</v>
      </c>
      <c r="B52" t="s">
        <v>33</v>
      </c>
      <c r="C52">
        <f>'[2]VENTAS CONSOLIDADA CARACAS'!C52</f>
        <v>190</v>
      </c>
      <c r="D52" s="5">
        <f ca="1">'[2]VENTAS CONSOLIDADA CARACAS'!D52</f>
        <v>31.666666666666668</v>
      </c>
      <c r="E52" s="5">
        <f ca="1">'[2]VENTAS CONSOLIDADA CARACAS'!E52</f>
        <v>665</v>
      </c>
    </row>
    <row r="53" spans="1:5" x14ac:dyDescent="0.25">
      <c r="A53">
        <v>151502</v>
      </c>
      <c r="B53" t="s">
        <v>37</v>
      </c>
      <c r="C53">
        <f>'[2]VENTAS CONSOLIDADA CARACAS'!C53</f>
        <v>104</v>
      </c>
      <c r="D53" s="5">
        <f ca="1">'[2]VENTAS CONSOLIDADA CARACAS'!D53</f>
        <v>17.333333333333332</v>
      </c>
      <c r="E53" s="5">
        <f ca="1">'[2]VENTAS CONSOLIDADA CARACAS'!E53</f>
        <v>364</v>
      </c>
    </row>
    <row r="54" spans="1:5" x14ac:dyDescent="0.25">
      <c r="A54">
        <v>151503</v>
      </c>
      <c r="B54" t="s">
        <v>34</v>
      </c>
      <c r="C54">
        <f>'[2]VENTAS CONSOLIDADA CARACAS'!C54</f>
        <v>119</v>
      </c>
      <c r="D54" s="5">
        <f ca="1">'[2]VENTAS CONSOLIDADA CARACAS'!D54</f>
        <v>19.833333333333332</v>
      </c>
      <c r="E54" s="5">
        <f ca="1">'[2]VENTAS CONSOLIDADA CARACAS'!E54</f>
        <v>416.5</v>
      </c>
    </row>
    <row r="55" spans="1:5" x14ac:dyDescent="0.25">
      <c r="D55" s="5">
        <f ca="1">SUM(D8:D54)</f>
        <v>13790.000000000005</v>
      </c>
      <c r="E55" s="5">
        <f ca="1">SUM(E8:E54)</f>
        <v>289590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G24" sqref="G24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'VENTAS CONSOLIDADA ZULIA'!D2</f>
        <v>46304</v>
      </c>
      <c r="E2" s="4">
        <f ca="1">'VENTAS CONSOLIDADA ZULIA'!E2</f>
        <v>6</v>
      </c>
    </row>
    <row r="3" spans="1:5" x14ac:dyDescent="0.25">
      <c r="B3" s="9"/>
      <c r="C3" s="2" t="str">
        <f>'[1]VENTAS CONSOLIDADA LARA'!C3</f>
        <v>FINAL VENTAS</v>
      </c>
      <c r="D3" s="3">
        <f>'VENTAS CONSOLIDADA ZULIA'!D3</f>
        <v>46326</v>
      </c>
      <c r="E3" s="4">
        <f ca="1">'VENTAS CONSOLIDADA ZULIA'!E3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LARA'!C8</f>
        <v>287</v>
      </c>
      <c r="D8" s="5">
        <f ca="1">'[2]VENTAS CONSOLIDADA LARA'!D8</f>
        <v>47.833333333333336</v>
      </c>
      <c r="E8" s="5">
        <f ca="1">'[2]VENTAS CONSOLIDADA LARA'!E8</f>
        <v>1004.5</v>
      </c>
    </row>
    <row r="9" spans="1:5" x14ac:dyDescent="0.25">
      <c r="A9">
        <v>110151</v>
      </c>
      <c r="B9" t="s">
        <v>5</v>
      </c>
      <c r="C9">
        <f>'[2]VENTAS CONSOLIDADA LARA'!C9</f>
        <v>4</v>
      </c>
      <c r="D9" s="5">
        <f ca="1">'[2]VENTAS CONSOLIDADA LARA'!D9</f>
        <v>0.66666666666666663</v>
      </c>
      <c r="E9" s="5">
        <f ca="1">'[2]VENTAS CONSOLIDADA LARA'!E9</f>
        <v>14</v>
      </c>
    </row>
    <row r="10" spans="1:5" x14ac:dyDescent="0.25">
      <c r="A10">
        <v>110230</v>
      </c>
      <c r="B10" t="s">
        <v>1</v>
      </c>
      <c r="C10">
        <f>'[2]VENTAS CONSOLIDADA LARA'!C10</f>
        <v>108</v>
      </c>
      <c r="D10" s="5">
        <f ca="1">'[2]VENTAS CONSOLIDADA LARA'!D10</f>
        <v>18</v>
      </c>
      <c r="E10" s="5">
        <f ca="1">'[2]VENTAS CONSOLIDADA LARA'!E10</f>
        <v>378</v>
      </c>
    </row>
    <row r="11" spans="1:5" x14ac:dyDescent="0.25">
      <c r="A11">
        <v>110400</v>
      </c>
      <c r="B11" t="s">
        <v>13</v>
      </c>
      <c r="C11">
        <f>'[2]VENTAS CONSOLIDADA LARA'!C11</f>
        <v>13</v>
      </c>
      <c r="D11" s="5">
        <f ca="1">'[2]VENTAS CONSOLIDADA LARA'!D11</f>
        <v>2.1666666666666665</v>
      </c>
      <c r="E11" s="5">
        <f ca="1">'[2]VENTAS CONSOLIDADA LARA'!E11</f>
        <v>45.5</v>
      </c>
    </row>
    <row r="12" spans="1:5" x14ac:dyDescent="0.25">
      <c r="A12">
        <v>111000</v>
      </c>
      <c r="B12" t="s">
        <v>14</v>
      </c>
      <c r="C12">
        <f>'[2]VENTAS CONSOLIDADA LARA'!C12</f>
        <v>0</v>
      </c>
      <c r="D12" s="5">
        <f ca="1">'[2]VENTAS CONSOLIDADA LARA'!D12</f>
        <v>0</v>
      </c>
      <c r="E12" s="5">
        <f ca="1">'[2]VENTAS CONSOLIDADA LARA'!E12</f>
        <v>0</v>
      </c>
    </row>
    <row r="13" spans="1:5" x14ac:dyDescent="0.25">
      <c r="A13">
        <v>120130</v>
      </c>
      <c r="B13" t="s">
        <v>15</v>
      </c>
      <c r="C13">
        <f>'[2]VENTAS CONSOLIDADA LARA'!C13</f>
        <v>1127</v>
      </c>
      <c r="D13" s="5">
        <f ca="1">'[2]VENTAS CONSOLIDADA LARA'!D13</f>
        <v>187.83333333333334</v>
      </c>
      <c r="E13" s="5">
        <f ca="1">'[2]VENTAS CONSOLIDADA LARA'!E13</f>
        <v>3944.5</v>
      </c>
    </row>
    <row r="14" spans="1:5" x14ac:dyDescent="0.25">
      <c r="A14">
        <v>120131</v>
      </c>
      <c r="B14" t="s">
        <v>23</v>
      </c>
      <c r="C14">
        <f>'[2]VENTAS CONSOLIDADA LARA'!C14</f>
        <v>80</v>
      </c>
      <c r="D14" s="5">
        <f ca="1">'[2]VENTAS CONSOLIDADA LARA'!D14</f>
        <v>13.333333333333334</v>
      </c>
      <c r="E14" s="5">
        <f ca="1">'[2]VENTAS CONSOLIDADA LARA'!E14</f>
        <v>280</v>
      </c>
    </row>
    <row r="15" spans="1:5" x14ac:dyDescent="0.25">
      <c r="A15">
        <v>120132</v>
      </c>
      <c r="B15" t="s">
        <v>21</v>
      </c>
      <c r="C15">
        <f>'[2]VENTAS CONSOLIDADA LARA'!C15</f>
        <v>259</v>
      </c>
      <c r="D15" s="5">
        <f ca="1">'[2]VENTAS CONSOLIDADA LARA'!D15</f>
        <v>43.166666666666664</v>
      </c>
      <c r="E15" s="5">
        <f ca="1">'[2]VENTAS CONSOLIDADA LARA'!E15</f>
        <v>906.5</v>
      </c>
    </row>
    <row r="16" spans="1:5" x14ac:dyDescent="0.25">
      <c r="A16">
        <v>130150</v>
      </c>
      <c r="B16" t="s">
        <v>0</v>
      </c>
      <c r="C16">
        <f>'[2]VENTAS CONSOLIDADA LARA'!C16</f>
        <v>427</v>
      </c>
      <c r="D16" s="5">
        <f ca="1">'[2]VENTAS CONSOLIDADA LARA'!D16</f>
        <v>71.166666666666671</v>
      </c>
      <c r="E16" s="5">
        <f ca="1">'[2]VENTAS CONSOLIDADA LARA'!E16</f>
        <v>1494.5</v>
      </c>
    </row>
    <row r="17" spans="1:5" x14ac:dyDescent="0.25">
      <c r="A17">
        <v>130151</v>
      </c>
      <c r="B17" t="s">
        <v>4</v>
      </c>
      <c r="C17">
        <f>'[2]VENTAS CONSOLIDADA LARA'!C17</f>
        <v>124</v>
      </c>
      <c r="D17" s="5">
        <f ca="1">'[2]VENTAS CONSOLIDADA LARA'!D17</f>
        <v>20.666666666666668</v>
      </c>
      <c r="E17" s="5">
        <f ca="1">'[2]VENTAS CONSOLIDADA LARA'!E17</f>
        <v>434</v>
      </c>
    </row>
    <row r="18" spans="1:5" x14ac:dyDescent="0.25">
      <c r="A18">
        <v>130152</v>
      </c>
      <c r="B18" t="s">
        <v>51</v>
      </c>
      <c r="C18">
        <f>'[2]VENTAS CONSOLIDADA LARA'!C18</f>
        <v>3484</v>
      </c>
      <c r="D18" s="5">
        <f ca="1">'[2]VENTAS CONSOLIDADA LARA'!D18</f>
        <v>580.66666666666663</v>
      </c>
      <c r="E18" s="5">
        <f ca="1">'[2]VENTAS CONSOLIDADA LARA'!E18</f>
        <v>12194</v>
      </c>
    </row>
    <row r="19" spans="1:5" x14ac:dyDescent="0.25">
      <c r="A19">
        <v>130153</v>
      </c>
      <c r="B19" t="s">
        <v>52</v>
      </c>
      <c r="C19">
        <f>'[2]VENTAS CONSOLIDADA LARA'!C19</f>
        <v>1781</v>
      </c>
      <c r="D19" s="5">
        <f ca="1">'[2]VENTAS CONSOLIDADA LARA'!D19</f>
        <v>296.83333333333331</v>
      </c>
      <c r="E19" s="5">
        <f ca="1">'[2]VENTAS CONSOLIDADA LARA'!E19</f>
        <v>6233.5</v>
      </c>
    </row>
    <row r="20" spans="1:5" x14ac:dyDescent="0.25">
      <c r="A20">
        <v>130154</v>
      </c>
      <c r="B20" t="s">
        <v>53</v>
      </c>
      <c r="C20">
        <f>'[2]VENTAS CONSOLIDADA LARA'!C20</f>
        <v>1898</v>
      </c>
      <c r="D20" s="5">
        <f ca="1">'[2]VENTAS CONSOLIDADA LARA'!D20</f>
        <v>316.33333333333331</v>
      </c>
      <c r="E20" s="5">
        <f ca="1">'[2]VENTAS CONSOLIDADA LARA'!E20</f>
        <v>6643</v>
      </c>
    </row>
    <row r="21" spans="1:5" x14ac:dyDescent="0.25">
      <c r="A21">
        <v>130155</v>
      </c>
      <c r="B21" t="s">
        <v>16</v>
      </c>
      <c r="C21">
        <f>'[2]VENTAS CONSOLIDADA LARA'!C21</f>
        <v>2286</v>
      </c>
      <c r="D21" s="5">
        <f ca="1">'[2]VENTAS CONSOLIDADA LARA'!D21</f>
        <v>381</v>
      </c>
      <c r="E21" s="5">
        <f ca="1">'[2]VENTAS CONSOLIDADA LARA'!E21</f>
        <v>8001</v>
      </c>
    </row>
    <row r="22" spans="1:5" x14ac:dyDescent="0.25">
      <c r="A22">
        <v>130157</v>
      </c>
      <c r="B22" t="s">
        <v>43</v>
      </c>
      <c r="C22">
        <f>'[2]VENTAS CONSOLIDADA LARA'!C22</f>
        <v>754</v>
      </c>
      <c r="D22" s="5">
        <f ca="1">'[2]VENTAS CONSOLIDADA LARA'!D22</f>
        <v>125.66666666666667</v>
      </c>
      <c r="E22" s="5">
        <f ca="1">'[2]VENTAS CONSOLIDADA LARA'!E22</f>
        <v>2639</v>
      </c>
    </row>
    <row r="23" spans="1:5" x14ac:dyDescent="0.25">
      <c r="A23">
        <v>130158</v>
      </c>
      <c r="B23" t="s">
        <v>44</v>
      </c>
      <c r="C23">
        <f>'[2]VENTAS CONSOLIDADA LARA'!C23</f>
        <v>1013</v>
      </c>
      <c r="D23" s="5">
        <f ca="1">'[2]VENTAS CONSOLIDADA LARA'!D23</f>
        <v>168.83333333333334</v>
      </c>
      <c r="E23" s="5">
        <f ca="1">'[2]VENTAS CONSOLIDADA LARA'!E23</f>
        <v>3545.5</v>
      </c>
    </row>
    <row r="24" spans="1:5" x14ac:dyDescent="0.25">
      <c r="A24">
        <v>130159</v>
      </c>
      <c r="B24" t="s">
        <v>45</v>
      </c>
      <c r="C24">
        <f>'[2]VENTAS CONSOLIDADA LARA'!C24</f>
        <v>995</v>
      </c>
      <c r="D24" s="5">
        <f ca="1">'[2]VENTAS CONSOLIDADA LARA'!D24</f>
        <v>165.83333333333334</v>
      </c>
      <c r="E24" s="5">
        <f ca="1">'[2]VENTAS CONSOLIDADA LARA'!E24</f>
        <v>3482.5</v>
      </c>
    </row>
    <row r="25" spans="1:5" x14ac:dyDescent="0.25">
      <c r="A25">
        <v>130700</v>
      </c>
      <c r="B25" t="s">
        <v>3</v>
      </c>
      <c r="C25">
        <f>'[2]VENTAS CONSOLIDADA LARA'!C25</f>
        <v>179</v>
      </c>
      <c r="D25" s="5">
        <f ca="1">'[2]VENTAS CONSOLIDADA LARA'!D25</f>
        <v>29.833333333333332</v>
      </c>
      <c r="E25" s="5">
        <f ca="1">'[2]VENTAS CONSOLIDADA LARA'!E25</f>
        <v>626.5</v>
      </c>
    </row>
    <row r="26" spans="1:5" x14ac:dyDescent="0.25">
      <c r="A26">
        <v>130701</v>
      </c>
      <c r="B26" t="s">
        <v>30</v>
      </c>
      <c r="C26">
        <f>'[2]VENTAS CONSOLIDADA LARA'!C26</f>
        <v>38</v>
      </c>
      <c r="D26" s="5">
        <f ca="1">'[2]VENTAS CONSOLIDADA LARA'!D26</f>
        <v>6.333333333333333</v>
      </c>
      <c r="E26" s="5">
        <f ca="1">'[2]VENTAS CONSOLIDADA LARA'!E26</f>
        <v>133</v>
      </c>
    </row>
    <row r="27" spans="1:5" x14ac:dyDescent="0.25">
      <c r="A27">
        <v>130702</v>
      </c>
      <c r="B27" t="s">
        <v>12</v>
      </c>
      <c r="C27">
        <f>'[2]VENTAS CONSOLIDADA LARA'!C27</f>
        <v>487</v>
      </c>
      <c r="D27" s="5">
        <f ca="1">'[2]VENTAS CONSOLIDADA LARA'!D27</f>
        <v>81.166666666666671</v>
      </c>
      <c r="E27" s="5">
        <f ca="1">'[2]VENTAS CONSOLIDADA LARA'!E27</f>
        <v>1704.5</v>
      </c>
    </row>
    <row r="28" spans="1:5" x14ac:dyDescent="0.25">
      <c r="A28">
        <v>130703</v>
      </c>
      <c r="B28" t="s">
        <v>17</v>
      </c>
      <c r="C28">
        <f>'[2]VENTAS CONSOLIDADA LARA'!C28</f>
        <v>614</v>
      </c>
      <c r="D28" s="5">
        <f ca="1">'[2]VENTAS CONSOLIDADA LARA'!D28</f>
        <v>102.33333333333333</v>
      </c>
      <c r="E28" s="5">
        <f ca="1">'[2]VENTAS CONSOLIDADA LARA'!E28</f>
        <v>2149</v>
      </c>
    </row>
    <row r="29" spans="1:5" x14ac:dyDescent="0.25">
      <c r="A29">
        <v>130707</v>
      </c>
      <c r="B29" t="s">
        <v>42</v>
      </c>
      <c r="C29">
        <f>'[2]VENTAS CONSOLIDADA LARA'!C29</f>
        <v>0</v>
      </c>
      <c r="D29" s="5">
        <f ca="1">'[2]VENTAS CONSOLIDADA LARA'!D29</f>
        <v>0</v>
      </c>
      <c r="E29" s="5">
        <f ca="1">'[2]VENTAS CONSOLIDADA LARA'!E29</f>
        <v>0</v>
      </c>
    </row>
    <row r="30" spans="1:5" x14ac:dyDescent="0.25">
      <c r="A30">
        <v>131150</v>
      </c>
      <c r="B30" t="s">
        <v>22</v>
      </c>
      <c r="C30">
        <f>'[2]VENTAS CONSOLIDADA LARA'!C30</f>
        <v>265</v>
      </c>
      <c r="D30" s="5">
        <f ca="1">'[2]VENTAS CONSOLIDADA LARA'!D30</f>
        <v>44.166666666666664</v>
      </c>
      <c r="E30" s="5">
        <f ca="1">'[2]VENTAS CONSOLIDADA LARA'!E30</f>
        <v>927.5</v>
      </c>
    </row>
    <row r="31" spans="1:5" x14ac:dyDescent="0.25">
      <c r="A31">
        <v>131151</v>
      </c>
      <c r="B31" t="s">
        <v>19</v>
      </c>
      <c r="C31">
        <f>'[2]VENTAS CONSOLIDADA LARA'!C31</f>
        <v>569</v>
      </c>
      <c r="D31" s="5">
        <f ca="1">'[2]VENTAS CONSOLIDADA LARA'!D31</f>
        <v>94.833333333333329</v>
      </c>
      <c r="E31" s="5">
        <f ca="1">'[2]VENTAS CONSOLIDADA LARA'!E31</f>
        <v>1991.5</v>
      </c>
    </row>
    <row r="32" spans="1:5" x14ac:dyDescent="0.25">
      <c r="A32">
        <v>131152</v>
      </c>
      <c r="B32" t="s">
        <v>32</v>
      </c>
      <c r="C32">
        <f>'[2]VENTAS CONSOLIDADA LARA'!C32</f>
        <v>348</v>
      </c>
      <c r="D32" s="5">
        <f ca="1">'[2]VENTAS CONSOLIDADA LARA'!D32</f>
        <v>58</v>
      </c>
      <c r="E32" s="5">
        <f ca="1">'[2]VENTAS CONSOLIDADA LARA'!E32</f>
        <v>1218</v>
      </c>
    </row>
    <row r="33" spans="1:5" x14ac:dyDescent="0.25">
      <c r="A33">
        <v>131153</v>
      </c>
      <c r="B33" t="s">
        <v>11</v>
      </c>
      <c r="C33">
        <f>'[2]VENTAS CONSOLIDADA LARA'!C33</f>
        <v>255</v>
      </c>
      <c r="D33" s="5">
        <f ca="1">'[2]VENTAS CONSOLIDADA LARA'!D33</f>
        <v>42.5</v>
      </c>
      <c r="E33" s="5">
        <f ca="1">'[2]VENTAS CONSOLIDADA LARA'!E33</f>
        <v>892.5</v>
      </c>
    </row>
    <row r="34" spans="1:5" x14ac:dyDescent="0.25">
      <c r="A34">
        <v>131154</v>
      </c>
      <c r="B34" t="s">
        <v>48</v>
      </c>
      <c r="C34">
        <f>'[2]VENTAS CONSOLIDADA LARA'!C34</f>
        <v>232</v>
      </c>
      <c r="D34" s="5">
        <f ca="1">'[2]VENTAS CONSOLIDADA LARA'!D34</f>
        <v>38.666666666666664</v>
      </c>
      <c r="E34" s="5">
        <f ca="1">'[2]VENTAS CONSOLIDADA LARA'!E34</f>
        <v>812</v>
      </c>
    </row>
    <row r="35" spans="1:5" x14ac:dyDescent="0.25">
      <c r="A35">
        <v>131155</v>
      </c>
      <c r="B35" t="s">
        <v>57</v>
      </c>
      <c r="C35">
        <f>'[2]VENTAS CONSOLIDADA LARA'!C35</f>
        <v>349</v>
      </c>
      <c r="D35" s="5">
        <f ca="1">'[2]VENTAS CONSOLIDADA LARA'!D35</f>
        <v>58.166666666666664</v>
      </c>
      <c r="E35" s="5">
        <f ca="1">'[2]VENTAS CONSOLIDADA LARA'!E35</f>
        <v>1221.5</v>
      </c>
    </row>
    <row r="36" spans="1:5" x14ac:dyDescent="0.25">
      <c r="A36">
        <v>131700</v>
      </c>
      <c r="B36" t="s">
        <v>20</v>
      </c>
      <c r="C36">
        <f>'[2]VENTAS CONSOLIDADA LARA'!C36</f>
        <v>45</v>
      </c>
      <c r="D36" s="5">
        <f ca="1">'[2]VENTAS CONSOLIDADA LARA'!D36</f>
        <v>7.5</v>
      </c>
      <c r="E36" s="5">
        <f ca="1">'[2]VENTAS CONSOLIDADA LARA'!E36</f>
        <v>157.5</v>
      </c>
    </row>
    <row r="37" spans="1:5" x14ac:dyDescent="0.25">
      <c r="A37">
        <v>131701</v>
      </c>
      <c r="B37" t="s">
        <v>24</v>
      </c>
      <c r="C37">
        <f>'[2]VENTAS CONSOLIDADA LARA'!C37</f>
        <v>71</v>
      </c>
      <c r="D37" s="5">
        <f ca="1">'[2]VENTAS CONSOLIDADA LARA'!D37</f>
        <v>11.833333333333334</v>
      </c>
      <c r="E37" s="5">
        <f ca="1">'[2]VENTAS CONSOLIDADA LARA'!E37</f>
        <v>248.5</v>
      </c>
    </row>
    <row r="38" spans="1:5" x14ac:dyDescent="0.25">
      <c r="A38">
        <v>132150</v>
      </c>
      <c r="B38" t="s">
        <v>25</v>
      </c>
      <c r="C38">
        <f>'[2]VENTAS CONSOLIDADA LARA'!C38</f>
        <v>692</v>
      </c>
      <c r="D38" s="5">
        <f ca="1">'[2]VENTAS CONSOLIDADA LARA'!D38</f>
        <v>115.33333333333333</v>
      </c>
      <c r="E38" s="5">
        <f ca="1">'[2]VENTAS CONSOLIDADA LARA'!E38</f>
        <v>2422</v>
      </c>
    </row>
    <row r="39" spans="1:5" x14ac:dyDescent="0.25">
      <c r="A39">
        <v>132151</v>
      </c>
      <c r="B39" t="s">
        <v>26</v>
      </c>
      <c r="C39">
        <f>'[2]VENTAS CONSOLIDADA LARA'!C39</f>
        <v>374</v>
      </c>
      <c r="D39" s="5">
        <f ca="1">'[2]VENTAS CONSOLIDADA LARA'!D39</f>
        <v>62.333333333333336</v>
      </c>
      <c r="E39" s="5">
        <f ca="1">'[2]VENTAS CONSOLIDADA LARA'!E39</f>
        <v>1309</v>
      </c>
    </row>
    <row r="40" spans="1:5" x14ac:dyDescent="0.25">
      <c r="A40">
        <v>132152</v>
      </c>
      <c r="B40" t="s">
        <v>27</v>
      </c>
      <c r="C40">
        <f>'[2]VENTAS CONSOLIDADA LARA'!C40</f>
        <v>513</v>
      </c>
      <c r="D40" s="5">
        <f ca="1">'[2]VENTAS CONSOLIDADA LARA'!D40</f>
        <v>85.5</v>
      </c>
      <c r="E40" s="5">
        <f ca="1">'[2]VENTAS CONSOLIDADA LARA'!E40</f>
        <v>1795.5</v>
      </c>
    </row>
    <row r="41" spans="1:5" x14ac:dyDescent="0.25">
      <c r="A41">
        <v>132153</v>
      </c>
      <c r="B41" t="s">
        <v>40</v>
      </c>
      <c r="C41">
        <f>'[2]VENTAS CONSOLIDADA LARA'!C41</f>
        <v>229</v>
      </c>
      <c r="D41" s="5">
        <f ca="1">'[2]VENTAS CONSOLIDADA LARA'!D41</f>
        <v>38.166666666666664</v>
      </c>
      <c r="E41" s="5">
        <f ca="1">'[2]VENTAS CONSOLIDADA LARA'!E41</f>
        <v>801.5</v>
      </c>
    </row>
    <row r="42" spans="1:5" x14ac:dyDescent="0.25">
      <c r="A42">
        <v>134000</v>
      </c>
      <c r="B42" t="s">
        <v>35</v>
      </c>
      <c r="C42">
        <f>'[2]VENTAS CONSOLIDADA LARA'!C42</f>
        <v>7</v>
      </c>
      <c r="D42" s="5">
        <f ca="1">'[2]VENTAS CONSOLIDADA LARA'!D42</f>
        <v>1.1666666666666667</v>
      </c>
      <c r="E42" s="5">
        <f ca="1">'[2]VENTAS CONSOLIDADA LARA'!E42</f>
        <v>24.5</v>
      </c>
    </row>
    <row r="43" spans="1:5" x14ac:dyDescent="0.25">
      <c r="A43">
        <v>134001</v>
      </c>
      <c r="B43" t="s">
        <v>47</v>
      </c>
      <c r="C43">
        <f>'[2]VENTAS CONSOLIDADA LARA'!C43</f>
        <v>0</v>
      </c>
      <c r="D43" s="5">
        <f ca="1">'[2]VENTAS CONSOLIDADA LARA'!D43</f>
        <v>0</v>
      </c>
      <c r="E43" s="5">
        <f ca="1">'[2]VENTAS CONSOLIDADA LARA'!E43</f>
        <v>0</v>
      </c>
    </row>
    <row r="44" spans="1:5" x14ac:dyDescent="0.25">
      <c r="A44">
        <v>140230</v>
      </c>
      <c r="B44" t="s">
        <v>18</v>
      </c>
      <c r="C44">
        <f>'[2]VENTAS CONSOLIDADA LARA'!C44</f>
        <v>0</v>
      </c>
      <c r="D44" s="5">
        <f ca="1">'[2]VENTAS CONSOLIDADA LARA'!D44</f>
        <v>0</v>
      </c>
      <c r="E44" s="5">
        <f ca="1">'[2]VENTAS CONSOLIDADA LARA'!E44</f>
        <v>0</v>
      </c>
    </row>
    <row r="45" spans="1:5" x14ac:dyDescent="0.25">
      <c r="A45">
        <v>140231</v>
      </c>
      <c r="B45" t="s">
        <v>10</v>
      </c>
      <c r="C45">
        <f>'[2]VENTAS CONSOLIDADA LARA'!C45</f>
        <v>242</v>
      </c>
      <c r="D45" s="5">
        <f ca="1">'[2]VENTAS CONSOLIDADA LARA'!D45</f>
        <v>40.333333333333336</v>
      </c>
      <c r="E45" s="5">
        <f ca="1">'[2]VENTAS CONSOLIDADA LARA'!E45</f>
        <v>847</v>
      </c>
    </row>
    <row r="46" spans="1:5" x14ac:dyDescent="0.25">
      <c r="A46">
        <v>140232</v>
      </c>
      <c r="B46" t="s">
        <v>9</v>
      </c>
      <c r="C46">
        <f>'[2]VENTAS CONSOLIDADA LARA'!C46</f>
        <v>208</v>
      </c>
      <c r="D46" s="5">
        <f ca="1">'[2]VENTAS CONSOLIDADA LARA'!D46</f>
        <v>34.666666666666664</v>
      </c>
      <c r="E46" s="5">
        <f ca="1">'[2]VENTAS CONSOLIDADA LARA'!E46</f>
        <v>728</v>
      </c>
    </row>
    <row r="47" spans="1:5" x14ac:dyDescent="0.25">
      <c r="A47">
        <v>150360</v>
      </c>
      <c r="B47" t="s">
        <v>28</v>
      </c>
      <c r="C47">
        <f>'[2]VENTAS CONSOLIDADA LARA'!C47</f>
        <v>164</v>
      </c>
      <c r="D47" s="5">
        <f ca="1">'[2]VENTAS CONSOLIDADA LARA'!D47</f>
        <v>27.333333333333332</v>
      </c>
      <c r="E47" s="5">
        <f ca="1">'[2]VENTAS CONSOLIDADA LARA'!E47</f>
        <v>574</v>
      </c>
    </row>
    <row r="48" spans="1:5" x14ac:dyDescent="0.25">
      <c r="A48">
        <v>150361</v>
      </c>
      <c r="B48" t="s">
        <v>29</v>
      </c>
      <c r="C48">
        <f>'[2]VENTAS CONSOLIDADA LARA'!C48</f>
        <v>316</v>
      </c>
      <c r="D48" s="5">
        <f ca="1">'[2]VENTAS CONSOLIDADA LARA'!D48</f>
        <v>52.666666666666664</v>
      </c>
      <c r="E48" s="5">
        <f ca="1">'[2]VENTAS CONSOLIDADA LARA'!E48</f>
        <v>1106</v>
      </c>
    </row>
    <row r="49" spans="1:5" x14ac:dyDescent="0.25">
      <c r="A49">
        <v>150362</v>
      </c>
      <c r="B49" t="s">
        <v>36</v>
      </c>
      <c r="C49">
        <f>'[2]VENTAS CONSOLIDADA LARA'!C49</f>
        <v>120</v>
      </c>
      <c r="D49" s="5">
        <f ca="1">'[2]VENTAS CONSOLIDADA LARA'!D49</f>
        <v>20</v>
      </c>
      <c r="E49" s="5">
        <f ca="1">'[2]VENTAS CONSOLIDADA LARA'!E49</f>
        <v>420</v>
      </c>
    </row>
    <row r="50" spans="1:5" x14ac:dyDescent="0.25">
      <c r="A50">
        <v>150363</v>
      </c>
      <c r="B50" t="s">
        <v>31</v>
      </c>
      <c r="C50">
        <f>'[2]VENTAS CONSOLIDADA LARA'!C50</f>
        <v>137</v>
      </c>
      <c r="D50" s="5">
        <f ca="1">'[2]VENTAS CONSOLIDADA LARA'!D50</f>
        <v>22.833333333333332</v>
      </c>
      <c r="E50" s="5">
        <f ca="1">'[2]VENTAS CONSOLIDADA LARA'!E50</f>
        <v>479.5</v>
      </c>
    </row>
    <row r="51" spans="1:5" x14ac:dyDescent="0.25">
      <c r="A51">
        <v>151500</v>
      </c>
      <c r="B51" t="s">
        <v>41</v>
      </c>
      <c r="C51">
        <f>'[2]VENTAS CONSOLIDADA LARA'!C51</f>
        <v>31</v>
      </c>
      <c r="D51" s="5">
        <f ca="1">'[2]VENTAS CONSOLIDADA LARA'!D51</f>
        <v>5.166666666666667</v>
      </c>
      <c r="E51" s="5">
        <f ca="1">'[2]VENTAS CONSOLIDADA LARA'!E51</f>
        <v>108.5</v>
      </c>
    </row>
    <row r="52" spans="1:5" x14ac:dyDescent="0.25">
      <c r="A52">
        <v>151501</v>
      </c>
      <c r="B52" t="s">
        <v>33</v>
      </c>
      <c r="C52">
        <f>'[2]VENTAS CONSOLIDADA LARA'!C52</f>
        <v>7</v>
      </c>
      <c r="D52" s="5">
        <f ca="1">'[2]VENTAS CONSOLIDADA LARA'!D52</f>
        <v>1.1666666666666667</v>
      </c>
      <c r="E52" s="5">
        <f ca="1">'[2]VENTAS CONSOLIDADA LARA'!E52</f>
        <v>24.5</v>
      </c>
    </row>
    <row r="53" spans="1:5" x14ac:dyDescent="0.25">
      <c r="A53">
        <v>151502</v>
      </c>
      <c r="B53" t="s">
        <v>37</v>
      </c>
      <c r="C53">
        <f>'[2]VENTAS CONSOLIDADA LARA'!C53</f>
        <v>36</v>
      </c>
      <c r="D53" s="5">
        <f ca="1">'[2]VENTAS CONSOLIDADA LARA'!D53</f>
        <v>6</v>
      </c>
      <c r="E53" s="5">
        <f ca="1">'[2]VENTAS CONSOLIDADA LARA'!E53</f>
        <v>126</v>
      </c>
    </row>
    <row r="54" spans="1:5" x14ac:dyDescent="0.25">
      <c r="A54">
        <v>151503</v>
      </c>
      <c r="B54" t="s">
        <v>34</v>
      </c>
      <c r="C54">
        <f>'[2]VENTAS CONSOLIDADA LARA'!C54</f>
        <v>36</v>
      </c>
      <c r="D54" s="5">
        <f ca="1">'[2]VENTAS CONSOLIDADA LARA'!D54</f>
        <v>6</v>
      </c>
      <c r="E54" s="5">
        <f ca="1">'[2]VENTAS CONSOLIDADA LARA'!E54</f>
        <v>126</v>
      </c>
    </row>
    <row r="55" spans="1:5" x14ac:dyDescent="0.25">
      <c r="D55" s="5">
        <f ca="1">SUM(D8:D54)</f>
        <v>3534</v>
      </c>
      <c r="E55" s="5">
        <f ca="1">SUM(E8:E54)</f>
        <v>74214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D26" sqref="D26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'VENTAS CONSOLIDADA ZULIA'!D2</f>
        <v>46304</v>
      </c>
      <c r="E2" s="4">
        <f ca="1">'VENTAS CONSOLIDADA ZULIA'!E2</f>
        <v>6</v>
      </c>
    </row>
    <row r="3" spans="1:5" x14ac:dyDescent="0.25">
      <c r="B3" s="9"/>
      <c r="C3" s="2" t="str">
        <f>'[1]VENTAS CONSOLIDADA ANZOATEGUI'!C3</f>
        <v>FINAL VENTAS</v>
      </c>
      <c r="D3" s="3">
        <f>'VENTAS CONSOLIDADA ZULIA'!D3</f>
        <v>46326</v>
      </c>
      <c r="E3" s="4">
        <f ca="1">'VENTAS CONSOLIDADA ZULIA'!E3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ANZOATEGUI'!C8</f>
        <v>363</v>
      </c>
      <c r="D8" s="5">
        <f ca="1">'[2]VENTAS CONSOLIDADA ANZOATEGUI'!D8</f>
        <v>60.5</v>
      </c>
      <c r="E8" s="5">
        <f ca="1">'[2]VENTAS CONSOLIDADA ANZOATEGUI'!E8</f>
        <v>1270.5</v>
      </c>
    </row>
    <row r="9" spans="1:5" x14ac:dyDescent="0.25">
      <c r="A9">
        <v>110151</v>
      </c>
      <c r="B9" t="s">
        <v>5</v>
      </c>
      <c r="C9">
        <f>'[2]VENTAS CONSOLIDADA ANZOATEGUI'!C9</f>
        <v>23</v>
      </c>
      <c r="D9" s="5">
        <f ca="1">'[2]VENTAS CONSOLIDADA ANZOATEGUI'!D9</f>
        <v>3.8333333333333335</v>
      </c>
      <c r="E9" s="5">
        <f ca="1">'[2]VENTAS CONSOLIDADA ANZOATEGUI'!E9</f>
        <v>80.5</v>
      </c>
    </row>
    <row r="10" spans="1:5" x14ac:dyDescent="0.25">
      <c r="A10">
        <v>110230</v>
      </c>
      <c r="B10" t="s">
        <v>1</v>
      </c>
      <c r="C10">
        <f>'[2]VENTAS CONSOLIDADA ANZOATEGUI'!C10</f>
        <v>127</v>
      </c>
      <c r="D10" s="5">
        <f ca="1">'[2]VENTAS CONSOLIDADA ANZOATEGUI'!D10</f>
        <v>21.166666666666668</v>
      </c>
      <c r="E10" s="5">
        <f ca="1">'[2]VENTAS CONSOLIDADA ANZOATEGUI'!E10</f>
        <v>444.5</v>
      </c>
    </row>
    <row r="11" spans="1:5" x14ac:dyDescent="0.25">
      <c r="A11">
        <v>110400</v>
      </c>
      <c r="B11" t="s">
        <v>13</v>
      </c>
      <c r="C11">
        <f>'[2]VENTAS CONSOLIDADA ANZOATEGUI'!C11</f>
        <v>15</v>
      </c>
      <c r="D11" s="5">
        <f ca="1">'[2]VENTAS CONSOLIDADA ANZOATEGUI'!D11</f>
        <v>2.5</v>
      </c>
      <c r="E11" s="5">
        <f ca="1">'[2]VENTAS CONSOLIDADA ANZOATEGUI'!E11</f>
        <v>52.5</v>
      </c>
    </row>
    <row r="12" spans="1:5" x14ac:dyDescent="0.25">
      <c r="A12">
        <v>111000</v>
      </c>
      <c r="B12" t="s">
        <v>14</v>
      </c>
      <c r="C12">
        <f>'[2]VENTAS CONSOLIDADA ANZOATEGUI'!C12</f>
        <v>2</v>
      </c>
      <c r="D12" s="5">
        <f ca="1">'[2]VENTAS CONSOLIDADA ANZOATEGUI'!D12</f>
        <v>0.33333333333333331</v>
      </c>
      <c r="E12" s="5">
        <f ca="1">'[2]VENTAS CONSOLIDADA ANZOATEGUI'!E12</f>
        <v>7</v>
      </c>
    </row>
    <row r="13" spans="1:5" x14ac:dyDescent="0.25">
      <c r="A13">
        <v>120130</v>
      </c>
      <c r="B13" t="s">
        <v>15</v>
      </c>
      <c r="C13">
        <f>'[2]VENTAS CONSOLIDADA ANZOATEGUI'!C13</f>
        <v>458</v>
      </c>
      <c r="D13" s="5">
        <f ca="1">'[2]VENTAS CONSOLIDADA ANZOATEGUI'!D13</f>
        <v>76.333333333333329</v>
      </c>
      <c r="E13" s="5">
        <f ca="1">'[2]VENTAS CONSOLIDADA ANZOATEGUI'!E13</f>
        <v>1603</v>
      </c>
    </row>
    <row r="14" spans="1:5" x14ac:dyDescent="0.25">
      <c r="A14">
        <v>120131</v>
      </c>
      <c r="B14" t="s">
        <v>23</v>
      </c>
      <c r="C14">
        <f>'[2]VENTAS CONSOLIDADA ANZOATEGUI'!C14</f>
        <v>32</v>
      </c>
      <c r="D14" s="5">
        <f ca="1">'[2]VENTAS CONSOLIDADA ANZOATEGUI'!D14</f>
        <v>5.333333333333333</v>
      </c>
      <c r="E14" s="5">
        <f ca="1">'[2]VENTAS CONSOLIDADA ANZOATEGUI'!E14</f>
        <v>112</v>
      </c>
    </row>
    <row r="15" spans="1:5" x14ac:dyDescent="0.25">
      <c r="A15">
        <v>120132</v>
      </c>
      <c r="B15" t="s">
        <v>21</v>
      </c>
      <c r="C15">
        <f>'[2]VENTAS CONSOLIDADA ANZOATEGUI'!C15</f>
        <v>69</v>
      </c>
      <c r="D15" s="5">
        <f ca="1">'[2]VENTAS CONSOLIDADA ANZOATEGUI'!D15</f>
        <v>11.5</v>
      </c>
      <c r="E15" s="5">
        <f ca="1">'[2]VENTAS CONSOLIDADA ANZOATEGUI'!E15</f>
        <v>241.5</v>
      </c>
    </row>
    <row r="16" spans="1:5" x14ac:dyDescent="0.25">
      <c r="A16">
        <v>130150</v>
      </c>
      <c r="B16" t="s">
        <v>0</v>
      </c>
      <c r="C16">
        <f>'[2]VENTAS CONSOLIDADA ANZOATEGUI'!C16</f>
        <v>206</v>
      </c>
      <c r="D16" s="5">
        <f ca="1">'[2]VENTAS CONSOLIDADA ANZOATEGUI'!D16</f>
        <v>34.333333333333336</v>
      </c>
      <c r="E16" s="5">
        <f ca="1">'[2]VENTAS CONSOLIDADA ANZOATEGUI'!E16</f>
        <v>721</v>
      </c>
    </row>
    <row r="17" spans="1:5" x14ac:dyDescent="0.25">
      <c r="A17">
        <v>130151</v>
      </c>
      <c r="B17" t="s">
        <v>4</v>
      </c>
      <c r="C17">
        <f>'[2]VENTAS CONSOLIDADA ANZOATEGUI'!C17</f>
        <v>49</v>
      </c>
      <c r="D17" s="5">
        <f ca="1">'[2]VENTAS CONSOLIDADA ANZOATEGUI'!D17</f>
        <v>8.1666666666666661</v>
      </c>
      <c r="E17" s="5">
        <f ca="1">'[2]VENTAS CONSOLIDADA ANZOATEGUI'!E17</f>
        <v>171.5</v>
      </c>
    </row>
    <row r="18" spans="1:5" x14ac:dyDescent="0.25">
      <c r="A18">
        <v>130152</v>
      </c>
      <c r="B18" t="s">
        <v>51</v>
      </c>
      <c r="C18">
        <f>'[2]VENTAS CONSOLIDADA ANZOATEGUI'!C18</f>
        <v>1058</v>
      </c>
      <c r="D18" s="5">
        <f ca="1">'[2]VENTAS CONSOLIDADA ANZOATEGUI'!D18</f>
        <v>176.33333333333334</v>
      </c>
      <c r="E18" s="5">
        <f ca="1">'[2]VENTAS CONSOLIDADA ANZOATEGUI'!E18</f>
        <v>3703</v>
      </c>
    </row>
    <row r="19" spans="1:5" x14ac:dyDescent="0.25">
      <c r="A19">
        <v>130153</v>
      </c>
      <c r="B19" t="s">
        <v>52</v>
      </c>
      <c r="C19">
        <f>'[2]VENTAS CONSOLIDADA ANZOATEGUI'!C19</f>
        <v>561</v>
      </c>
      <c r="D19" s="5">
        <f ca="1">'[2]VENTAS CONSOLIDADA ANZOATEGUI'!D19</f>
        <v>93.5</v>
      </c>
      <c r="E19" s="5">
        <f ca="1">'[2]VENTAS CONSOLIDADA ANZOATEGUI'!E19</f>
        <v>1963.5</v>
      </c>
    </row>
    <row r="20" spans="1:5" x14ac:dyDescent="0.25">
      <c r="A20">
        <v>130154</v>
      </c>
      <c r="B20" t="s">
        <v>53</v>
      </c>
      <c r="C20">
        <f>'[2]VENTAS CONSOLIDADA ANZOATEGUI'!C20</f>
        <v>622</v>
      </c>
      <c r="D20" s="5">
        <f ca="1">'[2]VENTAS CONSOLIDADA ANZOATEGUI'!D20</f>
        <v>103.66666666666667</v>
      </c>
      <c r="E20" s="5">
        <f ca="1">'[2]VENTAS CONSOLIDADA ANZOATEGUI'!E20</f>
        <v>2177</v>
      </c>
    </row>
    <row r="21" spans="1:5" x14ac:dyDescent="0.25">
      <c r="A21">
        <v>130155</v>
      </c>
      <c r="B21" t="s">
        <v>16</v>
      </c>
      <c r="C21">
        <f>'[2]VENTAS CONSOLIDADA ANZOATEGUI'!C21</f>
        <v>633</v>
      </c>
      <c r="D21" s="5">
        <f ca="1">'[2]VENTAS CONSOLIDADA ANZOATEGUI'!D21</f>
        <v>105.5</v>
      </c>
      <c r="E21" s="5">
        <f ca="1">'[2]VENTAS CONSOLIDADA ANZOATEGUI'!E21</f>
        <v>2215.5</v>
      </c>
    </row>
    <row r="22" spans="1:5" x14ac:dyDescent="0.25">
      <c r="A22">
        <v>130157</v>
      </c>
      <c r="B22" t="s">
        <v>43</v>
      </c>
      <c r="C22">
        <f>'[2]VENTAS CONSOLIDADA ANZOATEGUI'!C22</f>
        <v>160</v>
      </c>
      <c r="D22" s="5">
        <f ca="1">'[2]VENTAS CONSOLIDADA ANZOATEGUI'!D22</f>
        <v>26.666666666666668</v>
      </c>
      <c r="E22" s="5">
        <f ca="1">'[2]VENTAS CONSOLIDADA ANZOATEGUI'!E22</f>
        <v>560</v>
      </c>
    </row>
    <row r="23" spans="1:5" x14ac:dyDescent="0.25">
      <c r="A23">
        <v>130158</v>
      </c>
      <c r="B23" t="s">
        <v>44</v>
      </c>
      <c r="C23">
        <f>'[2]VENTAS CONSOLIDADA ANZOATEGUI'!C23</f>
        <v>296</v>
      </c>
      <c r="D23" s="5">
        <f ca="1">'[2]VENTAS CONSOLIDADA ANZOATEGUI'!D23</f>
        <v>49.333333333333336</v>
      </c>
      <c r="E23" s="5">
        <f ca="1">'[2]VENTAS CONSOLIDADA ANZOATEGUI'!E23</f>
        <v>1036</v>
      </c>
    </row>
    <row r="24" spans="1:5" x14ac:dyDescent="0.25">
      <c r="A24">
        <v>130159</v>
      </c>
      <c r="B24" t="s">
        <v>45</v>
      </c>
      <c r="C24">
        <f>'[2]VENTAS CONSOLIDADA ANZOATEGUI'!C24</f>
        <v>285</v>
      </c>
      <c r="D24" s="5">
        <f ca="1">'[2]VENTAS CONSOLIDADA ANZOATEGUI'!D24</f>
        <v>47.5</v>
      </c>
      <c r="E24" s="5">
        <f ca="1">'[2]VENTAS CONSOLIDADA ANZOATEGUI'!E24</f>
        <v>997.5</v>
      </c>
    </row>
    <row r="25" spans="1:5" x14ac:dyDescent="0.25">
      <c r="A25">
        <v>130700</v>
      </c>
      <c r="B25" t="s">
        <v>3</v>
      </c>
      <c r="C25">
        <f>'[2]VENTAS CONSOLIDADA ANZOATEGUI'!C25</f>
        <v>21</v>
      </c>
      <c r="D25" s="5">
        <f ca="1">'[2]VENTAS CONSOLIDADA ANZOATEGUI'!D25</f>
        <v>3.5</v>
      </c>
      <c r="E25" s="5">
        <f ca="1">'[2]VENTAS CONSOLIDADA ANZOATEGUI'!E25</f>
        <v>73.5</v>
      </c>
    </row>
    <row r="26" spans="1:5" x14ac:dyDescent="0.25">
      <c r="A26">
        <v>130701</v>
      </c>
      <c r="B26" t="s">
        <v>30</v>
      </c>
      <c r="C26">
        <f>'[2]VENTAS CONSOLIDADA ANZOATEGUI'!C26</f>
        <v>7</v>
      </c>
      <c r="D26" s="5">
        <f ca="1">'[2]VENTAS CONSOLIDADA ANZOATEGUI'!D26</f>
        <v>1.1666666666666667</v>
      </c>
      <c r="E26" s="5">
        <f ca="1">'[2]VENTAS CONSOLIDADA ANZOATEGUI'!E26</f>
        <v>24.5</v>
      </c>
    </row>
    <row r="27" spans="1:5" x14ac:dyDescent="0.25">
      <c r="A27">
        <v>130702</v>
      </c>
      <c r="B27" t="s">
        <v>12</v>
      </c>
      <c r="C27">
        <f>'[2]VENTAS CONSOLIDADA ANZOATEGUI'!C27</f>
        <v>80</v>
      </c>
      <c r="D27" s="5">
        <f ca="1">'[2]VENTAS CONSOLIDADA ANZOATEGUI'!D27</f>
        <v>13.333333333333334</v>
      </c>
      <c r="E27" s="5">
        <f ca="1">'[2]VENTAS CONSOLIDADA ANZOATEGUI'!E27</f>
        <v>280</v>
      </c>
    </row>
    <row r="28" spans="1:5" x14ac:dyDescent="0.25">
      <c r="A28">
        <v>130703</v>
      </c>
      <c r="B28" t="s">
        <v>17</v>
      </c>
      <c r="C28">
        <f>'[2]VENTAS CONSOLIDADA ANZOATEGUI'!C28</f>
        <v>79</v>
      </c>
      <c r="D28" s="5">
        <f ca="1">'[2]VENTAS CONSOLIDADA ANZOATEGUI'!D28</f>
        <v>13.166666666666666</v>
      </c>
      <c r="E28" s="5">
        <f ca="1">'[2]VENTAS CONSOLIDADA ANZOATEGUI'!E28</f>
        <v>276.5</v>
      </c>
    </row>
    <row r="29" spans="1:5" x14ac:dyDescent="0.25">
      <c r="A29">
        <v>130707</v>
      </c>
      <c r="B29" t="s">
        <v>42</v>
      </c>
      <c r="C29">
        <f>'[2]VENTAS CONSOLIDADA ANZOATEGUI'!C29</f>
        <v>0</v>
      </c>
      <c r="D29" s="5">
        <f ca="1">'[2]VENTAS CONSOLIDADA ANZOATEGUI'!D29</f>
        <v>0</v>
      </c>
      <c r="E29" s="5">
        <f ca="1">'[2]VENTAS CONSOLIDADA ANZOATEGUI'!E29</f>
        <v>0</v>
      </c>
    </row>
    <row r="30" spans="1:5" x14ac:dyDescent="0.25">
      <c r="A30">
        <v>131150</v>
      </c>
      <c r="B30" t="s">
        <v>22</v>
      </c>
      <c r="C30">
        <f>'[2]VENTAS CONSOLIDADA ANZOATEGUI'!C30</f>
        <v>239</v>
      </c>
      <c r="D30" s="5">
        <f ca="1">'[2]VENTAS CONSOLIDADA ANZOATEGUI'!D30</f>
        <v>39.833333333333336</v>
      </c>
      <c r="E30" s="5">
        <f ca="1">'[2]VENTAS CONSOLIDADA ANZOATEGUI'!E30</f>
        <v>836.5</v>
      </c>
    </row>
    <row r="31" spans="1:5" x14ac:dyDescent="0.25">
      <c r="A31">
        <v>131151</v>
      </c>
      <c r="B31" t="s">
        <v>19</v>
      </c>
      <c r="C31">
        <f>'[2]VENTAS CONSOLIDADA ANZOATEGUI'!C31</f>
        <v>480</v>
      </c>
      <c r="D31" s="5">
        <f ca="1">'[2]VENTAS CONSOLIDADA ANZOATEGUI'!D31</f>
        <v>80</v>
      </c>
      <c r="E31" s="5">
        <f ca="1">'[2]VENTAS CONSOLIDADA ANZOATEGUI'!E31</f>
        <v>1680</v>
      </c>
    </row>
    <row r="32" spans="1:5" x14ac:dyDescent="0.25">
      <c r="A32">
        <v>131152</v>
      </c>
      <c r="B32" t="s">
        <v>32</v>
      </c>
      <c r="C32">
        <f>'[2]VENTAS CONSOLIDADA ANZOATEGUI'!C32</f>
        <v>325</v>
      </c>
      <c r="D32" s="5">
        <f ca="1">'[2]VENTAS CONSOLIDADA ANZOATEGUI'!D32</f>
        <v>54.166666666666664</v>
      </c>
      <c r="E32" s="5">
        <f ca="1">'[2]VENTAS CONSOLIDADA ANZOATEGUI'!E32</f>
        <v>1137.5</v>
      </c>
    </row>
    <row r="33" spans="1:5" x14ac:dyDescent="0.25">
      <c r="A33">
        <v>131153</v>
      </c>
      <c r="B33" t="s">
        <v>11</v>
      </c>
      <c r="C33">
        <f>'[2]VENTAS CONSOLIDADA ANZOATEGUI'!C33</f>
        <v>286</v>
      </c>
      <c r="D33" s="5">
        <f ca="1">'[2]VENTAS CONSOLIDADA ANZOATEGUI'!D33</f>
        <v>47.666666666666664</v>
      </c>
      <c r="E33" s="5">
        <f ca="1">'[2]VENTAS CONSOLIDADA ANZOATEGUI'!E33</f>
        <v>1001</v>
      </c>
    </row>
    <row r="34" spans="1:5" x14ac:dyDescent="0.25">
      <c r="A34">
        <v>131154</v>
      </c>
      <c r="B34" t="s">
        <v>48</v>
      </c>
      <c r="C34">
        <f>'[2]VENTAS CONSOLIDADA ANZOATEGUI'!C34</f>
        <v>172</v>
      </c>
      <c r="D34" s="5">
        <f ca="1">'[2]VENTAS CONSOLIDADA ANZOATEGUI'!D34</f>
        <v>28.666666666666668</v>
      </c>
      <c r="E34" s="5">
        <f ca="1">'[2]VENTAS CONSOLIDADA ANZOATEGUI'!E34</f>
        <v>602</v>
      </c>
    </row>
    <row r="35" spans="1:5" x14ac:dyDescent="0.25">
      <c r="A35">
        <v>131155</v>
      </c>
      <c r="B35" t="s">
        <v>57</v>
      </c>
      <c r="C35">
        <f>'[2]VENTAS CONSOLIDADA ANZOATEGUI'!C35</f>
        <v>238</v>
      </c>
      <c r="D35" s="5">
        <f ca="1">'[2]VENTAS CONSOLIDADA ANZOATEGUI'!D35</f>
        <v>39.666666666666664</v>
      </c>
      <c r="E35" s="5">
        <f ca="1">'[2]VENTAS CONSOLIDADA ANZOATEGUI'!E35</f>
        <v>833</v>
      </c>
    </row>
    <row r="36" spans="1:5" x14ac:dyDescent="0.25">
      <c r="A36">
        <v>131700</v>
      </c>
      <c r="B36" t="s">
        <v>20</v>
      </c>
      <c r="C36">
        <f>'[2]VENTAS CONSOLIDADA ANZOATEGUI'!C36</f>
        <v>11</v>
      </c>
      <c r="D36" s="5">
        <f ca="1">'[2]VENTAS CONSOLIDADA ANZOATEGUI'!D36</f>
        <v>1.8333333333333333</v>
      </c>
      <c r="E36" s="5">
        <f ca="1">'[2]VENTAS CONSOLIDADA ANZOATEGUI'!E36</f>
        <v>38.5</v>
      </c>
    </row>
    <row r="37" spans="1:5" x14ac:dyDescent="0.25">
      <c r="A37">
        <v>131701</v>
      </c>
      <c r="B37" t="s">
        <v>24</v>
      </c>
      <c r="C37">
        <f>'[2]VENTAS CONSOLIDADA ANZOATEGUI'!C37</f>
        <v>26</v>
      </c>
      <c r="D37" s="5">
        <f ca="1">'[2]VENTAS CONSOLIDADA ANZOATEGUI'!D37</f>
        <v>4.333333333333333</v>
      </c>
      <c r="E37" s="5">
        <f ca="1">'[2]VENTAS CONSOLIDADA ANZOATEGUI'!E37</f>
        <v>91</v>
      </c>
    </row>
    <row r="38" spans="1:5" x14ac:dyDescent="0.25">
      <c r="A38">
        <v>132150</v>
      </c>
      <c r="B38" t="s">
        <v>25</v>
      </c>
      <c r="C38">
        <f>'[2]VENTAS CONSOLIDADA ANZOATEGUI'!C38</f>
        <v>270</v>
      </c>
      <c r="D38" s="5">
        <f ca="1">'[2]VENTAS CONSOLIDADA ANZOATEGUI'!D38</f>
        <v>45</v>
      </c>
      <c r="E38" s="5">
        <f ca="1">'[2]VENTAS CONSOLIDADA ANZOATEGUI'!E38</f>
        <v>945</v>
      </c>
    </row>
    <row r="39" spans="1:5" x14ac:dyDescent="0.25">
      <c r="A39">
        <v>132151</v>
      </c>
      <c r="B39" t="s">
        <v>26</v>
      </c>
      <c r="C39">
        <f>'[2]VENTAS CONSOLIDADA ANZOATEGUI'!C39</f>
        <v>131</v>
      </c>
      <c r="D39" s="5">
        <f ca="1">'[2]VENTAS CONSOLIDADA ANZOATEGUI'!D39</f>
        <v>21.833333333333332</v>
      </c>
      <c r="E39" s="5">
        <f ca="1">'[2]VENTAS CONSOLIDADA ANZOATEGUI'!E39</f>
        <v>458.5</v>
      </c>
    </row>
    <row r="40" spans="1:5" x14ac:dyDescent="0.25">
      <c r="A40">
        <v>132152</v>
      </c>
      <c r="B40" t="s">
        <v>27</v>
      </c>
      <c r="C40">
        <f>'[2]VENTAS CONSOLIDADA ANZOATEGUI'!C40</f>
        <v>228</v>
      </c>
      <c r="D40" s="5">
        <f ca="1">'[2]VENTAS CONSOLIDADA ANZOATEGUI'!D40</f>
        <v>38</v>
      </c>
      <c r="E40" s="5">
        <f ca="1">'[2]VENTAS CONSOLIDADA ANZOATEGUI'!E40</f>
        <v>798</v>
      </c>
    </row>
    <row r="41" spans="1:5" x14ac:dyDescent="0.25">
      <c r="A41">
        <v>132153</v>
      </c>
      <c r="B41" t="s">
        <v>40</v>
      </c>
      <c r="C41">
        <f>'[2]VENTAS CONSOLIDADA ANZOATEGUI'!C41</f>
        <v>129</v>
      </c>
      <c r="D41" s="5">
        <f ca="1">'[2]VENTAS CONSOLIDADA ANZOATEGUI'!D41</f>
        <v>21.5</v>
      </c>
      <c r="E41" s="5">
        <f ca="1">'[2]VENTAS CONSOLIDADA ANZOATEGUI'!E41</f>
        <v>451.5</v>
      </c>
    </row>
    <row r="42" spans="1:5" x14ac:dyDescent="0.25">
      <c r="A42">
        <v>134000</v>
      </c>
      <c r="B42" t="s">
        <v>35</v>
      </c>
      <c r="C42">
        <f>'[2]VENTAS CONSOLIDADA ANZOATEGUI'!C42</f>
        <v>0</v>
      </c>
      <c r="D42" s="5">
        <f ca="1">'[2]VENTAS CONSOLIDADA ANZOATEGUI'!D42</f>
        <v>0</v>
      </c>
      <c r="E42" s="5">
        <f ca="1">'[2]VENTAS CONSOLIDADA ANZOATEGUI'!E42</f>
        <v>0</v>
      </c>
    </row>
    <row r="43" spans="1:5" x14ac:dyDescent="0.25">
      <c r="A43">
        <v>134001</v>
      </c>
      <c r="B43" t="s">
        <v>47</v>
      </c>
      <c r="C43">
        <f>'[2]VENTAS CONSOLIDADA ANZOATEGUI'!C43</f>
        <v>0</v>
      </c>
      <c r="D43" s="5">
        <f ca="1">'[2]VENTAS CONSOLIDADA ANZOATEGUI'!D43</f>
        <v>0</v>
      </c>
      <c r="E43" s="5">
        <f ca="1">'[2]VENTAS CONSOLIDADA ANZOATEGUI'!E43</f>
        <v>0</v>
      </c>
    </row>
    <row r="44" spans="1:5" x14ac:dyDescent="0.25">
      <c r="A44">
        <v>140230</v>
      </c>
      <c r="B44" t="s">
        <v>18</v>
      </c>
      <c r="C44">
        <f>'[2]VENTAS CONSOLIDADA ANZOATEGUI'!C44</f>
        <v>7</v>
      </c>
      <c r="D44" s="5">
        <f ca="1">'[2]VENTAS CONSOLIDADA ANZOATEGUI'!D44</f>
        <v>1.1666666666666667</v>
      </c>
      <c r="E44" s="5">
        <f ca="1">'[2]VENTAS CONSOLIDADA ANZOATEGUI'!E44</f>
        <v>24.5</v>
      </c>
    </row>
    <row r="45" spans="1:5" x14ac:dyDescent="0.25">
      <c r="A45">
        <v>140231</v>
      </c>
      <c r="B45" t="s">
        <v>10</v>
      </c>
      <c r="C45">
        <f>'[2]VENTAS CONSOLIDADA ANZOATEGUI'!C45</f>
        <v>44</v>
      </c>
      <c r="D45" s="5">
        <f ca="1">'[2]VENTAS CONSOLIDADA ANZOATEGUI'!D45</f>
        <v>7.333333333333333</v>
      </c>
      <c r="E45" s="5">
        <f ca="1">'[2]VENTAS CONSOLIDADA ANZOATEGUI'!E45</f>
        <v>154</v>
      </c>
    </row>
    <row r="46" spans="1:5" x14ac:dyDescent="0.25">
      <c r="A46">
        <v>140232</v>
      </c>
      <c r="B46" t="s">
        <v>9</v>
      </c>
      <c r="C46">
        <f>'[2]VENTAS CONSOLIDADA ANZOATEGUI'!C46</f>
        <v>87</v>
      </c>
      <c r="D46" s="5">
        <f ca="1">'[2]VENTAS CONSOLIDADA ANZOATEGUI'!D46</f>
        <v>14.5</v>
      </c>
      <c r="E46" s="5">
        <f ca="1">'[2]VENTAS CONSOLIDADA ANZOATEGUI'!E46</f>
        <v>304.5</v>
      </c>
    </row>
    <row r="47" spans="1:5" x14ac:dyDescent="0.25">
      <c r="A47">
        <v>150360</v>
      </c>
      <c r="B47" t="s">
        <v>28</v>
      </c>
      <c r="C47">
        <f>'[2]VENTAS CONSOLIDADA ANZOATEGUI'!C47</f>
        <v>6</v>
      </c>
      <c r="D47" s="5">
        <f ca="1">'[2]VENTAS CONSOLIDADA ANZOATEGUI'!D47</f>
        <v>1</v>
      </c>
      <c r="E47" s="5">
        <f ca="1">'[2]VENTAS CONSOLIDADA ANZOATEGUI'!E47</f>
        <v>21</v>
      </c>
    </row>
    <row r="48" spans="1:5" x14ac:dyDescent="0.25">
      <c r="A48">
        <v>150361</v>
      </c>
      <c r="B48" t="s">
        <v>29</v>
      </c>
      <c r="C48">
        <f>'[2]VENTAS CONSOLIDADA ANZOATEGUI'!C48</f>
        <v>234</v>
      </c>
      <c r="D48" s="5">
        <f ca="1">'[2]VENTAS CONSOLIDADA ANZOATEGUI'!D48</f>
        <v>39</v>
      </c>
      <c r="E48" s="5">
        <f ca="1">'[2]VENTAS CONSOLIDADA ANZOATEGUI'!E48</f>
        <v>819</v>
      </c>
    </row>
    <row r="49" spans="1:5" x14ac:dyDescent="0.25">
      <c r="A49">
        <v>150362</v>
      </c>
      <c r="B49" t="s">
        <v>36</v>
      </c>
      <c r="C49">
        <f>'[2]VENTAS CONSOLIDADA ANZOATEGUI'!C49</f>
        <v>63</v>
      </c>
      <c r="D49" s="5">
        <f ca="1">'[2]VENTAS CONSOLIDADA ANZOATEGUI'!D49</f>
        <v>10.5</v>
      </c>
      <c r="E49" s="5">
        <f ca="1">'[2]VENTAS CONSOLIDADA ANZOATEGUI'!E49</f>
        <v>220.5</v>
      </c>
    </row>
    <row r="50" spans="1:5" x14ac:dyDescent="0.25">
      <c r="A50">
        <v>150363</v>
      </c>
      <c r="B50" t="s">
        <v>31</v>
      </c>
      <c r="C50">
        <f>'[2]VENTAS CONSOLIDADA ANZOATEGUI'!C50</f>
        <v>131</v>
      </c>
      <c r="D50" s="5">
        <f ca="1">'[2]VENTAS CONSOLIDADA ANZOATEGUI'!D50</f>
        <v>21.833333333333332</v>
      </c>
      <c r="E50" s="5">
        <f ca="1">'[2]VENTAS CONSOLIDADA ANZOATEGUI'!E50</f>
        <v>458.5</v>
      </c>
    </row>
    <row r="51" spans="1:5" x14ac:dyDescent="0.25">
      <c r="A51">
        <v>151500</v>
      </c>
      <c r="B51" t="s">
        <v>41</v>
      </c>
      <c r="C51">
        <f>'[2]VENTAS CONSOLIDADA ANZOATEGUI'!C51</f>
        <v>4</v>
      </c>
      <c r="D51" s="5">
        <f ca="1">'[2]VENTAS CONSOLIDADA ANZOATEGUI'!D51</f>
        <v>0.66666666666666663</v>
      </c>
      <c r="E51" s="5">
        <f ca="1">'[2]VENTAS CONSOLIDADA ANZOATEGUI'!E51</f>
        <v>14</v>
      </c>
    </row>
    <row r="52" spans="1:5" x14ac:dyDescent="0.25">
      <c r="A52">
        <v>151501</v>
      </c>
      <c r="B52" t="s">
        <v>33</v>
      </c>
      <c r="C52">
        <f>'[2]VENTAS CONSOLIDADA ANZOATEGUI'!C52</f>
        <v>59</v>
      </c>
      <c r="D52" s="5">
        <f ca="1">'[2]VENTAS CONSOLIDADA ANZOATEGUI'!D52</f>
        <v>9.8333333333333339</v>
      </c>
      <c r="E52" s="5">
        <f ca="1">'[2]VENTAS CONSOLIDADA ANZOATEGUI'!E52</f>
        <v>206.5</v>
      </c>
    </row>
    <row r="53" spans="1:5" x14ac:dyDescent="0.25">
      <c r="A53">
        <v>151502</v>
      </c>
      <c r="B53" t="s">
        <v>37</v>
      </c>
      <c r="C53">
        <f>'[2]VENTAS CONSOLIDADA ANZOATEGUI'!C53</f>
        <v>4</v>
      </c>
      <c r="D53" s="5">
        <f ca="1">'[2]VENTAS CONSOLIDADA ANZOATEGUI'!D53</f>
        <v>0.66666666666666663</v>
      </c>
      <c r="E53" s="5">
        <f ca="1">'[2]VENTAS CONSOLIDADA ANZOATEGUI'!E53</f>
        <v>14</v>
      </c>
    </row>
    <row r="54" spans="1:5" x14ac:dyDescent="0.25">
      <c r="A54">
        <v>151503</v>
      </c>
      <c r="B54" t="s">
        <v>34</v>
      </c>
      <c r="C54">
        <f>'[2]VENTAS CONSOLIDADA ANZOATEGUI'!C54</f>
        <v>3</v>
      </c>
      <c r="D54" s="5">
        <f ca="1">'[2]VENTAS CONSOLIDADA ANZOATEGUI'!D54</f>
        <v>0.5</v>
      </c>
      <c r="E54" s="5">
        <f ca="1">'[2]VENTAS CONSOLIDADA ANZOATEGUI'!E54</f>
        <v>10.5</v>
      </c>
    </row>
    <row r="55" spans="1:5" x14ac:dyDescent="0.25">
      <c r="D55" s="7">
        <f ca="1">SUM(D8:D54)</f>
        <v>1387.1666666666667</v>
      </c>
      <c r="E55" s="7">
        <f ca="1">SUM(E8:E54)</f>
        <v>29130.5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15" sqref="G1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'VENTAS CONSOLIDADA ZULIA'!D2</f>
        <v>46304</v>
      </c>
      <c r="E2" s="4">
        <f ca="1">'VENTAS CONSOLIDADA ZULIA'!E2</f>
        <v>6</v>
      </c>
    </row>
    <row r="3" spans="1:5" x14ac:dyDescent="0.25">
      <c r="B3" s="9"/>
      <c r="C3" s="2" t="str">
        <f>'[1]VENTAS CONSOLIDADA 1,0'!C3</f>
        <v>FINAL VENTAS</v>
      </c>
      <c r="D3" s="3">
        <f>'VENTAS CONSOLIDADA ZULIA'!D3</f>
        <v>46326</v>
      </c>
      <c r="E3" s="4">
        <f ca="1">'VENTAS CONSOLIDADA ZULIA'!E3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1,0'!C8</f>
        <v>7023</v>
      </c>
      <c r="D8" s="5">
        <f ca="1">'[2]VENTAS CONSOLIDADA 1,0'!D8</f>
        <v>1170.5</v>
      </c>
      <c r="E8" s="5">
        <f ca="1">'[2]VENTAS CONSOLIDADA 1,0'!E8</f>
        <v>24580.5</v>
      </c>
    </row>
    <row r="9" spans="1:5" x14ac:dyDescent="0.25">
      <c r="A9">
        <v>110151</v>
      </c>
      <c r="B9" t="s">
        <v>5</v>
      </c>
      <c r="C9">
        <f>'[2]VENTAS CONSOLIDADA 1,0'!C9</f>
        <v>50</v>
      </c>
      <c r="D9" s="5">
        <f ca="1">'[2]VENTAS CONSOLIDADA 1,0'!D9</f>
        <v>8.3333333333333339</v>
      </c>
      <c r="E9" s="5">
        <f ca="1">'[2]VENTAS CONSOLIDADA 1,0'!E9</f>
        <v>175</v>
      </c>
    </row>
    <row r="10" spans="1:5" x14ac:dyDescent="0.25">
      <c r="A10">
        <v>110230</v>
      </c>
      <c r="B10" t="s">
        <v>1</v>
      </c>
      <c r="C10">
        <f>'[2]VENTAS CONSOLIDADA 1,0'!C10</f>
        <v>2946</v>
      </c>
      <c r="D10" s="5">
        <f ca="1">'[2]VENTAS CONSOLIDADA 1,0'!D10</f>
        <v>491</v>
      </c>
      <c r="E10" s="5">
        <f ca="1">'[2]VENTAS CONSOLIDADA 1,0'!E10</f>
        <v>10311</v>
      </c>
    </row>
    <row r="11" spans="1:5" x14ac:dyDescent="0.25">
      <c r="A11">
        <v>110400</v>
      </c>
      <c r="B11" t="s">
        <v>13</v>
      </c>
      <c r="C11">
        <f>'[2]VENTAS CONSOLIDADA 1,0'!C11</f>
        <v>531</v>
      </c>
      <c r="D11" s="5">
        <f ca="1">'[2]VENTAS CONSOLIDADA 1,0'!D11</f>
        <v>88.5</v>
      </c>
      <c r="E11" s="5">
        <f ca="1">'[2]VENTAS CONSOLIDADA 1,0'!E11</f>
        <v>1858.5</v>
      </c>
    </row>
    <row r="12" spans="1:5" x14ac:dyDescent="0.25">
      <c r="A12">
        <v>111000</v>
      </c>
      <c r="B12" t="s">
        <v>14</v>
      </c>
      <c r="C12">
        <f>'[2]VENTAS CONSOLIDADA 1,0'!C12</f>
        <v>67</v>
      </c>
      <c r="D12" s="5">
        <f ca="1">'[2]VENTAS CONSOLIDADA 1,0'!D12</f>
        <v>11.166666666666666</v>
      </c>
      <c r="E12" s="5">
        <f ca="1">'[2]VENTAS CONSOLIDADA 1,0'!E12</f>
        <v>234.5</v>
      </c>
    </row>
    <row r="13" spans="1:5" x14ac:dyDescent="0.25">
      <c r="A13">
        <v>120130</v>
      </c>
      <c r="B13" t="s">
        <v>15</v>
      </c>
      <c r="C13">
        <f>'[2]VENTAS CONSOLIDADA 1,0'!C13</f>
        <v>9144</v>
      </c>
      <c r="D13" s="5">
        <f ca="1">'[2]VENTAS CONSOLIDADA 1,0'!D13</f>
        <v>1524</v>
      </c>
      <c r="E13" s="5">
        <f ca="1">'[2]VENTAS CONSOLIDADA 1,0'!E13</f>
        <v>32004</v>
      </c>
    </row>
    <row r="14" spans="1:5" x14ac:dyDescent="0.25">
      <c r="A14">
        <v>120131</v>
      </c>
      <c r="B14" t="s">
        <v>23</v>
      </c>
      <c r="C14">
        <f>'[2]VENTAS CONSOLIDADA 1,0'!C14</f>
        <v>958</v>
      </c>
      <c r="D14" s="5">
        <f ca="1">'[2]VENTAS CONSOLIDADA 1,0'!D14</f>
        <v>159.66666666666666</v>
      </c>
      <c r="E14" s="5">
        <f ca="1">'[2]VENTAS CONSOLIDADA 1,0'!E14</f>
        <v>3353</v>
      </c>
    </row>
    <row r="15" spans="1:5" x14ac:dyDescent="0.25">
      <c r="A15">
        <v>120132</v>
      </c>
      <c r="B15" t="s">
        <v>21</v>
      </c>
      <c r="C15">
        <f>'[2]VENTAS CONSOLIDADA 1,0'!C15</f>
        <v>2453</v>
      </c>
      <c r="D15" s="5">
        <f ca="1">'[2]VENTAS CONSOLIDADA 1,0'!D15</f>
        <v>408.83333333333331</v>
      </c>
      <c r="E15" s="5">
        <f ca="1">'[2]VENTAS CONSOLIDADA 1,0'!E15</f>
        <v>8585.5</v>
      </c>
    </row>
    <row r="16" spans="1:5" x14ac:dyDescent="0.25">
      <c r="A16">
        <v>130150</v>
      </c>
      <c r="B16" t="s">
        <v>0</v>
      </c>
      <c r="C16">
        <f>'[2]VENTAS CONSOLIDADA 1,0'!C16</f>
        <v>4939</v>
      </c>
      <c r="D16" s="5">
        <f ca="1">'[2]VENTAS CONSOLIDADA 1,0'!D16</f>
        <v>823.16666666666663</v>
      </c>
      <c r="E16" s="5">
        <f ca="1">'[2]VENTAS CONSOLIDADA 1,0'!E16</f>
        <v>17286.5</v>
      </c>
    </row>
    <row r="17" spans="1:5" x14ac:dyDescent="0.25">
      <c r="A17">
        <v>130151</v>
      </c>
      <c r="B17" t="s">
        <v>4</v>
      </c>
      <c r="C17">
        <f>'[2]VENTAS CONSOLIDADA 1,0'!C17</f>
        <v>2217</v>
      </c>
      <c r="D17" s="5">
        <f ca="1">'[2]VENTAS CONSOLIDADA 1,0'!D17</f>
        <v>369.5</v>
      </c>
      <c r="E17" s="5">
        <f ca="1">'[2]VENTAS CONSOLIDADA 1,0'!E17</f>
        <v>7759.5</v>
      </c>
    </row>
    <row r="18" spans="1:5" x14ac:dyDescent="0.25">
      <c r="A18">
        <v>130152</v>
      </c>
      <c r="B18" t="s">
        <v>51</v>
      </c>
      <c r="C18">
        <f>'[2]VENTAS CONSOLIDADA 1,0'!C18</f>
        <v>21459</v>
      </c>
      <c r="D18" s="5">
        <f ca="1">'[2]VENTAS CONSOLIDADA 1,0'!D18</f>
        <v>3576.5</v>
      </c>
      <c r="E18" s="5">
        <f ca="1">'[2]VENTAS CONSOLIDADA 1,0'!E18</f>
        <v>75106.5</v>
      </c>
    </row>
    <row r="19" spans="1:5" x14ac:dyDescent="0.25">
      <c r="A19">
        <v>130153</v>
      </c>
      <c r="B19" t="s">
        <v>52</v>
      </c>
      <c r="C19">
        <f>'[2]VENTAS CONSOLIDADA 1,0'!C19</f>
        <v>12943</v>
      </c>
      <c r="D19" s="5">
        <f ca="1">'[2]VENTAS CONSOLIDADA 1,0'!D19</f>
        <v>2157.1666666666665</v>
      </c>
      <c r="E19" s="5">
        <f ca="1">'[2]VENTAS CONSOLIDADA 1,0'!E19</f>
        <v>45300.5</v>
      </c>
    </row>
    <row r="20" spans="1:5" x14ac:dyDescent="0.25">
      <c r="A20">
        <v>130154</v>
      </c>
      <c r="B20" t="s">
        <v>53</v>
      </c>
      <c r="C20">
        <f>'[2]VENTAS CONSOLIDADA 1,0'!C20</f>
        <v>12688</v>
      </c>
      <c r="D20" s="5">
        <f ca="1">'[2]VENTAS CONSOLIDADA 1,0'!D20</f>
        <v>2114.6666666666665</v>
      </c>
      <c r="E20" s="5">
        <f ca="1">'[2]VENTAS CONSOLIDADA 1,0'!E20</f>
        <v>44408</v>
      </c>
    </row>
    <row r="21" spans="1:5" x14ac:dyDescent="0.25">
      <c r="A21">
        <v>130155</v>
      </c>
      <c r="B21" t="s">
        <v>16</v>
      </c>
      <c r="C21">
        <f>'[2]VENTAS CONSOLIDADA 1,0'!C21</f>
        <v>16097</v>
      </c>
      <c r="D21" s="5">
        <f ca="1">'[2]VENTAS CONSOLIDADA 1,0'!D21</f>
        <v>2682.8333333333335</v>
      </c>
      <c r="E21" s="5">
        <f ca="1">'[2]VENTAS CONSOLIDADA 1,0'!E21</f>
        <v>56339.5</v>
      </c>
    </row>
    <row r="22" spans="1:5" x14ac:dyDescent="0.25">
      <c r="A22">
        <v>130157</v>
      </c>
      <c r="B22" t="s">
        <v>43</v>
      </c>
      <c r="C22">
        <f>'[2]VENTAS CONSOLIDADA 1,0'!C22</f>
        <v>4776</v>
      </c>
      <c r="D22" s="5">
        <f ca="1">'[2]VENTAS CONSOLIDADA 1,0'!D22</f>
        <v>796</v>
      </c>
      <c r="E22" s="5">
        <f ca="1">'[2]VENTAS CONSOLIDADA 1,0'!E22</f>
        <v>16716</v>
      </c>
    </row>
    <row r="23" spans="1:5" x14ac:dyDescent="0.25">
      <c r="A23">
        <v>130158</v>
      </c>
      <c r="B23" t="s">
        <v>44</v>
      </c>
      <c r="C23">
        <f>'[2]VENTAS CONSOLIDADA 1,0'!C23</f>
        <v>6325</v>
      </c>
      <c r="D23" s="5">
        <f ca="1">'[2]VENTAS CONSOLIDADA 1,0'!D23</f>
        <v>1054.1666666666667</v>
      </c>
      <c r="E23" s="5">
        <f ca="1">'[2]VENTAS CONSOLIDADA 1,0'!E23</f>
        <v>22137.5</v>
      </c>
    </row>
    <row r="24" spans="1:5" x14ac:dyDescent="0.25">
      <c r="A24">
        <v>130159</v>
      </c>
      <c r="B24" t="s">
        <v>45</v>
      </c>
      <c r="C24">
        <f>'[2]VENTAS CONSOLIDADA 1,0'!C24</f>
        <v>6106</v>
      </c>
      <c r="D24" s="5">
        <f ca="1">'[2]VENTAS CONSOLIDADA 1,0'!D24</f>
        <v>1017.6666666666666</v>
      </c>
      <c r="E24" s="5">
        <f ca="1">'[2]VENTAS CONSOLIDADA 1,0'!E24</f>
        <v>21371</v>
      </c>
    </row>
    <row r="25" spans="1:5" x14ac:dyDescent="0.25">
      <c r="A25">
        <v>130700</v>
      </c>
      <c r="B25" t="s">
        <v>3</v>
      </c>
      <c r="C25">
        <f>'[2]VENTAS CONSOLIDADA 1,0'!C25</f>
        <v>1674</v>
      </c>
      <c r="D25" s="5">
        <f ca="1">'[2]VENTAS CONSOLIDADA 1,0'!D25</f>
        <v>279</v>
      </c>
      <c r="E25" s="5">
        <f ca="1">'[2]VENTAS CONSOLIDADA 1,0'!E25</f>
        <v>5859</v>
      </c>
    </row>
    <row r="26" spans="1:5" x14ac:dyDescent="0.25">
      <c r="A26">
        <v>130701</v>
      </c>
      <c r="B26" t="s">
        <v>30</v>
      </c>
      <c r="C26">
        <f>'[2]VENTAS CONSOLIDADA 1,0'!C26</f>
        <v>814</v>
      </c>
      <c r="D26" s="5">
        <f ca="1">'[2]VENTAS CONSOLIDADA 1,0'!D26</f>
        <v>135.66666666666666</v>
      </c>
      <c r="E26" s="5">
        <f ca="1">'[2]VENTAS CONSOLIDADA 1,0'!E26</f>
        <v>2849</v>
      </c>
    </row>
    <row r="27" spans="1:5" x14ac:dyDescent="0.25">
      <c r="A27">
        <v>130702</v>
      </c>
      <c r="B27" t="s">
        <v>12</v>
      </c>
      <c r="C27">
        <f>'[2]VENTAS CONSOLIDADA 1,0'!C27</f>
        <v>3061</v>
      </c>
      <c r="D27" s="5">
        <f ca="1">'[2]VENTAS CONSOLIDADA 1,0'!D27</f>
        <v>510.16666666666669</v>
      </c>
      <c r="E27" s="5">
        <f ca="1">'[2]VENTAS CONSOLIDADA 1,0'!E27</f>
        <v>10713.5</v>
      </c>
    </row>
    <row r="28" spans="1:5" x14ac:dyDescent="0.25">
      <c r="A28">
        <v>130703</v>
      </c>
      <c r="B28" t="s">
        <v>17</v>
      </c>
      <c r="C28">
        <f>'[2]VENTAS CONSOLIDADA 1,0'!C28</f>
        <v>5170</v>
      </c>
      <c r="D28" s="5">
        <f ca="1">'[2]VENTAS CONSOLIDADA 1,0'!D28</f>
        <v>861.66666666666663</v>
      </c>
      <c r="E28" s="5">
        <f ca="1">'[2]VENTAS CONSOLIDADA 1,0'!E28</f>
        <v>18095</v>
      </c>
    </row>
    <row r="29" spans="1:5" x14ac:dyDescent="0.25">
      <c r="A29">
        <v>130707</v>
      </c>
      <c r="B29" t="s">
        <v>42</v>
      </c>
      <c r="C29">
        <f>'[2]VENTAS CONSOLIDADA 1,0'!C29</f>
        <v>260</v>
      </c>
      <c r="D29" s="5">
        <f ca="1">'[2]VENTAS CONSOLIDADA 1,0'!D29</f>
        <v>43.333333333333336</v>
      </c>
      <c r="E29" s="5">
        <f ca="1">'[2]VENTAS CONSOLIDADA 1,0'!E29</f>
        <v>910</v>
      </c>
    </row>
    <row r="30" spans="1:5" x14ac:dyDescent="0.25">
      <c r="A30">
        <v>131150</v>
      </c>
      <c r="B30" t="s">
        <v>22</v>
      </c>
      <c r="C30">
        <f>'[2]VENTAS CONSOLIDADA 1,0'!C30</f>
        <v>3741</v>
      </c>
      <c r="D30" s="5">
        <f ca="1">'[2]VENTAS CONSOLIDADA 1,0'!D30</f>
        <v>623.5</v>
      </c>
      <c r="E30" s="5">
        <f ca="1">'[2]VENTAS CONSOLIDADA 1,0'!E30</f>
        <v>13093.5</v>
      </c>
    </row>
    <row r="31" spans="1:5" x14ac:dyDescent="0.25">
      <c r="A31">
        <v>131151</v>
      </c>
      <c r="B31" t="s">
        <v>19</v>
      </c>
      <c r="C31">
        <f>'[2]VENTAS CONSOLIDADA 1,0'!C31</f>
        <v>6195</v>
      </c>
      <c r="D31" s="5">
        <f ca="1">'[2]VENTAS CONSOLIDADA 1,0'!D31</f>
        <v>1032.5</v>
      </c>
      <c r="E31" s="5">
        <f ca="1">'[2]VENTAS CONSOLIDADA 1,0'!E31</f>
        <v>21682.5</v>
      </c>
    </row>
    <row r="32" spans="1:5" x14ac:dyDescent="0.25">
      <c r="A32">
        <v>131152</v>
      </c>
      <c r="B32" t="s">
        <v>32</v>
      </c>
      <c r="C32">
        <f>'[2]VENTAS CONSOLIDADA 1,0'!C32</f>
        <v>3566</v>
      </c>
      <c r="D32" s="5">
        <f ca="1">'[2]VENTAS CONSOLIDADA 1,0'!D32</f>
        <v>594.33333333333337</v>
      </c>
      <c r="E32" s="5">
        <f ca="1">'[2]VENTAS CONSOLIDADA 1,0'!E32</f>
        <v>12481</v>
      </c>
    </row>
    <row r="33" spans="1:5" x14ac:dyDescent="0.25">
      <c r="A33">
        <v>131153</v>
      </c>
      <c r="B33" t="s">
        <v>11</v>
      </c>
      <c r="C33">
        <f>'[2]VENTAS CONSOLIDADA 1,0'!C33</f>
        <v>2944</v>
      </c>
      <c r="D33" s="5">
        <f ca="1">'[2]VENTAS CONSOLIDADA 1,0'!D33</f>
        <v>490.66666666666669</v>
      </c>
      <c r="E33" s="5">
        <f ca="1">'[2]VENTAS CONSOLIDADA 1,0'!E33</f>
        <v>10304</v>
      </c>
    </row>
    <row r="34" spans="1:5" x14ac:dyDescent="0.25">
      <c r="A34">
        <v>131154</v>
      </c>
      <c r="B34" t="s">
        <v>48</v>
      </c>
      <c r="C34">
        <f>'[2]VENTAS CONSOLIDADA 1,0'!C34</f>
        <v>1661</v>
      </c>
      <c r="D34" s="5">
        <f ca="1">'[2]VENTAS CONSOLIDADA 1,0'!D34</f>
        <v>276.83333333333331</v>
      </c>
      <c r="E34" s="5">
        <f ca="1">'[2]VENTAS CONSOLIDADA 1,0'!E34</f>
        <v>5813.5</v>
      </c>
    </row>
    <row r="35" spans="1:5" x14ac:dyDescent="0.25">
      <c r="A35">
        <v>131155</v>
      </c>
      <c r="B35" t="s">
        <v>57</v>
      </c>
      <c r="C35">
        <f>'[2]VENTAS CONSOLIDADA 1,0'!C35</f>
        <v>1796</v>
      </c>
      <c r="D35" s="5">
        <f ca="1">'[2]VENTAS CONSOLIDADA 1,0'!D35</f>
        <v>299.33333333333331</v>
      </c>
      <c r="E35" s="5">
        <f ca="1">'[2]VENTAS CONSOLIDADA 1,0'!E35</f>
        <v>6286</v>
      </c>
    </row>
    <row r="36" spans="1:5" x14ac:dyDescent="0.25">
      <c r="A36">
        <v>131700</v>
      </c>
      <c r="B36" t="s">
        <v>20</v>
      </c>
      <c r="C36">
        <f>'[2]VENTAS CONSOLIDADA 1,0'!C36</f>
        <v>622</v>
      </c>
      <c r="D36" s="5">
        <f ca="1">'[2]VENTAS CONSOLIDADA 1,0'!D36</f>
        <v>103.66666666666667</v>
      </c>
      <c r="E36" s="5">
        <f ca="1">'[2]VENTAS CONSOLIDADA 1,0'!E36</f>
        <v>2177</v>
      </c>
    </row>
    <row r="37" spans="1:5" x14ac:dyDescent="0.25">
      <c r="A37">
        <v>131701</v>
      </c>
      <c r="B37" t="s">
        <v>24</v>
      </c>
      <c r="C37">
        <f>'[2]VENTAS CONSOLIDADA 1,0'!C37</f>
        <v>749</v>
      </c>
      <c r="D37" s="5">
        <f ca="1">'[2]VENTAS CONSOLIDADA 1,0'!D37</f>
        <v>124.83333333333333</v>
      </c>
      <c r="E37" s="5">
        <f ca="1">'[2]VENTAS CONSOLIDADA 1,0'!E37</f>
        <v>2621.5</v>
      </c>
    </row>
    <row r="38" spans="1:5" x14ac:dyDescent="0.25">
      <c r="A38">
        <v>132150</v>
      </c>
      <c r="B38" t="s">
        <v>25</v>
      </c>
      <c r="C38">
        <f>'[2]VENTAS CONSOLIDADA 1,0'!C38</f>
        <v>5071</v>
      </c>
      <c r="D38" s="5">
        <f ca="1">'[2]VENTAS CONSOLIDADA 1,0'!D38</f>
        <v>845.16666666666663</v>
      </c>
      <c r="E38" s="5">
        <f ca="1">'[2]VENTAS CONSOLIDADA 1,0'!E38</f>
        <v>17748.5</v>
      </c>
    </row>
    <row r="39" spans="1:5" x14ac:dyDescent="0.25">
      <c r="A39">
        <v>132151</v>
      </c>
      <c r="B39" t="s">
        <v>26</v>
      </c>
      <c r="C39">
        <f>'[2]VENTAS CONSOLIDADA 1,0'!C39</f>
        <v>3592</v>
      </c>
      <c r="D39" s="5">
        <f ca="1">'[2]VENTAS CONSOLIDADA 1,0'!D39</f>
        <v>598.66666666666663</v>
      </c>
      <c r="E39" s="5">
        <f ca="1">'[2]VENTAS CONSOLIDADA 1,0'!E39</f>
        <v>12572</v>
      </c>
    </row>
    <row r="40" spans="1:5" x14ac:dyDescent="0.25">
      <c r="A40">
        <v>132152</v>
      </c>
      <c r="B40" t="s">
        <v>27</v>
      </c>
      <c r="C40">
        <f>'[2]VENTAS CONSOLIDADA 1,0'!C40</f>
        <v>4718</v>
      </c>
      <c r="D40" s="5">
        <f ca="1">'[2]VENTAS CONSOLIDADA 1,0'!D40</f>
        <v>786.33333333333337</v>
      </c>
      <c r="E40" s="5">
        <f ca="1">'[2]VENTAS CONSOLIDADA 1,0'!E40</f>
        <v>16513</v>
      </c>
    </row>
    <row r="41" spans="1:5" x14ac:dyDescent="0.25">
      <c r="A41">
        <v>132153</v>
      </c>
      <c r="B41" t="s">
        <v>40</v>
      </c>
      <c r="C41">
        <f>'[2]VENTAS CONSOLIDADA 1,0'!C41</f>
        <v>3097</v>
      </c>
      <c r="D41" s="5">
        <f ca="1">'[2]VENTAS CONSOLIDADA 1,0'!D41</f>
        <v>516.16666666666663</v>
      </c>
      <c r="E41" s="5">
        <f ca="1">'[2]VENTAS CONSOLIDADA 1,0'!E41</f>
        <v>10839.5</v>
      </c>
    </row>
    <row r="42" spans="1:5" x14ac:dyDescent="0.25">
      <c r="A42">
        <v>134000</v>
      </c>
      <c r="B42" t="s">
        <v>35</v>
      </c>
      <c r="C42">
        <f>'[2]VENTAS CONSOLIDADA 1,0'!C42</f>
        <v>21</v>
      </c>
      <c r="D42" s="5">
        <f ca="1">'[2]VENTAS CONSOLIDADA 1,0'!D42</f>
        <v>3.5</v>
      </c>
      <c r="E42" s="5">
        <f ca="1">'[2]VENTAS CONSOLIDADA 1,0'!E42</f>
        <v>73.5</v>
      </c>
    </row>
    <row r="43" spans="1:5" x14ac:dyDescent="0.25">
      <c r="A43">
        <v>134001</v>
      </c>
      <c r="B43" t="s">
        <v>47</v>
      </c>
      <c r="C43">
        <f>'[2]VENTAS CONSOLIDADA 1,0'!C43</f>
        <v>8</v>
      </c>
      <c r="D43" s="5">
        <f ca="1">'[2]VENTAS CONSOLIDADA 1,0'!D43</f>
        <v>1.3333333333333333</v>
      </c>
      <c r="E43" s="5">
        <f ca="1">'[2]VENTAS CONSOLIDADA 1,0'!E43</f>
        <v>28</v>
      </c>
    </row>
    <row r="44" spans="1:5" x14ac:dyDescent="0.25">
      <c r="A44">
        <v>140230</v>
      </c>
      <c r="B44" t="s">
        <v>18</v>
      </c>
      <c r="C44">
        <f>'[2]VENTAS CONSOLIDADA 1,0'!C44</f>
        <v>224</v>
      </c>
      <c r="D44" s="5">
        <f ca="1">'[2]VENTAS CONSOLIDADA 1,0'!D44</f>
        <v>37.333333333333336</v>
      </c>
      <c r="E44" s="5">
        <f ca="1">'[2]VENTAS CONSOLIDADA 1,0'!E44</f>
        <v>784</v>
      </c>
    </row>
    <row r="45" spans="1:5" x14ac:dyDescent="0.25">
      <c r="A45">
        <v>140231</v>
      </c>
      <c r="B45" t="s">
        <v>10</v>
      </c>
      <c r="C45">
        <f>'[2]VENTAS CONSOLIDADA 1,0'!C45</f>
        <v>3650</v>
      </c>
      <c r="D45" s="5">
        <f ca="1">'[2]VENTAS CONSOLIDADA 1,0'!D45</f>
        <v>608.33333333333337</v>
      </c>
      <c r="E45" s="5">
        <f ca="1">'[2]VENTAS CONSOLIDADA 1,0'!E45</f>
        <v>12775</v>
      </c>
    </row>
    <row r="46" spans="1:5" x14ac:dyDescent="0.25">
      <c r="A46">
        <v>140232</v>
      </c>
      <c r="B46" t="s">
        <v>9</v>
      </c>
      <c r="C46">
        <f>'[2]VENTAS CONSOLIDADA 1,0'!C46</f>
        <v>2645</v>
      </c>
      <c r="D46" s="5">
        <f ca="1">'[2]VENTAS CONSOLIDADA 1,0'!D46</f>
        <v>440.83333333333331</v>
      </c>
      <c r="E46" s="5">
        <f ca="1">'[2]VENTAS CONSOLIDADA 1,0'!E46</f>
        <v>9257.5</v>
      </c>
    </row>
    <row r="47" spans="1:5" x14ac:dyDescent="0.25">
      <c r="A47">
        <v>150360</v>
      </c>
      <c r="B47" t="s">
        <v>28</v>
      </c>
      <c r="C47">
        <f>'[2]VENTAS CONSOLIDADA 1,0'!C47</f>
        <v>1659</v>
      </c>
      <c r="D47" s="5">
        <f ca="1">'[2]VENTAS CONSOLIDADA 1,0'!D47</f>
        <v>276.5</v>
      </c>
      <c r="E47" s="5">
        <f ca="1">'[2]VENTAS CONSOLIDADA 1,0'!E47</f>
        <v>5806.5</v>
      </c>
    </row>
    <row r="48" spans="1:5" x14ac:dyDescent="0.25">
      <c r="A48">
        <v>150361</v>
      </c>
      <c r="B48" t="s">
        <v>29</v>
      </c>
      <c r="C48">
        <f>'[2]VENTAS CONSOLIDADA 1,0'!C48</f>
        <v>2900</v>
      </c>
      <c r="D48" s="5">
        <f ca="1">'[2]VENTAS CONSOLIDADA 1,0'!D48</f>
        <v>483.33333333333331</v>
      </c>
      <c r="E48" s="5">
        <f ca="1">'[2]VENTAS CONSOLIDADA 1,0'!E48</f>
        <v>10150</v>
      </c>
    </row>
    <row r="49" spans="1:5" x14ac:dyDescent="0.25">
      <c r="A49">
        <v>150362</v>
      </c>
      <c r="B49" t="s">
        <v>36</v>
      </c>
      <c r="C49">
        <f>'[2]VENTAS CONSOLIDADA 1,0'!C49</f>
        <v>1552</v>
      </c>
      <c r="D49" s="5">
        <f ca="1">'[2]VENTAS CONSOLIDADA 1,0'!D49</f>
        <v>258.66666666666669</v>
      </c>
      <c r="E49" s="5">
        <f ca="1">'[2]VENTAS CONSOLIDADA 1,0'!E49</f>
        <v>5432</v>
      </c>
    </row>
    <row r="50" spans="1:5" x14ac:dyDescent="0.25">
      <c r="A50">
        <v>150363</v>
      </c>
      <c r="B50" t="s">
        <v>31</v>
      </c>
      <c r="C50">
        <f>'[2]VENTAS CONSOLIDADA 1,0'!C50</f>
        <v>1620</v>
      </c>
      <c r="D50" s="5">
        <f ca="1">'[2]VENTAS CONSOLIDADA 1,0'!D50</f>
        <v>270</v>
      </c>
      <c r="E50" s="5">
        <f ca="1">'[2]VENTAS CONSOLIDADA 1,0'!E50</f>
        <v>5670</v>
      </c>
    </row>
    <row r="51" spans="1:5" x14ac:dyDescent="0.25">
      <c r="A51">
        <v>151500</v>
      </c>
      <c r="B51" t="s">
        <v>41</v>
      </c>
      <c r="C51">
        <f>'[2]VENTAS CONSOLIDADA 1,0'!C51</f>
        <v>242</v>
      </c>
      <c r="D51" s="5">
        <f ca="1">'[2]VENTAS CONSOLIDADA 1,0'!D51</f>
        <v>40.333333333333336</v>
      </c>
      <c r="E51" s="5">
        <f ca="1">'[2]VENTAS CONSOLIDADA 1,0'!E51</f>
        <v>847</v>
      </c>
    </row>
    <row r="52" spans="1:5" x14ac:dyDescent="0.25">
      <c r="A52">
        <v>151501</v>
      </c>
      <c r="B52" t="s">
        <v>33</v>
      </c>
      <c r="C52">
        <f>'[2]VENTAS CONSOLIDADA 1,0'!C52</f>
        <v>507</v>
      </c>
      <c r="D52" s="5">
        <f ca="1">'[2]VENTAS CONSOLIDADA 1,0'!D52</f>
        <v>84.5</v>
      </c>
      <c r="E52" s="5">
        <f ca="1">'[2]VENTAS CONSOLIDADA 1,0'!E52</f>
        <v>1774.5</v>
      </c>
    </row>
    <row r="53" spans="1:5" x14ac:dyDescent="0.25">
      <c r="A53">
        <v>151502</v>
      </c>
      <c r="B53" t="s">
        <v>37</v>
      </c>
      <c r="C53">
        <f>'[2]VENTAS CONSOLIDADA 1,0'!C53</f>
        <v>311</v>
      </c>
      <c r="D53" s="5">
        <f ca="1">'[2]VENTAS CONSOLIDADA 1,0'!D53</f>
        <v>51.833333333333336</v>
      </c>
      <c r="E53" s="5">
        <f ca="1">'[2]VENTAS CONSOLIDADA 1,0'!E53</f>
        <v>1088.5</v>
      </c>
    </row>
    <row r="54" spans="1:5" x14ac:dyDescent="0.25">
      <c r="A54">
        <v>151503</v>
      </c>
      <c r="B54" t="s">
        <v>34</v>
      </c>
      <c r="C54">
        <f>'[2]VENTAS CONSOLIDADA 1,0'!C54</f>
        <v>323</v>
      </c>
      <c r="D54" s="5">
        <f ca="1">'[2]VENTAS CONSOLIDADA 1,0'!D54</f>
        <v>53.833333333333336</v>
      </c>
      <c r="E54" s="5">
        <f ca="1">'[2]VENTAS CONSOLIDADA 1,0'!E54</f>
        <v>1130.5</v>
      </c>
    </row>
    <row r="55" spans="1:5" x14ac:dyDescent="0.25">
      <c r="C55">
        <f>SUM(C8:C54)</f>
        <v>175115</v>
      </c>
      <c r="D55" s="5">
        <f ca="1">SUM(D8:D54)</f>
        <v>29185.833333333328</v>
      </c>
      <c r="E55" s="5">
        <f ca="1">SUM(E8:E54)</f>
        <v>612902.5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CC2043D8-989E-412C-8862-ACDB973E448B}">
  <ds:schemaRefs/>
</ds:datastoreItem>
</file>

<file path=customXml/itemProps2.xml><?xml version="1.0" encoding="utf-8"?>
<ds:datastoreItem xmlns:ds="http://schemas.openxmlformats.org/officeDocument/2006/customXml" ds:itemID="{7AE93A93-CA27-4BDA-AA62-2C35967BA493}">
  <ds:schemaRefs/>
</ds:datastoreItem>
</file>

<file path=customXml/itemProps3.xml><?xml version="1.0" encoding="utf-8"?>
<ds:datastoreItem xmlns:ds="http://schemas.openxmlformats.org/officeDocument/2006/customXml" ds:itemID="{DB2ACCEB-6CC9-4D35-BDF4-AC9EF8C2F118}">
  <ds:schemaRefs/>
</ds:datastoreItem>
</file>

<file path=customXml/itemProps4.xml><?xml version="1.0" encoding="utf-8"?>
<ds:datastoreItem xmlns:ds="http://schemas.openxmlformats.org/officeDocument/2006/customXml" ds:itemID="{0AD6CB95-564A-49A8-92C3-BDDCD21D69FF}">
  <ds:schemaRefs/>
</ds:datastoreItem>
</file>

<file path=customXml/itemProps5.xml><?xml version="1.0" encoding="utf-8"?>
<ds:datastoreItem xmlns:ds="http://schemas.openxmlformats.org/officeDocument/2006/customXml" ds:itemID="{B0CC2B14-7DD7-4033-8A48-822C26B12A45}">
  <ds:schemaRefs/>
</ds:datastoreItem>
</file>

<file path=customXml/itemProps6.xml><?xml version="1.0" encoding="utf-8"?>
<ds:datastoreItem xmlns:ds="http://schemas.openxmlformats.org/officeDocument/2006/customXml" ds:itemID="{4DF253BA-E348-4CD2-AA4E-97FB2A32A7F0}">
  <ds:schemaRefs/>
</ds:datastoreItem>
</file>

<file path=customXml/itemProps7.xml><?xml version="1.0" encoding="utf-8"?>
<ds:datastoreItem xmlns:ds="http://schemas.openxmlformats.org/officeDocument/2006/customXml" ds:itemID="{2FB7461A-5A6D-4ED3-B35C-48147355CFC0}">
  <ds:schemaRefs/>
</ds:datastoreItem>
</file>

<file path=customXml/itemProps8.xml><?xml version="1.0" encoding="utf-8"?>
<ds:datastoreItem xmlns:ds="http://schemas.openxmlformats.org/officeDocument/2006/customXml" ds:itemID="{DEFC51E7-3E67-4621-B139-07F56E3C51B6}">
  <ds:schemaRefs/>
</ds:datastoreItem>
</file>

<file path=customXml/itemProps9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084C0BCB-4732-44D2-A228-50E994334BF1}">
  <ds:schemaRefs/>
</ds:datastoreItem>
</file>

<file path=customXml/itemProps11.xml><?xml version="1.0" encoding="utf-8"?>
<ds:datastoreItem xmlns:ds="http://schemas.openxmlformats.org/officeDocument/2006/customXml" ds:itemID="{38DB5A37-2218-4EAC-B67D-146D68E76E36}">
  <ds:schemaRefs/>
</ds:datastoreItem>
</file>

<file path=customXml/itemProps12.xml><?xml version="1.0" encoding="utf-8"?>
<ds:datastoreItem xmlns:ds="http://schemas.openxmlformats.org/officeDocument/2006/customXml" ds:itemID="{F5D7323A-644E-4D3D-8486-43C2FFAD8146}">
  <ds:schemaRefs/>
</ds:datastoreItem>
</file>

<file path=customXml/itemProps13.xml><?xml version="1.0" encoding="utf-8"?>
<ds:datastoreItem xmlns:ds="http://schemas.openxmlformats.org/officeDocument/2006/customXml" ds:itemID="{CFB06E3D-1317-4F60-85DB-890000D02217}">
  <ds:schemaRefs/>
</ds:datastoreItem>
</file>

<file path=customXml/itemProps14.xml><?xml version="1.0" encoding="utf-8"?>
<ds:datastoreItem xmlns:ds="http://schemas.openxmlformats.org/officeDocument/2006/customXml" ds:itemID="{1624F75C-FD6B-41DE-81B8-76266AB6E660}">
  <ds:schemaRefs/>
</ds:datastoreItem>
</file>

<file path=customXml/itemProps15.xml><?xml version="1.0" encoding="utf-8"?>
<ds:datastoreItem xmlns:ds="http://schemas.openxmlformats.org/officeDocument/2006/customXml" ds:itemID="{52FA8FE5-D878-4A8D-B664-9568032292DD}">
  <ds:schemaRefs/>
</ds:datastoreItem>
</file>

<file path=customXml/itemProps16.xml><?xml version="1.0" encoding="utf-8"?>
<ds:datastoreItem xmlns:ds="http://schemas.openxmlformats.org/officeDocument/2006/customXml" ds:itemID="{65BE5737-5D13-4B92-9A1E-66AAD091BECC}">
  <ds:schemaRefs/>
</ds:datastoreItem>
</file>

<file path=customXml/itemProps17.xml><?xml version="1.0" encoding="utf-8"?>
<ds:datastoreItem xmlns:ds="http://schemas.openxmlformats.org/officeDocument/2006/customXml" ds:itemID="{8E0207D3-36B0-4047-99FA-B78F3EBADFAC}">
  <ds:schemaRefs/>
</ds:datastoreItem>
</file>

<file path=customXml/itemProps18.xml><?xml version="1.0" encoding="utf-8"?>
<ds:datastoreItem xmlns:ds="http://schemas.openxmlformats.org/officeDocument/2006/customXml" ds:itemID="{CAB6C292-B853-467D-B711-6EBB7D36CC58}">
  <ds:schemaRefs/>
</ds:datastoreItem>
</file>

<file path=customXml/itemProps19.xml><?xml version="1.0" encoding="utf-8"?>
<ds:datastoreItem xmlns:ds="http://schemas.openxmlformats.org/officeDocument/2006/customXml" ds:itemID="{7845B0CC-F2DA-4435-B3A8-0B67EEA59E3E}">
  <ds:schemaRefs/>
</ds:datastoreItem>
</file>

<file path=customXml/itemProps20.xml><?xml version="1.0" encoding="utf-8"?>
<ds:datastoreItem xmlns:ds="http://schemas.openxmlformats.org/officeDocument/2006/customXml" ds:itemID="{AF2AF42B-D484-4F26-B929-D7FB2E56F7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2026-10-09T12:18:10Z</dcterms:modified>
</cp:coreProperties>
</file>