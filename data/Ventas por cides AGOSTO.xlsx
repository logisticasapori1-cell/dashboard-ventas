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6C9E755-6524-4F44-A737-7009EE1C2E68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55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5"/>
  <c r="D2" i="50"/>
  <c r="D2" i="54"/>
  <c r="D2" i="52"/>
  <c r="D2" i="51"/>
  <c r="D2" i="53"/>
  <c r="E3" i="55" l="1"/>
  <c r="E2" i="55"/>
  <c r="E3" i="50"/>
  <c r="E2" i="50"/>
  <c r="D46" i="50" s="1"/>
  <c r="E3" i="51"/>
  <c r="E2" i="51"/>
  <c r="E3" i="52"/>
  <c r="E2" i="52"/>
  <c r="E2" i="54"/>
  <c r="E3" i="54"/>
  <c r="E3" i="53"/>
  <c r="E2" i="53" l="1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<sst xmlns="http://schemas.openxmlformats.org/spreadsheetml/2006/main" count="320" uniqueCount="62">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</sst>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46268</v>
          </cell>
          <cell r="E2">
            <v>2</v>
          </cell>
        </row>
        <row r="3">
          <cell r="C3" t="str">
            <v>FINAL VENTAS</v>
          </cell>
          <cell r="D3">
            <v>46295</v>
          </cell>
          <cell r="E3">
            <v>20</v>
          </cell>
        </row>
        <row r="8">
          <cell r="C8">
            <v>89</v>
          </cell>
        </row>
        <row r="9">
          <cell r="C9">
            <v>24</v>
          </cell>
        </row>
        <row r="10">
          <cell r="C10">
            <v>48</v>
          </cell>
        </row>
        <row r="11">
          <cell r="C11">
            <v>4</v>
          </cell>
        </row>
        <row r="12">
          <cell r="C12">
            <v>5</v>
          </cell>
        </row>
        <row r="13">
          <cell r="C13">
            <v>12</v>
          </cell>
        </row>
        <row r="14">
          <cell r="C14">
            <v>2</v>
          </cell>
        </row>
        <row r="15">
          <cell r="C15">
            <v>20</v>
          </cell>
        </row>
        <row r="16">
          <cell r="C16">
            <v>55</v>
          </cell>
        </row>
        <row r="17">
          <cell r="C17">
            <v>15</v>
          </cell>
        </row>
        <row r="18">
          <cell r="C18">
            <v>240</v>
          </cell>
        </row>
        <row r="19">
          <cell r="C19">
            <v>147</v>
          </cell>
        </row>
        <row r="20">
          <cell r="C20">
            <v>176</v>
          </cell>
        </row>
        <row r="21">
          <cell r="C21">
            <v>179</v>
          </cell>
        </row>
        <row r="22">
          <cell r="C22">
            <v>105</v>
          </cell>
        </row>
        <row r="23">
          <cell r="C23">
            <v>107</v>
          </cell>
        </row>
        <row r="24">
          <cell r="C24">
            <v>94</v>
          </cell>
        </row>
        <row r="25">
          <cell r="C25">
            <v>15</v>
          </cell>
        </row>
        <row r="26">
          <cell r="C26">
            <v>3</v>
          </cell>
        </row>
        <row r="27">
          <cell r="C27">
            <v>49</v>
          </cell>
        </row>
        <row r="28">
          <cell r="C28">
            <v>56</v>
          </cell>
        </row>
        <row r="29">
          <cell r="C29">
            <v>0</v>
          </cell>
        </row>
        <row r="30">
          <cell r="C30">
            <v>64</v>
          </cell>
        </row>
        <row r="31">
          <cell r="C31">
            <v>134</v>
          </cell>
        </row>
        <row r="32">
          <cell r="C32">
            <v>164</v>
          </cell>
        </row>
        <row r="33">
          <cell r="C33">
            <v>34</v>
          </cell>
        </row>
        <row r="34">
          <cell r="C34">
            <v>8</v>
          </cell>
        </row>
        <row r="35">
          <cell r="C35">
            <v>8</v>
          </cell>
        </row>
        <row r="36">
          <cell r="C36">
            <v>3</v>
          </cell>
        </row>
        <row r="37">
          <cell r="C37">
            <v>21</v>
          </cell>
        </row>
        <row r="38">
          <cell r="C38">
            <v>69</v>
          </cell>
        </row>
        <row r="39">
          <cell r="C39">
            <v>73</v>
          </cell>
        </row>
        <row r="40">
          <cell r="C40">
            <v>41</v>
          </cell>
        </row>
        <row r="41">
          <cell r="C41">
            <v>10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36</v>
          </cell>
        </row>
        <row r="45">
          <cell r="C45">
            <v>96</v>
          </cell>
        </row>
        <row r="46">
          <cell r="C46">
            <v>0</v>
          </cell>
        </row>
        <row r="47">
          <cell r="C47">
            <v>42</v>
          </cell>
        </row>
        <row r="48">
          <cell r="C48">
            <v>19</v>
          </cell>
        </row>
        <row r="49">
          <cell r="C49">
            <v>11</v>
          </cell>
        </row>
        <row r="50">
          <cell r="C50">
            <v>5</v>
          </cell>
        </row>
        <row r="51">
          <cell r="C51">
            <v>4</v>
          </cell>
        </row>
        <row r="52">
          <cell r="C52">
            <v>2</v>
          </cell>
        </row>
        <row r="53">
          <cell r="C53">
            <v>0</v>
          </cell>
        </row>
        <row r="54">
          <cell r="C54">
            <v>1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46268</v>
          </cell>
          <cell r="E2">
            <v>2</v>
          </cell>
        </row>
        <row r="3">
          <cell r="C3" t="str">
            <v>FINAL VENTAS</v>
          </cell>
          <cell r="D3">
            <v>46295</v>
          </cell>
          <cell r="E3">
            <v>20</v>
          </cell>
        </row>
        <row r="8">
          <cell r="C8">
            <v>3</v>
          </cell>
        </row>
        <row r="9">
          <cell r="C9">
            <v>0</v>
          </cell>
        </row>
        <row r="10">
          <cell r="C10">
            <v>9</v>
          </cell>
        </row>
        <row r="11">
          <cell r="C11">
            <v>0</v>
          </cell>
        </row>
        <row r="12">
          <cell r="C12">
            <v>0</v>
          </cell>
        </row>
        <row r="13">
          <cell r="C13">
            <v>0</v>
          </cell>
        </row>
        <row r="14">
          <cell r="C14">
            <v>0</v>
          </cell>
        </row>
        <row r="15">
          <cell r="C15">
            <v>0</v>
          </cell>
        </row>
        <row r="16">
          <cell r="C16">
            <v>4</v>
          </cell>
        </row>
        <row r="17">
          <cell r="C17">
            <v>0</v>
          </cell>
        </row>
        <row r="18">
          <cell r="C18">
            <v>192</v>
          </cell>
        </row>
        <row r="19">
          <cell r="C19">
            <v>116</v>
          </cell>
        </row>
        <row r="20">
          <cell r="C20">
            <v>102</v>
          </cell>
        </row>
        <row r="21">
          <cell r="C21">
            <v>109</v>
          </cell>
        </row>
        <row r="22">
          <cell r="C22">
            <v>20</v>
          </cell>
        </row>
        <row r="23">
          <cell r="C23">
            <v>0</v>
          </cell>
        </row>
        <row r="24">
          <cell r="C24">
            <v>0</v>
          </cell>
        </row>
        <row r="25">
          <cell r="C25">
            <v>3</v>
          </cell>
        </row>
        <row r="26">
          <cell r="C26">
            <v>0</v>
          </cell>
        </row>
        <row r="27">
          <cell r="C27">
            <v>79</v>
          </cell>
        </row>
        <row r="28">
          <cell r="C28">
            <v>79</v>
          </cell>
        </row>
        <row r="29">
          <cell r="C29">
            <v>20</v>
          </cell>
        </row>
        <row r="30">
          <cell r="C30">
            <v>6</v>
          </cell>
        </row>
        <row r="31">
          <cell r="C31">
            <v>6</v>
          </cell>
        </row>
        <row r="32">
          <cell r="C32">
            <v>15</v>
          </cell>
        </row>
        <row r="33">
          <cell r="C33">
            <v>10</v>
          </cell>
        </row>
        <row r="34">
          <cell r="C34">
            <v>9</v>
          </cell>
        </row>
        <row r="35">
          <cell r="C35">
            <v>9</v>
          </cell>
        </row>
        <row r="36">
          <cell r="C36">
            <v>0</v>
          </cell>
        </row>
        <row r="37">
          <cell r="C37">
            <v>0</v>
          </cell>
        </row>
        <row r="38">
          <cell r="C38">
            <v>0</v>
          </cell>
        </row>
        <row r="39">
          <cell r="C39">
            <v>19</v>
          </cell>
        </row>
        <row r="40">
          <cell r="C40">
            <v>33</v>
          </cell>
        </row>
        <row r="41">
          <cell r="C41">
            <v>18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7</v>
          </cell>
        </row>
        <row r="45">
          <cell r="C45">
            <v>12</v>
          </cell>
        </row>
        <row r="46">
          <cell r="C46">
            <v>6</v>
          </cell>
        </row>
        <row r="47">
          <cell r="C47">
            <v>12</v>
          </cell>
        </row>
        <row r="48">
          <cell r="C48">
            <v>24</v>
          </cell>
        </row>
        <row r="49">
          <cell r="C49">
            <v>12</v>
          </cell>
        </row>
        <row r="50">
          <cell r="C50">
            <v>0</v>
          </cell>
        </row>
        <row r="51">
          <cell r="C51">
            <v>6</v>
          </cell>
        </row>
        <row r="52">
          <cell r="C52">
            <v>0</v>
          </cell>
        </row>
        <row r="53">
          <cell r="C53">
            <v>6</v>
          </cell>
        </row>
        <row r="54">
          <cell r="C54">
            <v>0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46268</v>
          </cell>
          <cell r="E2">
            <v>2</v>
          </cell>
        </row>
        <row r="3">
          <cell r="C3" t="str">
            <v>FINAL VENTAS</v>
          </cell>
          <cell r="D3">
            <v>46295</v>
          </cell>
          <cell r="E3">
            <v>20</v>
          </cell>
        </row>
        <row r="8">
          <cell r="C8">
            <v>914</v>
          </cell>
        </row>
        <row r="9">
          <cell r="C9">
            <v>54</v>
          </cell>
        </row>
        <row r="10">
          <cell r="C10">
            <v>332</v>
          </cell>
        </row>
        <row r="11">
          <cell r="C11">
            <v>111</v>
          </cell>
        </row>
        <row r="12">
          <cell r="C12">
            <v>0</v>
          </cell>
        </row>
        <row r="13">
          <cell r="C13">
            <v>825</v>
          </cell>
        </row>
        <row r="14">
          <cell r="C14">
            <v>88</v>
          </cell>
        </row>
        <row r="15">
          <cell r="C15">
            <v>136</v>
          </cell>
        </row>
        <row r="16">
          <cell r="C16">
            <v>442</v>
          </cell>
        </row>
        <row r="17">
          <cell r="C17">
            <v>258</v>
          </cell>
        </row>
        <row r="18">
          <cell r="C18">
            <v>1690</v>
          </cell>
        </row>
        <row r="19">
          <cell r="C19">
            <v>1105</v>
          </cell>
        </row>
        <row r="20">
          <cell r="C20">
            <v>1199</v>
          </cell>
        </row>
        <row r="21">
          <cell r="C21">
            <v>1432</v>
          </cell>
        </row>
        <row r="22">
          <cell r="C22">
            <v>594</v>
          </cell>
        </row>
        <row r="23">
          <cell r="C23">
            <v>633</v>
          </cell>
        </row>
        <row r="24">
          <cell r="C24">
            <v>622</v>
          </cell>
        </row>
        <row r="25">
          <cell r="C25">
            <v>96</v>
          </cell>
        </row>
        <row r="26">
          <cell r="C26">
            <v>62</v>
          </cell>
        </row>
        <row r="27">
          <cell r="C27">
            <v>275</v>
          </cell>
        </row>
        <row r="28">
          <cell r="C28">
            <v>566</v>
          </cell>
        </row>
        <row r="29">
          <cell r="C29">
            <v>0</v>
          </cell>
        </row>
        <row r="30">
          <cell r="C30">
            <v>298</v>
          </cell>
        </row>
        <row r="31">
          <cell r="C31">
            <v>437</v>
          </cell>
        </row>
        <row r="32">
          <cell r="C32">
            <v>309</v>
          </cell>
        </row>
        <row r="33">
          <cell r="C33">
            <v>223</v>
          </cell>
        </row>
        <row r="34">
          <cell r="C34">
            <v>0</v>
          </cell>
        </row>
        <row r="35">
          <cell r="C35">
            <v>0</v>
          </cell>
        </row>
        <row r="36">
          <cell r="C36">
            <v>96</v>
          </cell>
        </row>
        <row r="37">
          <cell r="C37">
            <v>68</v>
          </cell>
        </row>
        <row r="38">
          <cell r="C38">
            <v>383</v>
          </cell>
        </row>
        <row r="39">
          <cell r="C39">
            <v>362</v>
          </cell>
        </row>
        <row r="40">
          <cell r="C40">
            <v>478</v>
          </cell>
        </row>
        <row r="41">
          <cell r="C41">
            <v>321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7</v>
          </cell>
        </row>
        <row r="45">
          <cell r="C45">
            <v>390</v>
          </cell>
        </row>
        <row r="46">
          <cell r="C46">
            <v>405</v>
          </cell>
        </row>
        <row r="47">
          <cell r="C47">
            <v>158</v>
          </cell>
        </row>
        <row r="48">
          <cell r="C48">
            <v>290</v>
          </cell>
        </row>
        <row r="49">
          <cell r="C49">
            <v>174</v>
          </cell>
        </row>
        <row r="50">
          <cell r="C50">
            <v>135</v>
          </cell>
        </row>
        <row r="51">
          <cell r="C51">
            <v>42</v>
          </cell>
        </row>
        <row r="52">
          <cell r="C52">
            <v>34</v>
          </cell>
        </row>
        <row r="53">
          <cell r="C53">
            <v>21</v>
          </cell>
        </row>
        <row r="54">
          <cell r="C54">
            <v>21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46268</v>
          </cell>
          <cell r="E2">
            <v>2</v>
          </cell>
        </row>
        <row r="3">
          <cell r="C3" t="str">
            <v>FINAL VENTAS</v>
          </cell>
          <cell r="D3">
            <v>46295</v>
          </cell>
          <cell r="E3">
            <v>20</v>
          </cell>
        </row>
        <row r="8">
          <cell r="C8">
            <v>460</v>
          </cell>
        </row>
        <row r="9">
          <cell r="C9">
            <v>52</v>
          </cell>
        </row>
        <row r="10">
          <cell r="C10">
            <v>72</v>
          </cell>
        </row>
        <row r="11">
          <cell r="C11">
            <v>53</v>
          </cell>
        </row>
        <row r="12">
          <cell r="C12">
            <v>3</v>
          </cell>
        </row>
        <row r="13">
          <cell r="C13">
            <v>696</v>
          </cell>
        </row>
        <row r="14">
          <cell r="C14">
            <v>66</v>
          </cell>
        </row>
        <row r="15">
          <cell r="C15">
            <v>169</v>
          </cell>
        </row>
        <row r="16">
          <cell r="C16">
            <v>594</v>
          </cell>
        </row>
        <row r="17">
          <cell r="C17">
            <v>183</v>
          </cell>
        </row>
        <row r="18">
          <cell r="C18">
            <v>1852</v>
          </cell>
        </row>
        <row r="19">
          <cell r="C19">
            <v>1148</v>
          </cell>
        </row>
        <row r="20">
          <cell r="C20">
            <v>1090</v>
          </cell>
        </row>
        <row r="21">
          <cell r="C21">
            <v>1292</v>
          </cell>
        </row>
        <row r="22">
          <cell r="C22">
            <v>305</v>
          </cell>
        </row>
        <row r="23">
          <cell r="C23">
            <v>577</v>
          </cell>
        </row>
        <row r="24">
          <cell r="C24">
            <v>617</v>
          </cell>
        </row>
        <row r="25">
          <cell r="C25">
            <v>262</v>
          </cell>
        </row>
        <row r="26">
          <cell r="C26">
            <v>134</v>
          </cell>
        </row>
        <row r="27">
          <cell r="C27">
            <v>340</v>
          </cell>
        </row>
        <row r="28">
          <cell r="C28">
            <v>542</v>
          </cell>
        </row>
        <row r="29">
          <cell r="C29">
            <v>0</v>
          </cell>
        </row>
        <row r="30">
          <cell r="C30">
            <v>289</v>
          </cell>
        </row>
        <row r="31">
          <cell r="C31">
            <v>6</v>
          </cell>
        </row>
        <row r="32">
          <cell r="C32">
            <v>289</v>
          </cell>
        </row>
        <row r="33">
          <cell r="C33">
            <v>180</v>
          </cell>
        </row>
        <row r="34">
          <cell r="C34">
            <v>55</v>
          </cell>
        </row>
        <row r="35">
          <cell r="C35">
            <v>110</v>
          </cell>
        </row>
        <row r="36">
          <cell r="C36">
            <v>99</v>
          </cell>
        </row>
        <row r="37">
          <cell r="C37">
            <v>35</v>
          </cell>
        </row>
        <row r="38">
          <cell r="C38">
            <v>264</v>
          </cell>
        </row>
        <row r="39">
          <cell r="C39">
            <v>140</v>
          </cell>
        </row>
        <row r="40">
          <cell r="C40">
            <v>425</v>
          </cell>
        </row>
        <row r="41">
          <cell r="C41">
            <v>220</v>
          </cell>
        </row>
        <row r="42">
          <cell r="C42">
            <v>9</v>
          </cell>
        </row>
        <row r="43">
          <cell r="C43">
            <v>4</v>
          </cell>
        </row>
        <row r="44">
          <cell r="C44">
            <v>182</v>
          </cell>
        </row>
        <row r="45">
          <cell r="C45">
            <v>5</v>
          </cell>
        </row>
        <row r="46">
          <cell r="C46">
            <v>404</v>
          </cell>
        </row>
        <row r="47">
          <cell r="C47">
            <v>0</v>
          </cell>
        </row>
        <row r="48">
          <cell r="C48">
            <v>104</v>
          </cell>
        </row>
        <row r="49">
          <cell r="C49">
            <v>24</v>
          </cell>
        </row>
        <row r="50">
          <cell r="C50">
            <v>132</v>
          </cell>
        </row>
        <row r="51">
          <cell r="C51">
            <v>18</v>
          </cell>
        </row>
        <row r="52">
          <cell r="C52">
            <v>67</v>
          </cell>
        </row>
        <row r="53">
          <cell r="C53">
            <v>1</v>
          </cell>
        </row>
        <row r="54">
          <cell r="C54">
            <v>13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46268</v>
          </cell>
          <cell r="E2">
            <v>2</v>
          </cell>
        </row>
        <row r="3">
          <cell r="C3" t="str">
            <v>FINAL VENTAS</v>
          </cell>
          <cell r="D3">
            <v>46295</v>
          </cell>
          <cell r="E3">
            <v>20</v>
          </cell>
        </row>
        <row r="8">
          <cell r="C8">
            <v>35</v>
          </cell>
        </row>
        <row r="9">
          <cell r="C9">
            <v>5</v>
          </cell>
        </row>
        <row r="10">
          <cell r="C10">
            <v>12</v>
          </cell>
        </row>
        <row r="11">
          <cell r="C11">
            <v>3</v>
          </cell>
        </row>
        <row r="12">
          <cell r="C12">
            <v>3</v>
          </cell>
        </row>
        <row r="13">
          <cell r="C13">
            <v>37</v>
          </cell>
        </row>
        <row r="14">
          <cell r="C14">
            <v>25</v>
          </cell>
        </row>
        <row r="15">
          <cell r="C15">
            <v>37</v>
          </cell>
        </row>
        <row r="16">
          <cell r="C16">
            <v>44</v>
          </cell>
        </row>
        <row r="17">
          <cell r="C17">
            <v>0</v>
          </cell>
        </row>
        <row r="18">
          <cell r="C18">
            <v>108</v>
          </cell>
        </row>
        <row r="19">
          <cell r="C19">
            <v>68</v>
          </cell>
        </row>
        <row r="20">
          <cell r="C20">
            <v>65</v>
          </cell>
        </row>
        <row r="21">
          <cell r="C21">
            <v>172</v>
          </cell>
        </row>
        <row r="22">
          <cell r="C22">
            <v>32</v>
          </cell>
        </row>
        <row r="23">
          <cell r="C23">
            <v>49</v>
          </cell>
        </row>
        <row r="24">
          <cell r="C24">
            <v>58</v>
          </cell>
        </row>
        <row r="25">
          <cell r="C25">
            <v>3</v>
          </cell>
        </row>
        <row r="26">
          <cell r="C26">
            <v>0</v>
          </cell>
        </row>
        <row r="27">
          <cell r="C27">
            <v>17</v>
          </cell>
        </row>
        <row r="28">
          <cell r="C28">
            <v>13</v>
          </cell>
        </row>
        <row r="29">
          <cell r="C29">
            <v>0</v>
          </cell>
        </row>
        <row r="30">
          <cell r="C30">
            <v>30</v>
          </cell>
        </row>
        <row r="31">
          <cell r="C31">
            <v>35</v>
          </cell>
        </row>
        <row r="32">
          <cell r="C32">
            <v>0</v>
          </cell>
        </row>
        <row r="33">
          <cell r="C33">
            <v>26</v>
          </cell>
        </row>
        <row r="34">
          <cell r="C34">
            <v>10</v>
          </cell>
        </row>
        <row r="35">
          <cell r="C35">
            <v>13</v>
          </cell>
        </row>
        <row r="36">
          <cell r="C36">
            <v>0</v>
          </cell>
        </row>
        <row r="37">
          <cell r="C37">
            <v>9</v>
          </cell>
        </row>
        <row r="38">
          <cell r="C38">
            <v>81</v>
          </cell>
        </row>
        <row r="39">
          <cell r="C39">
            <v>60</v>
          </cell>
        </row>
        <row r="40">
          <cell r="C40">
            <v>68</v>
          </cell>
        </row>
        <row r="41">
          <cell r="C41">
            <v>50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6</v>
          </cell>
        </row>
        <row r="45">
          <cell r="C45">
            <v>15</v>
          </cell>
        </row>
        <row r="46">
          <cell r="C46">
            <v>0</v>
          </cell>
        </row>
        <row r="47">
          <cell r="C47">
            <v>23</v>
          </cell>
        </row>
        <row r="48">
          <cell r="C48">
            <v>23</v>
          </cell>
        </row>
        <row r="49">
          <cell r="C49">
            <v>17</v>
          </cell>
        </row>
        <row r="50">
          <cell r="C50">
            <v>17</v>
          </cell>
        </row>
        <row r="51">
          <cell r="C51">
            <v>0</v>
          </cell>
        </row>
        <row r="52">
          <cell r="C52">
            <v>0</v>
          </cell>
        </row>
        <row r="53">
          <cell r="C53">
            <v>0</v>
          </cell>
        </row>
        <row r="54">
          <cell r="C54">
            <v>0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46268</v>
          </cell>
          <cell r="E2">
            <v>2</v>
          </cell>
        </row>
        <row r="3">
          <cell r="C3" t="str">
            <v>FINAL VENTAS</v>
          </cell>
          <cell r="D3">
            <v>46295</v>
          </cell>
          <cell r="E3">
            <v>20</v>
          </cell>
        </row>
        <row r="8">
          <cell r="C8">
            <v>1501</v>
          </cell>
        </row>
        <row r="9">
          <cell r="C9">
            <v>135</v>
          </cell>
        </row>
        <row r="10">
          <cell r="C10">
            <v>473</v>
          </cell>
        </row>
        <row r="11">
          <cell r="C11">
            <v>171</v>
          </cell>
        </row>
        <row r="12">
          <cell r="C12">
            <v>11</v>
          </cell>
        </row>
        <row r="13">
          <cell r="C13">
            <v>1570</v>
          </cell>
        </row>
        <row r="14">
          <cell r="C14">
            <v>181</v>
          </cell>
        </row>
        <row r="15">
          <cell r="C15">
            <v>362</v>
          </cell>
        </row>
        <row r="16">
          <cell r="C16">
            <v>1139</v>
          </cell>
        </row>
        <row r="17">
          <cell r="C17">
            <v>456</v>
          </cell>
        </row>
        <row r="18">
          <cell r="C18">
            <v>4082</v>
          </cell>
        </row>
        <row r="19">
          <cell r="C19">
            <v>2584</v>
          </cell>
        </row>
        <row r="20">
          <cell r="C20">
            <v>2632</v>
          </cell>
        </row>
        <row r="21">
          <cell r="C21">
            <v>3184</v>
          </cell>
        </row>
        <row r="22">
          <cell r="C22">
            <v>1056</v>
          </cell>
        </row>
        <row r="23">
          <cell r="C23">
            <v>1366</v>
          </cell>
        </row>
        <row r="24">
          <cell r="C24">
            <v>1391</v>
          </cell>
        </row>
        <row r="25">
          <cell r="C25">
            <v>379</v>
          </cell>
        </row>
        <row r="26">
          <cell r="C26">
            <v>199</v>
          </cell>
        </row>
        <row r="27">
          <cell r="C27">
            <v>760</v>
          </cell>
        </row>
        <row r="28">
          <cell r="C28">
            <v>1256</v>
          </cell>
        </row>
        <row r="29">
          <cell r="C29">
            <v>20</v>
          </cell>
        </row>
        <row r="30">
          <cell r="C30">
            <v>687</v>
          </cell>
        </row>
        <row r="31">
          <cell r="C31">
            <v>618</v>
          </cell>
        </row>
        <row r="32">
          <cell r="C32">
            <v>777</v>
          </cell>
        </row>
        <row r="33">
          <cell r="C33">
            <v>473</v>
          </cell>
        </row>
        <row r="34">
          <cell r="C34">
            <v>82</v>
          </cell>
        </row>
        <row r="35">
          <cell r="C35">
            <v>140</v>
          </cell>
        </row>
        <row r="36">
          <cell r="C36">
            <v>198</v>
          </cell>
        </row>
        <row r="37">
          <cell r="C37">
            <v>133</v>
          </cell>
        </row>
        <row r="38">
          <cell r="C38">
            <v>797</v>
          </cell>
        </row>
        <row r="39">
          <cell r="C39">
            <v>654</v>
          </cell>
        </row>
        <row r="40">
          <cell r="C40">
            <v>1045</v>
          </cell>
        </row>
        <row r="41">
          <cell r="C41">
            <v>619</v>
          </cell>
        </row>
        <row r="42">
          <cell r="C42">
            <v>9</v>
          </cell>
        </row>
        <row r="43">
          <cell r="C43">
            <v>4</v>
          </cell>
        </row>
        <row r="44">
          <cell r="C44">
            <v>238</v>
          </cell>
        </row>
        <row r="45">
          <cell r="C45">
            <v>518</v>
          </cell>
        </row>
        <row r="46">
          <cell r="C46">
            <v>815</v>
          </cell>
        </row>
        <row r="47">
          <cell r="C47">
            <v>235</v>
          </cell>
        </row>
        <row r="48">
          <cell r="C48">
            <v>460</v>
          </cell>
        </row>
        <row r="49">
          <cell r="C49">
            <v>238</v>
          </cell>
        </row>
        <row r="50">
          <cell r="C50">
            <v>289</v>
          </cell>
        </row>
        <row r="51">
          <cell r="C51">
            <v>70</v>
          </cell>
        </row>
        <row r="52">
          <cell r="C52">
            <v>103</v>
          </cell>
        </row>
        <row r="53">
          <cell r="C53">
            <v>28</v>
          </cell>
        </row>
        <row r="54">
          <cell r="C54">
            <v>35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46268</v>
      </c>
      <c r="E2" s="4">
        <f ca="1">'[1]VENTAS CONSOLIDADA ZULIA'!E2</f>
        <v>2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35</v>
      </c>
      <c r="D8" s="5">
        <f ca="1">C8/$E$2</f>
        <v>17.5</v>
      </c>
      <c r="E8" s="5">
        <f ca="1">D8*($E$2+$E$3)</f>
        <v>385</v>
      </c>
    </row>
    <row r="9" spans="1:5" x14ac:dyDescent="0.25">
      <c r="A9">
        <v>110151</v>
      </c>
      <c r="B9" t="s">
        <v>5</v>
      </c>
      <c r="C9">
        <f>'[1]VENTAS CONSOLIDADA ZULIA'!C9</f>
        <v>5</v>
      </c>
      <c r="D9" s="5">
        <f ca="1">C9/$E$2</f>
        <v>2.5</v>
      </c>
      <c r="E9" s="5">
        <f t="shared" ref="E9:E54" ca="1" si="0">D9*($E$2+$E$3)</f>
        <v>55</v>
      </c>
    </row>
    <row r="10" spans="1:5" x14ac:dyDescent="0.25">
      <c r="A10">
        <v>110230</v>
      </c>
      <c r="B10" t="s">
        <v>1</v>
      </c>
      <c r="C10">
        <f>'[1]VENTAS CONSOLIDADA ZULIA'!C10</f>
        <v>12</v>
      </c>
      <c r="D10" s="5">
        <f ca="1">C10/$E$2</f>
        <v>6</v>
      </c>
      <c r="E10" s="5">
        <f t="shared" ca="1" si="0"/>
        <v>132</v>
      </c>
    </row>
    <row r="11" spans="1:5" x14ac:dyDescent="0.25">
      <c r="A11">
        <v>110400</v>
      </c>
      <c r="B11" t="s">
        <v>13</v>
      </c>
      <c r="C11">
        <f>'[1]VENTAS CONSOLIDADA ZULIA'!C11</f>
        <v>3</v>
      </c>
      <c r="D11" s="5">
        <f ca="1">C11/$E$2</f>
        <v>1.5</v>
      </c>
      <c r="E11" s="5">
        <f t="shared" ca="1" si="0"/>
        <v>33</v>
      </c>
    </row>
    <row r="12" spans="1:5" x14ac:dyDescent="0.25">
      <c r="A12">
        <v>111000</v>
      </c>
      <c r="B12" t="s">
        <v>14</v>
      </c>
      <c r="C12">
        <f>'[1]VENTAS CONSOLIDADA ZULIA'!C12</f>
        <v>3</v>
      </c>
      <c r="D12" s="5">
        <f ca="1">C12/$E$2</f>
        <v>1.5</v>
      </c>
      <c r="E12" s="5">
        <f t="shared" ca="1" si="0"/>
        <v>33</v>
      </c>
    </row>
    <row r="13" spans="1:5" x14ac:dyDescent="0.25">
      <c r="A13">
        <v>120130</v>
      </c>
      <c r="B13" t="s">
        <v>15</v>
      </c>
      <c r="C13">
        <f>'[1]VENTAS CONSOLIDADA ZULIA'!C13</f>
        <v>37</v>
      </c>
      <c r="D13" s="5">
        <f ca="1">C13/$E$2</f>
        <v>18.5</v>
      </c>
      <c r="E13" s="5">
        <f t="shared" ca="1" si="0"/>
        <v>407</v>
      </c>
    </row>
    <row r="14" spans="1:5" x14ac:dyDescent="0.25">
      <c r="A14">
        <v>120131</v>
      </c>
      <c r="B14" t="s">
        <v>23</v>
      </c>
      <c r="C14">
        <f>'[1]VENTAS CONSOLIDADA ZULIA'!C14</f>
        <v>25</v>
      </c>
      <c r="D14" s="5">
        <f ca="1">C14/$E$2</f>
        <v>12.5</v>
      </c>
      <c r="E14" s="5">
        <f t="shared" ca="1" si="0"/>
        <v>275</v>
      </c>
    </row>
    <row r="15" spans="1:5" x14ac:dyDescent="0.25">
      <c r="A15">
        <v>120132</v>
      </c>
      <c r="B15" t="s">
        <v>21</v>
      </c>
      <c r="C15">
        <f>'[1]VENTAS CONSOLIDADA ZULIA'!C15</f>
        <v>37</v>
      </c>
      <c r="D15" s="5">
        <f ca="1">C15/$E$2</f>
        <v>18.5</v>
      </c>
      <c r="E15" s="5">
        <f t="shared" ca="1" si="0"/>
        <v>407</v>
      </c>
    </row>
    <row r="16" spans="1:5" x14ac:dyDescent="0.25">
      <c r="A16">
        <v>130150</v>
      </c>
      <c r="B16" t="s">
        <v>0</v>
      </c>
      <c r="C16">
        <f>'[1]VENTAS CONSOLIDADA ZULIA'!C16</f>
        <v>44</v>
      </c>
      <c r="D16" s="5">
        <f ca="1">C16/$E$2</f>
        <v>22</v>
      </c>
      <c r="E16" s="5">
        <f t="shared" ca="1" si="0"/>
        <v>484</v>
      </c>
    </row>
    <row r="17" spans="1:5" x14ac:dyDescent="0.25">
      <c r="A17">
        <v>130151</v>
      </c>
      <c r="B17" t="s">
        <v>4</v>
      </c>
      <c r="C17">
        <f>'[1]VENTAS CONSOLIDADA ZULIA'!C17</f>
        <v>0</v>
      </c>
      <c r="D17" s="5">
        <f ca="1">C17/$E$2</f>
        <v>0</v>
      </c>
      <c r="E17" s="5">
        <f t="shared" ca="1" si="0"/>
        <v>0</v>
      </c>
    </row>
    <row r="18" spans="1:5" x14ac:dyDescent="0.25">
      <c r="A18">
        <v>130152</v>
      </c>
      <c r="B18" t="s">
        <v>51</v>
      </c>
      <c r="C18">
        <f>'[1]VENTAS CONSOLIDADA ZULIA'!C18</f>
        <v>108</v>
      </c>
      <c r="D18" s="5">
        <f ca="1">C18/$E$2</f>
        <v>54</v>
      </c>
      <c r="E18" s="5">
        <f t="shared" ca="1" si="0"/>
        <v>1188</v>
      </c>
    </row>
    <row r="19" spans="1:5" x14ac:dyDescent="0.25">
      <c r="A19">
        <v>130153</v>
      </c>
      <c r="B19" t="s">
        <v>52</v>
      </c>
      <c r="C19">
        <f>'[1]VENTAS CONSOLIDADA ZULIA'!C19</f>
        <v>68</v>
      </c>
      <c r="D19" s="5">
        <f ca="1">C19/$E$2</f>
        <v>34</v>
      </c>
      <c r="E19" s="5">
        <f t="shared" ca="1" si="0"/>
        <v>748</v>
      </c>
    </row>
    <row r="20" spans="1:5" x14ac:dyDescent="0.25">
      <c r="A20">
        <v>130154</v>
      </c>
      <c r="B20" t="s">
        <v>53</v>
      </c>
      <c r="C20">
        <f>'[1]VENTAS CONSOLIDADA ZULIA'!C20</f>
        <v>65</v>
      </c>
      <c r="D20" s="5">
        <f ca="1">C20/$E$2</f>
        <v>32.5</v>
      </c>
      <c r="E20" s="5">
        <f t="shared" ca="1" si="0"/>
        <v>715</v>
      </c>
    </row>
    <row r="21" spans="1:5" x14ac:dyDescent="0.25">
      <c r="A21">
        <v>130155</v>
      </c>
      <c r="B21" t="s">
        <v>16</v>
      </c>
      <c r="C21">
        <f>'[1]VENTAS CONSOLIDADA ZULIA'!C21</f>
        <v>172</v>
      </c>
      <c r="D21" s="5">
        <f ca="1">C21/$E$2</f>
        <v>86</v>
      </c>
      <c r="E21" s="5">
        <f t="shared" ca="1" si="0"/>
        <v>1892</v>
      </c>
    </row>
    <row r="22" spans="1:5" x14ac:dyDescent="0.25">
      <c r="A22">
        <v>130157</v>
      </c>
      <c r="B22" t="s">
        <v>43</v>
      </c>
      <c r="C22">
        <f>'[1]VENTAS CONSOLIDADA ZULIA'!C22</f>
        <v>32</v>
      </c>
      <c r="D22" s="5">
        <f ca="1">C22/$E$2</f>
        <v>16</v>
      </c>
      <c r="E22" s="5">
        <f t="shared" ca="1" si="0"/>
        <v>352</v>
      </c>
    </row>
    <row r="23" spans="1:5" x14ac:dyDescent="0.25">
      <c r="A23">
        <v>130158</v>
      </c>
      <c r="B23" t="s">
        <v>44</v>
      </c>
      <c r="C23">
        <f>'[1]VENTAS CONSOLIDADA ZULIA'!C23</f>
        <v>49</v>
      </c>
      <c r="D23" s="5">
        <f ca="1">C23/$E$2</f>
        <v>24.5</v>
      </c>
      <c r="E23" s="5">
        <f t="shared" ca="1" si="0"/>
        <v>539</v>
      </c>
    </row>
    <row r="24" spans="1:5" x14ac:dyDescent="0.25">
      <c r="A24">
        <v>130159</v>
      </c>
      <c r="B24" t="s">
        <v>45</v>
      </c>
      <c r="C24">
        <f>'[1]VENTAS CONSOLIDADA ZULIA'!C24</f>
        <v>58</v>
      </c>
      <c r="D24" s="5">
        <f ca="1">C24/$E$2</f>
        <v>29</v>
      </c>
      <c r="E24" s="5">
        <f t="shared" ca="1" si="0"/>
        <v>638</v>
      </c>
    </row>
    <row r="25" spans="1:5" x14ac:dyDescent="0.25">
      <c r="A25">
        <v>130700</v>
      </c>
      <c r="B25" t="s">
        <v>3</v>
      </c>
      <c r="C25">
        <f>'[1]VENTAS CONSOLIDADA ZULIA'!C25</f>
        <v>3</v>
      </c>
      <c r="D25" s="5">
        <f ca="1">C25/$E$2</f>
        <v>1.5</v>
      </c>
      <c r="E25" s="5">
        <f t="shared" ca="1" si="0"/>
        <v>33</v>
      </c>
    </row>
    <row r="26" spans="1:5" x14ac:dyDescent="0.25">
      <c r="A26">
        <v>130701</v>
      </c>
      <c r="B26" t="s">
        <v>30</v>
      </c>
      <c r="C26">
        <f>'[1]VENTAS CONSOLIDADA ZULIA'!C26</f>
        <v>0</v>
      </c>
      <c r="D26" s="5">
        <f ca="1">C26/$E$2</f>
        <v>0</v>
      </c>
      <c r="E26" s="5">
        <f t="shared" ca="1" si="0"/>
        <v>0</v>
      </c>
    </row>
    <row r="27" spans="1:5" x14ac:dyDescent="0.25">
      <c r="A27">
        <v>130702</v>
      </c>
      <c r="B27" t="s">
        <v>12</v>
      </c>
      <c r="C27">
        <f>'[1]VENTAS CONSOLIDADA ZULIA'!C27</f>
        <v>17</v>
      </c>
      <c r="D27" s="5">
        <f ca="1">C27/$E$2</f>
        <v>8.5</v>
      </c>
      <c r="E27" s="5">
        <f t="shared" ca="1" si="0"/>
        <v>187</v>
      </c>
    </row>
    <row r="28" spans="1:5" x14ac:dyDescent="0.25">
      <c r="A28">
        <v>130703</v>
      </c>
      <c r="B28" t="s">
        <v>17</v>
      </c>
      <c r="C28">
        <f>'[1]VENTAS CONSOLIDADA ZULIA'!C28</f>
        <v>13</v>
      </c>
      <c r="D28" s="5">
        <f ca="1">C28/$E$2</f>
        <v>6.5</v>
      </c>
      <c r="E28" s="5">
        <f t="shared" ca="1" si="0"/>
        <v>143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ca="1">C29/$E$2</f>
        <v>0</v>
      </c>
      <c r="E29" s="5">
        <f t="shared" ca="1" si="0"/>
        <v>0</v>
      </c>
    </row>
    <row r="30" spans="1:5" x14ac:dyDescent="0.25">
      <c r="A30">
        <v>131150</v>
      </c>
      <c r="B30" t="s">
        <v>22</v>
      </c>
      <c r="C30">
        <f>'[1]VENTAS CONSOLIDADA ZULIA'!C30</f>
        <v>30</v>
      </c>
      <c r="D30" s="5">
        <f ca="1">C30/$E$2</f>
        <v>15</v>
      </c>
      <c r="E30" s="5">
        <f t="shared" ca="1" si="0"/>
        <v>330</v>
      </c>
    </row>
    <row r="31" spans="1:5" x14ac:dyDescent="0.25">
      <c r="A31">
        <v>131151</v>
      </c>
      <c r="B31" t="s">
        <v>19</v>
      </c>
      <c r="C31">
        <f>'[1]VENTAS CONSOLIDADA ZULIA'!C31</f>
        <v>35</v>
      </c>
      <c r="D31" s="5">
        <f ca="1">C31/$E$2</f>
        <v>17.5</v>
      </c>
      <c r="E31" s="5">
        <f t="shared" ca="1" si="0"/>
        <v>385</v>
      </c>
    </row>
    <row r="32" spans="1:5" x14ac:dyDescent="0.25">
      <c r="A32">
        <v>131152</v>
      </c>
      <c r="B32" t="s">
        <v>32</v>
      </c>
      <c r="C32">
        <f>'[1]VENTAS CONSOLIDADA ZULIA'!C32</f>
        <v>0</v>
      </c>
      <c r="D32" s="5">
        <f ca="1">C32/$E$2</f>
        <v>0</v>
      </c>
      <c r="E32" s="5">
        <f t="shared" ca="1" si="0"/>
        <v>0</v>
      </c>
    </row>
    <row r="33" spans="1:5" x14ac:dyDescent="0.25">
      <c r="A33">
        <v>131153</v>
      </c>
      <c r="B33" t="s">
        <v>11</v>
      </c>
      <c r="C33">
        <f>'[1]VENTAS CONSOLIDADA ZULIA'!C33</f>
        <v>26</v>
      </c>
      <c r="D33" s="5">
        <f ca="1">C33/$E$2</f>
        <v>13</v>
      </c>
      <c r="E33" s="5">
        <f t="shared" ca="1" si="0"/>
        <v>286</v>
      </c>
    </row>
    <row r="34" spans="1:5" x14ac:dyDescent="0.25">
      <c r="A34">
        <v>131154</v>
      </c>
      <c r="B34" t="s">
        <v>48</v>
      </c>
      <c r="C34">
        <f>'[1]VENTAS CONSOLIDADA ZULIA'!C34</f>
        <v>10</v>
      </c>
      <c r="D34" s="5">
        <f ca="1">C34/$E$2</f>
        <v>5</v>
      </c>
      <c r="E34" s="5">
        <f t="shared" ca="1" si="0"/>
        <v>110</v>
      </c>
    </row>
    <row r="35" spans="1:5" x14ac:dyDescent="0.25">
      <c r="A35">
        <v>131155</v>
      </c>
      <c r="B35" t="s">
        <v>57</v>
      </c>
      <c r="C35">
        <f>'[1]VENTAS CONSOLIDADA ZULIA'!C35</f>
        <v>13</v>
      </c>
      <c r="D35" s="5">
        <f ca="1">C35/$E$2</f>
        <v>6.5</v>
      </c>
      <c r="E35" s="5">
        <f t="shared" ca="1" si="0"/>
        <v>143</v>
      </c>
    </row>
    <row r="36" spans="1:5" x14ac:dyDescent="0.25">
      <c r="A36">
        <v>131700</v>
      </c>
      <c r="B36" t="s">
        <v>20</v>
      </c>
      <c r="C36">
        <f>'[1]VENTAS CONSOLIDADA ZULIA'!C36</f>
        <v>0</v>
      </c>
      <c r="D36" s="5">
        <f ca="1">C36/$E$2</f>
        <v>0</v>
      </c>
      <c r="E36" s="5">
        <f t="shared" ca="1" si="0"/>
        <v>0</v>
      </c>
    </row>
    <row r="37" spans="1:5" x14ac:dyDescent="0.25">
      <c r="A37">
        <v>131701</v>
      </c>
      <c r="B37" t="s">
        <v>24</v>
      </c>
      <c r="C37">
        <f>'[1]VENTAS CONSOLIDADA ZULIA'!C37</f>
        <v>9</v>
      </c>
      <c r="D37" s="5">
        <f ca="1">C37/$E$2</f>
        <v>4.5</v>
      </c>
      <c r="E37" s="5">
        <f t="shared" ca="1" si="0"/>
        <v>99</v>
      </c>
    </row>
    <row r="38" spans="1:5" x14ac:dyDescent="0.25">
      <c r="A38">
        <v>132150</v>
      </c>
      <c r="B38" t="s">
        <v>25</v>
      </c>
      <c r="C38">
        <f>'[1]VENTAS CONSOLIDADA ZULIA'!C38</f>
        <v>81</v>
      </c>
      <c r="D38" s="5">
        <f ca="1">C38/$E$2</f>
        <v>40.5</v>
      </c>
      <c r="E38" s="5">
        <f t="shared" ca="1" si="0"/>
        <v>891</v>
      </c>
    </row>
    <row r="39" spans="1:5" x14ac:dyDescent="0.25">
      <c r="A39">
        <v>132151</v>
      </c>
      <c r="B39" t="s">
        <v>26</v>
      </c>
      <c r="C39">
        <f>'[1]VENTAS CONSOLIDADA ZULIA'!C39</f>
        <v>60</v>
      </c>
      <c r="D39" s="5">
        <f ca="1">C39/$E$2</f>
        <v>30</v>
      </c>
      <c r="E39" s="5">
        <f t="shared" ca="1" si="0"/>
        <v>660</v>
      </c>
    </row>
    <row r="40" spans="1:5" x14ac:dyDescent="0.25">
      <c r="A40">
        <v>132152</v>
      </c>
      <c r="B40" t="s">
        <v>27</v>
      </c>
      <c r="C40">
        <f>'[1]VENTAS CONSOLIDADA ZULIA'!C40</f>
        <v>68</v>
      </c>
      <c r="D40" s="5">
        <f ca="1">C40/$E$2</f>
        <v>34</v>
      </c>
      <c r="E40" s="5">
        <f t="shared" ca="1" si="0"/>
        <v>748</v>
      </c>
    </row>
    <row r="41" spans="1:5" x14ac:dyDescent="0.25">
      <c r="A41">
        <v>132153</v>
      </c>
      <c r="B41" t="s">
        <v>40</v>
      </c>
      <c r="C41">
        <f>'[1]VENTAS CONSOLIDADA ZULIA'!C41</f>
        <v>50</v>
      </c>
      <c r="D41" s="5">
        <f ca="1">C41/$E$2</f>
        <v>25</v>
      </c>
      <c r="E41" s="5">
        <f t="shared" ca="1" si="0"/>
        <v>550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ca="1">C42/$E$2</f>
        <v>0</v>
      </c>
      <c r="E42" s="5">
        <f t="shared" ca="1" si="0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ca="1">C43/$E$2</f>
        <v>0</v>
      </c>
      <c r="E43" s="5">
        <f t="shared" ca="1" si="0"/>
        <v>0</v>
      </c>
    </row>
    <row r="44" spans="1:5" x14ac:dyDescent="0.25">
      <c r="A44">
        <v>140230</v>
      </c>
      <c r="B44" t="s">
        <v>18</v>
      </c>
      <c r="C44">
        <f>'[1]VENTAS CONSOLIDADA ZULIA'!C44</f>
        <v>6</v>
      </c>
      <c r="D44" s="5">
        <f ca="1">C44/$E$2</f>
        <v>3</v>
      </c>
      <c r="E44" s="5">
        <f t="shared" ca="1" si="0"/>
        <v>66</v>
      </c>
    </row>
    <row r="45" spans="1:5" x14ac:dyDescent="0.25">
      <c r="A45">
        <v>140231</v>
      </c>
      <c r="B45" t="s">
        <v>10</v>
      </c>
      <c r="C45">
        <f>'[1]VENTAS CONSOLIDADA ZULIA'!C45</f>
        <v>15</v>
      </c>
      <c r="D45" s="5">
        <f ca="1">C45/$E$2</f>
        <v>7.5</v>
      </c>
      <c r="E45" s="5">
        <f t="shared" ca="1" si="0"/>
        <v>165</v>
      </c>
    </row>
    <row r="46" spans="1:5" x14ac:dyDescent="0.25">
      <c r="A46">
        <v>140232</v>
      </c>
      <c r="B46" t="s">
        <v>9</v>
      </c>
      <c r="C46">
        <f>'[1]VENTAS CONSOLIDADA ZULIA'!C46</f>
        <v>0</v>
      </c>
      <c r="D46" s="5">
        <f ca="1">C46/$E$2</f>
        <v>0</v>
      </c>
      <c r="E46" s="5">
        <f t="shared" ca="1" si="0"/>
        <v>0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ca="1">C47/$E$2</f>
        <v>11.5</v>
      </c>
      <c r="E47" s="5">
        <f t="shared" ca="1" si="0"/>
        <v>253</v>
      </c>
    </row>
    <row r="48" spans="1:5" x14ac:dyDescent="0.25">
      <c r="A48">
        <v>150361</v>
      </c>
      <c r="B48" t="s">
        <v>29</v>
      </c>
      <c r="C48">
        <f>'[1]VENTAS CONSOLIDADA ZULIA'!C48</f>
        <v>23</v>
      </c>
      <c r="D48" s="5">
        <f ca="1">C48/$E$2</f>
        <v>11.5</v>
      </c>
      <c r="E48" s="5">
        <f t="shared" ca="1" si="0"/>
        <v>253</v>
      </c>
    </row>
    <row r="49" spans="1:5" x14ac:dyDescent="0.25">
      <c r="A49">
        <v>150362</v>
      </c>
      <c r="B49" t="s">
        <v>36</v>
      </c>
      <c r="C49">
        <f>'[1]VENTAS CONSOLIDADA ZULIA'!C49</f>
        <v>17</v>
      </c>
      <c r="D49" s="5">
        <f ca="1">C49/$E$2</f>
        <v>8.5</v>
      </c>
      <c r="E49" s="5">
        <f t="shared" ca="1" si="0"/>
        <v>187</v>
      </c>
    </row>
    <row r="50" spans="1:5" x14ac:dyDescent="0.25">
      <c r="A50">
        <v>150363</v>
      </c>
      <c r="B50" t="s">
        <v>31</v>
      </c>
      <c r="C50">
        <f>'[1]VENTAS CONSOLIDADA ZULIA'!C50</f>
        <v>17</v>
      </c>
      <c r="D50" s="5">
        <f ca="1">C50/$E$2</f>
        <v>8.5</v>
      </c>
      <c r="E50" s="5">
        <f t="shared" ca="1" si="0"/>
        <v>187</v>
      </c>
    </row>
    <row r="51" spans="1:5" x14ac:dyDescent="0.25">
      <c r="A51">
        <v>151500</v>
      </c>
      <c r="B51" t="s">
        <v>41</v>
      </c>
      <c r="C51">
        <f>'[1]VENTAS CONSOLIDADA ZULIA'!C51</f>
        <v>0</v>
      </c>
      <c r="D51" s="5">
        <f ca="1">C51/$E$2</f>
        <v>0</v>
      </c>
      <c r="E51" s="5">
        <f t="shared" ca="1" si="0"/>
        <v>0</v>
      </c>
    </row>
    <row r="52" spans="1:5" x14ac:dyDescent="0.25">
      <c r="A52">
        <v>151501</v>
      </c>
      <c r="B52" t="s">
        <v>33</v>
      </c>
      <c r="C52">
        <f>'[1]VENTAS CONSOLIDADA ZULIA'!C52</f>
        <v>0</v>
      </c>
      <c r="D52" s="5">
        <f ca="1">C52/$E$2</f>
        <v>0</v>
      </c>
      <c r="E52" s="5">
        <f t="shared" ca="1" si="0"/>
        <v>0</v>
      </c>
    </row>
    <row r="53" spans="1:5" x14ac:dyDescent="0.25">
      <c r="A53">
        <v>151502</v>
      </c>
      <c r="B53" t="s">
        <v>37</v>
      </c>
      <c r="C53">
        <f>'[1]VENTAS CONSOLIDADA ZULIA'!C53</f>
        <v>0</v>
      </c>
      <c r="D53" s="5">
        <f ca="1">C53/$E$2</f>
        <v>0</v>
      </c>
      <c r="E53" s="5">
        <f t="shared" ca="1" si="0"/>
        <v>0</v>
      </c>
    </row>
    <row r="54" spans="1:5" x14ac:dyDescent="0.25">
      <c r="A54">
        <v>151503</v>
      </c>
      <c r="B54" t="s">
        <v>34</v>
      </c>
      <c r="C54">
        <f>'[1]VENTAS CONSOLIDADA ZULIA'!C54</f>
        <v>0</v>
      </c>
      <c r="D54" s="5">
        <f ca="1">C54/$E$2</f>
        <v>0</v>
      </c>
      <c r="E54" s="5">
        <f t="shared" ca="1" si="0"/>
        <v>0</v>
      </c>
    </row>
    <row r="55" spans="1:5" x14ac:dyDescent="0.25">
      <c r="D55" s="5">
        <f ca="1">SUM(D8:D54)</f>
        <v>634.5</v>
      </c>
      <c r="E55" s="5">
        <f ca="1">SUM(E8:E54)</f>
        <v>13959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46268</v>
      </c>
      <c r="E2" s="4">
        <f ca="1">'[1]VENTAS CONSOLIDADA VALENCIA'!E2</f>
        <v>2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460</v>
      </c>
      <c r="D8" s="5">
        <f ca="1">C8/$E$2</f>
        <v>230</v>
      </c>
      <c r="E8" s="5">
        <f ca="1">D8*($E$2+$E$3)</f>
        <v>5060</v>
      </c>
    </row>
    <row r="9" spans="1:5" x14ac:dyDescent="0.25">
      <c r="A9">
        <v>110151</v>
      </c>
      <c r="B9" t="s">
        <v>5</v>
      </c>
      <c r="C9">
        <f>'[1]VENTAS CONSOLIDADA VALENCIA'!C9</f>
        <v>52</v>
      </c>
      <c r="D9" s="5">
        <f ca="1">C9/$E$2</f>
        <v>26</v>
      </c>
      <c r="E9" s="5">
        <f t="shared" ref="E9:E54" ca="1" si="0">D9*($E$2+$E$3)</f>
        <v>572</v>
      </c>
    </row>
    <row r="10" spans="1:5" x14ac:dyDescent="0.25">
      <c r="A10">
        <v>110230</v>
      </c>
      <c r="B10" t="s">
        <v>1</v>
      </c>
      <c r="C10">
        <f>'[1]VENTAS CONSOLIDADA VALENCIA'!C10</f>
        <v>72</v>
      </c>
      <c r="D10" s="5">
        <f ca="1">C10/$E$2</f>
        <v>36</v>
      </c>
      <c r="E10" s="5">
        <f t="shared" ca="1" si="0"/>
        <v>792</v>
      </c>
    </row>
    <row r="11" spans="1:5" x14ac:dyDescent="0.25">
      <c r="A11">
        <v>110400</v>
      </c>
      <c r="B11" t="s">
        <v>13</v>
      </c>
      <c r="C11">
        <f>'[1]VENTAS CONSOLIDADA VALENCIA'!C11</f>
        <v>53</v>
      </c>
      <c r="D11" s="5">
        <f ca="1">C11/$E$2</f>
        <v>26.5</v>
      </c>
      <c r="E11" s="5">
        <f t="shared" ca="1" si="0"/>
        <v>583</v>
      </c>
    </row>
    <row r="12" spans="1:5" x14ac:dyDescent="0.25">
      <c r="A12">
        <v>111000</v>
      </c>
      <c r="B12" t="s">
        <v>14</v>
      </c>
      <c r="C12">
        <f>'[1]VENTAS CONSOLIDADA VALENCIA'!C12</f>
        <v>3</v>
      </c>
      <c r="D12" s="5">
        <f ca="1">C12/$E$2</f>
        <v>1.5</v>
      </c>
      <c r="E12" s="5">
        <f t="shared" ca="1" si="0"/>
        <v>33</v>
      </c>
    </row>
    <row r="13" spans="1:5" x14ac:dyDescent="0.25">
      <c r="A13">
        <v>120130</v>
      </c>
      <c r="B13" t="s">
        <v>15</v>
      </c>
      <c r="C13">
        <f>'[1]VENTAS CONSOLIDADA VALENCIA'!C13</f>
        <v>696</v>
      </c>
      <c r="D13" s="5">
        <f ca="1">C13/$E$2</f>
        <v>348</v>
      </c>
      <c r="E13" s="5">
        <f t="shared" ca="1" si="0"/>
        <v>7656</v>
      </c>
    </row>
    <row r="14" spans="1:5" x14ac:dyDescent="0.25">
      <c r="A14">
        <v>120131</v>
      </c>
      <c r="B14" t="s">
        <v>23</v>
      </c>
      <c r="C14">
        <f>'[1]VENTAS CONSOLIDADA VALENCIA'!C14</f>
        <v>66</v>
      </c>
      <c r="D14" s="5">
        <f ca="1">C14/$E$2</f>
        <v>33</v>
      </c>
      <c r="E14" s="5">
        <f t="shared" ca="1" si="0"/>
        <v>726</v>
      </c>
    </row>
    <row r="15" spans="1:5" x14ac:dyDescent="0.25">
      <c r="A15">
        <v>120132</v>
      </c>
      <c r="B15" t="s">
        <v>21</v>
      </c>
      <c r="C15">
        <f>'[1]VENTAS CONSOLIDADA VALENCIA'!C15</f>
        <v>169</v>
      </c>
      <c r="D15" s="5">
        <f ca="1">C15/$E$2</f>
        <v>84.5</v>
      </c>
      <c r="E15" s="5">
        <f t="shared" ca="1" si="0"/>
        <v>1859</v>
      </c>
    </row>
    <row r="16" spans="1:5" x14ac:dyDescent="0.25">
      <c r="A16">
        <v>130150</v>
      </c>
      <c r="B16" t="s">
        <v>0</v>
      </c>
      <c r="C16">
        <f>'[1]VENTAS CONSOLIDADA VALENCIA'!C16</f>
        <v>594</v>
      </c>
      <c r="D16" s="5">
        <f ca="1">C16/$E$2</f>
        <v>297</v>
      </c>
      <c r="E16" s="5">
        <f t="shared" ca="1" si="0"/>
        <v>6534</v>
      </c>
    </row>
    <row r="17" spans="1:5" x14ac:dyDescent="0.25">
      <c r="A17">
        <v>130151</v>
      </c>
      <c r="B17" t="s">
        <v>4</v>
      </c>
      <c r="C17">
        <f>'[1]VENTAS CONSOLIDADA VALENCIA'!C17</f>
        <v>183</v>
      </c>
      <c r="D17" s="5">
        <f ca="1">C17/$E$2</f>
        <v>91.5</v>
      </c>
      <c r="E17" s="5">
        <f t="shared" ca="1" si="0"/>
        <v>2013</v>
      </c>
    </row>
    <row r="18" spans="1:5" x14ac:dyDescent="0.25">
      <c r="A18">
        <v>130152</v>
      </c>
      <c r="B18" t="s">
        <v>51</v>
      </c>
      <c r="C18">
        <f>'[1]VENTAS CONSOLIDADA VALENCIA'!C18</f>
        <v>1852</v>
      </c>
      <c r="D18" s="5">
        <f ca="1">C18/$E$2</f>
        <v>926</v>
      </c>
      <c r="E18" s="5">
        <f t="shared" ca="1" si="0"/>
        <v>20372</v>
      </c>
    </row>
    <row r="19" spans="1:5" x14ac:dyDescent="0.25">
      <c r="A19">
        <v>130153</v>
      </c>
      <c r="B19" t="s">
        <v>52</v>
      </c>
      <c r="C19">
        <f>'[1]VENTAS CONSOLIDADA VALENCIA'!C19</f>
        <v>1148</v>
      </c>
      <c r="D19" s="5">
        <f ca="1">C19/$E$2</f>
        <v>574</v>
      </c>
      <c r="E19" s="5">
        <f t="shared" ca="1" si="0"/>
        <v>12628</v>
      </c>
    </row>
    <row r="20" spans="1:5" x14ac:dyDescent="0.25">
      <c r="A20">
        <v>130154</v>
      </c>
      <c r="B20" t="s">
        <v>53</v>
      </c>
      <c r="C20">
        <f>'[1]VENTAS CONSOLIDADA VALENCIA'!C20</f>
        <v>1090</v>
      </c>
      <c r="D20" s="5">
        <f ca="1">C20/$E$2</f>
        <v>545</v>
      </c>
      <c r="E20" s="5">
        <f t="shared" ca="1" si="0"/>
        <v>11990</v>
      </c>
    </row>
    <row r="21" spans="1:5" x14ac:dyDescent="0.25">
      <c r="A21">
        <v>130155</v>
      </c>
      <c r="B21" t="s">
        <v>16</v>
      </c>
      <c r="C21">
        <f>'[1]VENTAS CONSOLIDADA VALENCIA'!C21</f>
        <v>1292</v>
      </c>
      <c r="D21" s="5">
        <f ca="1">C21/$E$2</f>
        <v>646</v>
      </c>
      <c r="E21" s="5">
        <f t="shared" ca="1" si="0"/>
        <v>14212</v>
      </c>
    </row>
    <row r="22" spans="1:5" x14ac:dyDescent="0.25">
      <c r="A22">
        <v>130157</v>
      </c>
      <c r="B22" t="s">
        <v>43</v>
      </c>
      <c r="C22">
        <f>'[1]VENTAS CONSOLIDADA VALENCIA'!C22</f>
        <v>305</v>
      </c>
      <c r="D22" s="5">
        <f ca="1">C22/$E$2</f>
        <v>152.5</v>
      </c>
      <c r="E22" s="5">
        <f t="shared" ca="1" si="0"/>
        <v>3355</v>
      </c>
    </row>
    <row r="23" spans="1:5" x14ac:dyDescent="0.25">
      <c r="A23">
        <v>130158</v>
      </c>
      <c r="B23" t="s">
        <v>44</v>
      </c>
      <c r="C23">
        <f>'[1]VENTAS CONSOLIDADA VALENCIA'!C23</f>
        <v>577</v>
      </c>
      <c r="D23" s="5">
        <f ca="1">C23/$E$2</f>
        <v>288.5</v>
      </c>
      <c r="E23" s="5">
        <f t="shared" ca="1" si="0"/>
        <v>6347</v>
      </c>
    </row>
    <row r="24" spans="1:5" x14ac:dyDescent="0.25">
      <c r="A24">
        <v>130159</v>
      </c>
      <c r="B24" t="s">
        <v>45</v>
      </c>
      <c r="C24">
        <f>'[1]VENTAS CONSOLIDADA VALENCIA'!C24</f>
        <v>617</v>
      </c>
      <c r="D24" s="5">
        <f ca="1">C24/$E$2</f>
        <v>308.5</v>
      </c>
      <c r="E24" s="5">
        <f t="shared" ca="1" si="0"/>
        <v>6787</v>
      </c>
    </row>
    <row r="25" spans="1:5" x14ac:dyDescent="0.25">
      <c r="A25">
        <v>130700</v>
      </c>
      <c r="B25" t="s">
        <v>3</v>
      </c>
      <c r="C25">
        <f>'[1]VENTAS CONSOLIDADA VALENCIA'!C25</f>
        <v>262</v>
      </c>
      <c r="D25" s="5">
        <f ca="1">C25/$E$2</f>
        <v>131</v>
      </c>
      <c r="E25" s="5">
        <f t="shared" ca="1" si="0"/>
        <v>2882</v>
      </c>
    </row>
    <row r="26" spans="1:5" x14ac:dyDescent="0.25">
      <c r="A26">
        <v>130701</v>
      </c>
      <c r="B26" t="s">
        <v>30</v>
      </c>
      <c r="C26">
        <f>'[1]VENTAS CONSOLIDADA VALENCIA'!C26</f>
        <v>134</v>
      </c>
      <c r="D26" s="5">
        <f ca="1">C26/$E$2</f>
        <v>67</v>
      </c>
      <c r="E26" s="5">
        <f t="shared" ca="1" si="0"/>
        <v>1474</v>
      </c>
    </row>
    <row r="27" spans="1:5" x14ac:dyDescent="0.25">
      <c r="A27">
        <v>130702</v>
      </c>
      <c r="B27" t="s">
        <v>12</v>
      </c>
      <c r="C27">
        <f>'[1]VENTAS CONSOLIDADA VALENCIA'!C27</f>
        <v>340</v>
      </c>
      <c r="D27" s="5">
        <f ca="1">C27/$E$2</f>
        <v>170</v>
      </c>
      <c r="E27" s="5">
        <f t="shared" ca="1" si="0"/>
        <v>3740</v>
      </c>
    </row>
    <row r="28" spans="1:5" x14ac:dyDescent="0.25">
      <c r="A28">
        <v>130703</v>
      </c>
      <c r="B28" t="s">
        <v>17</v>
      </c>
      <c r="C28">
        <f>'[1]VENTAS CONSOLIDADA VALENCIA'!C28</f>
        <v>542</v>
      </c>
      <c r="D28" s="5">
        <f ca="1">C28/$E$2</f>
        <v>271</v>
      </c>
      <c r="E28" s="5">
        <f t="shared" ca="1" si="0"/>
        <v>5962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ca="1">C29/$E$2</f>
        <v>0</v>
      </c>
      <c r="E29" s="5">
        <f t="shared" ca="1" si="0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289</v>
      </c>
      <c r="D30" s="5">
        <f ca="1">C30/$E$2</f>
        <v>144.5</v>
      </c>
      <c r="E30" s="5">
        <f t="shared" ca="1" si="0"/>
        <v>3179</v>
      </c>
    </row>
    <row r="31" spans="1:5" x14ac:dyDescent="0.25">
      <c r="A31">
        <v>131151</v>
      </c>
      <c r="B31" t="s">
        <v>19</v>
      </c>
      <c r="C31">
        <f>'[1]VENTAS CONSOLIDADA VALENCIA'!C31</f>
        <v>6</v>
      </c>
      <c r="D31" s="5">
        <f ca="1">C31/$E$2</f>
        <v>3</v>
      </c>
      <c r="E31" s="5">
        <f t="shared" ca="1" si="0"/>
        <v>66</v>
      </c>
    </row>
    <row r="32" spans="1:5" x14ac:dyDescent="0.25">
      <c r="A32">
        <v>131152</v>
      </c>
      <c r="B32" t="s">
        <v>32</v>
      </c>
      <c r="C32">
        <f>'[1]VENTAS CONSOLIDADA VALENCIA'!C32</f>
        <v>289</v>
      </c>
      <c r="D32" s="5">
        <f ca="1">C32/$E$2</f>
        <v>144.5</v>
      </c>
      <c r="E32" s="5">
        <f t="shared" ca="1" si="0"/>
        <v>3179</v>
      </c>
    </row>
    <row r="33" spans="1:5" x14ac:dyDescent="0.25">
      <c r="A33">
        <v>131153</v>
      </c>
      <c r="B33" t="s">
        <v>11</v>
      </c>
      <c r="C33">
        <f>'[1]VENTAS CONSOLIDADA VALENCIA'!C33</f>
        <v>180</v>
      </c>
      <c r="D33" s="5">
        <f ca="1">C33/$E$2</f>
        <v>90</v>
      </c>
      <c r="E33" s="5">
        <f t="shared" ca="1" si="0"/>
        <v>1980</v>
      </c>
    </row>
    <row r="34" spans="1:5" x14ac:dyDescent="0.25">
      <c r="A34">
        <v>131154</v>
      </c>
      <c r="B34" t="s">
        <v>48</v>
      </c>
      <c r="C34">
        <f>'[1]VENTAS CONSOLIDADA VALENCIA'!C34</f>
        <v>55</v>
      </c>
      <c r="D34" s="5">
        <f ca="1">C34/$E$2</f>
        <v>27.5</v>
      </c>
      <c r="E34" s="5">
        <f t="shared" ca="1" si="0"/>
        <v>605</v>
      </c>
    </row>
    <row r="35" spans="1:5" x14ac:dyDescent="0.25">
      <c r="A35">
        <v>131155</v>
      </c>
      <c r="B35" t="s">
        <v>57</v>
      </c>
      <c r="C35">
        <f>'[1]VENTAS CONSOLIDADA VALENCIA'!C35</f>
        <v>110</v>
      </c>
      <c r="D35" s="5">
        <f ca="1">C35/$E$2</f>
        <v>55</v>
      </c>
      <c r="E35" s="5">
        <f t="shared" ca="1" si="0"/>
        <v>1210</v>
      </c>
    </row>
    <row r="36" spans="1:5" x14ac:dyDescent="0.25">
      <c r="A36">
        <v>131700</v>
      </c>
      <c r="B36" t="s">
        <v>20</v>
      </c>
      <c r="C36">
        <f>'[1]VENTAS CONSOLIDADA VALENCIA'!C36</f>
        <v>99</v>
      </c>
      <c r="D36" s="5">
        <f ca="1">C36/$E$2</f>
        <v>49.5</v>
      </c>
      <c r="E36" s="5">
        <f t="shared" ca="1" si="0"/>
        <v>1089</v>
      </c>
    </row>
    <row r="37" spans="1:5" x14ac:dyDescent="0.25">
      <c r="A37">
        <v>131701</v>
      </c>
      <c r="B37" t="s">
        <v>24</v>
      </c>
      <c r="C37">
        <f>'[1]VENTAS CONSOLIDADA VALENCIA'!C37</f>
        <v>35</v>
      </c>
      <c r="D37" s="5">
        <f ca="1">C37/$E$2</f>
        <v>17.5</v>
      </c>
      <c r="E37" s="5">
        <f t="shared" ca="1" si="0"/>
        <v>385</v>
      </c>
    </row>
    <row r="38" spans="1:5" x14ac:dyDescent="0.25">
      <c r="A38">
        <v>132150</v>
      </c>
      <c r="B38" t="s">
        <v>25</v>
      </c>
      <c r="C38">
        <f>'[1]VENTAS CONSOLIDADA VALENCIA'!C38</f>
        <v>264</v>
      </c>
      <c r="D38" s="5">
        <f ca="1">C38/$E$2</f>
        <v>132</v>
      </c>
      <c r="E38" s="5">
        <f t="shared" ca="1" si="0"/>
        <v>2904</v>
      </c>
    </row>
    <row r="39" spans="1:5" x14ac:dyDescent="0.25">
      <c r="A39">
        <v>132151</v>
      </c>
      <c r="B39" t="s">
        <v>26</v>
      </c>
      <c r="C39">
        <f>'[1]VENTAS CONSOLIDADA VALENCIA'!C39</f>
        <v>140</v>
      </c>
      <c r="D39" s="5">
        <f ca="1">C39/$E$2</f>
        <v>70</v>
      </c>
      <c r="E39" s="5">
        <f t="shared" ca="1" si="0"/>
        <v>1540</v>
      </c>
    </row>
    <row r="40" spans="1:5" x14ac:dyDescent="0.25">
      <c r="A40">
        <v>132152</v>
      </c>
      <c r="B40" t="s">
        <v>27</v>
      </c>
      <c r="C40">
        <f>'[1]VENTAS CONSOLIDADA VALENCIA'!C40</f>
        <v>425</v>
      </c>
      <c r="D40" s="5">
        <f ca="1">C40/$E$2</f>
        <v>212.5</v>
      </c>
      <c r="E40" s="5">
        <f t="shared" ca="1" si="0"/>
        <v>4675</v>
      </c>
    </row>
    <row r="41" spans="1:5" x14ac:dyDescent="0.25">
      <c r="A41">
        <v>132153</v>
      </c>
      <c r="B41" t="s">
        <v>40</v>
      </c>
      <c r="C41">
        <f>'[1]VENTAS CONSOLIDADA VALENCIA'!C41</f>
        <v>220</v>
      </c>
      <c r="D41" s="5">
        <f ca="1">C41/$E$2</f>
        <v>110</v>
      </c>
      <c r="E41" s="5">
        <f t="shared" ca="1" si="0"/>
        <v>2420</v>
      </c>
    </row>
    <row r="42" spans="1:5" x14ac:dyDescent="0.25">
      <c r="A42">
        <v>134000</v>
      </c>
      <c r="B42" t="s">
        <v>35</v>
      </c>
      <c r="C42">
        <f>'[1]VENTAS CONSOLIDADA VALENCIA'!C42</f>
        <v>9</v>
      </c>
      <c r="D42" s="5">
        <f ca="1">C42/$E$2</f>
        <v>4.5</v>
      </c>
      <c r="E42" s="5">
        <f t="shared" ca="1" si="0"/>
        <v>99</v>
      </c>
    </row>
    <row r="43" spans="1:5" x14ac:dyDescent="0.25">
      <c r="A43">
        <v>134001</v>
      </c>
      <c r="B43" t="s">
        <v>47</v>
      </c>
      <c r="C43">
        <f>'[1]VENTAS CONSOLIDADA VALENCIA'!C43</f>
        <v>4</v>
      </c>
      <c r="D43" s="5">
        <f ca="1">C43/$E$2</f>
        <v>2</v>
      </c>
      <c r="E43" s="5">
        <f t="shared" ca="1" si="0"/>
        <v>44</v>
      </c>
    </row>
    <row r="44" spans="1:5" x14ac:dyDescent="0.25">
      <c r="A44">
        <v>140230</v>
      </c>
      <c r="B44" t="s">
        <v>18</v>
      </c>
      <c r="C44">
        <f>'[1]VENTAS CONSOLIDADA VALENCIA'!C44</f>
        <v>182</v>
      </c>
      <c r="D44" s="5">
        <f ca="1">C44/$E$2</f>
        <v>91</v>
      </c>
      <c r="E44" s="5">
        <f t="shared" ca="1" si="0"/>
        <v>2002</v>
      </c>
    </row>
    <row r="45" spans="1:5" x14ac:dyDescent="0.25">
      <c r="A45">
        <v>140231</v>
      </c>
      <c r="B45" t="s">
        <v>10</v>
      </c>
      <c r="C45">
        <f>'[1]VENTAS CONSOLIDADA VALENCIA'!C45</f>
        <v>5</v>
      </c>
      <c r="D45" s="5">
        <f ca="1">C45/$E$2</f>
        <v>2.5</v>
      </c>
      <c r="E45" s="5">
        <f t="shared" ca="1" si="0"/>
        <v>55</v>
      </c>
    </row>
    <row r="46" spans="1:5" x14ac:dyDescent="0.25">
      <c r="A46">
        <v>140232</v>
      </c>
      <c r="B46" t="s">
        <v>9</v>
      </c>
      <c r="C46">
        <f>'[1]VENTAS CONSOLIDADA VALENCIA'!C46</f>
        <v>404</v>
      </c>
      <c r="D46" s="5">
        <f ca="1">C46/$E$2</f>
        <v>202</v>
      </c>
      <c r="E46" s="5">
        <f t="shared" ca="1" si="0"/>
        <v>4444</v>
      </c>
    </row>
    <row r="47" spans="1:5" x14ac:dyDescent="0.25">
      <c r="A47">
        <v>150360</v>
      </c>
      <c r="B47" t="s">
        <v>28</v>
      </c>
      <c r="C47">
        <f>'[1]VENTAS CONSOLIDADA VALENCIA'!C47</f>
        <v>0</v>
      </c>
      <c r="D47" s="5">
        <f ca="1">C47/$E$2</f>
        <v>0</v>
      </c>
      <c r="E47" s="5">
        <f t="shared" ca="1" si="0"/>
        <v>0</v>
      </c>
    </row>
    <row r="48" spans="1:5" x14ac:dyDescent="0.25">
      <c r="A48">
        <v>150361</v>
      </c>
      <c r="B48" t="s">
        <v>29</v>
      </c>
      <c r="C48">
        <f>'[1]VENTAS CONSOLIDADA VALENCIA'!C48</f>
        <v>104</v>
      </c>
      <c r="D48" s="5">
        <f ca="1">C48/$E$2</f>
        <v>52</v>
      </c>
      <c r="E48" s="5">
        <f t="shared" ca="1" si="0"/>
        <v>1144</v>
      </c>
    </row>
    <row r="49" spans="1:5" x14ac:dyDescent="0.25">
      <c r="A49">
        <v>150362</v>
      </c>
      <c r="B49" t="s">
        <v>36</v>
      </c>
      <c r="C49">
        <f>'[1]VENTAS CONSOLIDADA VALENCIA'!C49</f>
        <v>24</v>
      </c>
      <c r="D49" s="5">
        <f ca="1">C49/$E$2</f>
        <v>12</v>
      </c>
      <c r="E49" s="5">
        <f t="shared" ca="1" si="0"/>
        <v>264</v>
      </c>
    </row>
    <row r="50" spans="1:5" x14ac:dyDescent="0.25">
      <c r="A50">
        <v>150363</v>
      </c>
      <c r="B50" t="s">
        <v>31</v>
      </c>
      <c r="C50">
        <f>'[1]VENTAS CONSOLIDADA VALENCIA'!C50</f>
        <v>132</v>
      </c>
      <c r="D50" s="5">
        <f ca="1">C50/$E$2</f>
        <v>66</v>
      </c>
      <c r="E50" s="5">
        <f t="shared" ca="1" si="0"/>
        <v>1452</v>
      </c>
    </row>
    <row r="51" spans="1:5" x14ac:dyDescent="0.25">
      <c r="A51">
        <v>151500</v>
      </c>
      <c r="B51" t="s">
        <v>41</v>
      </c>
      <c r="C51">
        <f>'[1]VENTAS CONSOLIDADA VALENCIA'!C51</f>
        <v>18</v>
      </c>
      <c r="D51" s="5">
        <f ca="1">C51/$E$2</f>
        <v>9</v>
      </c>
      <c r="E51" s="5">
        <f t="shared" ca="1" si="0"/>
        <v>198</v>
      </c>
    </row>
    <row r="52" spans="1:5" x14ac:dyDescent="0.25">
      <c r="A52">
        <v>151501</v>
      </c>
      <c r="B52" t="s">
        <v>33</v>
      </c>
      <c r="C52">
        <f>'[1]VENTAS CONSOLIDADA VALENCIA'!C52</f>
        <v>67</v>
      </c>
      <c r="D52" s="5">
        <f ca="1">C52/$E$2</f>
        <v>33.5</v>
      </c>
      <c r="E52" s="5">
        <f t="shared" ca="1" si="0"/>
        <v>737</v>
      </c>
    </row>
    <row r="53" spans="1:5" x14ac:dyDescent="0.25">
      <c r="A53">
        <v>151502</v>
      </c>
      <c r="B53" t="s">
        <v>37</v>
      </c>
      <c r="C53">
        <f>'[1]VENTAS CONSOLIDADA VALENCIA'!C53</f>
        <v>1</v>
      </c>
      <c r="D53" s="5">
        <f ca="1">C53/$E$2</f>
        <v>0.5</v>
      </c>
      <c r="E53" s="5">
        <f t="shared" ca="1" si="0"/>
        <v>11</v>
      </c>
    </row>
    <row r="54" spans="1:5" x14ac:dyDescent="0.25">
      <c r="A54">
        <v>151503</v>
      </c>
      <c r="B54" t="s">
        <v>34</v>
      </c>
      <c r="C54">
        <f>'[1]VENTAS CONSOLIDADA VALENCIA'!C54</f>
        <v>13</v>
      </c>
      <c r="D54" s="5">
        <f ca="1">C54/$E$2</f>
        <v>6.5</v>
      </c>
      <c r="E54" s="5">
        <f t="shared" ca="1" si="0"/>
        <v>143</v>
      </c>
    </row>
    <row r="55" spans="1:5" x14ac:dyDescent="0.25">
      <c r="D55" s="5">
        <f ca="1">SUM(D8:D54)</f>
        <v>6791</v>
      </c>
      <c r="E55" s="5">
        <f ca="1">SUM(E8:E54)</f>
        <v>149402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46268</v>
      </c>
      <c r="E2" s="4">
        <f ca="1">'[1]VENTAS CONSOLIDADA CARACAS'!E2</f>
        <v>2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20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914</v>
      </c>
      <c r="D8" s="5">
        <f ca="1">C8/$E$2</f>
        <v>457</v>
      </c>
      <c r="E8" s="5">
        <f ca="1">D8*($E$2+$E$3)</f>
        <v>10054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54</v>
      </c>
      <c r="D9" s="5">
        <f ca="1">C9/$E$2</f>
        <v>27</v>
      </c>
      <c r="E9" s="5">
        <f t="shared" ref="E9:E54" ca="1" si="0">D9*($E$2+$E$3)</f>
        <v>594</v>
      </c>
    </row>
    <row r="10" spans="1:6" x14ac:dyDescent="0.25">
      <c r="A10">
        <v>110230</v>
      </c>
      <c r="B10" t="s">
        <v>1</v>
      </c>
      <c r="C10">
        <f>'[1]VENTAS CONSOLIDADA CARACAS'!C10</f>
        <v>332</v>
      </c>
      <c r="D10" s="5">
        <f ca="1">C10/$E$2</f>
        <v>166</v>
      </c>
      <c r="E10" s="5">
        <f t="shared" ca="1" si="0"/>
        <v>3652</v>
      </c>
    </row>
    <row r="11" spans="1:6" x14ac:dyDescent="0.25">
      <c r="A11">
        <v>110400</v>
      </c>
      <c r="B11" t="s">
        <v>13</v>
      </c>
      <c r="C11">
        <f>'[1]VENTAS CONSOLIDADA CARACAS'!C11</f>
        <v>111</v>
      </c>
      <c r="D11" s="5">
        <f ca="1">C11/$E$2</f>
        <v>55.5</v>
      </c>
      <c r="E11" s="5">
        <f t="shared" ca="1" si="0"/>
        <v>1221</v>
      </c>
    </row>
    <row r="12" spans="1:6" x14ac:dyDescent="0.25">
      <c r="A12">
        <v>111000</v>
      </c>
      <c r="B12" t="s">
        <v>14</v>
      </c>
      <c r="C12">
        <f>'[1]VENTAS CONSOLIDADA CARACAS'!C12</f>
        <v>0</v>
      </c>
      <c r="D12" s="5">
        <f ca="1">C12/$E$2</f>
        <v>0</v>
      </c>
      <c r="E12" s="5">
        <f t="shared" ca="1" si="0"/>
        <v>0</v>
      </c>
    </row>
    <row r="13" spans="1:6" x14ac:dyDescent="0.25">
      <c r="A13">
        <v>120130</v>
      </c>
      <c r="B13" t="s">
        <v>15</v>
      </c>
      <c r="C13">
        <f>'[1]VENTAS CONSOLIDADA CARACAS'!C13</f>
        <v>825</v>
      </c>
      <c r="D13" s="5">
        <f ca="1">C13/$E$2</f>
        <v>412.5</v>
      </c>
      <c r="E13" s="5">
        <f t="shared" ca="1" si="0"/>
        <v>9075</v>
      </c>
    </row>
    <row r="14" spans="1:6" x14ac:dyDescent="0.25">
      <c r="A14">
        <v>120131</v>
      </c>
      <c r="B14" t="s">
        <v>23</v>
      </c>
      <c r="C14">
        <f>'[1]VENTAS CONSOLIDADA CARACAS'!C14</f>
        <v>88</v>
      </c>
      <c r="D14" s="5">
        <f ca="1">C14/$E$2</f>
        <v>44</v>
      </c>
      <c r="E14" s="5">
        <f t="shared" ca="1" si="0"/>
        <v>968</v>
      </c>
    </row>
    <row r="15" spans="1:6" x14ac:dyDescent="0.25">
      <c r="A15">
        <v>120132</v>
      </c>
      <c r="B15" t="s">
        <v>21</v>
      </c>
      <c r="C15">
        <f>'[1]VENTAS CONSOLIDADA CARACAS'!C15</f>
        <v>136</v>
      </c>
      <c r="D15" s="5">
        <f ca="1">C15/$E$2</f>
        <v>68</v>
      </c>
      <c r="E15" s="5">
        <f t="shared" ca="1" si="0"/>
        <v>1496</v>
      </c>
    </row>
    <row r="16" spans="1:6" x14ac:dyDescent="0.25">
      <c r="A16">
        <v>130150</v>
      </c>
      <c r="B16" t="s">
        <v>0</v>
      </c>
      <c r="C16">
        <f>'[1]VENTAS CONSOLIDADA CARACAS'!C16</f>
        <v>442</v>
      </c>
      <c r="D16" s="5">
        <f ca="1">C16/$E$2</f>
        <v>221</v>
      </c>
      <c r="E16" s="5">
        <f t="shared" ca="1" si="0"/>
        <v>4862</v>
      </c>
    </row>
    <row r="17" spans="1:5" x14ac:dyDescent="0.25">
      <c r="A17">
        <v>130151</v>
      </c>
      <c r="B17" t="s">
        <v>4</v>
      </c>
      <c r="C17">
        <f>'[1]VENTAS CONSOLIDADA CARACAS'!C17</f>
        <v>258</v>
      </c>
      <c r="D17" s="5">
        <f ca="1">C17/$E$2</f>
        <v>129</v>
      </c>
      <c r="E17" s="5">
        <f t="shared" ca="1" si="0"/>
        <v>2838</v>
      </c>
    </row>
    <row r="18" spans="1:5" x14ac:dyDescent="0.25">
      <c r="A18">
        <v>130152</v>
      </c>
      <c r="B18" t="s">
        <v>51</v>
      </c>
      <c r="C18">
        <f>'[1]VENTAS CONSOLIDADA CARACAS'!C18</f>
        <v>1690</v>
      </c>
      <c r="D18" s="5">
        <f ca="1">C18/$E$2</f>
        <v>845</v>
      </c>
      <c r="E18" s="5">
        <f t="shared" ca="1" si="0"/>
        <v>18590</v>
      </c>
    </row>
    <row r="19" spans="1:5" x14ac:dyDescent="0.25">
      <c r="A19">
        <v>130153</v>
      </c>
      <c r="B19" t="s">
        <v>52</v>
      </c>
      <c r="C19">
        <f>'[1]VENTAS CONSOLIDADA CARACAS'!C19</f>
        <v>1105</v>
      </c>
      <c r="D19" s="5">
        <f ca="1">C19/$E$2</f>
        <v>552.5</v>
      </c>
      <c r="E19" s="5">
        <f t="shared" ca="1" si="0"/>
        <v>12155</v>
      </c>
    </row>
    <row r="20" spans="1:5" x14ac:dyDescent="0.25">
      <c r="A20">
        <v>130154</v>
      </c>
      <c r="B20" t="s">
        <v>53</v>
      </c>
      <c r="C20">
        <f>'[1]VENTAS CONSOLIDADA CARACAS'!C20</f>
        <v>1199</v>
      </c>
      <c r="D20" s="5">
        <f ca="1">C20/$E$2</f>
        <v>599.5</v>
      </c>
      <c r="E20" s="5">
        <f t="shared" ca="1" si="0"/>
        <v>13189</v>
      </c>
    </row>
    <row r="21" spans="1:5" x14ac:dyDescent="0.25">
      <c r="A21">
        <v>130155</v>
      </c>
      <c r="B21" t="s">
        <v>16</v>
      </c>
      <c r="C21">
        <f>'[1]VENTAS CONSOLIDADA CARACAS'!C21</f>
        <v>1432</v>
      </c>
      <c r="D21" s="5">
        <f ca="1">C21/$E$2</f>
        <v>716</v>
      </c>
      <c r="E21" s="5">
        <f t="shared" ca="1" si="0"/>
        <v>15752</v>
      </c>
    </row>
    <row r="22" spans="1:5" x14ac:dyDescent="0.25">
      <c r="A22">
        <v>130157</v>
      </c>
      <c r="B22" t="s">
        <v>43</v>
      </c>
      <c r="C22">
        <f>'[1]VENTAS CONSOLIDADA CARACAS'!C22</f>
        <v>594</v>
      </c>
      <c r="D22" s="5">
        <f ca="1">C22/$E$2</f>
        <v>297</v>
      </c>
      <c r="E22" s="5">
        <f t="shared" ca="1" si="0"/>
        <v>6534</v>
      </c>
    </row>
    <row r="23" spans="1:5" x14ac:dyDescent="0.25">
      <c r="A23">
        <v>130158</v>
      </c>
      <c r="B23" t="s">
        <v>44</v>
      </c>
      <c r="C23">
        <f>'[1]VENTAS CONSOLIDADA CARACAS'!C23</f>
        <v>633</v>
      </c>
      <c r="D23" s="5">
        <f ca="1">C23/$E$2</f>
        <v>316.5</v>
      </c>
      <c r="E23" s="5">
        <f t="shared" ca="1" si="0"/>
        <v>6963</v>
      </c>
    </row>
    <row r="24" spans="1:5" x14ac:dyDescent="0.25">
      <c r="A24">
        <v>130159</v>
      </c>
      <c r="B24" t="s">
        <v>45</v>
      </c>
      <c r="C24">
        <f>'[1]VENTAS CONSOLIDADA CARACAS'!C24</f>
        <v>622</v>
      </c>
      <c r="D24" s="5">
        <f ca="1">C24/$E$2</f>
        <v>311</v>
      </c>
      <c r="E24" s="5">
        <f t="shared" ca="1" si="0"/>
        <v>6842</v>
      </c>
    </row>
    <row r="25" spans="1:5" x14ac:dyDescent="0.25">
      <c r="A25">
        <v>130700</v>
      </c>
      <c r="B25" t="s">
        <v>3</v>
      </c>
      <c r="C25">
        <f>'[1]VENTAS CONSOLIDADA CARACAS'!C25</f>
        <v>96</v>
      </c>
      <c r="D25" s="5">
        <f ca="1">C25/$E$2</f>
        <v>48</v>
      </c>
      <c r="E25" s="5">
        <f t="shared" ca="1" si="0"/>
        <v>1056</v>
      </c>
    </row>
    <row r="26" spans="1:5" x14ac:dyDescent="0.25">
      <c r="A26">
        <v>130701</v>
      </c>
      <c r="B26" t="s">
        <v>30</v>
      </c>
      <c r="C26">
        <f>'[1]VENTAS CONSOLIDADA CARACAS'!C26</f>
        <v>62</v>
      </c>
      <c r="D26" s="5">
        <f ca="1">C26/$E$2</f>
        <v>31</v>
      </c>
      <c r="E26" s="5">
        <f t="shared" ca="1" si="0"/>
        <v>682</v>
      </c>
    </row>
    <row r="27" spans="1:5" x14ac:dyDescent="0.25">
      <c r="A27">
        <v>130702</v>
      </c>
      <c r="B27" t="s">
        <v>12</v>
      </c>
      <c r="C27">
        <f>'[1]VENTAS CONSOLIDADA CARACAS'!C27</f>
        <v>275</v>
      </c>
      <c r="D27" s="5">
        <f ca="1">C27/$E$2</f>
        <v>137.5</v>
      </c>
      <c r="E27" s="5">
        <f t="shared" ca="1" si="0"/>
        <v>3025</v>
      </c>
    </row>
    <row r="28" spans="1:5" x14ac:dyDescent="0.25">
      <c r="A28">
        <v>130703</v>
      </c>
      <c r="B28" t="s">
        <v>17</v>
      </c>
      <c r="C28">
        <f>'[1]VENTAS CONSOLIDADA CARACAS'!C28</f>
        <v>566</v>
      </c>
      <c r="D28" s="5">
        <f ca="1">C28/$E$2</f>
        <v>283</v>
      </c>
      <c r="E28" s="5">
        <f t="shared" ca="1" si="0"/>
        <v>6226</v>
      </c>
    </row>
    <row r="29" spans="1:5" x14ac:dyDescent="0.25">
      <c r="A29">
        <v>130707</v>
      </c>
      <c r="B29" t="s">
        <v>42</v>
      </c>
      <c r="C29">
        <f>'[1]VENTAS CONSOLIDADA CARACAS'!C29</f>
        <v>0</v>
      </c>
      <c r="D29" s="5">
        <f ca="1">C29/$E$2</f>
        <v>0</v>
      </c>
      <c r="E29" s="5">
        <f t="shared" ca="1" si="0"/>
        <v>0</v>
      </c>
    </row>
    <row r="30" spans="1:5" x14ac:dyDescent="0.25">
      <c r="A30">
        <v>131150</v>
      </c>
      <c r="B30" t="s">
        <v>22</v>
      </c>
      <c r="C30">
        <f>'[1]VENTAS CONSOLIDADA CARACAS'!C30</f>
        <v>298</v>
      </c>
      <c r="D30" s="5">
        <f ca="1">C30/$E$2</f>
        <v>149</v>
      </c>
      <c r="E30" s="5">
        <f t="shared" ca="1" si="0"/>
        <v>3278</v>
      </c>
    </row>
    <row r="31" spans="1:5" x14ac:dyDescent="0.25">
      <c r="A31">
        <v>131151</v>
      </c>
      <c r="B31" t="s">
        <v>19</v>
      </c>
      <c r="C31">
        <f>'[1]VENTAS CONSOLIDADA CARACAS'!C31</f>
        <v>437</v>
      </c>
      <c r="D31" s="5">
        <f ca="1">C31/$E$2</f>
        <v>218.5</v>
      </c>
      <c r="E31" s="5">
        <f t="shared" ca="1" si="0"/>
        <v>4807</v>
      </c>
    </row>
    <row r="32" spans="1:5" x14ac:dyDescent="0.25">
      <c r="A32">
        <v>131152</v>
      </c>
      <c r="B32" t="s">
        <v>32</v>
      </c>
      <c r="C32">
        <f>'[1]VENTAS CONSOLIDADA CARACAS'!C32</f>
        <v>309</v>
      </c>
      <c r="D32" s="5">
        <f ca="1">C32/$E$2</f>
        <v>154.5</v>
      </c>
      <c r="E32" s="5">
        <f t="shared" ca="1" si="0"/>
        <v>3399</v>
      </c>
    </row>
    <row r="33" spans="1:5" x14ac:dyDescent="0.25">
      <c r="A33">
        <v>131153</v>
      </c>
      <c r="B33" t="s">
        <v>11</v>
      </c>
      <c r="C33">
        <f>'[1]VENTAS CONSOLIDADA CARACAS'!C33</f>
        <v>223</v>
      </c>
      <c r="D33" s="5">
        <f ca="1">C33/$E$2</f>
        <v>111.5</v>
      </c>
      <c r="E33" s="5">
        <f t="shared" ca="1" si="0"/>
        <v>2453</v>
      </c>
    </row>
    <row r="34" spans="1:5" x14ac:dyDescent="0.25">
      <c r="A34">
        <v>131154</v>
      </c>
      <c r="B34" t="s">
        <v>48</v>
      </c>
      <c r="C34">
        <f>'[1]VENTAS CONSOLIDADA CARACAS'!C34</f>
        <v>0</v>
      </c>
      <c r="D34" s="5">
        <f ca="1">C34/$E$2</f>
        <v>0</v>
      </c>
      <c r="E34" s="5">
        <f t="shared" ca="1" si="0"/>
        <v>0</v>
      </c>
    </row>
    <row r="35" spans="1:5" x14ac:dyDescent="0.25">
      <c r="A35">
        <v>131155</v>
      </c>
      <c r="B35" t="s">
        <v>57</v>
      </c>
      <c r="C35">
        <f>'[1]VENTAS CONSOLIDADA CARACAS'!C35</f>
        <v>0</v>
      </c>
      <c r="D35" s="5">
        <f ca="1">C35/$E$2</f>
        <v>0</v>
      </c>
      <c r="E35" s="5">
        <f t="shared" ca="1" si="0"/>
        <v>0</v>
      </c>
    </row>
    <row r="36" spans="1:5" x14ac:dyDescent="0.25">
      <c r="A36">
        <v>131700</v>
      </c>
      <c r="B36" t="s">
        <v>20</v>
      </c>
      <c r="C36">
        <f>'[1]VENTAS CONSOLIDADA CARACAS'!C36</f>
        <v>96</v>
      </c>
      <c r="D36" s="5">
        <f ca="1">C36/$E$2</f>
        <v>48</v>
      </c>
      <c r="E36" s="5">
        <f t="shared" ca="1" si="0"/>
        <v>1056</v>
      </c>
    </row>
    <row r="37" spans="1:5" x14ac:dyDescent="0.25">
      <c r="A37">
        <v>131701</v>
      </c>
      <c r="B37" t="s">
        <v>24</v>
      </c>
      <c r="C37">
        <f>'[1]VENTAS CONSOLIDADA CARACAS'!C37</f>
        <v>68</v>
      </c>
      <c r="D37" s="5">
        <f ca="1">C37/$E$2</f>
        <v>34</v>
      </c>
      <c r="E37" s="5">
        <f t="shared" ca="1" si="0"/>
        <v>748</v>
      </c>
    </row>
    <row r="38" spans="1:5" x14ac:dyDescent="0.25">
      <c r="A38">
        <v>132150</v>
      </c>
      <c r="B38" t="s">
        <v>25</v>
      </c>
      <c r="C38">
        <f>'[1]VENTAS CONSOLIDADA CARACAS'!C38</f>
        <v>383</v>
      </c>
      <c r="D38" s="5">
        <f ca="1">C38/$E$2</f>
        <v>191.5</v>
      </c>
      <c r="E38" s="5">
        <f t="shared" ca="1" si="0"/>
        <v>4213</v>
      </c>
    </row>
    <row r="39" spans="1:5" x14ac:dyDescent="0.25">
      <c r="A39">
        <v>132151</v>
      </c>
      <c r="B39" t="s">
        <v>26</v>
      </c>
      <c r="C39">
        <f>'[1]VENTAS CONSOLIDADA CARACAS'!C39</f>
        <v>362</v>
      </c>
      <c r="D39" s="5">
        <f ca="1">C39/$E$2</f>
        <v>181</v>
      </c>
      <c r="E39" s="5">
        <f t="shared" ca="1" si="0"/>
        <v>3982</v>
      </c>
    </row>
    <row r="40" spans="1:5" x14ac:dyDescent="0.25">
      <c r="A40">
        <v>132152</v>
      </c>
      <c r="B40" t="s">
        <v>27</v>
      </c>
      <c r="C40">
        <f>'[1]VENTAS CONSOLIDADA CARACAS'!C40</f>
        <v>478</v>
      </c>
      <c r="D40" s="5">
        <f ca="1">C40/$E$2</f>
        <v>239</v>
      </c>
      <c r="E40" s="5">
        <f t="shared" ca="1" si="0"/>
        <v>5258</v>
      </c>
    </row>
    <row r="41" spans="1:5" x14ac:dyDescent="0.25">
      <c r="A41">
        <v>132153</v>
      </c>
      <c r="B41" t="s">
        <v>40</v>
      </c>
      <c r="C41">
        <f>'[1]VENTAS CONSOLIDADA CARACAS'!C41</f>
        <v>321</v>
      </c>
      <c r="D41" s="5">
        <f ca="1">C41/$E$2</f>
        <v>160.5</v>
      </c>
      <c r="E41" s="5">
        <f t="shared" ca="1" si="0"/>
        <v>3531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ca="1">C42/$E$2</f>
        <v>0</v>
      </c>
      <c r="E42" s="5">
        <f t="shared" ca="1" si="0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ca="1">C43/$E$2</f>
        <v>0</v>
      </c>
      <c r="E43" s="5">
        <f t="shared" ca="1" si="0"/>
        <v>0</v>
      </c>
    </row>
    <row r="44" spans="1:5" x14ac:dyDescent="0.25">
      <c r="A44">
        <v>140230</v>
      </c>
      <c r="B44" t="s">
        <v>18</v>
      </c>
      <c r="C44">
        <f>'[1]VENTAS CONSOLIDADA CARACAS'!C44</f>
        <v>7</v>
      </c>
      <c r="D44" s="5">
        <f ca="1">C44/$E$2</f>
        <v>3.5</v>
      </c>
      <c r="E44" s="5">
        <f t="shared" ca="1" si="0"/>
        <v>77</v>
      </c>
    </row>
    <row r="45" spans="1:5" x14ac:dyDescent="0.25">
      <c r="A45">
        <v>140231</v>
      </c>
      <c r="B45" t="s">
        <v>10</v>
      </c>
      <c r="C45">
        <f>'[1]VENTAS CONSOLIDADA CARACAS'!C45</f>
        <v>390</v>
      </c>
      <c r="D45" s="5">
        <f ca="1">C45/$E$2</f>
        <v>195</v>
      </c>
      <c r="E45" s="5">
        <f t="shared" ca="1" si="0"/>
        <v>4290</v>
      </c>
    </row>
    <row r="46" spans="1:5" x14ac:dyDescent="0.25">
      <c r="A46">
        <v>140232</v>
      </c>
      <c r="B46" t="s">
        <v>9</v>
      </c>
      <c r="C46">
        <f>'[1]VENTAS CONSOLIDADA CARACAS'!C46</f>
        <v>405</v>
      </c>
      <c r="D46" s="5">
        <f ca="1">C46/$E$2</f>
        <v>202.5</v>
      </c>
      <c r="E46" s="5">
        <f t="shared" ca="1" si="0"/>
        <v>4455</v>
      </c>
    </row>
    <row r="47" spans="1:5" x14ac:dyDescent="0.25">
      <c r="A47">
        <v>150360</v>
      </c>
      <c r="B47" t="s">
        <v>28</v>
      </c>
      <c r="C47">
        <f>'[1]VENTAS CONSOLIDADA CARACAS'!C47</f>
        <v>158</v>
      </c>
      <c r="D47" s="5">
        <f ca="1">C47/$E$2</f>
        <v>79</v>
      </c>
      <c r="E47" s="5">
        <f t="shared" ca="1" si="0"/>
        <v>1738</v>
      </c>
    </row>
    <row r="48" spans="1:5" x14ac:dyDescent="0.25">
      <c r="A48">
        <v>150361</v>
      </c>
      <c r="B48" t="s">
        <v>29</v>
      </c>
      <c r="C48">
        <f>'[1]VENTAS CONSOLIDADA CARACAS'!C48</f>
        <v>290</v>
      </c>
      <c r="D48" s="5">
        <f ca="1">C48/$E$2</f>
        <v>145</v>
      </c>
      <c r="E48" s="5">
        <f t="shared" ca="1" si="0"/>
        <v>3190</v>
      </c>
    </row>
    <row r="49" spans="1:5" x14ac:dyDescent="0.25">
      <c r="A49">
        <v>150362</v>
      </c>
      <c r="B49" t="s">
        <v>36</v>
      </c>
      <c r="C49">
        <f>'[1]VENTAS CONSOLIDADA CARACAS'!C49</f>
        <v>174</v>
      </c>
      <c r="D49" s="5">
        <f ca="1">C49/$E$2</f>
        <v>87</v>
      </c>
      <c r="E49" s="5">
        <f t="shared" ca="1" si="0"/>
        <v>1914</v>
      </c>
    </row>
    <row r="50" spans="1:5" x14ac:dyDescent="0.25">
      <c r="A50">
        <v>150363</v>
      </c>
      <c r="B50" t="s">
        <v>31</v>
      </c>
      <c r="C50">
        <f>'[1]VENTAS CONSOLIDADA CARACAS'!C50</f>
        <v>135</v>
      </c>
      <c r="D50" s="5">
        <f ca="1">C50/$E$2</f>
        <v>67.5</v>
      </c>
      <c r="E50" s="5">
        <f t="shared" ca="1" si="0"/>
        <v>1485</v>
      </c>
    </row>
    <row r="51" spans="1:5" x14ac:dyDescent="0.25">
      <c r="A51">
        <v>151500</v>
      </c>
      <c r="B51" t="s">
        <v>41</v>
      </c>
      <c r="C51">
        <f>'[1]VENTAS CONSOLIDADA CARACAS'!C51</f>
        <v>42</v>
      </c>
      <c r="D51" s="5">
        <f ca="1">C51/$E$2</f>
        <v>21</v>
      </c>
      <c r="E51" s="5">
        <f t="shared" ca="1" si="0"/>
        <v>462</v>
      </c>
    </row>
    <row r="52" spans="1:5" x14ac:dyDescent="0.25">
      <c r="A52">
        <v>151501</v>
      </c>
      <c r="B52" t="s">
        <v>33</v>
      </c>
      <c r="C52">
        <f>'[1]VENTAS CONSOLIDADA CARACAS'!C52</f>
        <v>34</v>
      </c>
      <c r="D52" s="5">
        <f ca="1">C52/$E$2</f>
        <v>17</v>
      </c>
      <c r="E52" s="5">
        <f t="shared" ca="1" si="0"/>
        <v>374</v>
      </c>
    </row>
    <row r="53" spans="1:5" x14ac:dyDescent="0.25">
      <c r="A53">
        <v>151502</v>
      </c>
      <c r="B53" t="s">
        <v>37</v>
      </c>
      <c r="C53">
        <f>'[1]VENTAS CONSOLIDADA CARACAS'!C53</f>
        <v>21</v>
      </c>
      <c r="D53" s="5">
        <f ca="1">C53/$E$2</f>
        <v>10.5</v>
      </c>
      <c r="E53" s="5">
        <f t="shared" ca="1" si="0"/>
        <v>231</v>
      </c>
    </row>
    <row r="54" spans="1:5" x14ac:dyDescent="0.25">
      <c r="A54">
        <v>151503</v>
      </c>
      <c r="B54" t="s">
        <v>34</v>
      </c>
      <c r="C54">
        <f>'[1]VENTAS CONSOLIDADA CARACAS'!C54</f>
        <v>21</v>
      </c>
      <c r="D54" s="5">
        <f ca="1">C54/$E$2</f>
        <v>10.5</v>
      </c>
      <c r="E54" s="5">
        <f t="shared" ca="1" si="0"/>
        <v>231</v>
      </c>
    </row>
    <row r="55" spans="1:5" x14ac:dyDescent="0.25">
      <c r="D55" s="5">
        <f ca="1">SUM(D8:D54)</f>
        <v>8043</v>
      </c>
      <c r="E55" s="5">
        <f ca="1">SUM(E8:E54)</f>
        <v>176946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F16" sqref="F16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46268</v>
      </c>
      <c r="E2" s="4">
        <f ca="1">'[1]VENTAS CONSOLIDADA LARA'!E2</f>
        <v>2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3</v>
      </c>
      <c r="D8" s="5">
        <f ca="1">C8/$E$2</f>
        <v>1.5</v>
      </c>
      <c r="E8" s="5">
        <f ca="1">D8*($E$2+$E$3)</f>
        <v>33</v>
      </c>
    </row>
    <row r="9" spans="1:5" x14ac:dyDescent="0.25">
      <c r="A9">
        <v>110151</v>
      </c>
      <c r="B9" t="s">
        <v>5</v>
      </c>
      <c r="C9">
        <f>'[1]VENTAS CONSOLIDADA LARA'!C9</f>
        <v>0</v>
      </c>
      <c r="D9" s="5">
        <f ca="1">C9/$E$2</f>
        <v>0</v>
      </c>
      <c r="E9" s="5">
        <f t="shared" ref="E9:E54" ca="1" si="0">D9*($E$2+$E$3)</f>
        <v>0</v>
      </c>
    </row>
    <row r="10" spans="1:5" x14ac:dyDescent="0.25">
      <c r="A10">
        <v>110230</v>
      </c>
      <c r="B10" t="s">
        <v>1</v>
      </c>
      <c r="C10">
        <f>'[1]VENTAS CONSOLIDADA LARA'!C10</f>
        <v>9</v>
      </c>
      <c r="D10" s="5">
        <f ca="1">C10/$E$2</f>
        <v>4.5</v>
      </c>
      <c r="E10" s="5">
        <f t="shared" ca="1" si="0"/>
        <v>99</v>
      </c>
    </row>
    <row r="11" spans="1:5" x14ac:dyDescent="0.25">
      <c r="A11">
        <v>110400</v>
      </c>
      <c r="B11" t="s">
        <v>13</v>
      </c>
      <c r="C11">
        <f>'[1]VENTAS CONSOLIDADA LARA'!C11</f>
        <v>0</v>
      </c>
      <c r="D11" s="5">
        <f ca="1">C11/$E$2</f>
        <v>0</v>
      </c>
      <c r="E11" s="5">
        <f t="shared" ca="1" si="0"/>
        <v>0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ca="1">C12/$E$2</f>
        <v>0</v>
      </c>
      <c r="E12" s="5">
        <f t="shared" ca="1" si="0"/>
        <v>0</v>
      </c>
    </row>
    <row r="13" spans="1:5" x14ac:dyDescent="0.25">
      <c r="A13">
        <v>120130</v>
      </c>
      <c r="B13" t="s">
        <v>15</v>
      </c>
      <c r="C13">
        <f>'[1]VENTAS CONSOLIDADA LARA'!C13</f>
        <v>0</v>
      </c>
      <c r="D13" s="5">
        <f ca="1">C13/$E$2</f>
        <v>0</v>
      </c>
      <c r="E13" s="5">
        <f t="shared" ca="1" si="0"/>
        <v>0</v>
      </c>
    </row>
    <row r="14" spans="1:5" x14ac:dyDescent="0.25">
      <c r="A14">
        <v>120131</v>
      </c>
      <c r="B14" t="s">
        <v>23</v>
      </c>
      <c r="C14">
        <f>'[1]VENTAS CONSOLIDADA LARA'!C14</f>
        <v>0</v>
      </c>
      <c r="D14" s="5">
        <f ca="1">C14/$E$2</f>
        <v>0</v>
      </c>
      <c r="E14" s="5">
        <f t="shared" ca="1" si="0"/>
        <v>0</v>
      </c>
    </row>
    <row r="15" spans="1:5" x14ac:dyDescent="0.25">
      <c r="A15">
        <v>120132</v>
      </c>
      <c r="B15" t="s">
        <v>21</v>
      </c>
      <c r="C15">
        <f>'[1]VENTAS CONSOLIDADA LARA'!C15</f>
        <v>0</v>
      </c>
      <c r="D15" s="5">
        <f ca="1">C15/$E$2</f>
        <v>0</v>
      </c>
      <c r="E15" s="5">
        <f t="shared" ca="1" si="0"/>
        <v>0</v>
      </c>
    </row>
    <row r="16" spans="1:5" x14ac:dyDescent="0.25">
      <c r="A16">
        <v>130150</v>
      </c>
      <c r="B16" t="s">
        <v>0</v>
      </c>
      <c r="C16">
        <f>'[1]VENTAS CONSOLIDADA LARA'!C16</f>
        <v>4</v>
      </c>
      <c r="D16" s="5">
        <f ca="1">C16/$E$2</f>
        <v>2</v>
      </c>
      <c r="E16" s="5">
        <f t="shared" ca="1" si="0"/>
        <v>44</v>
      </c>
    </row>
    <row r="17" spans="1:5" x14ac:dyDescent="0.25">
      <c r="A17">
        <v>130151</v>
      </c>
      <c r="B17" t="s">
        <v>4</v>
      </c>
      <c r="C17">
        <f>'[1]VENTAS CONSOLIDADA LARA'!C17</f>
        <v>0</v>
      </c>
      <c r="D17" s="5">
        <f ca="1">C17/$E$2</f>
        <v>0</v>
      </c>
      <c r="E17" s="5">
        <f t="shared" ca="1" si="0"/>
        <v>0</v>
      </c>
    </row>
    <row r="18" spans="1:5" x14ac:dyDescent="0.25">
      <c r="A18">
        <v>130152</v>
      </c>
      <c r="B18" t="s">
        <v>51</v>
      </c>
      <c r="C18">
        <f>'[1]VENTAS CONSOLIDADA LARA'!C18</f>
        <v>192</v>
      </c>
      <c r="D18" s="5">
        <f ca="1">C18/$E$2</f>
        <v>96</v>
      </c>
      <c r="E18" s="5">
        <f t="shared" ca="1" si="0"/>
        <v>2112</v>
      </c>
    </row>
    <row r="19" spans="1:5" x14ac:dyDescent="0.25">
      <c r="A19">
        <v>130153</v>
      </c>
      <c r="B19" t="s">
        <v>52</v>
      </c>
      <c r="C19">
        <f>'[1]VENTAS CONSOLIDADA LARA'!C19</f>
        <v>116</v>
      </c>
      <c r="D19" s="5">
        <f ca="1">C19/$E$2</f>
        <v>58</v>
      </c>
      <c r="E19" s="5">
        <f t="shared" ca="1" si="0"/>
        <v>1276</v>
      </c>
    </row>
    <row r="20" spans="1:5" x14ac:dyDescent="0.25">
      <c r="A20">
        <v>130154</v>
      </c>
      <c r="B20" t="s">
        <v>53</v>
      </c>
      <c r="C20">
        <f>'[1]VENTAS CONSOLIDADA LARA'!C20</f>
        <v>102</v>
      </c>
      <c r="D20" s="5">
        <f ca="1">C20/$E$2</f>
        <v>51</v>
      </c>
      <c r="E20" s="5">
        <f t="shared" ca="1" si="0"/>
        <v>1122</v>
      </c>
    </row>
    <row r="21" spans="1:5" x14ac:dyDescent="0.25">
      <c r="A21">
        <v>130155</v>
      </c>
      <c r="B21" t="s">
        <v>16</v>
      </c>
      <c r="C21">
        <f>'[1]VENTAS CONSOLIDADA LARA'!C21</f>
        <v>109</v>
      </c>
      <c r="D21" s="5">
        <f ca="1">C21/$E$2</f>
        <v>54.5</v>
      </c>
      <c r="E21" s="5">
        <f t="shared" ca="1" si="0"/>
        <v>1199</v>
      </c>
    </row>
    <row r="22" spans="1:5" x14ac:dyDescent="0.25">
      <c r="A22">
        <v>130157</v>
      </c>
      <c r="B22" t="s">
        <v>43</v>
      </c>
      <c r="C22">
        <f>'[1]VENTAS CONSOLIDADA LARA'!C22</f>
        <v>20</v>
      </c>
      <c r="D22" s="5">
        <f ca="1">C22/$E$2</f>
        <v>10</v>
      </c>
      <c r="E22" s="5">
        <f t="shared" ca="1" si="0"/>
        <v>220</v>
      </c>
    </row>
    <row r="23" spans="1:5" x14ac:dyDescent="0.25">
      <c r="A23">
        <v>130158</v>
      </c>
      <c r="B23" t="s">
        <v>44</v>
      </c>
      <c r="C23">
        <f>'[1]VENTAS CONSOLIDADA LARA'!C23</f>
        <v>0</v>
      </c>
      <c r="D23" s="5">
        <f ca="1">C23/$E$2</f>
        <v>0</v>
      </c>
      <c r="E23" s="5">
        <f t="shared" ca="1" si="0"/>
        <v>0</v>
      </c>
    </row>
    <row r="24" spans="1:5" x14ac:dyDescent="0.25">
      <c r="A24">
        <v>130159</v>
      </c>
      <c r="B24" t="s">
        <v>45</v>
      </c>
      <c r="C24">
        <f>'[1]VENTAS CONSOLIDADA LARA'!C24</f>
        <v>0</v>
      </c>
      <c r="D24" s="5">
        <f ca="1">C24/$E$2</f>
        <v>0</v>
      </c>
      <c r="E24" s="5">
        <f t="shared" ca="1" si="0"/>
        <v>0</v>
      </c>
    </row>
    <row r="25" spans="1:5" x14ac:dyDescent="0.25">
      <c r="A25">
        <v>130700</v>
      </c>
      <c r="B25" t="s">
        <v>3</v>
      </c>
      <c r="C25">
        <f>'[1]VENTAS CONSOLIDADA LARA'!C25</f>
        <v>3</v>
      </c>
      <c r="D25" s="5">
        <f ca="1">C25/$E$2</f>
        <v>1.5</v>
      </c>
      <c r="E25" s="5">
        <f t="shared" ca="1" si="0"/>
        <v>33</v>
      </c>
    </row>
    <row r="26" spans="1:5" x14ac:dyDescent="0.25">
      <c r="A26">
        <v>130701</v>
      </c>
      <c r="B26" t="s">
        <v>30</v>
      </c>
      <c r="C26">
        <f>'[1]VENTAS CONSOLIDADA LARA'!C26</f>
        <v>0</v>
      </c>
      <c r="D26" s="5">
        <f ca="1">C26/$E$2</f>
        <v>0</v>
      </c>
      <c r="E26" s="5">
        <f t="shared" ca="1" si="0"/>
        <v>0</v>
      </c>
    </row>
    <row r="27" spans="1:5" x14ac:dyDescent="0.25">
      <c r="A27">
        <v>130702</v>
      </c>
      <c r="B27" t="s">
        <v>12</v>
      </c>
      <c r="C27">
        <f>'[1]VENTAS CONSOLIDADA LARA'!C27</f>
        <v>79</v>
      </c>
      <c r="D27" s="5">
        <f ca="1">C27/$E$2</f>
        <v>39.5</v>
      </c>
      <c r="E27" s="5">
        <f t="shared" ca="1" si="0"/>
        <v>869</v>
      </c>
    </row>
    <row r="28" spans="1:5" x14ac:dyDescent="0.25">
      <c r="A28">
        <v>130703</v>
      </c>
      <c r="B28" t="s">
        <v>17</v>
      </c>
      <c r="C28">
        <f>'[1]VENTAS CONSOLIDADA LARA'!C28</f>
        <v>79</v>
      </c>
      <c r="D28" s="5">
        <f ca="1">C28/$E$2</f>
        <v>39.5</v>
      </c>
      <c r="E28" s="5">
        <f t="shared" ca="1" si="0"/>
        <v>869</v>
      </c>
    </row>
    <row r="29" spans="1:5" x14ac:dyDescent="0.25">
      <c r="A29">
        <v>130707</v>
      </c>
      <c r="B29" t="s">
        <v>42</v>
      </c>
      <c r="C29">
        <f>'[1]VENTAS CONSOLIDADA LARA'!C29</f>
        <v>20</v>
      </c>
      <c r="D29" s="5">
        <f ca="1">C29/$E$2</f>
        <v>10</v>
      </c>
      <c r="E29" s="5">
        <f t="shared" ca="1" si="0"/>
        <v>220</v>
      </c>
    </row>
    <row r="30" spans="1:5" x14ac:dyDescent="0.25">
      <c r="A30">
        <v>131150</v>
      </c>
      <c r="B30" t="s">
        <v>22</v>
      </c>
      <c r="C30">
        <f>'[1]VENTAS CONSOLIDADA LARA'!C30</f>
        <v>6</v>
      </c>
      <c r="D30" s="5">
        <f ca="1">C30/$E$2</f>
        <v>3</v>
      </c>
      <c r="E30" s="5">
        <f t="shared" ca="1" si="0"/>
        <v>66</v>
      </c>
    </row>
    <row r="31" spans="1:5" x14ac:dyDescent="0.25">
      <c r="A31">
        <v>131151</v>
      </c>
      <c r="B31" t="s">
        <v>19</v>
      </c>
      <c r="C31">
        <f>'[1]VENTAS CONSOLIDADA LARA'!C31</f>
        <v>6</v>
      </c>
      <c r="D31" s="5">
        <f ca="1">C31/$E$2</f>
        <v>3</v>
      </c>
      <c r="E31" s="5">
        <f t="shared" ca="1" si="0"/>
        <v>66</v>
      </c>
    </row>
    <row r="32" spans="1:5" x14ac:dyDescent="0.25">
      <c r="A32">
        <v>131152</v>
      </c>
      <c r="B32" t="s">
        <v>32</v>
      </c>
      <c r="C32">
        <f>'[1]VENTAS CONSOLIDADA LARA'!C32</f>
        <v>15</v>
      </c>
      <c r="D32" s="5">
        <f ca="1">C32/$E$2</f>
        <v>7.5</v>
      </c>
      <c r="E32" s="5">
        <f t="shared" ca="1" si="0"/>
        <v>165</v>
      </c>
    </row>
    <row r="33" spans="1:5" x14ac:dyDescent="0.25">
      <c r="A33">
        <v>131153</v>
      </c>
      <c r="B33" t="s">
        <v>11</v>
      </c>
      <c r="C33">
        <f>'[1]VENTAS CONSOLIDADA LARA'!C33</f>
        <v>10</v>
      </c>
      <c r="D33" s="5">
        <f ca="1">C33/$E$2</f>
        <v>5</v>
      </c>
      <c r="E33" s="5">
        <f t="shared" ca="1" si="0"/>
        <v>110</v>
      </c>
    </row>
    <row r="34" spans="1:5" x14ac:dyDescent="0.25">
      <c r="A34">
        <v>131154</v>
      </c>
      <c r="B34" t="s">
        <v>48</v>
      </c>
      <c r="C34">
        <f>'[1]VENTAS CONSOLIDADA LARA'!C34</f>
        <v>9</v>
      </c>
      <c r="D34" s="5">
        <f ca="1">C34/$E$2</f>
        <v>4.5</v>
      </c>
      <c r="E34" s="5">
        <f t="shared" ca="1" si="0"/>
        <v>99</v>
      </c>
    </row>
    <row r="35" spans="1:5" x14ac:dyDescent="0.25">
      <c r="A35">
        <v>131155</v>
      </c>
      <c r="B35" t="s">
        <v>57</v>
      </c>
      <c r="C35">
        <f>'[1]VENTAS CONSOLIDADA LARA'!C35</f>
        <v>9</v>
      </c>
      <c r="D35" s="5">
        <f ca="1">C35/$E$2</f>
        <v>4.5</v>
      </c>
      <c r="E35" s="5">
        <f t="shared" ca="1" si="0"/>
        <v>99</v>
      </c>
    </row>
    <row r="36" spans="1:5" x14ac:dyDescent="0.25">
      <c r="A36">
        <v>131700</v>
      </c>
      <c r="B36" t="s">
        <v>20</v>
      </c>
      <c r="C36">
        <f>'[1]VENTAS CONSOLIDADA LARA'!C36</f>
        <v>0</v>
      </c>
      <c r="D36" s="5">
        <f ca="1">C36/$E$2</f>
        <v>0</v>
      </c>
      <c r="E36" s="5">
        <f t="shared" ca="1" si="0"/>
        <v>0</v>
      </c>
    </row>
    <row r="37" spans="1:5" x14ac:dyDescent="0.25">
      <c r="A37">
        <v>131701</v>
      </c>
      <c r="B37" t="s">
        <v>24</v>
      </c>
      <c r="C37">
        <f>'[1]VENTAS CONSOLIDADA LARA'!C37</f>
        <v>0</v>
      </c>
      <c r="D37" s="5">
        <f ca="1">C37/$E$2</f>
        <v>0</v>
      </c>
      <c r="E37" s="5">
        <f t="shared" ca="1" si="0"/>
        <v>0</v>
      </c>
    </row>
    <row r="38" spans="1:5" x14ac:dyDescent="0.25">
      <c r="A38">
        <v>132150</v>
      </c>
      <c r="B38" t="s">
        <v>25</v>
      </c>
      <c r="C38">
        <f>'[1]VENTAS CONSOLIDADA LARA'!C38</f>
        <v>0</v>
      </c>
      <c r="D38" s="5">
        <f ca="1">C38/$E$2</f>
        <v>0</v>
      </c>
      <c r="E38" s="5">
        <f t="shared" ca="1" si="0"/>
        <v>0</v>
      </c>
    </row>
    <row r="39" spans="1:5" x14ac:dyDescent="0.25">
      <c r="A39">
        <v>132151</v>
      </c>
      <c r="B39" t="s">
        <v>26</v>
      </c>
      <c r="C39">
        <f>'[1]VENTAS CONSOLIDADA LARA'!C39</f>
        <v>19</v>
      </c>
      <c r="D39" s="5">
        <f ca="1">C39/$E$2</f>
        <v>9.5</v>
      </c>
      <c r="E39" s="5">
        <f t="shared" ca="1" si="0"/>
        <v>209</v>
      </c>
    </row>
    <row r="40" spans="1:5" x14ac:dyDescent="0.25">
      <c r="A40">
        <v>132152</v>
      </c>
      <c r="B40" t="s">
        <v>27</v>
      </c>
      <c r="C40">
        <f>'[1]VENTAS CONSOLIDADA LARA'!C40</f>
        <v>33</v>
      </c>
      <c r="D40" s="5">
        <f ca="1">C40/$E$2</f>
        <v>16.5</v>
      </c>
      <c r="E40" s="5">
        <f t="shared" ca="1" si="0"/>
        <v>363</v>
      </c>
    </row>
    <row r="41" spans="1:5" x14ac:dyDescent="0.25">
      <c r="A41">
        <v>132153</v>
      </c>
      <c r="B41" t="s">
        <v>40</v>
      </c>
      <c r="C41">
        <f>'[1]VENTAS CONSOLIDADA LARA'!C41</f>
        <v>18</v>
      </c>
      <c r="D41" s="5">
        <f ca="1">C41/$E$2</f>
        <v>9</v>
      </c>
      <c r="E41" s="5">
        <f t="shared" ca="1" si="0"/>
        <v>198</v>
      </c>
    </row>
    <row r="42" spans="1:5" x14ac:dyDescent="0.25">
      <c r="A42">
        <v>134000</v>
      </c>
      <c r="B42" t="s">
        <v>35</v>
      </c>
      <c r="C42">
        <f>'[1]VENTAS CONSOLIDADA LARA'!C42</f>
        <v>0</v>
      </c>
      <c r="D42" s="5">
        <f ca="1">C42/$E$2</f>
        <v>0</v>
      </c>
      <c r="E42" s="5">
        <f t="shared" ca="1" si="0"/>
        <v>0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ca="1">C43/$E$2</f>
        <v>0</v>
      </c>
      <c r="E43" s="5">
        <f t="shared" ca="1" si="0"/>
        <v>0</v>
      </c>
    </row>
    <row r="44" spans="1:5" x14ac:dyDescent="0.25">
      <c r="A44">
        <v>140230</v>
      </c>
      <c r="B44" t="s">
        <v>18</v>
      </c>
      <c r="C44">
        <f>'[1]VENTAS CONSOLIDADA LARA'!C44</f>
        <v>7</v>
      </c>
      <c r="D44" s="5">
        <f ca="1">C44/$E$2</f>
        <v>3.5</v>
      </c>
      <c r="E44" s="5">
        <f t="shared" ca="1" si="0"/>
        <v>77</v>
      </c>
    </row>
    <row r="45" spans="1:5" x14ac:dyDescent="0.25">
      <c r="A45">
        <v>140231</v>
      </c>
      <c r="B45" t="s">
        <v>10</v>
      </c>
      <c r="C45">
        <f>'[1]VENTAS CONSOLIDADA LARA'!C45</f>
        <v>12</v>
      </c>
      <c r="D45" s="5">
        <f ca="1">C45/$E$2</f>
        <v>6</v>
      </c>
      <c r="E45" s="5">
        <f t="shared" ca="1" si="0"/>
        <v>132</v>
      </c>
    </row>
    <row r="46" spans="1:5" x14ac:dyDescent="0.25">
      <c r="A46">
        <v>140232</v>
      </c>
      <c r="B46" t="s">
        <v>9</v>
      </c>
      <c r="C46">
        <f>'[1]VENTAS CONSOLIDADA LARA'!C46</f>
        <v>6</v>
      </c>
      <c r="D46" s="5">
        <f ca="1">C46/$E$2</f>
        <v>3</v>
      </c>
      <c r="E46" s="5">
        <f t="shared" ca="1" si="0"/>
        <v>66</v>
      </c>
    </row>
    <row r="47" spans="1:5" x14ac:dyDescent="0.25">
      <c r="A47">
        <v>150360</v>
      </c>
      <c r="B47" t="s">
        <v>28</v>
      </c>
      <c r="C47">
        <f>'[1]VENTAS CONSOLIDADA LARA'!C47</f>
        <v>12</v>
      </c>
      <c r="D47" s="5">
        <f ca="1">C47/$E$2</f>
        <v>6</v>
      </c>
      <c r="E47" s="5">
        <f t="shared" ca="1" si="0"/>
        <v>132</v>
      </c>
    </row>
    <row r="48" spans="1:5" x14ac:dyDescent="0.25">
      <c r="A48">
        <v>150361</v>
      </c>
      <c r="B48" t="s">
        <v>29</v>
      </c>
      <c r="C48">
        <f>'[1]VENTAS CONSOLIDADA LARA'!C48</f>
        <v>24</v>
      </c>
      <c r="D48" s="5">
        <f ca="1">C48/$E$2</f>
        <v>12</v>
      </c>
      <c r="E48" s="5">
        <f t="shared" ca="1" si="0"/>
        <v>264</v>
      </c>
    </row>
    <row r="49" spans="1:5" x14ac:dyDescent="0.25">
      <c r="A49">
        <v>150362</v>
      </c>
      <c r="B49" t="s">
        <v>36</v>
      </c>
      <c r="C49">
        <f>'[1]VENTAS CONSOLIDADA LARA'!C49</f>
        <v>12</v>
      </c>
      <c r="D49" s="5">
        <f ca="1">C49/$E$2</f>
        <v>6</v>
      </c>
      <c r="E49" s="5">
        <f t="shared" ca="1" si="0"/>
        <v>132</v>
      </c>
    </row>
    <row r="50" spans="1:5" x14ac:dyDescent="0.25">
      <c r="A50">
        <v>150363</v>
      </c>
      <c r="B50" t="s">
        <v>31</v>
      </c>
      <c r="C50">
        <f>'[1]VENTAS CONSOLIDADA LARA'!C50</f>
        <v>0</v>
      </c>
      <c r="D50" s="5">
        <f ca="1">C50/$E$2</f>
        <v>0</v>
      </c>
      <c r="E50" s="5">
        <f t="shared" ca="1" si="0"/>
        <v>0</v>
      </c>
    </row>
    <row r="51" spans="1:5" x14ac:dyDescent="0.25">
      <c r="A51">
        <v>151500</v>
      </c>
      <c r="B51" t="s">
        <v>41</v>
      </c>
      <c r="C51">
        <f>'[1]VENTAS CONSOLIDADA LARA'!C51</f>
        <v>6</v>
      </c>
      <c r="D51" s="5">
        <f ca="1">C51/$E$2</f>
        <v>3</v>
      </c>
      <c r="E51" s="5">
        <f t="shared" ca="1" si="0"/>
        <v>66</v>
      </c>
    </row>
    <row r="52" spans="1:5" x14ac:dyDescent="0.25">
      <c r="A52">
        <v>151501</v>
      </c>
      <c r="B52" t="s">
        <v>33</v>
      </c>
      <c r="C52">
        <f>'[1]VENTAS CONSOLIDADA LARA'!C52</f>
        <v>0</v>
      </c>
      <c r="D52" s="5">
        <f ca="1">C52/$E$2</f>
        <v>0</v>
      </c>
      <c r="E52" s="5">
        <f t="shared" ca="1" si="0"/>
        <v>0</v>
      </c>
    </row>
    <row r="53" spans="1:5" x14ac:dyDescent="0.25">
      <c r="A53">
        <v>151502</v>
      </c>
      <c r="B53" t="s">
        <v>37</v>
      </c>
      <c r="C53">
        <f>'[1]VENTAS CONSOLIDADA LARA'!C53</f>
        <v>6</v>
      </c>
      <c r="D53" s="5">
        <f ca="1">C53/$E$2</f>
        <v>3</v>
      </c>
      <c r="E53" s="5">
        <f t="shared" ca="1" si="0"/>
        <v>66</v>
      </c>
    </row>
    <row r="54" spans="1:5" x14ac:dyDescent="0.25">
      <c r="A54">
        <v>151503</v>
      </c>
      <c r="B54" t="s">
        <v>34</v>
      </c>
      <c r="C54">
        <f>'[1]VENTAS CONSOLIDADA LARA'!C54</f>
        <v>0</v>
      </c>
      <c r="D54" s="5">
        <f ca="1">C54/$E$2</f>
        <v>0</v>
      </c>
      <c r="E54" s="5">
        <f t="shared" ca="1" si="0"/>
        <v>0</v>
      </c>
    </row>
    <row r="55" spans="1:5" x14ac:dyDescent="0.25">
      <c r="D55" s="5">
        <f ca="1">SUM(D8:D54)</f>
        <v>473</v>
      </c>
      <c r="E55" s="5">
        <f ca="1">SUM(E8:E54)</f>
        <v>10406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46268</v>
      </c>
      <c r="E2" s="4">
        <f ca="1">'[1]VENTAS CONSOLIDADA ANZOATEGUI'!E2</f>
        <v>2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89</v>
      </c>
      <c r="D8" s="5">
        <f ca="1">C8/$E$2</f>
        <v>44.5</v>
      </c>
      <c r="E8" s="5">
        <f ca="1">D8*($E$2+$E$3)</f>
        <v>979</v>
      </c>
    </row>
    <row r="9" spans="1:5" x14ac:dyDescent="0.25">
      <c r="A9">
        <v>110151</v>
      </c>
      <c r="B9" t="s">
        <v>5</v>
      </c>
      <c r="C9">
        <f>'[1]VENTAS CONSOLIDADA ANZOATEGUI'!C9</f>
        <v>24</v>
      </c>
      <c r="D9" s="5">
        <f ca="1">C9/$E$2</f>
        <v>12</v>
      </c>
      <c r="E9" s="5">
        <f ca="1">D9*($E$2+$E$3)</f>
        <v>264</v>
      </c>
    </row>
    <row r="10" spans="1:5" x14ac:dyDescent="0.25">
      <c r="A10">
        <v>110230</v>
      </c>
      <c r="B10" t="s">
        <v>1</v>
      </c>
      <c r="C10">
        <f>'[1]VENTAS CONSOLIDADA ANZOATEGUI'!C10</f>
        <v>48</v>
      </c>
      <c r="D10" s="5">
        <f ca="1">C10/$E$2</f>
        <v>24</v>
      </c>
      <c r="E10" s="5">
        <f ca="1">D10*($E$2+$E$3)</f>
        <v>528</v>
      </c>
    </row>
    <row r="11" spans="1:5" x14ac:dyDescent="0.25">
      <c r="A11">
        <v>110400</v>
      </c>
      <c r="B11" t="s">
        <v>13</v>
      </c>
      <c r="C11">
        <f>'[1]VENTAS CONSOLIDADA ANZOATEGUI'!C11</f>
        <v>4</v>
      </c>
      <c r="D11" s="5">
        <f ca="1">C11/$E$2</f>
        <v>2</v>
      </c>
      <c r="E11" s="5">
        <f ca="1">D11*($E$2+$E$3)</f>
        <v>44</v>
      </c>
    </row>
    <row r="12" spans="1:5" x14ac:dyDescent="0.25">
      <c r="A12">
        <v>111000</v>
      </c>
      <c r="B12" t="s">
        <v>14</v>
      </c>
      <c r="C12">
        <f>'[1]VENTAS CONSOLIDADA ANZOATEGUI'!C12</f>
        <v>5</v>
      </c>
      <c r="D12" s="5">
        <f ca="1">C12/$E$2</f>
        <v>2.5</v>
      </c>
      <c r="E12" s="5">
        <f ca="1">D12*($E$2+$E$3)</f>
        <v>55</v>
      </c>
    </row>
    <row r="13" spans="1:5" x14ac:dyDescent="0.25">
      <c r="A13">
        <v>120130</v>
      </c>
      <c r="B13" t="s">
        <v>15</v>
      </c>
      <c r="C13">
        <f>'[1]VENTAS CONSOLIDADA ANZOATEGUI'!C13</f>
        <v>12</v>
      </c>
      <c r="D13" s="5">
        <f ca="1">C13/$E$2</f>
        <v>6</v>
      </c>
      <c r="E13" s="5">
        <f ca="1">D13*($E$2+$E$3)</f>
        <v>132</v>
      </c>
    </row>
    <row r="14" spans="1:5" x14ac:dyDescent="0.25">
      <c r="A14">
        <v>120131</v>
      </c>
      <c r="B14" t="s">
        <v>23</v>
      </c>
      <c r="C14">
        <f>'[1]VENTAS CONSOLIDADA ANZOATEGUI'!C14</f>
        <v>2</v>
      </c>
      <c r="D14" s="5">
        <f ca="1">C14/$E$2</f>
        <v>1</v>
      </c>
      <c r="E14" s="5">
        <f ca="1">D14*($E$2+$E$3)</f>
        <v>22</v>
      </c>
    </row>
    <row r="15" spans="1:5" x14ac:dyDescent="0.25">
      <c r="A15">
        <v>120132</v>
      </c>
      <c r="B15" t="s">
        <v>21</v>
      </c>
      <c r="C15">
        <f>'[1]VENTAS CONSOLIDADA ANZOATEGUI'!C15</f>
        <v>20</v>
      </c>
      <c r="D15" s="5">
        <f ca="1">C15/$E$2</f>
        <v>10</v>
      </c>
      <c r="E15" s="5">
        <f ca="1">D15*($E$2+$E$3)</f>
        <v>220</v>
      </c>
    </row>
    <row r="16" spans="1:5" x14ac:dyDescent="0.25">
      <c r="A16">
        <v>130150</v>
      </c>
      <c r="B16" t="s">
        <v>0</v>
      </c>
      <c r="C16">
        <f>'[1]VENTAS CONSOLIDADA ANZOATEGUI'!C16</f>
        <v>55</v>
      </c>
      <c r="D16" s="5">
        <f ca="1">C16/$E$2</f>
        <v>27.5</v>
      </c>
      <c r="E16" s="5">
        <f ca="1">D16*($E$2+$E$3)</f>
        <v>605</v>
      </c>
    </row>
    <row r="17" spans="1:5" x14ac:dyDescent="0.25">
      <c r="A17">
        <v>130151</v>
      </c>
      <c r="B17" t="s">
        <v>4</v>
      </c>
      <c r="C17">
        <f>'[1]VENTAS CONSOLIDADA ANZOATEGUI'!C17</f>
        <v>15</v>
      </c>
      <c r="D17" s="5">
        <f ca="1">C17/$E$2</f>
        <v>7.5</v>
      </c>
      <c r="E17" s="5">
        <f ca="1">D17*($E$2+$E$3)</f>
        <v>165</v>
      </c>
    </row>
    <row r="18" spans="1:5" x14ac:dyDescent="0.25">
      <c r="A18">
        <v>130152</v>
      </c>
      <c r="B18" t="s">
        <v>51</v>
      </c>
      <c r="C18">
        <f>'[1]VENTAS CONSOLIDADA ANZOATEGUI'!C18</f>
        <v>240</v>
      </c>
      <c r="D18" s="5">
        <f ca="1">C18/$E$2</f>
        <v>120</v>
      </c>
      <c r="E18" s="5">
        <f ca="1">D18*($E$2+$E$3)</f>
        <v>2640</v>
      </c>
    </row>
    <row r="19" spans="1:5" x14ac:dyDescent="0.25">
      <c r="A19">
        <v>130153</v>
      </c>
      <c r="B19" t="s">
        <v>52</v>
      </c>
      <c r="C19">
        <f>'[1]VENTAS CONSOLIDADA ANZOATEGUI'!C19</f>
        <v>147</v>
      </c>
      <c r="D19" s="5">
        <f ca="1">C19/$E$2</f>
        <v>73.5</v>
      </c>
      <c r="E19" s="5">
        <f ca="1">D19*($E$2+$E$3)</f>
        <v>1617</v>
      </c>
    </row>
    <row r="20" spans="1:5" x14ac:dyDescent="0.25">
      <c r="A20">
        <v>130154</v>
      </c>
      <c r="B20" t="s">
        <v>53</v>
      </c>
      <c r="C20">
        <f>'[1]VENTAS CONSOLIDADA ANZOATEGUI'!C20</f>
        <v>176</v>
      </c>
      <c r="D20" s="5">
        <f ca="1">C20/$E$2</f>
        <v>88</v>
      </c>
      <c r="E20" s="5">
        <f ca="1">D20*($E$2+$E$3)</f>
        <v>1936</v>
      </c>
    </row>
    <row r="21" spans="1:5" x14ac:dyDescent="0.25">
      <c r="A21">
        <v>130155</v>
      </c>
      <c r="B21" t="s">
        <v>16</v>
      </c>
      <c r="C21">
        <f>'[1]VENTAS CONSOLIDADA ANZOATEGUI'!C21</f>
        <v>179</v>
      </c>
      <c r="D21" s="5">
        <f ca="1">C21/$E$2</f>
        <v>89.5</v>
      </c>
      <c r="E21" s="5">
        <f ca="1">D21*($E$2+$E$3)</f>
        <v>1969</v>
      </c>
    </row>
    <row r="22" spans="1:5" x14ac:dyDescent="0.25">
      <c r="A22">
        <v>130157</v>
      </c>
      <c r="B22" t="s">
        <v>43</v>
      </c>
      <c r="C22">
        <f>'[1]VENTAS CONSOLIDADA ANZOATEGUI'!C22</f>
        <v>105</v>
      </c>
      <c r="D22" s="5">
        <f ca="1">C22/$E$2</f>
        <v>52.5</v>
      </c>
      <c r="E22" s="5">
        <f ca="1">D22*($E$2+$E$3)</f>
        <v>1155</v>
      </c>
    </row>
    <row r="23" spans="1:5" x14ac:dyDescent="0.25">
      <c r="A23">
        <v>130158</v>
      </c>
      <c r="B23" t="s">
        <v>44</v>
      </c>
      <c r="C23">
        <f>'[1]VENTAS CONSOLIDADA ANZOATEGUI'!C23</f>
        <v>107</v>
      </c>
      <c r="D23" s="5">
        <f ca="1">C23/$E$2</f>
        <v>53.5</v>
      </c>
      <c r="E23" s="5">
        <f ca="1">D23*($E$2+$E$3)</f>
        <v>1177</v>
      </c>
    </row>
    <row r="24" spans="1:5" x14ac:dyDescent="0.25">
      <c r="A24">
        <v>130159</v>
      </c>
      <c r="B24" t="s">
        <v>45</v>
      </c>
      <c r="C24">
        <f>'[1]VENTAS CONSOLIDADA ANZOATEGUI'!C24</f>
        <v>94</v>
      </c>
      <c r="D24" s="5">
        <f ca="1">C24/$E$2</f>
        <v>47</v>
      </c>
      <c r="E24" s="5">
        <f ca="1">D24*($E$2+$E$3)</f>
        <v>1034</v>
      </c>
    </row>
    <row r="25" spans="1:5" x14ac:dyDescent="0.25">
      <c r="A25">
        <v>130700</v>
      </c>
      <c r="B25" t="s">
        <v>3</v>
      </c>
      <c r="C25">
        <f>'[1]VENTAS CONSOLIDADA ANZOATEGUI'!C25</f>
        <v>15</v>
      </c>
      <c r="D25" s="5">
        <f ca="1">C25/$E$2</f>
        <v>7.5</v>
      </c>
      <c r="E25" s="5">
        <f ca="1">D25*($E$2+$E$3)</f>
        <v>165</v>
      </c>
    </row>
    <row r="26" spans="1:5" x14ac:dyDescent="0.25">
      <c r="A26">
        <v>130701</v>
      </c>
      <c r="B26" t="s">
        <v>30</v>
      </c>
      <c r="C26">
        <f>'[1]VENTAS CONSOLIDADA ANZOATEGUI'!C26</f>
        <v>3</v>
      </c>
      <c r="D26" s="5">
        <f ca="1">C26/$E$2</f>
        <v>1.5</v>
      </c>
      <c r="E26" s="5">
        <f ca="1">D26*($E$2+$E$3)</f>
        <v>33</v>
      </c>
    </row>
    <row r="27" spans="1:5" x14ac:dyDescent="0.25">
      <c r="A27">
        <v>130702</v>
      </c>
      <c r="B27" t="s">
        <v>12</v>
      </c>
      <c r="C27">
        <f>'[1]VENTAS CONSOLIDADA ANZOATEGUI'!C27</f>
        <v>49</v>
      </c>
      <c r="D27" s="5">
        <f ca="1">C27/$E$2</f>
        <v>24.5</v>
      </c>
      <c r="E27" s="5">
        <f ca="1">D27*($E$2+$E$3)</f>
        <v>539</v>
      </c>
    </row>
    <row r="28" spans="1:5" x14ac:dyDescent="0.25">
      <c r="A28">
        <v>130703</v>
      </c>
      <c r="B28" t="s">
        <v>17</v>
      </c>
      <c r="C28">
        <f>'[1]VENTAS CONSOLIDADA ANZOATEGUI'!C28</f>
        <v>56</v>
      </c>
      <c r="D28" s="5">
        <f ca="1">C28/$E$2</f>
        <v>28</v>
      </c>
      <c r="E28" s="5">
        <f ca="1">D28*($E$2+$E$3)</f>
        <v>616</v>
      </c>
    </row>
    <row r="29" spans="1:5" x14ac:dyDescent="0.25">
      <c r="A29">
        <v>130707</v>
      </c>
      <c r="B29" t="s">
        <v>42</v>
      </c>
      <c r="C29">
        <f>'[1]VENTAS CONSOLIDADA ANZOATEGUI'!C29</f>
        <v>0</v>
      </c>
      <c r="D29" s="5">
        <f ca="1">C29/$E$2</f>
        <v>0</v>
      </c>
      <c r="E29" s="5">
        <f ca="1">D29*($E$2+$E$3)</f>
        <v>0</v>
      </c>
    </row>
    <row r="30" spans="1:5" x14ac:dyDescent="0.25">
      <c r="A30">
        <v>131150</v>
      </c>
      <c r="B30" t="s">
        <v>22</v>
      </c>
      <c r="C30">
        <f>'[1]VENTAS CONSOLIDADA ANZOATEGUI'!C30</f>
        <v>64</v>
      </c>
      <c r="D30" s="5">
        <f ca="1">C30/$E$2</f>
        <v>32</v>
      </c>
      <c r="E30" s="5">
        <f ca="1">D30*($E$2+$E$3)</f>
        <v>704</v>
      </c>
    </row>
    <row r="31" spans="1:5" x14ac:dyDescent="0.25">
      <c r="A31">
        <v>131151</v>
      </c>
      <c r="B31" t="s">
        <v>19</v>
      </c>
      <c r="C31">
        <f>'[1]VENTAS CONSOLIDADA ANZOATEGUI'!C31</f>
        <v>134</v>
      </c>
      <c r="D31" s="5">
        <f ca="1">C31/$E$2</f>
        <v>67</v>
      </c>
      <c r="E31" s="5">
        <f ca="1">D31*($E$2+$E$3)</f>
        <v>1474</v>
      </c>
    </row>
    <row r="32" spans="1:5" x14ac:dyDescent="0.25">
      <c r="A32">
        <v>131152</v>
      </c>
      <c r="B32" t="s">
        <v>32</v>
      </c>
      <c r="C32">
        <f>'[1]VENTAS CONSOLIDADA ANZOATEGUI'!C32</f>
        <v>164</v>
      </c>
      <c r="D32" s="5">
        <f ca="1">C32/$E$2</f>
        <v>82</v>
      </c>
      <c r="E32" s="5">
        <f ca="1">D32*($E$2+$E$3)</f>
        <v>1804</v>
      </c>
    </row>
    <row r="33" spans="1:5" x14ac:dyDescent="0.25">
      <c r="A33">
        <v>131153</v>
      </c>
      <c r="B33" t="s">
        <v>11</v>
      </c>
      <c r="C33">
        <f>'[1]VENTAS CONSOLIDADA ANZOATEGUI'!C33</f>
        <v>34</v>
      </c>
      <c r="D33" s="5">
        <f ca="1">C33/$E$2</f>
        <v>17</v>
      </c>
      <c r="E33" s="5">
        <f ca="1">D33*($E$2+$E$3)</f>
        <v>374</v>
      </c>
    </row>
    <row r="34" spans="1:5" x14ac:dyDescent="0.25">
      <c r="A34">
        <v>131154</v>
      </c>
      <c r="B34" t="s">
        <v>48</v>
      </c>
      <c r="C34">
        <f>'[1]VENTAS CONSOLIDADA ANZOATEGUI'!C34</f>
        <v>8</v>
      </c>
      <c r="D34" s="5">
        <f ca="1">C34/$E$2</f>
        <v>4</v>
      </c>
      <c r="E34" s="5">
        <f ca="1">D34*($E$2+$E$3)</f>
        <v>88</v>
      </c>
    </row>
    <row r="35" spans="1:5" x14ac:dyDescent="0.25">
      <c r="A35">
        <v>131155</v>
      </c>
      <c r="B35" t="s">
        <v>57</v>
      </c>
      <c r="C35">
        <f>'[1]VENTAS CONSOLIDADA ANZOATEGUI'!C35</f>
        <v>8</v>
      </c>
      <c r="D35" s="5">
        <f ca="1">C35/$E$2</f>
        <v>4</v>
      </c>
      <c r="E35" s="5">
        <f ca="1">D35*($E$2+$E$3)</f>
        <v>88</v>
      </c>
    </row>
    <row r="36" spans="1:5" x14ac:dyDescent="0.25">
      <c r="A36">
        <v>131700</v>
      </c>
      <c r="B36" t="s">
        <v>20</v>
      </c>
      <c r="C36">
        <f>'[1]VENTAS CONSOLIDADA ANZOATEGUI'!C36</f>
        <v>3</v>
      </c>
      <c r="D36" s="5">
        <f ca="1">C36/$E$2</f>
        <v>1.5</v>
      </c>
      <c r="E36" s="5">
        <f ca="1">D36*($E$2+$E$3)</f>
        <v>33</v>
      </c>
    </row>
    <row r="37" spans="1:5" x14ac:dyDescent="0.25">
      <c r="A37">
        <v>131701</v>
      </c>
      <c r="B37" t="s">
        <v>24</v>
      </c>
      <c r="C37">
        <f>'[1]VENTAS CONSOLIDADA ANZOATEGUI'!C37</f>
        <v>21</v>
      </c>
      <c r="D37" s="5">
        <f ca="1">C37/$E$2</f>
        <v>10.5</v>
      </c>
      <c r="E37" s="5">
        <f ca="1">D37*($E$2+$E$3)</f>
        <v>231</v>
      </c>
    </row>
    <row r="38" spans="1:5" x14ac:dyDescent="0.25">
      <c r="A38">
        <v>132150</v>
      </c>
      <c r="B38" t="s">
        <v>25</v>
      </c>
      <c r="C38">
        <f>'[1]VENTAS CONSOLIDADA ANZOATEGUI'!C38</f>
        <v>69</v>
      </c>
      <c r="D38" s="5">
        <f ca="1">C38/$E$2</f>
        <v>34.5</v>
      </c>
      <c r="E38" s="5">
        <f ca="1">D38*($E$2+$E$3)</f>
        <v>759</v>
      </c>
    </row>
    <row r="39" spans="1:5" x14ac:dyDescent="0.25">
      <c r="A39">
        <v>132151</v>
      </c>
      <c r="B39" t="s">
        <v>26</v>
      </c>
      <c r="C39">
        <f>'[1]VENTAS CONSOLIDADA ANZOATEGUI'!C39</f>
        <v>73</v>
      </c>
      <c r="D39" s="5">
        <f ca="1">C39/$E$2</f>
        <v>36.5</v>
      </c>
      <c r="E39" s="5">
        <f ca="1">D39*($E$2+$E$3)</f>
        <v>803</v>
      </c>
    </row>
    <row r="40" spans="1:5" x14ac:dyDescent="0.25">
      <c r="A40">
        <v>132152</v>
      </c>
      <c r="B40" t="s">
        <v>27</v>
      </c>
      <c r="C40">
        <f>'[1]VENTAS CONSOLIDADA ANZOATEGUI'!C40</f>
        <v>41</v>
      </c>
      <c r="D40" s="5">
        <f ca="1">C40/$E$2</f>
        <v>20.5</v>
      </c>
      <c r="E40" s="5">
        <f ca="1">D40*($E$2+$E$3)</f>
        <v>451</v>
      </c>
    </row>
    <row r="41" spans="1:5" x14ac:dyDescent="0.25">
      <c r="A41">
        <v>132153</v>
      </c>
      <c r="B41" t="s">
        <v>40</v>
      </c>
      <c r="C41">
        <f>'[1]VENTAS CONSOLIDADA ANZOATEGUI'!C41</f>
        <v>10</v>
      </c>
      <c r="D41" s="5">
        <f ca="1">C41/$E$2</f>
        <v>5</v>
      </c>
      <c r="E41" s="5">
        <f ca="1">D41*($E$2+$E$3)</f>
        <v>110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ca="1">C42/$E$2</f>
        <v>0</v>
      </c>
      <c r="E42" s="5">
        <f ca="1">D42*($E$2+$E$3)</f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ca="1">C43/$E$2</f>
        <v>0</v>
      </c>
      <c r="E43" s="5">
        <f ca="1">D43*($E$2+$E$3)</f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36</v>
      </c>
      <c r="D44" s="5">
        <f ca="1">C44/$E$2</f>
        <v>18</v>
      </c>
      <c r="E44" s="5">
        <f ca="1">D44*($E$2+$E$3)</f>
        <v>396</v>
      </c>
    </row>
    <row r="45" spans="1:5" x14ac:dyDescent="0.25">
      <c r="A45">
        <v>140231</v>
      </c>
      <c r="B45" t="s">
        <v>10</v>
      </c>
      <c r="C45">
        <f>'[1]VENTAS CONSOLIDADA ANZOATEGUI'!C45</f>
        <v>96</v>
      </c>
      <c r="D45" s="5">
        <f ca="1">C45/$E$2</f>
        <v>48</v>
      </c>
      <c r="E45" s="5">
        <f ca="1">D45*($E$2+$E$3)</f>
        <v>1056</v>
      </c>
    </row>
    <row r="46" spans="1:5" x14ac:dyDescent="0.25">
      <c r="A46">
        <v>140232</v>
      </c>
      <c r="B46" t="s">
        <v>9</v>
      </c>
      <c r="C46">
        <f>'[1]VENTAS CONSOLIDADA ANZOATEGUI'!C46</f>
        <v>0</v>
      </c>
      <c r="D46" s="5">
        <f ca="1">C46/$E$2</f>
        <v>0</v>
      </c>
      <c r="E46" s="5">
        <f ca="1">D46*($E$2+$E$3)</f>
        <v>0</v>
      </c>
    </row>
    <row r="47" spans="1:5" x14ac:dyDescent="0.25">
      <c r="A47">
        <v>150360</v>
      </c>
      <c r="B47" t="s">
        <v>28</v>
      </c>
      <c r="C47">
        <f>'[1]VENTAS CONSOLIDADA ANZOATEGUI'!C47</f>
        <v>42</v>
      </c>
      <c r="D47" s="5">
        <f ca="1">C47/$E$2</f>
        <v>21</v>
      </c>
      <c r="E47" s="5">
        <f ca="1">D47*($E$2+$E$3)</f>
        <v>462</v>
      </c>
    </row>
    <row r="48" spans="1:5" x14ac:dyDescent="0.25">
      <c r="A48">
        <v>150361</v>
      </c>
      <c r="B48" t="s">
        <v>29</v>
      </c>
      <c r="C48">
        <f>'[1]VENTAS CONSOLIDADA ANZOATEGUI'!C48</f>
        <v>19</v>
      </c>
      <c r="D48" s="5">
        <f ca="1">C48/$E$2</f>
        <v>9.5</v>
      </c>
      <c r="E48" s="5">
        <f ca="1">D48*($E$2+$E$3)</f>
        <v>209</v>
      </c>
    </row>
    <row r="49" spans="1:5" x14ac:dyDescent="0.25">
      <c r="A49">
        <v>150362</v>
      </c>
      <c r="B49" t="s">
        <v>36</v>
      </c>
      <c r="C49">
        <f>'[1]VENTAS CONSOLIDADA ANZOATEGUI'!C49</f>
        <v>11</v>
      </c>
      <c r="D49" s="5">
        <f ca="1">C49/$E$2</f>
        <v>5.5</v>
      </c>
      <c r="E49" s="5">
        <f ca="1">D49*($E$2+$E$3)</f>
        <v>121</v>
      </c>
    </row>
    <row r="50" spans="1:5" x14ac:dyDescent="0.25">
      <c r="A50">
        <v>150363</v>
      </c>
      <c r="B50" t="s">
        <v>31</v>
      </c>
      <c r="C50">
        <f>'[1]VENTAS CONSOLIDADA ANZOATEGUI'!C50</f>
        <v>5</v>
      </c>
      <c r="D50" s="5">
        <f ca="1">C50/$E$2</f>
        <v>2.5</v>
      </c>
      <c r="E50" s="5">
        <f ca="1">D50*($E$2+$E$3)</f>
        <v>55</v>
      </c>
    </row>
    <row r="51" spans="1:5" x14ac:dyDescent="0.25">
      <c r="A51">
        <v>151500</v>
      </c>
      <c r="B51" t="s">
        <v>41</v>
      </c>
      <c r="C51">
        <f>'[1]VENTAS CONSOLIDADA ANZOATEGUI'!C51</f>
        <v>4</v>
      </c>
      <c r="D51" s="5">
        <f ca="1">C51/$E$2</f>
        <v>2</v>
      </c>
      <c r="E51" s="5">
        <f ca="1">D51*($E$2+$E$3)</f>
        <v>44</v>
      </c>
    </row>
    <row r="52" spans="1:5" x14ac:dyDescent="0.25">
      <c r="A52">
        <v>151501</v>
      </c>
      <c r="B52" t="s">
        <v>33</v>
      </c>
      <c r="C52">
        <f>'[1]VENTAS CONSOLIDADA ANZOATEGUI'!C52</f>
        <v>2</v>
      </c>
      <c r="D52" s="5">
        <f ca="1">C52/$E$2</f>
        <v>1</v>
      </c>
      <c r="E52" s="5">
        <f ca="1">D52*($E$2+$E$3)</f>
        <v>22</v>
      </c>
    </row>
    <row r="53" spans="1:5" x14ac:dyDescent="0.25">
      <c r="A53">
        <v>151502</v>
      </c>
      <c r="B53" t="s">
        <v>37</v>
      </c>
      <c r="C53">
        <f>'[1]VENTAS CONSOLIDADA ANZOATEGUI'!C53</f>
        <v>0</v>
      </c>
      <c r="D53" s="5">
        <f ca="1">C53/$E$2</f>
        <v>0</v>
      </c>
      <c r="E53" s="5">
        <f ca="1">D53*($E$2+$E$3)</f>
        <v>0</v>
      </c>
    </row>
    <row r="54" spans="1:5" x14ac:dyDescent="0.25">
      <c r="A54">
        <v>151503</v>
      </c>
      <c r="B54" t="s">
        <v>34</v>
      </c>
      <c r="C54">
        <f>'[1]VENTAS CONSOLIDADA ANZOATEGUI'!C54</f>
        <v>1</v>
      </c>
      <c r="D54" s="5">
        <f ca="1">C54/$E$2</f>
        <v>0.5</v>
      </c>
      <c r="E54" s="5">
        <f ca="1">D54*($E$2+$E$3)</f>
        <v>11</v>
      </c>
    </row>
    <row r="55" spans="1:5" x14ac:dyDescent="0.25">
      <c r="D55" s="7">
        <f ca="1">SUM(D8:D54)</f>
        <v>1145</v>
      </c>
      <c r="E55" s="7">
        <f ca="1">SUM(E8:E54)</f>
        <v>25190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M19" sqref="M19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46268</v>
      </c>
      <c r="E2" s="4">
        <f ca="1">'[1]VENTAS CONSOLIDADA 1,0'!E2</f>
        <v>2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20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1501</v>
      </c>
      <c r="D8" s="5">
        <f ca="1">C8/$E$2</f>
        <v>750.5</v>
      </c>
      <c r="E8" s="5">
        <f ca="1">D8*($E$2+$E$3)</f>
        <v>16511</v>
      </c>
    </row>
    <row r="9" spans="1:5" x14ac:dyDescent="0.25">
      <c r="A9">
        <v>110151</v>
      </c>
      <c r="B9" t="s">
        <v>5</v>
      </c>
      <c r="C9">
        <f>'[1]VENTAS CONSOLIDADA 1,0'!C9</f>
        <v>135</v>
      </c>
      <c r="D9" s="5">
        <f ca="1">C9/$E$2</f>
        <v>67.5</v>
      </c>
      <c r="E9" s="5">
        <f t="shared" ref="E9:E54" ca="1" si="0">D9*($E$2+$E$3)</f>
        <v>1485</v>
      </c>
    </row>
    <row r="10" spans="1:5" x14ac:dyDescent="0.25">
      <c r="A10">
        <v>110230</v>
      </c>
      <c r="B10" t="s">
        <v>1</v>
      </c>
      <c r="C10">
        <f>'[1]VENTAS CONSOLIDADA 1,0'!C10</f>
        <v>473</v>
      </c>
      <c r="D10" s="5">
        <f ca="1">C10/$E$2</f>
        <v>236.5</v>
      </c>
      <c r="E10" s="5">
        <f t="shared" ca="1" si="0"/>
        <v>5203</v>
      </c>
    </row>
    <row r="11" spans="1:5" x14ac:dyDescent="0.25">
      <c r="A11">
        <v>110400</v>
      </c>
      <c r="B11" t="s">
        <v>13</v>
      </c>
      <c r="C11">
        <f>'[1]VENTAS CONSOLIDADA 1,0'!C11</f>
        <v>171</v>
      </c>
      <c r="D11" s="5">
        <f ca="1">C11/$E$2</f>
        <v>85.5</v>
      </c>
      <c r="E11" s="5">
        <f t="shared" ca="1" si="0"/>
        <v>1881</v>
      </c>
    </row>
    <row r="12" spans="1:5" x14ac:dyDescent="0.25">
      <c r="A12">
        <v>111000</v>
      </c>
      <c r="B12" t="s">
        <v>14</v>
      </c>
      <c r="C12">
        <f>'[1]VENTAS CONSOLIDADA 1,0'!C12</f>
        <v>11</v>
      </c>
      <c r="D12" s="5">
        <f ca="1">C12/$E$2</f>
        <v>5.5</v>
      </c>
      <c r="E12" s="5">
        <f t="shared" ca="1" si="0"/>
        <v>121</v>
      </c>
    </row>
    <row r="13" spans="1:5" x14ac:dyDescent="0.25">
      <c r="A13">
        <v>120130</v>
      </c>
      <c r="B13" t="s">
        <v>15</v>
      </c>
      <c r="C13">
        <f>'[1]VENTAS CONSOLIDADA 1,0'!C13</f>
        <v>1570</v>
      </c>
      <c r="D13" s="5">
        <f ca="1">C13/$E$2</f>
        <v>785</v>
      </c>
      <c r="E13" s="5">
        <f t="shared" ca="1" si="0"/>
        <v>17270</v>
      </c>
    </row>
    <row r="14" spans="1:5" x14ac:dyDescent="0.25">
      <c r="A14">
        <v>120131</v>
      </c>
      <c r="B14" t="s">
        <v>23</v>
      </c>
      <c r="C14">
        <f>'[1]VENTAS CONSOLIDADA 1,0'!C14</f>
        <v>181</v>
      </c>
      <c r="D14" s="5">
        <f ca="1">C14/$E$2</f>
        <v>90.5</v>
      </c>
      <c r="E14" s="5">
        <f t="shared" ca="1" si="0"/>
        <v>1991</v>
      </c>
    </row>
    <row r="15" spans="1:5" x14ac:dyDescent="0.25">
      <c r="A15">
        <v>120132</v>
      </c>
      <c r="B15" t="s">
        <v>21</v>
      </c>
      <c r="C15">
        <f>'[1]VENTAS CONSOLIDADA 1,0'!C15</f>
        <v>362</v>
      </c>
      <c r="D15" s="5">
        <f ca="1">C15/$E$2</f>
        <v>181</v>
      </c>
      <c r="E15" s="5">
        <f t="shared" ca="1" si="0"/>
        <v>3982</v>
      </c>
    </row>
    <row r="16" spans="1:5" x14ac:dyDescent="0.25">
      <c r="A16">
        <v>130150</v>
      </c>
      <c r="B16" t="s">
        <v>0</v>
      </c>
      <c r="C16">
        <f>'[1]VENTAS CONSOLIDADA 1,0'!C16</f>
        <v>1139</v>
      </c>
      <c r="D16" s="5">
        <f ca="1">C16/$E$2</f>
        <v>569.5</v>
      </c>
      <c r="E16" s="5">
        <f t="shared" ca="1" si="0"/>
        <v>12529</v>
      </c>
    </row>
    <row r="17" spans="1:5" x14ac:dyDescent="0.25">
      <c r="A17">
        <v>130151</v>
      </c>
      <c r="B17" t="s">
        <v>4</v>
      </c>
      <c r="C17">
        <f>'[1]VENTAS CONSOLIDADA 1,0'!C17</f>
        <v>456</v>
      </c>
      <c r="D17" s="5">
        <f ca="1">C17/$E$2</f>
        <v>228</v>
      </c>
      <c r="E17" s="5">
        <f t="shared" ca="1" si="0"/>
        <v>5016</v>
      </c>
    </row>
    <row r="18" spans="1:5" x14ac:dyDescent="0.25">
      <c r="A18">
        <v>130152</v>
      </c>
      <c r="B18" t="s">
        <v>51</v>
      </c>
      <c r="C18">
        <f>'[1]VENTAS CONSOLIDADA 1,0'!C18</f>
        <v>4082</v>
      </c>
      <c r="D18" s="5">
        <f ca="1">C18/$E$2</f>
        <v>2041</v>
      </c>
      <c r="E18" s="5">
        <f t="shared" ca="1" si="0"/>
        <v>44902</v>
      </c>
    </row>
    <row r="19" spans="1:5" x14ac:dyDescent="0.25">
      <c r="A19">
        <v>130153</v>
      </c>
      <c r="B19" t="s">
        <v>52</v>
      </c>
      <c r="C19">
        <f>'[1]VENTAS CONSOLIDADA 1,0'!C19</f>
        <v>2584</v>
      </c>
      <c r="D19" s="5">
        <f ca="1">C19/$E$2</f>
        <v>1292</v>
      </c>
      <c r="E19" s="5">
        <f t="shared" ca="1" si="0"/>
        <v>28424</v>
      </c>
    </row>
    <row r="20" spans="1:5" x14ac:dyDescent="0.25">
      <c r="A20">
        <v>130154</v>
      </c>
      <c r="B20" t="s">
        <v>53</v>
      </c>
      <c r="C20">
        <f>'[1]VENTAS CONSOLIDADA 1,0'!C20</f>
        <v>2632</v>
      </c>
      <c r="D20" s="5">
        <f ca="1">C20/$E$2</f>
        <v>1316</v>
      </c>
      <c r="E20" s="5">
        <f t="shared" ca="1" si="0"/>
        <v>28952</v>
      </c>
    </row>
    <row r="21" spans="1:5" x14ac:dyDescent="0.25">
      <c r="A21">
        <v>130155</v>
      </c>
      <c r="B21" t="s">
        <v>16</v>
      </c>
      <c r="C21">
        <f>'[1]VENTAS CONSOLIDADA 1,0'!C21</f>
        <v>3184</v>
      </c>
      <c r="D21" s="5">
        <f ca="1">C21/$E$2</f>
        <v>1592</v>
      </c>
      <c r="E21" s="5">
        <f t="shared" ca="1" si="0"/>
        <v>35024</v>
      </c>
    </row>
    <row r="22" spans="1:5" x14ac:dyDescent="0.25">
      <c r="A22">
        <v>130157</v>
      </c>
      <c r="B22" t="s">
        <v>43</v>
      </c>
      <c r="C22">
        <f>'[1]VENTAS CONSOLIDADA 1,0'!C22</f>
        <v>1056</v>
      </c>
      <c r="D22" s="5">
        <f ca="1">C22/$E$2</f>
        <v>528</v>
      </c>
      <c r="E22" s="5">
        <f t="shared" ca="1" si="0"/>
        <v>11616</v>
      </c>
    </row>
    <row r="23" spans="1:5" x14ac:dyDescent="0.25">
      <c r="A23">
        <v>130158</v>
      </c>
      <c r="B23" t="s">
        <v>44</v>
      </c>
      <c r="C23">
        <f>'[1]VENTAS CONSOLIDADA 1,0'!C23</f>
        <v>1366</v>
      </c>
      <c r="D23" s="5">
        <f ca="1">C23/$E$2</f>
        <v>683</v>
      </c>
      <c r="E23" s="5">
        <f t="shared" ca="1" si="0"/>
        <v>15026</v>
      </c>
    </row>
    <row r="24" spans="1:5" x14ac:dyDescent="0.25">
      <c r="A24">
        <v>130159</v>
      </c>
      <c r="B24" t="s">
        <v>45</v>
      </c>
      <c r="C24">
        <f>'[1]VENTAS CONSOLIDADA 1,0'!C24</f>
        <v>1391</v>
      </c>
      <c r="D24" s="5">
        <f ca="1">C24/$E$2</f>
        <v>695.5</v>
      </c>
      <c r="E24" s="5">
        <f t="shared" ca="1" si="0"/>
        <v>15301</v>
      </c>
    </row>
    <row r="25" spans="1:5" x14ac:dyDescent="0.25">
      <c r="A25">
        <v>130700</v>
      </c>
      <c r="B25" t="s">
        <v>3</v>
      </c>
      <c r="C25">
        <f>'[1]VENTAS CONSOLIDADA 1,0'!C25</f>
        <v>379</v>
      </c>
      <c r="D25" s="5">
        <f ca="1">C25/$E$2</f>
        <v>189.5</v>
      </c>
      <c r="E25" s="5">
        <f t="shared" ca="1" si="0"/>
        <v>4169</v>
      </c>
    </row>
    <row r="26" spans="1:5" x14ac:dyDescent="0.25">
      <c r="A26">
        <v>130701</v>
      </c>
      <c r="B26" t="s">
        <v>30</v>
      </c>
      <c r="C26">
        <f>'[1]VENTAS CONSOLIDADA 1,0'!C26</f>
        <v>199</v>
      </c>
      <c r="D26" s="5">
        <f ca="1">C26/$E$2</f>
        <v>99.5</v>
      </c>
      <c r="E26" s="5">
        <f t="shared" ca="1" si="0"/>
        <v>2189</v>
      </c>
    </row>
    <row r="27" spans="1:5" x14ac:dyDescent="0.25">
      <c r="A27">
        <v>130702</v>
      </c>
      <c r="B27" t="s">
        <v>12</v>
      </c>
      <c r="C27">
        <f>'[1]VENTAS CONSOLIDADA 1,0'!C27</f>
        <v>760</v>
      </c>
      <c r="D27" s="5">
        <f ca="1">C27/$E$2</f>
        <v>380</v>
      </c>
      <c r="E27" s="5">
        <f t="shared" ca="1" si="0"/>
        <v>8360</v>
      </c>
    </row>
    <row r="28" spans="1:5" x14ac:dyDescent="0.25">
      <c r="A28">
        <v>130703</v>
      </c>
      <c r="B28" t="s">
        <v>17</v>
      </c>
      <c r="C28">
        <f>'[1]VENTAS CONSOLIDADA 1,0'!C28</f>
        <v>1256</v>
      </c>
      <c r="D28" s="5">
        <f ca="1">C28/$E$2</f>
        <v>628</v>
      </c>
      <c r="E28" s="5">
        <f t="shared" ca="1" si="0"/>
        <v>13816</v>
      </c>
    </row>
    <row r="29" spans="1:5" x14ac:dyDescent="0.25">
      <c r="A29">
        <v>130707</v>
      </c>
      <c r="B29" t="s">
        <v>42</v>
      </c>
      <c r="C29">
        <f>'[1]VENTAS CONSOLIDADA 1,0'!C29</f>
        <v>20</v>
      </c>
      <c r="D29" s="5">
        <f ca="1">C29/$E$2</f>
        <v>10</v>
      </c>
      <c r="E29" s="5">
        <f t="shared" ca="1" si="0"/>
        <v>220</v>
      </c>
    </row>
    <row r="30" spans="1:5" x14ac:dyDescent="0.25">
      <c r="A30">
        <v>131150</v>
      </c>
      <c r="B30" t="s">
        <v>22</v>
      </c>
      <c r="C30">
        <f>'[1]VENTAS CONSOLIDADA 1,0'!C30</f>
        <v>687</v>
      </c>
      <c r="D30" s="5">
        <f ca="1">C30/$E$2</f>
        <v>343.5</v>
      </c>
      <c r="E30" s="5">
        <f t="shared" ca="1" si="0"/>
        <v>7557</v>
      </c>
    </row>
    <row r="31" spans="1:5" x14ac:dyDescent="0.25">
      <c r="A31">
        <v>131151</v>
      </c>
      <c r="B31" t="s">
        <v>19</v>
      </c>
      <c r="C31">
        <f>'[1]VENTAS CONSOLIDADA 1,0'!C31</f>
        <v>618</v>
      </c>
      <c r="D31" s="5">
        <f ca="1">C31/$E$2</f>
        <v>309</v>
      </c>
      <c r="E31" s="5">
        <f t="shared" ca="1" si="0"/>
        <v>6798</v>
      </c>
    </row>
    <row r="32" spans="1:5" x14ac:dyDescent="0.25">
      <c r="A32">
        <v>131152</v>
      </c>
      <c r="B32" t="s">
        <v>32</v>
      </c>
      <c r="C32">
        <f>'[1]VENTAS CONSOLIDADA 1,0'!C32</f>
        <v>777</v>
      </c>
      <c r="D32" s="5">
        <f ca="1">C32/$E$2</f>
        <v>388.5</v>
      </c>
      <c r="E32" s="5">
        <f t="shared" ca="1" si="0"/>
        <v>8547</v>
      </c>
    </row>
    <row r="33" spans="1:5" x14ac:dyDescent="0.25">
      <c r="A33">
        <v>131153</v>
      </c>
      <c r="B33" t="s">
        <v>11</v>
      </c>
      <c r="C33">
        <f>'[1]VENTAS CONSOLIDADA 1,0'!C33</f>
        <v>473</v>
      </c>
      <c r="D33" s="5">
        <f ca="1">C33/$E$2</f>
        <v>236.5</v>
      </c>
      <c r="E33" s="5">
        <f t="shared" ca="1" si="0"/>
        <v>5203</v>
      </c>
    </row>
    <row r="34" spans="1:5" x14ac:dyDescent="0.25">
      <c r="A34">
        <v>131154</v>
      </c>
      <c r="B34" t="s">
        <v>48</v>
      </c>
      <c r="C34">
        <f>'[1]VENTAS CONSOLIDADA 1,0'!C34</f>
        <v>82</v>
      </c>
      <c r="D34" s="5">
        <f ca="1">C34/$E$2</f>
        <v>41</v>
      </c>
      <c r="E34" s="5">
        <f t="shared" ca="1" si="0"/>
        <v>902</v>
      </c>
    </row>
    <row r="35" spans="1:5" x14ac:dyDescent="0.25">
      <c r="A35">
        <v>131155</v>
      </c>
      <c r="B35" t="s">
        <v>57</v>
      </c>
      <c r="C35">
        <f>'[1]VENTAS CONSOLIDADA 1,0'!C35</f>
        <v>140</v>
      </c>
      <c r="D35" s="5">
        <f ca="1">C35/$E$2</f>
        <v>70</v>
      </c>
      <c r="E35" s="5">
        <f t="shared" ca="1" si="0"/>
        <v>1540</v>
      </c>
    </row>
    <row r="36" spans="1:5" x14ac:dyDescent="0.25">
      <c r="A36">
        <v>131700</v>
      </c>
      <c r="B36" t="s">
        <v>20</v>
      </c>
      <c r="C36">
        <f>'[1]VENTAS CONSOLIDADA 1,0'!C36</f>
        <v>198</v>
      </c>
      <c r="D36" s="5">
        <f ca="1">C36/$E$2</f>
        <v>99</v>
      </c>
      <c r="E36" s="5">
        <f t="shared" ca="1" si="0"/>
        <v>2178</v>
      </c>
    </row>
    <row r="37" spans="1:5" x14ac:dyDescent="0.25">
      <c r="A37">
        <v>131701</v>
      </c>
      <c r="B37" t="s">
        <v>24</v>
      </c>
      <c r="C37">
        <f>'[1]VENTAS CONSOLIDADA 1,0'!C37</f>
        <v>133</v>
      </c>
      <c r="D37" s="5">
        <f ca="1">C37/$E$2</f>
        <v>66.5</v>
      </c>
      <c r="E37" s="5">
        <f t="shared" ca="1" si="0"/>
        <v>1463</v>
      </c>
    </row>
    <row r="38" spans="1:5" x14ac:dyDescent="0.25">
      <c r="A38">
        <v>132150</v>
      </c>
      <c r="B38" t="s">
        <v>25</v>
      </c>
      <c r="C38">
        <f>'[1]VENTAS CONSOLIDADA 1,0'!C38</f>
        <v>797</v>
      </c>
      <c r="D38" s="5">
        <f ca="1">C38/$E$2</f>
        <v>398.5</v>
      </c>
      <c r="E38" s="5">
        <f t="shared" ca="1" si="0"/>
        <v>8767</v>
      </c>
    </row>
    <row r="39" spans="1:5" x14ac:dyDescent="0.25">
      <c r="A39">
        <v>132151</v>
      </c>
      <c r="B39" t="s">
        <v>26</v>
      </c>
      <c r="C39">
        <f>'[1]VENTAS CONSOLIDADA 1,0'!C39</f>
        <v>654</v>
      </c>
      <c r="D39" s="5">
        <f ca="1">C39/$E$2</f>
        <v>327</v>
      </c>
      <c r="E39" s="5">
        <f t="shared" ca="1" si="0"/>
        <v>7194</v>
      </c>
    </row>
    <row r="40" spans="1:5" x14ac:dyDescent="0.25">
      <c r="A40">
        <v>132152</v>
      </c>
      <c r="B40" t="s">
        <v>27</v>
      </c>
      <c r="C40">
        <f>'[1]VENTAS CONSOLIDADA 1,0'!C40</f>
        <v>1045</v>
      </c>
      <c r="D40" s="5">
        <f ca="1">C40/$E$2</f>
        <v>522.5</v>
      </c>
      <c r="E40" s="5">
        <f t="shared" ca="1" si="0"/>
        <v>11495</v>
      </c>
    </row>
    <row r="41" spans="1:5" x14ac:dyDescent="0.25">
      <c r="A41">
        <v>132153</v>
      </c>
      <c r="B41" t="s">
        <v>40</v>
      </c>
      <c r="C41">
        <f>'[1]VENTAS CONSOLIDADA 1,0'!C41</f>
        <v>619</v>
      </c>
      <c r="D41" s="5">
        <f ca="1">C41/$E$2</f>
        <v>309.5</v>
      </c>
      <c r="E41" s="5">
        <f t="shared" ca="1" si="0"/>
        <v>6809</v>
      </c>
    </row>
    <row r="42" spans="1:5" x14ac:dyDescent="0.25">
      <c r="A42">
        <v>134000</v>
      </c>
      <c r="B42" t="s">
        <v>35</v>
      </c>
      <c r="C42">
        <f>'[1]VENTAS CONSOLIDADA 1,0'!C42</f>
        <v>9</v>
      </c>
      <c r="D42" s="5">
        <f ca="1">C42/$E$2</f>
        <v>4.5</v>
      </c>
      <c r="E42" s="5">
        <f t="shared" ca="1" si="0"/>
        <v>99</v>
      </c>
    </row>
    <row r="43" spans="1:5" x14ac:dyDescent="0.25">
      <c r="A43">
        <v>134001</v>
      </c>
      <c r="B43" t="s">
        <v>47</v>
      </c>
      <c r="C43">
        <f>'[1]VENTAS CONSOLIDADA 1,0'!C43</f>
        <v>4</v>
      </c>
      <c r="D43" s="5">
        <f ca="1">C43/$E$2</f>
        <v>2</v>
      </c>
      <c r="E43" s="5">
        <f t="shared" ca="1" si="0"/>
        <v>44</v>
      </c>
    </row>
    <row r="44" spans="1:5" x14ac:dyDescent="0.25">
      <c r="A44">
        <v>140230</v>
      </c>
      <c r="B44" t="s">
        <v>18</v>
      </c>
      <c r="C44">
        <f>'[1]VENTAS CONSOLIDADA 1,0'!C44</f>
        <v>238</v>
      </c>
      <c r="D44" s="5">
        <f ca="1">C44/$E$2</f>
        <v>119</v>
      </c>
      <c r="E44" s="5">
        <f t="shared" ca="1" si="0"/>
        <v>2618</v>
      </c>
    </row>
    <row r="45" spans="1:5" x14ac:dyDescent="0.25">
      <c r="A45">
        <v>140231</v>
      </c>
      <c r="B45" t="s">
        <v>10</v>
      </c>
      <c r="C45">
        <f>'[1]VENTAS CONSOLIDADA 1,0'!C45</f>
        <v>518</v>
      </c>
      <c r="D45" s="5">
        <f ca="1">C45/$E$2</f>
        <v>259</v>
      </c>
      <c r="E45" s="5">
        <f t="shared" ca="1" si="0"/>
        <v>5698</v>
      </c>
    </row>
    <row r="46" spans="1:5" x14ac:dyDescent="0.25">
      <c r="A46">
        <v>140232</v>
      </c>
      <c r="B46" t="s">
        <v>9</v>
      </c>
      <c r="C46">
        <f>'[1]VENTAS CONSOLIDADA 1,0'!C46</f>
        <v>815</v>
      </c>
      <c r="D46" s="5">
        <f ca="1">C46/$E$2</f>
        <v>407.5</v>
      </c>
      <c r="E46" s="5">
        <f t="shared" ca="1" si="0"/>
        <v>8965</v>
      </c>
    </row>
    <row r="47" spans="1:5" x14ac:dyDescent="0.25">
      <c r="A47">
        <v>150360</v>
      </c>
      <c r="B47" t="s">
        <v>28</v>
      </c>
      <c r="C47">
        <f>'[1]VENTAS CONSOLIDADA 1,0'!C47</f>
        <v>235</v>
      </c>
      <c r="D47" s="5">
        <f ca="1">C47/$E$2</f>
        <v>117.5</v>
      </c>
      <c r="E47" s="5">
        <f t="shared" ca="1" si="0"/>
        <v>2585</v>
      </c>
    </row>
    <row r="48" spans="1:5" x14ac:dyDescent="0.25">
      <c r="A48">
        <v>150361</v>
      </c>
      <c r="B48" t="s">
        <v>29</v>
      </c>
      <c r="C48">
        <f>'[1]VENTAS CONSOLIDADA 1,0'!C48</f>
        <v>460</v>
      </c>
      <c r="D48" s="5">
        <f ca="1">C48/$E$2</f>
        <v>230</v>
      </c>
      <c r="E48" s="5">
        <f t="shared" ca="1" si="0"/>
        <v>5060</v>
      </c>
    </row>
    <row r="49" spans="1:5" x14ac:dyDescent="0.25">
      <c r="A49">
        <v>150362</v>
      </c>
      <c r="B49" t="s">
        <v>36</v>
      </c>
      <c r="C49">
        <f>'[1]VENTAS CONSOLIDADA 1,0'!C49</f>
        <v>238</v>
      </c>
      <c r="D49" s="5">
        <f ca="1">C49/$E$2</f>
        <v>119</v>
      </c>
      <c r="E49" s="5">
        <f t="shared" ca="1" si="0"/>
        <v>2618</v>
      </c>
    </row>
    <row r="50" spans="1:5" x14ac:dyDescent="0.25">
      <c r="A50">
        <v>150363</v>
      </c>
      <c r="B50" t="s">
        <v>31</v>
      </c>
      <c r="C50">
        <f>'[1]VENTAS CONSOLIDADA 1,0'!C50</f>
        <v>289</v>
      </c>
      <c r="D50" s="5">
        <f ca="1">C50/$E$2</f>
        <v>144.5</v>
      </c>
      <c r="E50" s="5">
        <f t="shared" ca="1" si="0"/>
        <v>3179</v>
      </c>
    </row>
    <row r="51" spans="1:5" x14ac:dyDescent="0.25">
      <c r="A51">
        <v>151500</v>
      </c>
      <c r="B51" t="s">
        <v>41</v>
      </c>
      <c r="C51">
        <f>'[1]VENTAS CONSOLIDADA 1,0'!C51</f>
        <v>70</v>
      </c>
      <c r="D51" s="5">
        <f ca="1">C51/$E$2</f>
        <v>35</v>
      </c>
      <c r="E51" s="5">
        <f t="shared" ca="1" si="0"/>
        <v>770</v>
      </c>
    </row>
    <row r="52" spans="1:5" x14ac:dyDescent="0.25">
      <c r="A52">
        <v>151501</v>
      </c>
      <c r="B52" t="s">
        <v>33</v>
      </c>
      <c r="C52">
        <f>'[1]VENTAS CONSOLIDADA 1,0'!C52</f>
        <v>103</v>
      </c>
      <c r="D52" s="5">
        <f ca="1">C52/$E$2</f>
        <v>51.5</v>
      </c>
      <c r="E52" s="5">
        <f t="shared" ca="1" si="0"/>
        <v>1133</v>
      </c>
    </row>
    <row r="53" spans="1:5" x14ac:dyDescent="0.25">
      <c r="A53">
        <v>151502</v>
      </c>
      <c r="B53" t="s">
        <v>37</v>
      </c>
      <c r="C53">
        <f>'[1]VENTAS CONSOLIDADA 1,0'!C53</f>
        <v>28</v>
      </c>
      <c r="D53" s="5">
        <f ca="1">C53/$E$2</f>
        <v>14</v>
      </c>
      <c r="E53" s="5">
        <f t="shared" ca="1" si="0"/>
        <v>308</v>
      </c>
    </row>
    <row r="54" spans="1:5" x14ac:dyDescent="0.25">
      <c r="A54">
        <v>151503</v>
      </c>
      <c r="B54" t="s">
        <v>34</v>
      </c>
      <c r="C54">
        <f>'[1]VENTAS CONSOLIDADA 1,0'!C54</f>
        <v>35</v>
      </c>
      <c r="D54" s="5">
        <f ca="1">C54/$E$2</f>
        <v>17.5</v>
      </c>
      <c r="E54" s="5">
        <f t="shared" ca="1" si="0"/>
        <v>385</v>
      </c>
    </row>
    <row r="55" spans="1:5" x14ac:dyDescent="0.25">
      <c r="C55">
        <f>SUM(C8:C54)</f>
        <v>34173</v>
      </c>
      <c r="D55" s="5">
        <f ca="1">SUM(D8:D54)</f>
        <v>17086.5</v>
      </c>
      <c r="E55" s="5">
        <f ca="1">SUM(E8:E54)</f>
        <v>375903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7845B0CC-F2DA-4435-B3A8-0B67EEA59E3E}">
  <ds:schemaRefs/>
</ds:datastoreItem>
</file>

<file path=customXml/itemProps2.xml><?xml version="1.0" encoding="utf-8"?>
<ds:datastoreItem xmlns:ds="http://schemas.openxmlformats.org/officeDocument/2006/customXml" ds:itemID="{38DB5A37-2218-4EAC-B67D-146D68E76E36}">
  <ds:schemaRefs/>
</ds:datastoreItem>
</file>

<file path=customXml/itemProps3.xml><?xml version="1.0" encoding="utf-8"?>
<ds:datastoreItem xmlns:ds="http://schemas.openxmlformats.org/officeDocument/2006/customXml" ds:itemID="{CC2043D8-989E-412C-8862-ACDB973E448B}">
  <ds:schemaRefs/>
</ds:datastoreItem>
</file>

<file path=customXml/itemProps4.xml><?xml version="1.0" encoding="utf-8"?>
<ds:datastoreItem xmlns:ds="http://schemas.openxmlformats.org/officeDocument/2006/customXml" ds:itemID="{8E0207D3-36B0-4047-99FA-B78F3EBADFAC}">
  <ds:schemaRefs/>
</ds:datastoreItem>
</file>

<file path=customXml/itemProps5.xml><?xml version="1.0" encoding="utf-8"?>
<ds:datastoreItem xmlns:ds="http://schemas.openxmlformats.org/officeDocument/2006/customXml" ds:itemID="{DEFC51E7-3E67-4621-B139-07F56E3C51B6}">
  <ds:schemaRefs/>
</ds:datastoreItem>
</file>

<file path=customXml/itemProps6.xml><?xml version="1.0" encoding="utf-8"?>
<ds:datastoreItem xmlns:ds="http://schemas.openxmlformats.org/officeDocument/2006/customXml" ds:itemID="{AF2AF42B-D484-4F26-B929-D7FB2E56F71D}">
  <ds:schemaRefs/>
</ds:datastoreItem>
</file>

<file path=customXml/itemProps7.xml><?xml version="1.0" encoding="utf-8"?>
<ds:datastoreItem xmlns:ds="http://schemas.openxmlformats.org/officeDocument/2006/customXml" ds:itemID="{7AE93A93-CA27-4BDA-AA62-2C35967BA493}">
  <ds:schemaRefs/>
</ds:datastoreItem>
</file>

<file path=customXml/itemProps8.xml><?xml version="1.0" encoding="utf-8"?>
<ds:datastoreItem xmlns:ds="http://schemas.openxmlformats.org/officeDocument/2006/customXml" ds:itemID="{084C0BCB-4732-44D2-A228-50E994334BF1}">
  <ds:schemaRefs/>
</ds:datastoreItem>
</file>

<file path=customXml/itemProps9.xml><?xml version="1.0" encoding="utf-8"?>
<ds:datastoreItem xmlns:ds="http://schemas.openxmlformats.org/officeDocument/2006/customXml" ds:itemID="{B0CC2B14-7DD7-4033-8A48-822C26B12A45}">
  <ds:schemaRefs/>
</ds:datastoreItem>
</file>

<file path=customXml/itemProps10.xml><?xml version="1.0" encoding="utf-8"?>
<ds:datastoreItem xmlns:ds="http://schemas.openxmlformats.org/officeDocument/2006/customXml" ds:itemID="{52FA8FE5-D878-4A8D-B664-9568032292DD}">
  <ds:schemaRefs/>
</ds:datastoreItem>
</file>

<file path=customXml/itemProps11.xml><?xml version="1.0" encoding="utf-8"?>
<ds:datastoreItem xmlns:ds="http://schemas.openxmlformats.org/officeDocument/2006/customXml" ds:itemID="{65BE5737-5D13-4B92-9A1E-66AAD091BECC}">
  <ds:schemaRefs/>
</ds:datastoreItem>
</file>

<file path=customXml/itemProps12.xml><?xml version="1.0" encoding="utf-8"?>
<ds:datastoreItem xmlns:ds="http://schemas.openxmlformats.org/officeDocument/2006/customXml" ds:itemID="{2FB7461A-5A6D-4ED3-B35C-48147355CFC0}">
  <ds:schemaRefs/>
</ds:datastoreItem>
</file>

<file path=customXml/itemProps13.xml><?xml version="1.0" encoding="utf-8"?>
<ds:datastoreItem xmlns:ds="http://schemas.openxmlformats.org/officeDocument/2006/customXml" ds:itemID="{4DF253BA-E348-4CD2-AA4E-97FB2A32A7F0}">
  <ds:schemaRefs/>
</ds:datastoreItem>
</file>

<file path=customXml/itemProps14.xml><?xml version="1.0" encoding="utf-8"?>
<ds:datastoreItem xmlns:ds="http://schemas.openxmlformats.org/officeDocument/2006/customXml" ds:itemID="{CFB06E3D-1317-4F60-85DB-890000D02217}">
  <ds:schemaRefs/>
</ds:datastoreItem>
</file>

<file path=customXml/itemProps15.xml><?xml version="1.0" encoding="utf-8"?>
<ds:datastoreItem xmlns:ds="http://schemas.openxmlformats.org/officeDocument/2006/customXml" ds:itemID="{F5D7323A-644E-4D3D-8486-43C2FFAD8146}">
  <ds:schemaRefs/>
</ds:datastoreItem>
</file>

<file path=customXml/itemProps16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0AD6CB95-564A-49A8-92C3-BDDCD21D69FF}">
  <ds:schemaRefs/>
</ds:datastoreItem>
</file>

<file path=customXml/itemProps18.xml><?xml version="1.0" encoding="utf-8"?>
<ds:datastoreItem xmlns:ds="http://schemas.openxmlformats.org/officeDocument/2006/customXml" ds:itemID="{CAB6C292-B853-467D-B711-6EBB7D36CC58}">
  <ds:schemaRefs/>
</ds:datastoreItem>
</file>

<file path=customXml/itemProps19.xml><?xml version="1.0" encoding="utf-8"?>
<ds:datastoreItem xmlns:ds="http://schemas.openxmlformats.org/officeDocument/2006/customXml" ds:itemID="{1624F75C-FD6B-41DE-81B8-76266AB6E660}">
  <ds:schemaRefs/>
</ds:datastoreItem>
</file>

<file path=customXml/itemProps20.xml><?xml version="1.0" encoding="utf-8"?>
<ds:datastoreItem xmlns:ds="http://schemas.openxmlformats.org/officeDocument/2006/customXml" ds:itemID="{DB2ACCEB-6CC9-4D35-BDF4-AC9EF8C2F11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2026-09-03T12:15:19Z</dcterms:modified>
</cp:coreProperties>
</file>