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Sales\"/>
    </mc:Choice>
  </mc:AlternateContent>
  <xr:revisionPtr revIDLastSave="0" documentId="13_ncr:1_{51D83443-CDD6-4D3E-AA0D-31DE55DED93D}" xr6:coauthVersionLast="47" xr6:coauthVersionMax="47" xr10:uidLastSave="{00000000-0000-0000-0000-000000000000}"/>
  <bookViews>
    <workbookView xWindow="-120" yWindow="-120" windowWidth="29040" windowHeight="15720" tabRatio="679" firstSheet="3" activeTab="3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calcPr calcId="191029"/>
  <pivotCaches>
    <pivotCache cacheId="4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50" l="1"/>
  <c r="F2" i="50" s="1"/>
  <c r="E2" i="51"/>
  <c r="F2" i="51" s="1"/>
  <c r="E2" i="52"/>
  <c r="F2" i="52" s="1"/>
  <c r="E2" i="53"/>
  <c r="F2" i="53" s="1"/>
  <c r="E2" i="54"/>
  <c r="F2" i="54" s="1"/>
  <c r="E2" i="55"/>
  <c r="F2" i="55" s="1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8" i="55"/>
  <c r="D45" i="52" l="1"/>
  <c r="E45" i="52" s="1"/>
  <c r="D8" i="52"/>
  <c r="E8" i="52" s="1"/>
  <c r="C56" i="55"/>
  <c r="F3" i="55"/>
  <c r="D47" i="50"/>
  <c r="E47" i="50" s="1"/>
  <c r="F3" i="50"/>
  <c r="F3" i="51"/>
  <c r="F3" i="53"/>
  <c r="D44" i="52"/>
  <c r="E44" i="52" s="1"/>
  <c r="F3" i="52"/>
  <c r="F3" i="54"/>
  <c r="D34" i="55" l="1"/>
  <c r="E34" i="55" s="1"/>
  <c r="D31" i="55"/>
  <c r="E31" i="55" s="1"/>
  <c r="D29" i="55"/>
  <c r="E29" i="55" s="1"/>
  <c r="D28" i="55"/>
  <c r="E28" i="55" s="1"/>
  <c r="D27" i="55"/>
  <c r="E27" i="55" s="1"/>
  <c r="D25" i="55"/>
  <c r="E25" i="55" s="1"/>
  <c r="D24" i="55"/>
  <c r="E24" i="55" s="1"/>
  <c r="D22" i="55"/>
  <c r="E22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3" i="55"/>
  <c r="E33" i="55" s="1"/>
  <c r="D30" i="55"/>
  <c r="E30" i="55" s="1"/>
  <c r="D26" i="55"/>
  <c r="E26" i="55" s="1"/>
  <c r="D23" i="55"/>
  <c r="E23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4" i="54"/>
  <c r="E44" i="54" s="1"/>
  <c r="D47" i="54"/>
  <c r="E47" i="54" s="1"/>
  <c r="D36" i="54"/>
  <c r="E36" i="54" s="1"/>
  <c r="D43" i="54"/>
  <c r="E43" i="54" s="1"/>
  <c r="D40" i="55"/>
  <c r="E40" i="55" s="1"/>
  <c r="D37" i="55"/>
  <c r="E37" i="55" s="1"/>
  <c r="D36" i="55"/>
  <c r="E36" i="55" s="1"/>
  <c r="D35" i="55"/>
  <c r="E35" i="55" s="1"/>
  <c r="D32" i="55"/>
  <c r="E32" i="55" s="1"/>
  <c r="D38" i="55"/>
  <c r="E38" i="55" s="1"/>
  <c r="D39" i="55"/>
  <c r="E39" i="55" s="1"/>
  <c r="D30" i="54"/>
  <c r="E30" i="54" s="1"/>
  <c r="D35" i="54"/>
  <c r="E35" i="54" s="1"/>
  <c r="D12" i="53"/>
  <c r="E12" i="53" s="1"/>
  <c r="D44" i="53"/>
  <c r="E44" i="53" s="1"/>
  <c r="D8" i="55"/>
  <c r="E8" i="55" s="1"/>
  <c r="D41" i="55"/>
  <c r="E41" i="55" s="1"/>
  <c r="D43" i="50"/>
  <c r="E43" i="50" s="1"/>
  <c r="D44" i="50"/>
  <c r="E44" i="50" s="1"/>
  <c r="D22" i="50"/>
  <c r="E22" i="50" s="1"/>
  <c r="D30" i="50"/>
  <c r="E30" i="50" s="1"/>
  <c r="D8" i="50"/>
  <c r="E8" i="50" s="1"/>
  <c r="D17" i="50"/>
  <c r="E17" i="50" s="1"/>
  <c r="D44" i="55"/>
  <c r="E44" i="55" s="1"/>
  <c r="D42" i="55"/>
  <c r="D43" i="55"/>
  <c r="E43" i="55" s="1"/>
  <c r="D45" i="55"/>
  <c r="E45" i="55" s="1"/>
  <c r="D47" i="55"/>
  <c r="E47" i="55" s="1"/>
  <c r="D46" i="55"/>
  <c r="E46" i="55" s="1"/>
  <c r="D50" i="55"/>
  <c r="E50" i="55" s="1"/>
  <c r="D48" i="55"/>
  <c r="E48" i="55" s="1"/>
  <c r="D49" i="55"/>
  <c r="E49" i="55" s="1"/>
  <c r="D52" i="55"/>
  <c r="E52" i="55" s="1"/>
  <c r="D51" i="55"/>
  <c r="E51" i="55" s="1"/>
  <c r="D53" i="55"/>
  <c r="E53" i="55" s="1"/>
  <c r="D54" i="55"/>
  <c r="E54" i="55" s="1"/>
  <c r="D55" i="55"/>
  <c r="E55" i="55" s="1"/>
  <c r="D51" i="50"/>
  <c r="E51" i="50" s="1"/>
  <c r="D52" i="50"/>
  <c r="E52" i="50" s="1"/>
  <c r="D53" i="50"/>
  <c r="E53" i="50" s="1"/>
  <c r="D54" i="50"/>
  <c r="E54" i="50" s="1"/>
  <c r="D55" i="50"/>
  <c r="E55" i="50" s="1"/>
  <c r="D46" i="50"/>
  <c r="E46" i="50" s="1"/>
  <c r="D50" i="50"/>
  <c r="E50" i="50" s="1"/>
  <c r="D48" i="50"/>
  <c r="E48" i="50" s="1"/>
  <c r="D49" i="50"/>
  <c r="E49" i="50" s="1"/>
  <c r="D42" i="50"/>
  <c r="E42" i="50" s="1"/>
  <c r="D45" i="50"/>
  <c r="E45" i="50" s="1"/>
  <c r="D37" i="50"/>
  <c r="E37" i="50" s="1"/>
  <c r="D40" i="50"/>
  <c r="E40" i="50" s="1"/>
  <c r="D32" i="50"/>
  <c r="E32" i="50" s="1"/>
  <c r="D39" i="50"/>
  <c r="E39" i="50" s="1"/>
  <c r="D41" i="50"/>
  <c r="E41" i="50" s="1"/>
  <c r="D38" i="50"/>
  <c r="E38" i="50" s="1"/>
  <c r="D35" i="50"/>
  <c r="E35" i="50" s="1"/>
  <c r="D34" i="50"/>
  <c r="E34" i="50" s="1"/>
  <c r="D33" i="50"/>
  <c r="E33" i="50" s="1"/>
  <c r="D36" i="50"/>
  <c r="E36" i="50" s="1"/>
  <c r="D9" i="50"/>
  <c r="E9" i="50" s="1"/>
  <c r="D11" i="50"/>
  <c r="E11" i="50" s="1"/>
  <c r="D15" i="50"/>
  <c r="E15" i="50" s="1"/>
  <c r="D18" i="50"/>
  <c r="E18" i="50" s="1"/>
  <c r="D24" i="50"/>
  <c r="E24" i="50" s="1"/>
  <c r="D27" i="50"/>
  <c r="E27" i="50" s="1"/>
  <c r="D31" i="50"/>
  <c r="E31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6" i="50"/>
  <c r="E26" i="50" s="1"/>
  <c r="D29" i="50"/>
  <c r="E29" i="50" s="1"/>
  <c r="D12" i="50"/>
  <c r="E12" i="50" s="1"/>
  <c r="D20" i="50"/>
  <c r="E20" i="50" s="1"/>
  <c r="D23" i="50"/>
  <c r="E23" i="50" s="1"/>
  <c r="D25" i="50"/>
  <c r="E25" i="50" s="1"/>
  <c r="D28" i="50"/>
  <c r="E28" i="50" s="1"/>
  <c r="D8" i="51"/>
  <c r="E8" i="51" s="1"/>
  <c r="D52" i="51"/>
  <c r="E52" i="51" s="1"/>
  <c r="D54" i="51"/>
  <c r="E54" i="51" s="1"/>
  <c r="D51" i="51"/>
  <c r="E51" i="51" s="1"/>
  <c r="D53" i="51"/>
  <c r="E53" i="51" s="1"/>
  <c r="D55" i="51"/>
  <c r="E55" i="51" s="1"/>
  <c r="D46" i="51"/>
  <c r="E46" i="51" s="1"/>
  <c r="D47" i="51"/>
  <c r="E47" i="51" s="1"/>
  <c r="D48" i="51"/>
  <c r="E48" i="51" s="1"/>
  <c r="D50" i="51"/>
  <c r="E50" i="51" s="1"/>
  <c r="D49" i="51"/>
  <c r="E49" i="51" s="1"/>
  <c r="D43" i="51"/>
  <c r="E43" i="51" s="1"/>
  <c r="D45" i="51"/>
  <c r="E45" i="51" s="1"/>
  <c r="D44" i="51"/>
  <c r="E44" i="51" s="1"/>
  <c r="D11" i="51"/>
  <c r="E11" i="51" s="1"/>
  <c r="D16" i="51"/>
  <c r="E16" i="51" s="1"/>
  <c r="D20" i="51"/>
  <c r="E20" i="51" s="1"/>
  <c r="D23" i="51"/>
  <c r="E23" i="51" s="1"/>
  <c r="D26" i="51"/>
  <c r="E26" i="51" s="1"/>
  <c r="D30" i="51"/>
  <c r="E30" i="51" s="1"/>
  <c r="D35" i="51"/>
  <c r="E35" i="51" s="1"/>
  <c r="D40" i="51"/>
  <c r="E40" i="51" s="1"/>
  <c r="D42" i="51"/>
  <c r="E42" i="51" s="1"/>
  <c r="D12" i="51"/>
  <c r="E12" i="51" s="1"/>
  <c r="D13" i="51"/>
  <c r="E13" i="51" s="1"/>
  <c r="D18" i="51"/>
  <c r="E18" i="51" s="1"/>
  <c r="D21" i="51"/>
  <c r="E21" i="51" s="1"/>
  <c r="D25" i="51"/>
  <c r="E25" i="51" s="1"/>
  <c r="D27" i="51"/>
  <c r="E27" i="51" s="1"/>
  <c r="D33" i="51"/>
  <c r="E33" i="51" s="1"/>
  <c r="D38" i="51"/>
  <c r="E38" i="51" s="1"/>
  <c r="D9" i="51"/>
  <c r="E9" i="51" s="1"/>
  <c r="D14" i="51"/>
  <c r="E14" i="51" s="1"/>
  <c r="D19" i="51"/>
  <c r="E19" i="51" s="1"/>
  <c r="D24" i="51"/>
  <c r="E24" i="51" s="1"/>
  <c r="D28" i="51"/>
  <c r="E28" i="51" s="1"/>
  <c r="D32" i="51"/>
  <c r="E32" i="51" s="1"/>
  <c r="D36" i="51"/>
  <c r="E36" i="51" s="1"/>
  <c r="D39" i="51"/>
  <c r="E39" i="51" s="1"/>
  <c r="D10" i="51"/>
  <c r="E10" i="51" s="1"/>
  <c r="D15" i="51"/>
  <c r="E15" i="51" s="1"/>
  <c r="D17" i="51"/>
  <c r="E17" i="51" s="1"/>
  <c r="D22" i="51"/>
  <c r="E22" i="51" s="1"/>
  <c r="D29" i="51"/>
  <c r="E29" i="51" s="1"/>
  <c r="D31" i="51"/>
  <c r="E31" i="51" s="1"/>
  <c r="D34" i="51"/>
  <c r="E34" i="51" s="1"/>
  <c r="D37" i="51"/>
  <c r="E37" i="51" s="1"/>
  <c r="D41" i="51"/>
  <c r="E41" i="51" s="1"/>
  <c r="D8" i="53"/>
  <c r="E8" i="53" s="1"/>
  <c r="D35" i="53"/>
  <c r="E35" i="53" s="1"/>
  <c r="D37" i="53"/>
  <c r="E37" i="53" s="1"/>
  <c r="D38" i="53"/>
  <c r="E38" i="53" s="1"/>
  <c r="D39" i="53"/>
  <c r="E39" i="53" s="1"/>
  <c r="D40" i="53"/>
  <c r="E40" i="53" s="1"/>
  <c r="D42" i="53"/>
  <c r="E42" i="53" s="1"/>
  <c r="D45" i="53"/>
  <c r="E45" i="53" s="1"/>
  <c r="D47" i="53"/>
  <c r="E47" i="53" s="1"/>
  <c r="D50" i="53"/>
  <c r="E50" i="53" s="1"/>
  <c r="D53" i="53"/>
  <c r="E53" i="53" s="1"/>
  <c r="D34" i="53"/>
  <c r="E34" i="53" s="1"/>
  <c r="D43" i="53"/>
  <c r="E43" i="53" s="1"/>
  <c r="D48" i="53"/>
  <c r="E48" i="53" s="1"/>
  <c r="D51" i="53"/>
  <c r="E51" i="53" s="1"/>
  <c r="D54" i="53"/>
  <c r="E54" i="53" s="1"/>
  <c r="D36" i="53"/>
  <c r="E36" i="53" s="1"/>
  <c r="D41" i="53"/>
  <c r="E41" i="53" s="1"/>
  <c r="D46" i="53"/>
  <c r="E46" i="53" s="1"/>
  <c r="D49" i="53"/>
  <c r="E49" i="53" s="1"/>
  <c r="D52" i="53"/>
  <c r="E52" i="53" s="1"/>
  <c r="D55" i="53"/>
  <c r="E55" i="53" s="1"/>
  <c r="D18" i="53"/>
  <c r="E18" i="53" s="1"/>
  <c r="D20" i="53"/>
  <c r="E20" i="53" s="1"/>
  <c r="D21" i="53"/>
  <c r="E21" i="53" s="1"/>
  <c r="D22" i="53"/>
  <c r="E22" i="53" s="1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33" i="53"/>
  <c r="E33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3" i="52"/>
  <c r="E43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55" i="52"/>
  <c r="E55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3" i="54"/>
  <c r="E23" i="54" s="1"/>
  <c r="D17" i="54"/>
  <c r="E17" i="54" s="1"/>
  <c r="D14" i="54"/>
  <c r="E14" i="54" s="1"/>
  <c r="D13" i="54"/>
  <c r="E13" i="54" s="1"/>
  <c r="D15" i="54"/>
  <c r="E15" i="54" s="1"/>
  <c r="D12" i="54"/>
  <c r="E12" i="54" s="1"/>
  <c r="D54" i="54"/>
  <c r="E54" i="54" s="1"/>
  <c r="D24" i="54"/>
  <c r="E24" i="54" s="1"/>
  <c r="D46" i="54"/>
  <c r="E46" i="54" s="1"/>
  <c r="D49" i="54"/>
  <c r="E49" i="54" s="1"/>
  <c r="D42" i="54"/>
  <c r="E42" i="54" s="1"/>
  <c r="D51" i="54"/>
  <c r="E51" i="54" s="1"/>
  <c r="D34" i="54"/>
  <c r="E34" i="54" s="1"/>
  <c r="D38" i="54"/>
  <c r="E38" i="54" s="1"/>
  <c r="D32" i="54"/>
  <c r="E32" i="54" s="1"/>
  <c r="D28" i="54"/>
  <c r="E28" i="54" s="1"/>
  <c r="D22" i="54"/>
  <c r="E22" i="54" s="1"/>
  <c r="D55" i="54"/>
  <c r="E55" i="54" s="1"/>
  <c r="D21" i="54"/>
  <c r="E21" i="54" s="1"/>
  <c r="D40" i="54"/>
  <c r="E40" i="54" s="1"/>
  <c r="D25" i="54"/>
  <c r="E25" i="54" s="1"/>
  <c r="D52" i="54"/>
  <c r="E52" i="54" s="1"/>
  <c r="D48" i="54"/>
  <c r="E48" i="54" s="1"/>
  <c r="D45" i="54"/>
  <c r="E45" i="54" s="1"/>
  <c r="D50" i="54"/>
  <c r="E50" i="54" s="1"/>
  <c r="D53" i="54"/>
  <c r="E53" i="54" s="1"/>
  <c r="D37" i="54"/>
  <c r="E37" i="54" s="1"/>
  <c r="D33" i="54"/>
  <c r="E33" i="54" s="1"/>
  <c r="D39" i="54"/>
  <c r="E39" i="54" s="1"/>
  <c r="D41" i="54"/>
  <c r="E41" i="54" s="1"/>
  <c r="D29" i="54"/>
  <c r="E29" i="54" s="1"/>
  <c r="D31" i="54"/>
  <c r="E31" i="54" s="1"/>
  <c r="D8" i="54"/>
  <c r="E8" i="54" s="1"/>
  <c r="D20" i="54"/>
  <c r="E20" i="54" s="1"/>
  <c r="D26" i="54"/>
  <c r="E26" i="54" s="1"/>
  <c r="D27" i="54"/>
  <c r="E27" i="54" s="1"/>
  <c r="E42" i="55" l="1"/>
  <c r="E56" i="55" s="1"/>
  <c r="D56" i="55"/>
  <c r="D56" i="50"/>
  <c r="E56" i="50" s="1"/>
  <c r="D56" i="53"/>
  <c r="E56" i="53" l="1"/>
  <c r="D56" i="54" l="1"/>
  <c r="D56" i="52"/>
  <c r="E56" i="54"/>
  <c r="D56" i="51"/>
  <c r="E56" i="52"/>
  <c r="E56" i="5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<sst xmlns="http://schemas.openxmlformats.org/spreadsheetml/2006/main" count="350" uniqueCount="66">
  <si>
    <t>Cremigurt Natural 150g</t>
  </si>
  <si>
    <t>Cremosillo Tradicional 230g</t>
  </si>
  <si>
    <t>Cremosillo Tradicional 150g</t>
  </si>
  <si>
    <t>Cremigurt Light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</si>
  <si>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</si>
  <si>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</si>
  <si>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</si>
  <si>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</si>
  <si>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</si>
  <si>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</si>
  <si>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</si>
  <si>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</si>
  <si>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</si>
  <si>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</si>
  <si>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</si>
  <si>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</si>
  <si>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</si>
  <si>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</si>
  <si>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</si>
  <si>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</si>
  <si>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</si>
  <si>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</si>
  <si>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</si>
  <si>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</si>
  <si>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</si>
  <si>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</si>
  <si>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</si>
  <si>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</si>
  <si>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</si>
  <si>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</si>
  <si>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</si>
  <si>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</si>
  <si>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</si>
  <si>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</si>
  <si>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</si>
  <si>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</si>
  <si>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</si>
  <si>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</si>
  <si>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</si>
  <si>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</si>
  <si>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</si>
  <si>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</si>
  <si>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</si>
  <si>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</si>
  <si>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</si>
  <si>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</si>
  <si>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</si>
  <si>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</si>
  <si>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</si>
  <si>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</si>
  <si>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INICIO VENTAS</t>
  </si>
  <si>
    <t>TRASCURSO VENTAS</t>
  </si>
  <si>
    <t>FINAL VENTAS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</si>
  <si>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</si>
  <si>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</si>
  <si>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</si>
  <si>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</si>
  <si>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</si>
  <si>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</si>
  <si>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</si>
  <si>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AGOSTO</t>
  </si>
  <si>
    <t>VENTA BRUTA</t>
  </si>
  <si>
    <t>Cremigurt Power Dulce de Leche 150g</t>
  </si>
  <si>
    <t>CARACAS</t>
  </si>
  <si>
    <t>LARA</t>
  </si>
  <si>
    <t>ZULIA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</si>
</sst>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8" Type="http://schemas.openxmlformats.org/officeDocument/2006/relationships/pivotCacheDefinition" Target="pivotCache/pivotCacheDefinition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39</v>
      </c>
    </row>
    <row r="2" spans="1:11" x14ac:dyDescent="0.25">
      <c r="B2">
        <v>2026</v>
      </c>
      <c r="J2" t="s">
        <v>40</v>
      </c>
      <c r="K2" t="s">
        <v>7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8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39</v>
      </c>
    </row>
    <row r="15" spans="1:11" x14ac:dyDescent="0.25">
      <c r="B15">
        <v>2026</v>
      </c>
      <c r="J15" t="s">
        <v>40</v>
      </c>
      <c r="K15" t="s">
        <v>7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9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F63"/>
  <sheetViews>
    <sheetView workbookViewId="0">
      <selection activeCell="E22" sqref="E22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6" ht="21" x14ac:dyDescent="0.35">
      <c r="B1" s="8" t="s">
        <v>65</v>
      </c>
      <c r="D1" s="2" t="s">
        <v>50</v>
      </c>
      <c r="E1" s="3">
        <v>46245</v>
      </c>
    </row>
    <row r="2" spans="1:6" x14ac:dyDescent="0.25">
      <c r="B2" s="9" t="s">
        <v>59</v>
      </c>
      <c r="D2" s="2" t="s">
        <v>51</v>
      </c>
      <c r="E2" s="3">
        <f ca="1">TODAY()</f>
        <v>46265</v>
      </c>
      <c r="F2" s="4">
        <f ca="1">NETWORKDAYS(E1,E2)-1</f>
        <v>14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 ca="1">NETWORKDAYS(E2,E3)</f>
        <v>1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389</v>
      </c>
      <c r="D8" s="5">
        <f ca="1">C8/$F$2</f>
        <v>27.785714285714285</v>
      </c>
      <c r="E8" s="5">
        <f ca="1">D8*21</f>
        <v>583.5</v>
      </c>
    </row>
    <row r="9" spans="1:6" x14ac:dyDescent="0.25">
      <c r="A9">
        <v>110151</v>
      </c>
      <c r="B9" t="s">
        <v>6</v>
      </c>
      <c r="C9">
        <v>42</v>
      </c>
      <c r="D9" s="5">
        <f t="shared" ref="D9:D55" ca="1" si="0">C9/$F$2</f>
        <v>3</v>
      </c>
      <c r="E9" s="5">
        <f t="shared" ref="E9:E55" ca="1" si="1">D9*21</f>
        <v>63</v>
      </c>
    </row>
    <row r="10" spans="1:6" x14ac:dyDescent="0.25">
      <c r="A10">
        <v>110230</v>
      </c>
      <c r="B10" t="s">
        <v>1</v>
      </c>
      <c r="C10">
        <v>131</v>
      </c>
      <c r="D10" s="5">
        <f t="shared" ca="1" si="0"/>
        <v>9.3571428571428577</v>
      </c>
      <c r="E10" s="5">
        <f t="shared" ca="1" si="1"/>
        <v>196.5</v>
      </c>
    </row>
    <row r="11" spans="1:6" x14ac:dyDescent="0.25">
      <c r="A11">
        <v>110400</v>
      </c>
      <c r="B11" t="s">
        <v>14</v>
      </c>
      <c r="C11">
        <v>21</v>
      </c>
      <c r="D11" s="5">
        <f t="shared" ca="1" si="0"/>
        <v>1.5</v>
      </c>
      <c r="E11" s="5">
        <f t="shared" ca="1" si="1"/>
        <v>31.5</v>
      </c>
    </row>
    <row r="12" spans="1:6" x14ac:dyDescent="0.25">
      <c r="A12">
        <v>111000</v>
      </c>
      <c r="B12" t="s">
        <v>15</v>
      </c>
      <c r="C12">
        <v>5</v>
      </c>
      <c r="D12" s="5">
        <f t="shared" ca="1" si="0"/>
        <v>0.35714285714285715</v>
      </c>
      <c r="E12" s="5">
        <f t="shared" ca="1" si="1"/>
        <v>7.5</v>
      </c>
    </row>
    <row r="13" spans="1:6" x14ac:dyDescent="0.25">
      <c r="A13">
        <v>120130</v>
      </c>
      <c r="B13" t="s">
        <v>16</v>
      </c>
      <c r="C13">
        <v>186</v>
      </c>
      <c r="D13" s="5">
        <f t="shared" ca="1" si="0"/>
        <v>13.285714285714286</v>
      </c>
      <c r="E13" s="5">
        <f t="shared" ca="1" si="1"/>
        <v>279</v>
      </c>
    </row>
    <row r="14" spans="1:6" x14ac:dyDescent="0.25">
      <c r="A14">
        <v>120131</v>
      </c>
      <c r="B14" t="s">
        <v>24</v>
      </c>
      <c r="C14">
        <v>113</v>
      </c>
      <c r="D14" s="5">
        <f t="shared" ca="1" si="0"/>
        <v>8.0714285714285712</v>
      </c>
      <c r="E14" s="5">
        <f t="shared" ca="1" si="1"/>
        <v>169.5</v>
      </c>
    </row>
    <row r="15" spans="1:6" x14ac:dyDescent="0.25">
      <c r="A15">
        <v>120132</v>
      </c>
      <c r="B15" t="s">
        <v>22</v>
      </c>
      <c r="C15">
        <v>175</v>
      </c>
      <c r="D15" s="5">
        <f t="shared" ca="1" si="0"/>
        <v>12.5</v>
      </c>
      <c r="E15" s="5">
        <f t="shared" ca="1" si="1"/>
        <v>262.5</v>
      </c>
    </row>
    <row r="16" spans="1:6" x14ac:dyDescent="0.25">
      <c r="A16">
        <v>130150</v>
      </c>
      <c r="B16" t="s">
        <v>0</v>
      </c>
      <c r="C16">
        <v>324</v>
      </c>
      <c r="D16" s="5">
        <f t="shared" ca="1" si="0"/>
        <v>23.142857142857142</v>
      </c>
      <c r="E16" s="5">
        <f t="shared" ca="1" si="1"/>
        <v>486</v>
      </c>
    </row>
    <row r="17" spans="1:5" x14ac:dyDescent="0.25">
      <c r="A17">
        <v>130151</v>
      </c>
      <c r="B17" t="s">
        <v>5</v>
      </c>
      <c r="C17">
        <v>0</v>
      </c>
      <c r="D17" s="5">
        <f t="shared" ca="1" si="0"/>
        <v>0</v>
      </c>
      <c r="E17" s="5">
        <f t="shared" ca="1" si="1"/>
        <v>0</v>
      </c>
    </row>
    <row r="18" spans="1:5" x14ac:dyDescent="0.25">
      <c r="A18">
        <v>130152</v>
      </c>
      <c r="B18" t="s">
        <v>55</v>
      </c>
      <c r="C18">
        <v>730</v>
      </c>
      <c r="D18" s="5">
        <f t="shared" ca="1" si="0"/>
        <v>52.142857142857146</v>
      </c>
      <c r="E18" s="5">
        <f t="shared" ca="1" si="1"/>
        <v>1095</v>
      </c>
    </row>
    <row r="19" spans="1:5" x14ac:dyDescent="0.25">
      <c r="A19">
        <v>130153</v>
      </c>
      <c r="B19" t="s">
        <v>56</v>
      </c>
      <c r="C19">
        <v>452</v>
      </c>
      <c r="D19" s="5">
        <f t="shared" ca="1" si="0"/>
        <v>32.285714285714285</v>
      </c>
      <c r="E19" s="5">
        <f t="shared" ca="1" si="1"/>
        <v>678</v>
      </c>
    </row>
    <row r="20" spans="1:5" x14ac:dyDescent="0.25">
      <c r="A20">
        <v>130154</v>
      </c>
      <c r="B20" t="s">
        <v>57</v>
      </c>
      <c r="C20">
        <v>458</v>
      </c>
      <c r="D20" s="5">
        <f t="shared" ca="1" si="0"/>
        <v>32.714285714285715</v>
      </c>
      <c r="E20" s="5">
        <f t="shared" ca="1" si="1"/>
        <v>687</v>
      </c>
    </row>
    <row r="21" spans="1:5" x14ac:dyDescent="0.25">
      <c r="A21">
        <v>130155</v>
      </c>
      <c r="B21" t="s">
        <v>17</v>
      </c>
      <c r="C21">
        <v>531</v>
      </c>
      <c r="D21" s="5">
        <f t="shared" ca="1" si="0"/>
        <v>37.928571428571431</v>
      </c>
      <c r="E21" s="5">
        <f t="shared" ca="1" si="1"/>
        <v>796.5</v>
      </c>
    </row>
    <row r="22" spans="1:5" x14ac:dyDescent="0.25">
      <c r="A22">
        <v>130156</v>
      </c>
      <c r="B22" t="s">
        <v>3</v>
      </c>
      <c r="C22">
        <v>0</v>
      </c>
      <c r="D22" s="5">
        <f t="shared" ca="1" si="0"/>
        <v>0</v>
      </c>
      <c r="E22" s="5">
        <f t="shared" ca="1" si="1"/>
        <v>0</v>
      </c>
    </row>
    <row r="23" spans="1:5" x14ac:dyDescent="0.25">
      <c r="A23">
        <v>130157</v>
      </c>
      <c r="B23" t="s">
        <v>44</v>
      </c>
      <c r="C23">
        <v>64</v>
      </c>
      <c r="D23" s="5">
        <f t="shared" ca="1" si="0"/>
        <v>4.5714285714285712</v>
      </c>
      <c r="E23" s="5">
        <f t="shared" ca="1" si="1"/>
        <v>96</v>
      </c>
    </row>
    <row r="24" spans="1:5" x14ac:dyDescent="0.25">
      <c r="A24">
        <v>130158</v>
      </c>
      <c r="B24" t="s">
        <v>45</v>
      </c>
      <c r="C24">
        <v>79</v>
      </c>
      <c r="D24" s="5">
        <f t="shared" ca="1" si="0"/>
        <v>5.6428571428571432</v>
      </c>
      <c r="E24" s="5">
        <f t="shared" ca="1" si="1"/>
        <v>118.50000000000001</v>
      </c>
    </row>
    <row r="25" spans="1:5" x14ac:dyDescent="0.25">
      <c r="A25">
        <v>130159</v>
      </c>
      <c r="B25" t="s">
        <v>46</v>
      </c>
      <c r="C25">
        <v>64</v>
      </c>
      <c r="D25" s="5">
        <f t="shared" ca="1" si="0"/>
        <v>4.5714285714285712</v>
      </c>
      <c r="E25" s="5">
        <f t="shared" ca="1" si="1"/>
        <v>96</v>
      </c>
    </row>
    <row r="26" spans="1:5" x14ac:dyDescent="0.25">
      <c r="A26">
        <v>130700</v>
      </c>
      <c r="B26" t="s">
        <v>4</v>
      </c>
      <c r="C26">
        <v>94</v>
      </c>
      <c r="D26" s="5">
        <f t="shared" ca="1" si="0"/>
        <v>6.7142857142857144</v>
      </c>
      <c r="E26" s="5">
        <f t="shared" ca="1" si="1"/>
        <v>141</v>
      </c>
    </row>
    <row r="27" spans="1:5" x14ac:dyDescent="0.25">
      <c r="A27">
        <v>130701</v>
      </c>
      <c r="B27" t="s">
        <v>31</v>
      </c>
      <c r="C27">
        <v>20</v>
      </c>
      <c r="D27" s="5">
        <f t="shared" ca="1" si="0"/>
        <v>1.4285714285714286</v>
      </c>
      <c r="E27" s="5">
        <f t="shared" ca="1" si="1"/>
        <v>30</v>
      </c>
    </row>
    <row r="28" spans="1:5" x14ac:dyDescent="0.25">
      <c r="A28">
        <v>130702</v>
      </c>
      <c r="B28" t="s">
        <v>13</v>
      </c>
      <c r="C28">
        <v>87</v>
      </c>
      <c r="D28" s="5">
        <f t="shared" ca="1" si="0"/>
        <v>6.2142857142857144</v>
      </c>
      <c r="E28" s="5">
        <f t="shared" ca="1" si="1"/>
        <v>130.5</v>
      </c>
    </row>
    <row r="29" spans="1:5" x14ac:dyDescent="0.25">
      <c r="A29">
        <v>130703</v>
      </c>
      <c r="B29" t="s">
        <v>18</v>
      </c>
      <c r="C29">
        <v>235</v>
      </c>
      <c r="D29" s="5">
        <f t="shared" ca="1" si="0"/>
        <v>16.785714285714285</v>
      </c>
      <c r="E29" s="5">
        <f t="shared" ca="1" si="1"/>
        <v>352.5</v>
      </c>
    </row>
    <row r="30" spans="1:5" x14ac:dyDescent="0.25">
      <c r="A30">
        <v>130707</v>
      </c>
      <c r="B30" t="s">
        <v>43</v>
      </c>
      <c r="C30">
        <v>0</v>
      </c>
      <c r="D30" s="5">
        <f t="shared" ca="1" si="0"/>
        <v>0</v>
      </c>
      <c r="E30" s="5">
        <f t="shared" ca="1" si="1"/>
        <v>0</v>
      </c>
    </row>
    <row r="31" spans="1:5" x14ac:dyDescent="0.25">
      <c r="A31">
        <v>131150</v>
      </c>
      <c r="B31" t="s">
        <v>23</v>
      </c>
      <c r="C31">
        <v>313</v>
      </c>
      <c r="D31" s="5">
        <f t="shared" ca="1" si="0"/>
        <v>22.357142857142858</v>
      </c>
      <c r="E31" s="5">
        <f t="shared" ca="1" si="1"/>
        <v>469.5</v>
      </c>
    </row>
    <row r="32" spans="1:5" x14ac:dyDescent="0.25">
      <c r="A32">
        <v>131151</v>
      </c>
      <c r="B32" t="s">
        <v>20</v>
      </c>
      <c r="C32">
        <v>421</v>
      </c>
      <c r="D32" s="5">
        <f t="shared" ca="1" si="0"/>
        <v>30.071428571428573</v>
      </c>
      <c r="E32" s="5">
        <f t="shared" ca="1" si="1"/>
        <v>631.5</v>
      </c>
    </row>
    <row r="33" spans="1:5" x14ac:dyDescent="0.25">
      <c r="A33">
        <v>131152</v>
      </c>
      <c r="B33" t="s">
        <v>33</v>
      </c>
      <c r="C33">
        <v>192</v>
      </c>
      <c r="D33" s="5">
        <f t="shared" ca="1" si="0"/>
        <v>13.714285714285714</v>
      </c>
      <c r="E33" s="5">
        <f t="shared" ca="1" si="1"/>
        <v>288</v>
      </c>
    </row>
    <row r="34" spans="1:5" x14ac:dyDescent="0.25">
      <c r="A34">
        <v>131153</v>
      </c>
      <c r="B34" t="s">
        <v>12</v>
      </c>
      <c r="C34">
        <v>458</v>
      </c>
      <c r="D34" s="5">
        <f t="shared" ca="1" si="0"/>
        <v>32.714285714285715</v>
      </c>
      <c r="E34" s="5">
        <f t="shared" ca="1" si="1"/>
        <v>687</v>
      </c>
    </row>
    <row r="35" spans="1:5" x14ac:dyDescent="0.25">
      <c r="A35">
        <v>131154</v>
      </c>
      <c r="B35" t="s">
        <v>49</v>
      </c>
      <c r="C35">
        <v>44</v>
      </c>
      <c r="D35" s="5">
        <f t="shared" ca="1" si="0"/>
        <v>3.1428571428571428</v>
      </c>
      <c r="E35" s="5">
        <f t="shared" ca="1" si="1"/>
        <v>66</v>
      </c>
    </row>
    <row r="36" spans="1:5" x14ac:dyDescent="0.25">
      <c r="A36">
        <v>131155</v>
      </c>
      <c r="B36" t="s">
        <v>62</v>
      </c>
      <c r="C36">
        <v>39</v>
      </c>
      <c r="D36" s="5">
        <f t="shared" ca="1" si="0"/>
        <v>2.7857142857142856</v>
      </c>
      <c r="E36" s="5">
        <f t="shared" ca="1" si="1"/>
        <v>58.5</v>
      </c>
    </row>
    <row r="37" spans="1:5" x14ac:dyDescent="0.25">
      <c r="A37">
        <v>131700</v>
      </c>
      <c r="B37" t="s">
        <v>21</v>
      </c>
      <c r="C37">
        <v>96</v>
      </c>
      <c r="D37" s="5">
        <f t="shared" ca="1" si="0"/>
        <v>6.8571428571428568</v>
      </c>
      <c r="E37" s="5">
        <f t="shared" ca="1" si="1"/>
        <v>144</v>
      </c>
    </row>
    <row r="38" spans="1:5" x14ac:dyDescent="0.25">
      <c r="A38">
        <v>131701</v>
      </c>
      <c r="B38" t="s">
        <v>25</v>
      </c>
      <c r="C38">
        <v>61</v>
      </c>
      <c r="D38" s="5">
        <f t="shared" ca="1" si="0"/>
        <v>4.3571428571428568</v>
      </c>
      <c r="E38" s="5">
        <f t="shared" ca="1" si="1"/>
        <v>91.499999999999986</v>
      </c>
    </row>
    <row r="39" spans="1:5" x14ac:dyDescent="0.25">
      <c r="A39">
        <v>132150</v>
      </c>
      <c r="B39" t="s">
        <v>26</v>
      </c>
      <c r="C39">
        <v>356</v>
      </c>
      <c r="D39" s="5">
        <f t="shared" ca="1" si="0"/>
        <v>25.428571428571427</v>
      </c>
      <c r="E39" s="5">
        <f t="shared" ca="1" si="1"/>
        <v>534</v>
      </c>
    </row>
    <row r="40" spans="1:5" x14ac:dyDescent="0.25">
      <c r="A40">
        <v>132151</v>
      </c>
      <c r="B40" t="s">
        <v>27</v>
      </c>
      <c r="C40">
        <v>390</v>
      </c>
      <c r="D40" s="5">
        <f t="shared" ca="1" si="0"/>
        <v>27.857142857142858</v>
      </c>
      <c r="E40" s="5">
        <f t="shared" ca="1" si="1"/>
        <v>585</v>
      </c>
    </row>
    <row r="41" spans="1:5" x14ac:dyDescent="0.25">
      <c r="A41">
        <v>132152</v>
      </c>
      <c r="B41" t="s">
        <v>28</v>
      </c>
      <c r="C41">
        <v>361</v>
      </c>
      <c r="D41" s="5">
        <f t="shared" ca="1" si="0"/>
        <v>25.785714285714285</v>
      </c>
      <c r="E41" s="5">
        <f t="shared" ca="1" si="1"/>
        <v>541.5</v>
      </c>
    </row>
    <row r="42" spans="1:5" x14ac:dyDescent="0.25">
      <c r="A42">
        <v>132153</v>
      </c>
      <c r="B42" t="s">
        <v>41</v>
      </c>
      <c r="C42">
        <v>438</v>
      </c>
      <c r="D42" s="5">
        <f t="shared" ca="1" si="0"/>
        <v>31.285714285714285</v>
      </c>
      <c r="E42" s="5">
        <f t="shared" ca="1" si="1"/>
        <v>657</v>
      </c>
    </row>
    <row r="43" spans="1:5" x14ac:dyDescent="0.25">
      <c r="A43">
        <v>134000</v>
      </c>
      <c r="B43" t="s">
        <v>36</v>
      </c>
      <c r="C43"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134001</v>
      </c>
      <c r="B44" t="s">
        <v>48</v>
      </c>
      <c r="C44">
        <v>0</v>
      </c>
      <c r="D44" s="5">
        <f t="shared" ca="1" si="0"/>
        <v>0</v>
      </c>
      <c r="E44" s="5">
        <f t="shared" ca="1" si="1"/>
        <v>0</v>
      </c>
    </row>
    <row r="45" spans="1:5" x14ac:dyDescent="0.25">
      <c r="A45">
        <v>140230</v>
      </c>
      <c r="B45" t="s">
        <v>19</v>
      </c>
      <c r="C45">
        <v>66</v>
      </c>
      <c r="D45" s="5">
        <f t="shared" ca="1" si="0"/>
        <v>4.7142857142857144</v>
      </c>
      <c r="E45" s="5">
        <f t="shared" ca="1" si="1"/>
        <v>99</v>
      </c>
    </row>
    <row r="46" spans="1:5" x14ac:dyDescent="0.25">
      <c r="A46">
        <v>140231</v>
      </c>
      <c r="B46" t="s">
        <v>11</v>
      </c>
      <c r="C46">
        <v>220</v>
      </c>
      <c r="D46" s="5">
        <f t="shared" ca="1" si="0"/>
        <v>15.714285714285714</v>
      </c>
      <c r="E46" s="5">
        <f t="shared" ca="1" si="1"/>
        <v>330</v>
      </c>
    </row>
    <row r="47" spans="1:5" x14ac:dyDescent="0.25">
      <c r="A47">
        <v>140232</v>
      </c>
      <c r="B47" t="s">
        <v>10</v>
      </c>
      <c r="C47">
        <v>0</v>
      </c>
      <c r="D47" s="5">
        <f t="shared" ca="1" si="0"/>
        <v>0</v>
      </c>
      <c r="E47" s="5">
        <f t="shared" ca="1" si="1"/>
        <v>0</v>
      </c>
    </row>
    <row r="48" spans="1:5" x14ac:dyDescent="0.25">
      <c r="A48">
        <v>150360</v>
      </c>
      <c r="B48" t="s">
        <v>29</v>
      </c>
      <c r="C48">
        <v>235</v>
      </c>
      <c r="D48" s="5">
        <f t="shared" ca="1" si="0"/>
        <v>16.785714285714285</v>
      </c>
      <c r="E48" s="5">
        <f t="shared" ca="1" si="1"/>
        <v>352.5</v>
      </c>
    </row>
    <row r="49" spans="1:5" x14ac:dyDescent="0.25">
      <c r="A49">
        <v>150361</v>
      </c>
      <c r="B49" t="s">
        <v>30</v>
      </c>
      <c r="C49">
        <v>256</v>
      </c>
      <c r="D49" s="5">
        <f t="shared" ca="1" si="0"/>
        <v>18.285714285714285</v>
      </c>
      <c r="E49" s="5">
        <f t="shared" ca="1" si="1"/>
        <v>384</v>
      </c>
    </row>
    <row r="50" spans="1:5" x14ac:dyDescent="0.25">
      <c r="A50">
        <v>150362</v>
      </c>
      <c r="B50" t="s">
        <v>37</v>
      </c>
      <c r="C50">
        <v>266</v>
      </c>
      <c r="D50" s="5">
        <f t="shared" ca="1" si="0"/>
        <v>19</v>
      </c>
      <c r="E50" s="5">
        <f t="shared" ca="1" si="1"/>
        <v>399</v>
      </c>
    </row>
    <row r="51" spans="1:5" x14ac:dyDescent="0.25">
      <c r="A51">
        <v>150363</v>
      </c>
      <c r="B51" t="s">
        <v>32</v>
      </c>
      <c r="C51">
        <v>244</v>
      </c>
      <c r="D51" s="5">
        <f t="shared" ca="1" si="0"/>
        <v>17.428571428571427</v>
      </c>
      <c r="E51" s="5">
        <f t="shared" ca="1" si="1"/>
        <v>365.99999999999994</v>
      </c>
    </row>
    <row r="52" spans="1:5" x14ac:dyDescent="0.25">
      <c r="A52">
        <v>151500</v>
      </c>
      <c r="B52" t="s">
        <v>42</v>
      </c>
      <c r="C52">
        <v>50</v>
      </c>
      <c r="D52" s="5">
        <f t="shared" ca="1" si="0"/>
        <v>3.5714285714285716</v>
      </c>
      <c r="E52" s="5">
        <f t="shared" ca="1" si="1"/>
        <v>75</v>
      </c>
    </row>
    <row r="53" spans="1:5" x14ac:dyDescent="0.25">
      <c r="A53">
        <v>151501</v>
      </c>
      <c r="B53" t="s">
        <v>34</v>
      </c>
      <c r="C53">
        <v>52</v>
      </c>
      <c r="D53" s="5">
        <f t="shared" ca="1" si="0"/>
        <v>3.7142857142857144</v>
      </c>
      <c r="E53" s="5">
        <f t="shared" ca="1" si="1"/>
        <v>78</v>
      </c>
    </row>
    <row r="54" spans="1:5" x14ac:dyDescent="0.25">
      <c r="A54">
        <v>151502</v>
      </c>
      <c r="B54" t="s">
        <v>38</v>
      </c>
      <c r="C54">
        <v>51</v>
      </c>
      <c r="D54" s="5">
        <f t="shared" ca="1" si="0"/>
        <v>3.6428571428571428</v>
      </c>
      <c r="E54" s="5">
        <f t="shared" ca="1" si="1"/>
        <v>76.5</v>
      </c>
    </row>
    <row r="55" spans="1:5" x14ac:dyDescent="0.25">
      <c r="A55">
        <v>151503</v>
      </c>
      <c r="B55" t="s">
        <v>35</v>
      </c>
      <c r="C55">
        <v>28</v>
      </c>
      <c r="D55" s="5">
        <f t="shared" ca="1" si="0"/>
        <v>2</v>
      </c>
      <c r="E55" s="5">
        <f t="shared" ca="1" si="1"/>
        <v>42</v>
      </c>
    </row>
    <row r="56" spans="1:5" x14ac:dyDescent="0.25">
      <c r="D56" s="5">
        <f ca="1">SUM(D8:D55)</f>
        <v>631.21428571428555</v>
      </c>
      <c r="E56" s="5">
        <f ca="1">D56*22</f>
        <v>13886.714285714283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F64"/>
  <sheetViews>
    <sheetView workbookViewId="0">
      <selection activeCell="F11" sqref="F11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6" ht="21" x14ac:dyDescent="0.35">
      <c r="B1" s="8" t="s">
        <v>47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f ca="1">TODAY()</f>
        <v>46265</v>
      </c>
      <c r="F2" s="4">
        <f ca="1">NETWORKDAYS(E1,E2)-1</f>
        <v>20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 ca="1">NETWORKDAYS(E2,E3)</f>
        <v>1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5050</v>
      </c>
      <c r="D8" s="5">
        <f ca="1">C8/$F$2</f>
        <v>252.5</v>
      </c>
      <c r="E8" s="5">
        <f ca="1">D8*21</f>
        <v>5302.5</v>
      </c>
    </row>
    <row r="9" spans="1:6" x14ac:dyDescent="0.25">
      <c r="A9">
        <v>110151</v>
      </c>
      <c r="B9" t="s">
        <v>6</v>
      </c>
      <c r="C9">
        <v>561</v>
      </c>
      <c r="D9" s="5">
        <f t="shared" ref="D9:D55" ca="1" si="0">C9/$F$2</f>
        <v>28.05</v>
      </c>
      <c r="E9" s="5">
        <f t="shared" ref="E9:E55" ca="1" si="1">D9*21</f>
        <v>589.05000000000007</v>
      </c>
    </row>
    <row r="10" spans="1:6" x14ac:dyDescent="0.25">
      <c r="A10">
        <v>110230</v>
      </c>
      <c r="B10" t="s">
        <v>1</v>
      </c>
      <c r="C10">
        <v>2807</v>
      </c>
      <c r="D10" s="5">
        <f t="shared" ca="1" si="0"/>
        <v>140.35</v>
      </c>
      <c r="E10" s="5">
        <f t="shared" ca="1" si="1"/>
        <v>2947.35</v>
      </c>
    </row>
    <row r="11" spans="1:6" x14ac:dyDescent="0.25">
      <c r="A11">
        <v>110400</v>
      </c>
      <c r="B11" t="s">
        <v>14</v>
      </c>
      <c r="C11">
        <v>529</v>
      </c>
      <c r="D11" s="5">
        <f t="shared" ca="1" si="0"/>
        <v>26.45</v>
      </c>
      <c r="E11" s="5">
        <f t="shared" ca="1" si="1"/>
        <v>555.44999999999993</v>
      </c>
    </row>
    <row r="12" spans="1:6" x14ac:dyDescent="0.25">
      <c r="A12">
        <v>111000</v>
      </c>
      <c r="B12" t="s">
        <v>15</v>
      </c>
      <c r="C12">
        <v>66</v>
      </c>
      <c r="D12" s="5">
        <f t="shared" ca="1" si="0"/>
        <v>3.3</v>
      </c>
      <c r="E12" s="5">
        <f t="shared" ca="1" si="1"/>
        <v>69.3</v>
      </c>
    </row>
    <row r="13" spans="1:6" x14ac:dyDescent="0.25">
      <c r="A13">
        <v>120130</v>
      </c>
      <c r="B13" t="s">
        <v>16</v>
      </c>
      <c r="C13">
        <v>6609</v>
      </c>
      <c r="D13" s="5">
        <f t="shared" ca="1" si="0"/>
        <v>330.45</v>
      </c>
      <c r="E13" s="5">
        <f t="shared" ca="1" si="1"/>
        <v>6939.45</v>
      </c>
    </row>
    <row r="14" spans="1:6" x14ac:dyDescent="0.25">
      <c r="A14">
        <v>120131</v>
      </c>
      <c r="B14" t="s">
        <v>24</v>
      </c>
      <c r="C14">
        <v>1104</v>
      </c>
      <c r="D14" s="5">
        <f t="shared" ca="1" si="0"/>
        <v>55.2</v>
      </c>
      <c r="E14" s="5">
        <f t="shared" ca="1" si="1"/>
        <v>1159.2</v>
      </c>
    </row>
    <row r="15" spans="1:6" x14ac:dyDescent="0.25">
      <c r="A15">
        <v>120132</v>
      </c>
      <c r="B15" t="s">
        <v>22</v>
      </c>
      <c r="C15">
        <v>2112</v>
      </c>
      <c r="D15" s="5">
        <f t="shared" ca="1" si="0"/>
        <v>105.6</v>
      </c>
      <c r="E15" s="5">
        <f t="shared" ca="1" si="1"/>
        <v>2217.6</v>
      </c>
    </row>
    <row r="16" spans="1:6" x14ac:dyDescent="0.25">
      <c r="A16">
        <v>130150</v>
      </c>
      <c r="B16" t="s">
        <v>0</v>
      </c>
      <c r="C16">
        <v>6526</v>
      </c>
      <c r="D16" s="5">
        <f t="shared" ca="1" si="0"/>
        <v>326.3</v>
      </c>
      <c r="E16" s="5">
        <f t="shared" ca="1" si="1"/>
        <v>6852.3</v>
      </c>
    </row>
    <row r="17" spans="1:5" x14ac:dyDescent="0.25">
      <c r="A17">
        <v>130151</v>
      </c>
      <c r="B17" t="s">
        <v>5</v>
      </c>
      <c r="C17">
        <v>2304</v>
      </c>
      <c r="D17" s="5">
        <f t="shared" ca="1" si="0"/>
        <v>115.2</v>
      </c>
      <c r="E17" s="5">
        <f t="shared" ca="1" si="1"/>
        <v>2419.2000000000003</v>
      </c>
    </row>
    <row r="18" spans="1:5" x14ac:dyDescent="0.25">
      <c r="A18">
        <v>130152</v>
      </c>
      <c r="B18" t="s">
        <v>55</v>
      </c>
      <c r="C18">
        <v>18282</v>
      </c>
      <c r="D18" s="5">
        <f t="shared" ca="1" si="0"/>
        <v>914.1</v>
      </c>
      <c r="E18" s="5">
        <f t="shared" ca="1" si="1"/>
        <v>19196.100000000002</v>
      </c>
    </row>
    <row r="19" spans="1:5" x14ac:dyDescent="0.25">
      <c r="A19">
        <v>130153</v>
      </c>
      <c r="B19" t="s">
        <v>56</v>
      </c>
      <c r="C19">
        <v>11471</v>
      </c>
      <c r="D19" s="5">
        <f t="shared" ca="1" si="0"/>
        <v>573.54999999999995</v>
      </c>
      <c r="E19" s="5">
        <f t="shared" ca="1" si="1"/>
        <v>12044.55</v>
      </c>
    </row>
    <row r="20" spans="1:5" x14ac:dyDescent="0.25">
      <c r="A20">
        <v>130154</v>
      </c>
      <c r="B20" t="s">
        <v>57</v>
      </c>
      <c r="C20">
        <v>11411</v>
      </c>
      <c r="D20" s="5">
        <f t="shared" ca="1" si="0"/>
        <v>570.54999999999995</v>
      </c>
      <c r="E20" s="5">
        <f t="shared" ca="1" si="1"/>
        <v>11981.55</v>
      </c>
    </row>
    <row r="21" spans="1:5" x14ac:dyDescent="0.25">
      <c r="A21">
        <v>130155</v>
      </c>
      <c r="B21" t="s">
        <v>17</v>
      </c>
      <c r="C21">
        <v>13397</v>
      </c>
      <c r="D21" s="5">
        <f t="shared" ca="1" si="0"/>
        <v>669.85</v>
      </c>
      <c r="E21" s="5">
        <f t="shared" ca="1" si="1"/>
        <v>14066.85</v>
      </c>
    </row>
    <row r="22" spans="1:5" x14ac:dyDescent="0.25">
      <c r="A22">
        <v>130156</v>
      </c>
      <c r="B22" t="s">
        <v>3</v>
      </c>
      <c r="C22">
        <v>-69</v>
      </c>
      <c r="D22" s="5">
        <f t="shared" ca="1" si="0"/>
        <v>-3.45</v>
      </c>
      <c r="E22" s="5">
        <f t="shared" ca="1" si="1"/>
        <v>-72.45</v>
      </c>
    </row>
    <row r="23" spans="1:5" x14ac:dyDescent="0.25">
      <c r="A23">
        <v>130157</v>
      </c>
      <c r="B23" t="s">
        <v>44</v>
      </c>
      <c r="C23">
        <v>2351</v>
      </c>
      <c r="D23" s="5">
        <f t="shared" ca="1" si="0"/>
        <v>117.55</v>
      </c>
      <c r="E23" s="5">
        <f t="shared" ca="1" si="1"/>
        <v>2468.5499999999997</v>
      </c>
    </row>
    <row r="24" spans="1:5" x14ac:dyDescent="0.25">
      <c r="A24">
        <v>130158</v>
      </c>
      <c r="B24" t="s">
        <v>45</v>
      </c>
      <c r="C24">
        <v>3110</v>
      </c>
      <c r="D24" s="5">
        <f t="shared" ca="1" si="0"/>
        <v>155.5</v>
      </c>
      <c r="E24" s="5">
        <f t="shared" ca="1" si="1"/>
        <v>3265.5</v>
      </c>
    </row>
    <row r="25" spans="1:5" x14ac:dyDescent="0.25">
      <c r="A25">
        <v>130159</v>
      </c>
      <c r="B25" t="s">
        <v>46</v>
      </c>
      <c r="C25">
        <v>2593</v>
      </c>
      <c r="D25" s="5">
        <f t="shared" ca="1" si="0"/>
        <v>129.65</v>
      </c>
      <c r="E25" s="5">
        <f t="shared" ca="1" si="1"/>
        <v>2722.65</v>
      </c>
    </row>
    <row r="26" spans="1:5" x14ac:dyDescent="0.25">
      <c r="A26">
        <v>130700</v>
      </c>
      <c r="B26" t="s">
        <v>4</v>
      </c>
      <c r="C26">
        <v>2146</v>
      </c>
      <c r="D26" s="5">
        <f t="shared" ca="1" si="0"/>
        <v>107.3</v>
      </c>
      <c r="E26" s="5">
        <f t="shared" ca="1" si="1"/>
        <v>2253.2999999999997</v>
      </c>
    </row>
    <row r="27" spans="1:5" x14ac:dyDescent="0.25">
      <c r="A27">
        <v>130701</v>
      </c>
      <c r="B27" t="s">
        <v>31</v>
      </c>
      <c r="C27">
        <v>1393</v>
      </c>
      <c r="D27" s="5">
        <f t="shared" ca="1" si="0"/>
        <v>69.650000000000006</v>
      </c>
      <c r="E27" s="5">
        <f t="shared" ca="1" si="1"/>
        <v>1462.65</v>
      </c>
    </row>
    <row r="28" spans="1:5" x14ac:dyDescent="0.25">
      <c r="A28">
        <v>130702</v>
      </c>
      <c r="B28" t="s">
        <v>13</v>
      </c>
      <c r="C28">
        <v>3575</v>
      </c>
      <c r="D28" s="5">
        <f t="shared" ca="1" si="0"/>
        <v>178.75</v>
      </c>
      <c r="E28" s="5">
        <f t="shared" ca="1" si="1"/>
        <v>3753.75</v>
      </c>
    </row>
    <row r="29" spans="1:5" x14ac:dyDescent="0.25">
      <c r="A29">
        <v>130703</v>
      </c>
      <c r="B29" t="s">
        <v>18</v>
      </c>
      <c r="C29">
        <v>4827</v>
      </c>
      <c r="D29" s="5">
        <f t="shared" ca="1" si="0"/>
        <v>241.35</v>
      </c>
      <c r="E29" s="5">
        <f t="shared" ca="1" si="1"/>
        <v>5068.3499999999995</v>
      </c>
    </row>
    <row r="30" spans="1:5" x14ac:dyDescent="0.25">
      <c r="A30">
        <v>130707</v>
      </c>
      <c r="B30" t="s">
        <v>43</v>
      </c>
      <c r="C30">
        <v>0</v>
      </c>
      <c r="D30" s="5">
        <f t="shared" ca="1" si="0"/>
        <v>0</v>
      </c>
      <c r="E30" s="5">
        <f t="shared" ca="1" si="1"/>
        <v>0</v>
      </c>
    </row>
    <row r="31" spans="1:5" x14ac:dyDescent="0.25">
      <c r="A31">
        <v>131150</v>
      </c>
      <c r="B31" t="s">
        <v>23</v>
      </c>
      <c r="C31">
        <v>3109</v>
      </c>
      <c r="D31" s="5">
        <f t="shared" ca="1" si="0"/>
        <v>155.44999999999999</v>
      </c>
      <c r="E31" s="5">
        <f t="shared" ca="1" si="1"/>
        <v>3264.45</v>
      </c>
    </row>
    <row r="32" spans="1:5" x14ac:dyDescent="0.25">
      <c r="A32">
        <v>131151</v>
      </c>
      <c r="B32" t="s">
        <v>20</v>
      </c>
      <c r="C32">
        <v>4687</v>
      </c>
      <c r="D32" s="5">
        <f t="shared" ca="1" si="0"/>
        <v>234.35</v>
      </c>
      <c r="E32" s="5">
        <f t="shared" ca="1" si="1"/>
        <v>4921.3499999999995</v>
      </c>
    </row>
    <row r="33" spans="1:5" x14ac:dyDescent="0.25">
      <c r="A33">
        <v>131152</v>
      </c>
      <c r="B33" t="s">
        <v>33</v>
      </c>
      <c r="C33">
        <v>2366</v>
      </c>
      <c r="D33" s="5">
        <f t="shared" ca="1" si="0"/>
        <v>118.3</v>
      </c>
      <c r="E33" s="5">
        <f t="shared" ca="1" si="1"/>
        <v>2484.2999999999997</v>
      </c>
    </row>
    <row r="34" spans="1:5" x14ac:dyDescent="0.25">
      <c r="A34">
        <v>131153</v>
      </c>
      <c r="B34" t="s">
        <v>12</v>
      </c>
      <c r="C34">
        <v>2127</v>
      </c>
      <c r="D34" s="5">
        <f t="shared" ca="1" si="0"/>
        <v>106.35</v>
      </c>
      <c r="E34" s="5">
        <f t="shared" ca="1" si="1"/>
        <v>2233.35</v>
      </c>
    </row>
    <row r="35" spans="1:5" x14ac:dyDescent="0.25">
      <c r="A35">
        <v>131154</v>
      </c>
      <c r="B35" t="s">
        <v>49</v>
      </c>
      <c r="C35">
        <v>773</v>
      </c>
      <c r="D35" s="5">
        <f t="shared" ca="1" si="0"/>
        <v>38.65</v>
      </c>
      <c r="E35" s="5">
        <f t="shared" ca="1" si="1"/>
        <v>811.65</v>
      </c>
    </row>
    <row r="36" spans="1:5" x14ac:dyDescent="0.25">
      <c r="A36">
        <v>131155</v>
      </c>
      <c r="B36" t="s">
        <v>62</v>
      </c>
      <c r="C36">
        <v>685</v>
      </c>
      <c r="D36" s="5">
        <f t="shared" ca="1" si="0"/>
        <v>34.25</v>
      </c>
      <c r="E36" s="5">
        <f t="shared" ca="1" si="1"/>
        <v>719.25</v>
      </c>
    </row>
    <row r="37" spans="1:5" x14ac:dyDescent="0.25">
      <c r="A37">
        <v>131700</v>
      </c>
      <c r="B37" t="s">
        <v>21</v>
      </c>
      <c r="C37">
        <v>787</v>
      </c>
      <c r="D37" s="5">
        <f t="shared" ca="1" si="0"/>
        <v>39.35</v>
      </c>
      <c r="E37" s="5">
        <f t="shared" ca="1" si="1"/>
        <v>826.35</v>
      </c>
    </row>
    <row r="38" spans="1:5" x14ac:dyDescent="0.25">
      <c r="A38">
        <v>131701</v>
      </c>
      <c r="B38" t="s">
        <v>25</v>
      </c>
      <c r="C38">
        <v>890</v>
      </c>
      <c r="D38" s="5">
        <f t="shared" ca="1" si="0"/>
        <v>44.5</v>
      </c>
      <c r="E38" s="5">
        <f t="shared" ca="1" si="1"/>
        <v>934.5</v>
      </c>
    </row>
    <row r="39" spans="1:5" x14ac:dyDescent="0.25">
      <c r="A39">
        <v>132150</v>
      </c>
      <c r="B39" t="s">
        <v>26</v>
      </c>
      <c r="C39">
        <v>2751</v>
      </c>
      <c r="D39" s="5">
        <f t="shared" ca="1" si="0"/>
        <v>137.55000000000001</v>
      </c>
      <c r="E39" s="5">
        <f t="shared" ca="1" si="1"/>
        <v>2888.55</v>
      </c>
    </row>
    <row r="40" spans="1:5" x14ac:dyDescent="0.25">
      <c r="A40">
        <v>132151</v>
      </c>
      <c r="B40" t="s">
        <v>27</v>
      </c>
      <c r="C40">
        <v>3769</v>
      </c>
      <c r="D40" s="5">
        <f t="shared" ca="1" si="0"/>
        <v>188.45</v>
      </c>
      <c r="E40" s="5">
        <f t="shared" ca="1" si="1"/>
        <v>3957.45</v>
      </c>
    </row>
    <row r="41" spans="1:5" x14ac:dyDescent="0.25">
      <c r="A41">
        <v>132152</v>
      </c>
      <c r="B41" t="s">
        <v>28</v>
      </c>
      <c r="C41">
        <v>5171</v>
      </c>
      <c r="D41" s="5">
        <f t="shared" ca="1" si="0"/>
        <v>258.55</v>
      </c>
      <c r="E41" s="5">
        <f t="shared" ca="1" si="1"/>
        <v>5429.55</v>
      </c>
    </row>
    <row r="42" spans="1:5" x14ac:dyDescent="0.25">
      <c r="A42">
        <v>132153</v>
      </c>
      <c r="B42" t="s">
        <v>41</v>
      </c>
      <c r="C42">
        <v>3848</v>
      </c>
      <c r="D42" s="5">
        <f t="shared" ca="1" si="0"/>
        <v>192.4</v>
      </c>
      <c r="E42" s="5">
        <f t="shared" ca="1" si="1"/>
        <v>4040.4</v>
      </c>
    </row>
    <row r="43" spans="1:5" x14ac:dyDescent="0.25">
      <c r="A43">
        <v>134000</v>
      </c>
      <c r="B43" t="s">
        <v>36</v>
      </c>
      <c r="C43">
        <v>27</v>
      </c>
      <c r="D43" s="5">
        <f t="shared" ca="1" si="0"/>
        <v>1.35</v>
      </c>
      <c r="E43" s="5">
        <f t="shared" ca="1" si="1"/>
        <v>28.35</v>
      </c>
    </row>
    <row r="44" spans="1:5" x14ac:dyDescent="0.25">
      <c r="A44">
        <v>134001</v>
      </c>
      <c r="B44" t="s">
        <v>48</v>
      </c>
      <c r="C44">
        <v>9</v>
      </c>
      <c r="D44" s="5">
        <f t="shared" ca="1" si="0"/>
        <v>0.45</v>
      </c>
      <c r="E44" s="5">
        <f t="shared" ca="1" si="1"/>
        <v>9.4500000000000011</v>
      </c>
    </row>
    <row r="45" spans="1:5" x14ac:dyDescent="0.25">
      <c r="A45">
        <v>140230</v>
      </c>
      <c r="B45" t="s">
        <v>19</v>
      </c>
      <c r="C45">
        <v>1172</v>
      </c>
      <c r="D45" s="5">
        <f t="shared" ca="1" si="0"/>
        <v>58.6</v>
      </c>
      <c r="E45" s="5">
        <f t="shared" ca="1" si="1"/>
        <v>1230.6000000000001</v>
      </c>
    </row>
    <row r="46" spans="1:5" x14ac:dyDescent="0.25">
      <c r="A46">
        <v>140231</v>
      </c>
      <c r="B46" t="s">
        <v>11</v>
      </c>
      <c r="C46">
        <v>3462</v>
      </c>
      <c r="D46" s="5">
        <f t="shared" ca="1" si="0"/>
        <v>173.1</v>
      </c>
      <c r="E46" s="5">
        <f t="shared" ca="1" si="1"/>
        <v>3635.1</v>
      </c>
    </row>
    <row r="47" spans="1:5" x14ac:dyDescent="0.25">
      <c r="A47">
        <v>140232</v>
      </c>
      <c r="B47" t="s">
        <v>10</v>
      </c>
      <c r="C47">
        <v>843</v>
      </c>
      <c r="D47" s="5">
        <f t="shared" ca="1" si="0"/>
        <v>42.15</v>
      </c>
      <c r="E47" s="5">
        <f t="shared" ca="1" si="1"/>
        <v>885.15</v>
      </c>
    </row>
    <row r="48" spans="1:5" x14ac:dyDescent="0.25">
      <c r="A48">
        <v>150360</v>
      </c>
      <c r="B48" t="s">
        <v>29</v>
      </c>
      <c r="C48">
        <v>1943</v>
      </c>
      <c r="D48" s="5">
        <f t="shared" ca="1" si="0"/>
        <v>97.15</v>
      </c>
      <c r="E48" s="5">
        <f t="shared" ca="1" si="1"/>
        <v>2040.15</v>
      </c>
    </row>
    <row r="49" spans="1:5" x14ac:dyDescent="0.25">
      <c r="A49">
        <v>150361</v>
      </c>
      <c r="B49" t="s">
        <v>30</v>
      </c>
      <c r="C49">
        <v>3072</v>
      </c>
      <c r="D49" s="5">
        <f t="shared" ca="1" si="0"/>
        <v>153.6</v>
      </c>
      <c r="E49" s="5">
        <f t="shared" ca="1" si="1"/>
        <v>3225.6</v>
      </c>
    </row>
    <row r="50" spans="1:5" x14ac:dyDescent="0.25">
      <c r="A50">
        <v>150362</v>
      </c>
      <c r="B50" t="s">
        <v>37</v>
      </c>
      <c r="C50">
        <v>1657</v>
      </c>
      <c r="D50" s="5">
        <f t="shared" ca="1" si="0"/>
        <v>82.85</v>
      </c>
      <c r="E50" s="5">
        <f t="shared" ca="1" si="1"/>
        <v>1739.85</v>
      </c>
    </row>
    <row r="51" spans="1:5" x14ac:dyDescent="0.25">
      <c r="A51">
        <v>150363</v>
      </c>
      <c r="B51" t="s">
        <v>32</v>
      </c>
      <c r="C51">
        <v>1902</v>
      </c>
      <c r="D51" s="5">
        <f t="shared" ca="1" si="0"/>
        <v>95.1</v>
      </c>
      <c r="E51" s="5">
        <f t="shared" ca="1" si="1"/>
        <v>1997.1</v>
      </c>
    </row>
    <row r="52" spans="1:5" x14ac:dyDescent="0.25">
      <c r="A52">
        <v>151500</v>
      </c>
      <c r="B52" t="s">
        <v>42</v>
      </c>
      <c r="C52">
        <v>431</v>
      </c>
      <c r="D52" s="5">
        <f t="shared" ca="1" si="0"/>
        <v>21.55</v>
      </c>
      <c r="E52" s="5">
        <f t="shared" ca="1" si="1"/>
        <v>452.55</v>
      </c>
    </row>
    <row r="53" spans="1:5" x14ac:dyDescent="0.25">
      <c r="A53">
        <v>151501</v>
      </c>
      <c r="B53" t="s">
        <v>34</v>
      </c>
      <c r="C53">
        <v>840</v>
      </c>
      <c r="D53" s="5">
        <f t="shared" ca="1" si="0"/>
        <v>42</v>
      </c>
      <c r="E53" s="5">
        <f t="shared" ca="1" si="1"/>
        <v>882</v>
      </c>
    </row>
    <row r="54" spans="1:5" x14ac:dyDescent="0.25">
      <c r="A54">
        <v>151502</v>
      </c>
      <c r="B54" t="s">
        <v>38</v>
      </c>
      <c r="C54">
        <v>403</v>
      </c>
      <c r="D54" s="5">
        <f t="shared" ca="1" si="0"/>
        <v>20.149999999999999</v>
      </c>
      <c r="E54" s="5">
        <f t="shared" ca="1" si="1"/>
        <v>423.15</v>
      </c>
    </row>
    <row r="55" spans="1:5" x14ac:dyDescent="0.25">
      <c r="A55">
        <v>151503</v>
      </c>
      <c r="B55" t="s">
        <v>35</v>
      </c>
      <c r="C55">
        <v>402</v>
      </c>
      <c r="D55" s="5">
        <f t="shared" ca="1" si="0"/>
        <v>20.100000000000001</v>
      </c>
      <c r="E55" s="5">
        <f t="shared" ca="1" si="1"/>
        <v>422.1</v>
      </c>
    </row>
    <row r="56" spans="1:5" x14ac:dyDescent="0.25">
      <c r="D56" s="5">
        <f ca="1">SUM(D8:D64)</f>
        <v>8039.7857142857129</v>
      </c>
      <c r="E56" s="5">
        <f ca="1">SUM(E8:E64)</f>
        <v>176875.28571428574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3"/>
  <sheetViews>
    <sheetView tabSelected="1" workbookViewId="0">
      <selection activeCell="G23" sqref="G23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63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f ca="1">TODAY()</f>
        <v>46265</v>
      </c>
      <c r="F2" s="4">
        <f ca="1">NETWORKDAYS(E1,E2)-1</f>
        <v>20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 ca="1">NETWORKDAYS(E2,E3)</f>
        <v>1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15638</v>
      </c>
      <c r="D8" s="5">
        <f ca="1">C8/$F$2</f>
        <v>781.9</v>
      </c>
      <c r="E8" s="5">
        <f ca="1">D8*21</f>
        <v>16419.899999999998</v>
      </c>
      <c r="F8" s="5"/>
    </row>
    <row r="9" spans="1:6" x14ac:dyDescent="0.25">
      <c r="A9">
        <v>110151</v>
      </c>
      <c r="B9" t="s">
        <v>6</v>
      </c>
      <c r="C9">
        <v>708</v>
      </c>
      <c r="D9" s="5">
        <f t="shared" ref="D9:D55" ca="1" si="0">C9/$F$2</f>
        <v>35.4</v>
      </c>
      <c r="E9" s="5">
        <f t="shared" ref="E9:E55" ca="1" si="1">D9*21</f>
        <v>743.4</v>
      </c>
    </row>
    <row r="10" spans="1:6" x14ac:dyDescent="0.25">
      <c r="A10">
        <v>110230</v>
      </c>
      <c r="B10" t="s">
        <v>1</v>
      </c>
      <c r="C10">
        <v>6166</v>
      </c>
      <c r="D10" s="5">
        <f t="shared" ca="1" si="0"/>
        <v>308.3</v>
      </c>
      <c r="E10" s="5">
        <f ca="1">D10*21</f>
        <v>6474.3</v>
      </c>
    </row>
    <row r="11" spans="1:6" x14ac:dyDescent="0.25">
      <c r="A11">
        <v>110400</v>
      </c>
      <c r="B11" t="s">
        <v>14</v>
      </c>
      <c r="C11">
        <v>1120</v>
      </c>
      <c r="D11" s="5">
        <f t="shared" ca="1" si="0"/>
        <v>56</v>
      </c>
      <c r="E11" s="5">
        <f t="shared" ca="1" si="1"/>
        <v>1176</v>
      </c>
    </row>
    <row r="12" spans="1:6" x14ac:dyDescent="0.25">
      <c r="A12">
        <v>111000</v>
      </c>
      <c r="B12" t="s">
        <v>15</v>
      </c>
      <c r="C12">
        <v>163</v>
      </c>
      <c r="D12" s="5">
        <f t="shared" ca="1" si="0"/>
        <v>8.15</v>
      </c>
      <c r="E12" s="5">
        <f t="shared" ca="1" si="1"/>
        <v>171.15</v>
      </c>
    </row>
    <row r="13" spans="1:6" x14ac:dyDescent="0.25">
      <c r="A13">
        <v>120130</v>
      </c>
      <c r="B13" t="s">
        <v>16</v>
      </c>
      <c r="C13">
        <v>16747</v>
      </c>
      <c r="D13" s="5">
        <f t="shared" ca="1" si="0"/>
        <v>837.35</v>
      </c>
      <c r="E13" s="5">
        <f t="shared" ca="1" si="1"/>
        <v>17584.350000000002</v>
      </c>
    </row>
    <row r="14" spans="1:6" x14ac:dyDescent="0.25">
      <c r="A14">
        <v>120131</v>
      </c>
      <c r="B14" t="s">
        <v>24</v>
      </c>
      <c r="C14">
        <v>1186</v>
      </c>
      <c r="D14" s="5">
        <f t="shared" ca="1" si="0"/>
        <v>59.3</v>
      </c>
      <c r="E14" s="5">
        <f t="shared" ca="1" si="1"/>
        <v>1245.3</v>
      </c>
    </row>
    <row r="15" spans="1:6" x14ac:dyDescent="0.25">
      <c r="A15">
        <v>120132</v>
      </c>
      <c r="B15" t="s">
        <v>22</v>
      </c>
      <c r="C15">
        <v>2940</v>
      </c>
      <c r="D15" s="5">
        <f t="shared" ca="1" si="0"/>
        <v>147</v>
      </c>
      <c r="E15" s="5">
        <f t="shared" ca="1" si="1"/>
        <v>3087</v>
      </c>
    </row>
    <row r="16" spans="1:6" x14ac:dyDescent="0.25">
      <c r="A16">
        <v>130150</v>
      </c>
      <c r="B16" t="s">
        <v>0</v>
      </c>
      <c r="C16">
        <v>5745</v>
      </c>
      <c r="D16" s="5">
        <f t="shared" ca="1" si="0"/>
        <v>287.25</v>
      </c>
      <c r="E16" s="5">
        <f t="shared" ca="1" si="1"/>
        <v>6032.25</v>
      </c>
    </row>
    <row r="17" spans="1:5" x14ac:dyDescent="0.25">
      <c r="A17">
        <v>130151</v>
      </c>
      <c r="B17" t="s">
        <v>5</v>
      </c>
      <c r="C17">
        <v>3889</v>
      </c>
      <c r="D17" s="5">
        <f t="shared" ca="1" si="0"/>
        <v>194.45</v>
      </c>
      <c r="E17" s="5">
        <f t="shared" ca="1" si="1"/>
        <v>4083.45</v>
      </c>
    </row>
    <row r="18" spans="1:5" x14ac:dyDescent="0.25">
      <c r="A18">
        <v>130152</v>
      </c>
      <c r="B18" t="s">
        <v>55</v>
      </c>
      <c r="C18">
        <v>34041</v>
      </c>
      <c r="D18" s="5">
        <f t="shared" ca="1" si="0"/>
        <v>1702.05</v>
      </c>
      <c r="E18" s="5">
        <f t="shared" ca="1" si="1"/>
        <v>35743.049999999996</v>
      </c>
    </row>
    <row r="19" spans="1:5" x14ac:dyDescent="0.25">
      <c r="A19">
        <v>130153</v>
      </c>
      <c r="B19" t="s">
        <v>56</v>
      </c>
      <c r="C19">
        <v>24073</v>
      </c>
      <c r="D19" s="5">
        <f t="shared" ca="1" si="0"/>
        <v>1203.6500000000001</v>
      </c>
      <c r="E19" s="5">
        <f t="shared" ca="1" si="1"/>
        <v>25276.65</v>
      </c>
    </row>
    <row r="20" spans="1:5" x14ac:dyDescent="0.25">
      <c r="A20">
        <v>130154</v>
      </c>
      <c r="B20" t="s">
        <v>57</v>
      </c>
      <c r="C20">
        <v>22454</v>
      </c>
      <c r="D20" s="5">
        <f t="shared" ca="1" si="0"/>
        <v>1122.7</v>
      </c>
      <c r="E20" s="5">
        <f t="shared" ca="1" si="1"/>
        <v>23576.7</v>
      </c>
    </row>
    <row r="21" spans="1:5" x14ac:dyDescent="0.25">
      <c r="A21">
        <v>130155</v>
      </c>
      <c r="B21" t="s">
        <v>17</v>
      </c>
      <c r="C21">
        <v>28196</v>
      </c>
      <c r="D21" s="5">
        <f t="shared" ca="1" si="0"/>
        <v>1409.8</v>
      </c>
      <c r="E21" s="5">
        <f t="shared" ca="1" si="1"/>
        <v>29605.8</v>
      </c>
    </row>
    <row r="22" spans="1:5" x14ac:dyDescent="0.25">
      <c r="A22">
        <v>130156</v>
      </c>
      <c r="B22" t="s">
        <v>3</v>
      </c>
      <c r="C22">
        <v>176</v>
      </c>
      <c r="D22" s="5">
        <f t="shared" ca="1" si="0"/>
        <v>8.8000000000000007</v>
      </c>
      <c r="E22" s="5">
        <f t="shared" ca="1" si="1"/>
        <v>184.8</v>
      </c>
    </row>
    <row r="23" spans="1:5" x14ac:dyDescent="0.25">
      <c r="A23">
        <v>130157</v>
      </c>
      <c r="B23" t="s">
        <v>44</v>
      </c>
      <c r="C23">
        <v>3277</v>
      </c>
      <c r="D23" s="5">
        <f t="shared" ca="1" si="0"/>
        <v>163.85</v>
      </c>
      <c r="E23" s="5">
        <f t="shared" ca="1" si="1"/>
        <v>3440.85</v>
      </c>
    </row>
    <row r="24" spans="1:5" x14ac:dyDescent="0.25">
      <c r="A24">
        <v>130158</v>
      </c>
      <c r="B24" t="s">
        <v>45</v>
      </c>
      <c r="C24">
        <v>3362</v>
      </c>
      <c r="D24" s="5">
        <f t="shared" ca="1" si="0"/>
        <v>168.1</v>
      </c>
      <c r="E24" s="5">
        <f t="shared" ca="1" si="1"/>
        <v>3530.1</v>
      </c>
    </row>
    <row r="25" spans="1:5" x14ac:dyDescent="0.25">
      <c r="A25">
        <v>130159</v>
      </c>
      <c r="B25" t="s">
        <v>46</v>
      </c>
      <c r="C25">
        <v>3451</v>
      </c>
      <c r="D25" s="5">
        <f t="shared" ca="1" si="0"/>
        <v>172.55</v>
      </c>
      <c r="E25" s="5">
        <f t="shared" ca="1" si="1"/>
        <v>3623.55</v>
      </c>
    </row>
    <row r="26" spans="1:5" x14ac:dyDescent="0.25">
      <c r="A26">
        <v>130700</v>
      </c>
      <c r="B26" t="s">
        <v>4</v>
      </c>
      <c r="C26">
        <v>1709</v>
      </c>
      <c r="D26" s="5">
        <f t="shared" ca="1" si="0"/>
        <v>85.45</v>
      </c>
      <c r="E26" s="5">
        <f t="shared" ca="1" si="1"/>
        <v>1794.45</v>
      </c>
    </row>
    <row r="27" spans="1:5" x14ac:dyDescent="0.25">
      <c r="A27">
        <v>130701</v>
      </c>
      <c r="B27" t="s">
        <v>31</v>
      </c>
      <c r="C27">
        <v>1033</v>
      </c>
      <c r="D27" s="5">
        <f t="shared" ca="1" si="0"/>
        <v>51.65</v>
      </c>
      <c r="E27" s="5">
        <f t="shared" ca="1" si="1"/>
        <v>1084.6499999999999</v>
      </c>
    </row>
    <row r="28" spans="1:5" x14ac:dyDescent="0.25">
      <c r="A28">
        <v>130702</v>
      </c>
      <c r="B28" t="s">
        <v>13</v>
      </c>
      <c r="C28">
        <v>4315</v>
      </c>
      <c r="D28" s="5">
        <f t="shared" ca="1" si="0"/>
        <v>215.75</v>
      </c>
      <c r="E28" s="5">
        <f t="shared" ca="1" si="1"/>
        <v>4530.75</v>
      </c>
    </row>
    <row r="29" spans="1:5" x14ac:dyDescent="0.25">
      <c r="A29">
        <v>130703</v>
      </c>
      <c r="B29" t="s">
        <v>18</v>
      </c>
      <c r="C29">
        <v>7949</v>
      </c>
      <c r="D29" s="5">
        <f t="shared" ca="1" si="0"/>
        <v>397.45</v>
      </c>
      <c r="E29" s="5">
        <f t="shared" ca="1" si="1"/>
        <v>8346.4499999999989</v>
      </c>
    </row>
    <row r="30" spans="1:5" x14ac:dyDescent="0.25">
      <c r="A30">
        <v>130707</v>
      </c>
      <c r="B30" t="s">
        <v>43</v>
      </c>
      <c r="C30">
        <v>1180</v>
      </c>
      <c r="D30" s="5">
        <f t="shared" ca="1" si="0"/>
        <v>59</v>
      </c>
      <c r="E30" s="5">
        <f t="shared" ca="1" si="1"/>
        <v>1239</v>
      </c>
    </row>
    <row r="31" spans="1:5" x14ac:dyDescent="0.25">
      <c r="A31">
        <v>131150</v>
      </c>
      <c r="B31" t="s">
        <v>23</v>
      </c>
      <c r="C31">
        <v>8611</v>
      </c>
      <c r="D31" s="5">
        <f t="shared" ca="1" si="0"/>
        <v>430.55</v>
      </c>
      <c r="E31" s="5">
        <f t="shared" ca="1" si="1"/>
        <v>9041.5500000000011</v>
      </c>
    </row>
    <row r="32" spans="1:5" x14ac:dyDescent="0.25">
      <c r="A32">
        <v>131151</v>
      </c>
      <c r="B32" t="s">
        <v>20</v>
      </c>
      <c r="C32">
        <v>13634</v>
      </c>
      <c r="D32" s="5">
        <f t="shared" ca="1" si="0"/>
        <v>681.7</v>
      </c>
      <c r="E32" s="5">
        <f t="shared" ca="1" si="1"/>
        <v>14315.7</v>
      </c>
    </row>
    <row r="33" spans="1:5" x14ac:dyDescent="0.25">
      <c r="A33">
        <v>131152</v>
      </c>
      <c r="B33" t="s">
        <v>33</v>
      </c>
      <c r="C33">
        <v>5282</v>
      </c>
      <c r="D33" s="5">
        <f t="shared" ca="1" si="0"/>
        <v>264.10000000000002</v>
      </c>
      <c r="E33" s="5">
        <f t="shared" ca="1" si="1"/>
        <v>5546.1</v>
      </c>
    </row>
    <row r="34" spans="1:5" x14ac:dyDescent="0.25">
      <c r="A34">
        <v>131153</v>
      </c>
      <c r="B34" t="s">
        <v>12</v>
      </c>
      <c r="C34">
        <v>3782</v>
      </c>
      <c r="D34" s="5">
        <f t="shared" ca="1" si="0"/>
        <v>189.1</v>
      </c>
      <c r="E34" s="5">
        <f t="shared" ca="1" si="1"/>
        <v>3971.1</v>
      </c>
    </row>
    <row r="35" spans="1:5" x14ac:dyDescent="0.25">
      <c r="A35">
        <v>131154</v>
      </c>
      <c r="B35" t="s">
        <v>49</v>
      </c>
      <c r="C35">
        <v>187</v>
      </c>
      <c r="D35" s="5">
        <f t="shared" ca="1" si="0"/>
        <v>9.35</v>
      </c>
      <c r="E35" s="5">
        <f t="shared" ca="1" si="1"/>
        <v>196.35</v>
      </c>
    </row>
    <row r="36" spans="1:5" x14ac:dyDescent="0.25">
      <c r="A36">
        <v>131155</v>
      </c>
      <c r="B36" t="s">
        <v>62</v>
      </c>
      <c r="C36">
        <v>185</v>
      </c>
      <c r="D36" s="5">
        <f t="shared" ca="1" si="0"/>
        <v>9.25</v>
      </c>
      <c r="E36" s="5">
        <f t="shared" ca="1" si="1"/>
        <v>194.25</v>
      </c>
    </row>
    <row r="37" spans="1:5" x14ac:dyDescent="0.25">
      <c r="A37">
        <v>131700</v>
      </c>
      <c r="B37" t="s">
        <v>21</v>
      </c>
      <c r="C37">
        <v>1077</v>
      </c>
      <c r="D37" s="5">
        <f t="shared" ca="1" si="0"/>
        <v>53.85</v>
      </c>
      <c r="E37" s="5">
        <f t="shared" ca="1" si="1"/>
        <v>1130.8500000000001</v>
      </c>
    </row>
    <row r="38" spans="1:5" x14ac:dyDescent="0.25">
      <c r="A38">
        <v>131701</v>
      </c>
      <c r="B38" t="s">
        <v>25</v>
      </c>
      <c r="C38">
        <v>1188</v>
      </c>
      <c r="D38" s="5">
        <f t="shared" ca="1" si="0"/>
        <v>59.4</v>
      </c>
      <c r="E38" s="5">
        <f t="shared" ca="1" si="1"/>
        <v>1247.3999999999999</v>
      </c>
    </row>
    <row r="39" spans="1:5" x14ac:dyDescent="0.25">
      <c r="A39">
        <v>132150</v>
      </c>
      <c r="B39" t="s">
        <v>26</v>
      </c>
      <c r="C39">
        <v>6642</v>
      </c>
      <c r="D39" s="5">
        <f t="shared" ca="1" si="0"/>
        <v>332.1</v>
      </c>
      <c r="E39" s="5">
        <f t="shared" ca="1" si="1"/>
        <v>6974.1</v>
      </c>
    </row>
    <row r="40" spans="1:5" x14ac:dyDescent="0.25">
      <c r="A40">
        <v>132151</v>
      </c>
      <c r="B40" t="s">
        <v>27</v>
      </c>
      <c r="C40">
        <v>5898</v>
      </c>
      <c r="D40" s="5">
        <f t="shared" ca="1" si="0"/>
        <v>294.89999999999998</v>
      </c>
      <c r="E40" s="5">
        <f t="shared" ca="1" si="1"/>
        <v>6192.9</v>
      </c>
    </row>
    <row r="41" spans="1:5" x14ac:dyDescent="0.25">
      <c r="A41">
        <v>132152</v>
      </c>
      <c r="B41" t="s">
        <v>28</v>
      </c>
      <c r="C41">
        <v>7692</v>
      </c>
      <c r="D41" s="5">
        <f t="shared" ca="1" si="0"/>
        <v>384.6</v>
      </c>
      <c r="E41" s="5">
        <f t="shared" ca="1" si="1"/>
        <v>8076.6</v>
      </c>
    </row>
    <row r="42" spans="1:5" x14ac:dyDescent="0.25">
      <c r="A42">
        <v>132153</v>
      </c>
      <c r="B42" t="s">
        <v>41</v>
      </c>
      <c r="C42">
        <v>5096</v>
      </c>
      <c r="D42" s="5">
        <f t="shared" ca="1" si="0"/>
        <v>254.8</v>
      </c>
      <c r="E42" s="5">
        <f t="shared" ca="1" si="1"/>
        <v>5350.8</v>
      </c>
    </row>
    <row r="43" spans="1:5" x14ac:dyDescent="0.25">
      <c r="A43">
        <v>134000</v>
      </c>
      <c r="B43" t="s">
        <v>36</v>
      </c>
      <c r="C43"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134001</v>
      </c>
      <c r="B44" t="s">
        <v>48</v>
      </c>
      <c r="C44">
        <v>0</v>
      </c>
      <c r="D44" s="5">
        <f t="shared" ca="1" si="0"/>
        <v>0</v>
      </c>
      <c r="E44" s="5">
        <f t="shared" ca="1" si="1"/>
        <v>0</v>
      </c>
    </row>
    <row r="45" spans="1:5" x14ac:dyDescent="0.25">
      <c r="A45">
        <v>140230</v>
      </c>
      <c r="B45" t="s">
        <v>19</v>
      </c>
      <c r="C45">
        <v>1204</v>
      </c>
      <c r="D45" s="5">
        <f t="shared" ca="1" si="0"/>
        <v>60.2</v>
      </c>
      <c r="E45" s="5">
        <f t="shared" ca="1" si="1"/>
        <v>1264.2</v>
      </c>
    </row>
    <row r="46" spans="1:5" x14ac:dyDescent="0.25">
      <c r="A46">
        <v>140231</v>
      </c>
      <c r="B46" t="s">
        <v>11</v>
      </c>
      <c r="C46">
        <v>4983</v>
      </c>
      <c r="D46" s="5">
        <f t="shared" ca="1" si="0"/>
        <v>249.15</v>
      </c>
      <c r="E46" s="5">
        <f t="shared" ca="1" si="1"/>
        <v>5232.1500000000005</v>
      </c>
    </row>
    <row r="47" spans="1:5" x14ac:dyDescent="0.25">
      <c r="A47">
        <v>140232</v>
      </c>
      <c r="B47" t="s">
        <v>10</v>
      </c>
      <c r="C47">
        <v>373</v>
      </c>
      <c r="D47" s="5">
        <f t="shared" ca="1" si="0"/>
        <v>18.649999999999999</v>
      </c>
      <c r="E47" s="5">
        <f t="shared" ca="1" si="1"/>
        <v>391.65</v>
      </c>
    </row>
    <row r="48" spans="1:5" x14ac:dyDescent="0.25">
      <c r="A48">
        <v>150360</v>
      </c>
      <c r="B48" t="s">
        <v>29</v>
      </c>
      <c r="C48">
        <v>2471</v>
      </c>
      <c r="D48" s="5">
        <f t="shared" ca="1" si="0"/>
        <v>123.55</v>
      </c>
      <c r="E48" s="5">
        <f t="shared" ca="1" si="1"/>
        <v>2594.5499999999997</v>
      </c>
    </row>
    <row r="49" spans="1:5" x14ac:dyDescent="0.25">
      <c r="A49">
        <v>150361</v>
      </c>
      <c r="B49" t="s">
        <v>30</v>
      </c>
      <c r="C49">
        <v>4919</v>
      </c>
      <c r="D49" s="5">
        <f t="shared" ca="1" si="0"/>
        <v>245.95</v>
      </c>
      <c r="E49" s="5">
        <f t="shared" ca="1" si="1"/>
        <v>5164.95</v>
      </c>
    </row>
    <row r="50" spans="1:5" x14ac:dyDescent="0.25">
      <c r="A50">
        <v>150362</v>
      </c>
      <c r="B50" t="s">
        <v>37</v>
      </c>
      <c r="C50">
        <v>3358</v>
      </c>
      <c r="D50" s="5">
        <f t="shared" ca="1" si="0"/>
        <v>167.9</v>
      </c>
      <c r="E50" s="5">
        <f t="shared" ca="1" si="1"/>
        <v>3525.9</v>
      </c>
    </row>
    <row r="51" spans="1:5" x14ac:dyDescent="0.25">
      <c r="A51">
        <v>150363</v>
      </c>
      <c r="B51" t="s">
        <v>32</v>
      </c>
      <c r="C51">
        <v>2610</v>
      </c>
      <c r="D51" s="5">
        <f t="shared" ca="1" si="0"/>
        <v>130.5</v>
      </c>
      <c r="E51" s="5">
        <f t="shared" ca="1" si="1"/>
        <v>2740.5</v>
      </c>
    </row>
    <row r="52" spans="1:5" x14ac:dyDescent="0.25">
      <c r="A52">
        <v>151500</v>
      </c>
      <c r="B52" t="s">
        <v>42</v>
      </c>
      <c r="C52">
        <v>460</v>
      </c>
      <c r="D52" s="5">
        <f t="shared" ca="1" si="0"/>
        <v>23</v>
      </c>
      <c r="E52" s="5">
        <f t="shared" ca="1" si="1"/>
        <v>483</v>
      </c>
    </row>
    <row r="53" spans="1:5" x14ac:dyDescent="0.25">
      <c r="A53">
        <v>151501</v>
      </c>
      <c r="B53" t="s">
        <v>34</v>
      </c>
      <c r="C53">
        <v>858</v>
      </c>
      <c r="D53" s="5">
        <f t="shared" ca="1" si="0"/>
        <v>42.9</v>
      </c>
      <c r="E53" s="5">
        <f t="shared" ca="1" si="1"/>
        <v>900.9</v>
      </c>
    </row>
    <row r="54" spans="1:5" x14ac:dyDescent="0.25">
      <c r="A54">
        <v>151502</v>
      </c>
      <c r="B54" t="s">
        <v>38</v>
      </c>
      <c r="C54">
        <v>392</v>
      </c>
      <c r="D54" s="5">
        <f t="shared" ca="1" si="0"/>
        <v>19.600000000000001</v>
      </c>
      <c r="E54" s="5">
        <f t="shared" ca="1" si="1"/>
        <v>411.6</v>
      </c>
    </row>
    <row r="55" spans="1:5" x14ac:dyDescent="0.25">
      <c r="A55">
        <v>151503</v>
      </c>
      <c r="B55" t="s">
        <v>35</v>
      </c>
      <c r="C55">
        <v>488</v>
      </c>
      <c r="D55" s="5">
        <f t="shared" ca="1" si="0"/>
        <v>24.4</v>
      </c>
      <c r="E55" s="5">
        <f t="shared" ca="1" si="1"/>
        <v>512.4</v>
      </c>
    </row>
    <row r="56" spans="1:5" x14ac:dyDescent="0.25">
      <c r="D56" s="5">
        <f ca="1">SUM(D8:D63)</f>
        <v>14479.357142857149</v>
      </c>
      <c r="E56" s="5">
        <f ca="1">SUM(E8:E63)</f>
        <v>318545.8571428571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F66"/>
  <sheetViews>
    <sheetView workbookViewId="0">
      <selection activeCell="G53" sqref="G53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6" ht="21" x14ac:dyDescent="0.35">
      <c r="B1" s="8" t="s">
        <v>64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f ca="1">TODAY()</f>
        <v>46265</v>
      </c>
      <c r="F2" s="4">
        <f ca="1">NETWORKDAYS(E1,E2)-1</f>
        <v>20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 ca="1">NETWORKDAYS(E2,E3)</f>
        <v>1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1071</v>
      </c>
      <c r="D8" s="5">
        <f ca="1">C8/$F$2</f>
        <v>53.55</v>
      </c>
      <c r="E8" s="5">
        <f ca="1">D8*21</f>
        <v>1124.55</v>
      </c>
    </row>
    <row r="9" spans="1:6" x14ac:dyDescent="0.25">
      <c r="A9">
        <v>110151</v>
      </c>
      <c r="B9" t="s">
        <v>6</v>
      </c>
      <c r="C9">
        <v>56</v>
      </c>
      <c r="D9" s="5">
        <f t="shared" ref="D9:D55" ca="1" si="0">C9/$F$2</f>
        <v>2.8</v>
      </c>
      <c r="E9" s="5">
        <f t="shared" ref="E9:E55" ca="1" si="1">D9*21</f>
        <v>58.8</v>
      </c>
    </row>
    <row r="10" spans="1:6" x14ac:dyDescent="0.25">
      <c r="A10">
        <v>110230</v>
      </c>
      <c r="B10" t="s">
        <v>1</v>
      </c>
      <c r="C10">
        <v>316</v>
      </c>
      <c r="D10" s="5">
        <f t="shared" ca="1" si="0"/>
        <v>15.8</v>
      </c>
      <c r="E10" s="5">
        <f t="shared" ca="1" si="1"/>
        <v>331.8</v>
      </c>
    </row>
    <row r="11" spans="1:6" x14ac:dyDescent="0.25">
      <c r="A11">
        <v>110400</v>
      </c>
      <c r="B11" t="s">
        <v>14</v>
      </c>
      <c r="C11">
        <v>49</v>
      </c>
      <c r="D11" s="5">
        <f t="shared" ca="1" si="0"/>
        <v>2.4500000000000002</v>
      </c>
      <c r="E11" s="5">
        <f t="shared" ca="1" si="1"/>
        <v>51.45</v>
      </c>
    </row>
    <row r="12" spans="1:6" x14ac:dyDescent="0.25">
      <c r="A12">
        <v>111000</v>
      </c>
      <c r="B12" t="s">
        <v>15</v>
      </c>
      <c r="C12">
        <v>2</v>
      </c>
      <c r="D12" s="5">
        <f t="shared" ca="1" si="0"/>
        <v>0.1</v>
      </c>
      <c r="E12" s="5">
        <f t="shared" ca="1" si="1"/>
        <v>2.1</v>
      </c>
    </row>
    <row r="13" spans="1:6" x14ac:dyDescent="0.25">
      <c r="A13">
        <v>120130</v>
      </c>
      <c r="B13" t="s">
        <v>16</v>
      </c>
      <c r="C13">
        <v>3467</v>
      </c>
      <c r="D13" s="5">
        <f t="shared" ca="1" si="0"/>
        <v>173.35</v>
      </c>
      <c r="E13" s="5">
        <f t="shared" ca="1" si="1"/>
        <v>3640.35</v>
      </c>
    </row>
    <row r="14" spans="1:6" x14ac:dyDescent="0.25">
      <c r="A14">
        <v>120131</v>
      </c>
      <c r="B14" t="s">
        <v>24</v>
      </c>
      <c r="C14">
        <v>300</v>
      </c>
      <c r="D14" s="5">
        <f t="shared" ca="1" si="0"/>
        <v>15</v>
      </c>
      <c r="E14" s="5">
        <f t="shared" ca="1" si="1"/>
        <v>315</v>
      </c>
    </row>
    <row r="15" spans="1:6" x14ac:dyDescent="0.25">
      <c r="A15">
        <v>120132</v>
      </c>
      <c r="B15" t="s">
        <v>22</v>
      </c>
      <c r="C15">
        <v>1003</v>
      </c>
      <c r="D15" s="5">
        <f t="shared" ca="1" si="0"/>
        <v>50.15</v>
      </c>
      <c r="E15" s="5">
        <f t="shared" ca="1" si="1"/>
        <v>1053.1499999999999</v>
      </c>
    </row>
    <row r="16" spans="1:6" x14ac:dyDescent="0.25">
      <c r="A16">
        <v>130150</v>
      </c>
      <c r="B16" t="s">
        <v>0</v>
      </c>
      <c r="C16">
        <v>1860</v>
      </c>
      <c r="D16" s="5">
        <f t="shared" ca="1" si="0"/>
        <v>93</v>
      </c>
      <c r="E16" s="5">
        <f t="shared" ca="1" si="1"/>
        <v>1953</v>
      </c>
    </row>
    <row r="17" spans="1:5" x14ac:dyDescent="0.25">
      <c r="A17">
        <v>130151</v>
      </c>
      <c r="B17" t="s">
        <v>5</v>
      </c>
      <c r="C17">
        <v>620</v>
      </c>
      <c r="D17" s="5">
        <f t="shared" ca="1" si="0"/>
        <v>31</v>
      </c>
      <c r="E17" s="5">
        <f t="shared" ca="1" si="1"/>
        <v>651</v>
      </c>
    </row>
    <row r="18" spans="1:5" x14ac:dyDescent="0.25">
      <c r="A18">
        <v>130152</v>
      </c>
      <c r="B18" t="s">
        <v>55</v>
      </c>
      <c r="C18">
        <v>12035</v>
      </c>
      <c r="D18" s="5">
        <f t="shared" ca="1" si="0"/>
        <v>601.75</v>
      </c>
      <c r="E18" s="5">
        <f t="shared" ca="1" si="1"/>
        <v>12636.75</v>
      </c>
    </row>
    <row r="19" spans="1:5" x14ac:dyDescent="0.25">
      <c r="A19">
        <v>130153</v>
      </c>
      <c r="B19" t="s">
        <v>56</v>
      </c>
      <c r="C19">
        <v>6612</v>
      </c>
      <c r="D19" s="5">
        <f t="shared" ca="1" si="0"/>
        <v>330.6</v>
      </c>
      <c r="E19" s="5">
        <f t="shared" ca="1" si="1"/>
        <v>6942.6</v>
      </c>
    </row>
    <row r="20" spans="1:5" x14ac:dyDescent="0.25">
      <c r="A20">
        <v>130154</v>
      </c>
      <c r="B20" t="s">
        <v>57</v>
      </c>
      <c r="C20">
        <v>6535</v>
      </c>
      <c r="D20" s="5">
        <f t="shared" ca="1" si="0"/>
        <v>326.75</v>
      </c>
      <c r="E20" s="5">
        <f t="shared" ca="1" si="1"/>
        <v>6861.75</v>
      </c>
    </row>
    <row r="21" spans="1:5" x14ac:dyDescent="0.25">
      <c r="A21">
        <v>130155</v>
      </c>
      <c r="B21" t="s">
        <v>17</v>
      </c>
      <c r="C21">
        <v>7594</v>
      </c>
      <c r="D21" s="5">
        <f t="shared" ca="1" si="0"/>
        <v>379.7</v>
      </c>
      <c r="E21" s="5">
        <f t="shared" ca="1" si="1"/>
        <v>7973.7</v>
      </c>
    </row>
    <row r="22" spans="1:5" x14ac:dyDescent="0.25">
      <c r="A22">
        <v>130156</v>
      </c>
      <c r="B22" t="s">
        <v>3</v>
      </c>
      <c r="C22">
        <v>50</v>
      </c>
      <c r="D22" s="5">
        <f t="shared" ca="1" si="0"/>
        <v>2.5</v>
      </c>
      <c r="E22" s="5">
        <f t="shared" ca="1" si="1"/>
        <v>52.5</v>
      </c>
    </row>
    <row r="23" spans="1:5" x14ac:dyDescent="0.25">
      <c r="A23">
        <v>130157</v>
      </c>
      <c r="B23" t="s">
        <v>44</v>
      </c>
      <c r="C23">
        <v>1266</v>
      </c>
      <c r="D23" s="5">
        <f t="shared" ca="1" si="0"/>
        <v>63.3</v>
      </c>
      <c r="E23" s="5">
        <f t="shared" ca="1" si="1"/>
        <v>1329.3</v>
      </c>
    </row>
    <row r="24" spans="1:5" x14ac:dyDescent="0.25">
      <c r="A24">
        <v>130158</v>
      </c>
      <c r="B24" t="s">
        <v>45</v>
      </c>
      <c r="C24">
        <v>1269</v>
      </c>
      <c r="D24" s="5">
        <f t="shared" ca="1" si="0"/>
        <v>63.45</v>
      </c>
      <c r="E24" s="5">
        <f t="shared" ca="1" si="1"/>
        <v>1332.45</v>
      </c>
    </row>
    <row r="25" spans="1:5" x14ac:dyDescent="0.25">
      <c r="A25">
        <v>130159</v>
      </c>
      <c r="B25" t="s">
        <v>46</v>
      </c>
      <c r="C25">
        <v>1141</v>
      </c>
      <c r="D25" s="5">
        <f t="shared" ca="1" si="0"/>
        <v>57.05</v>
      </c>
      <c r="E25" s="5">
        <f t="shared" ca="1" si="1"/>
        <v>1198.05</v>
      </c>
    </row>
    <row r="26" spans="1:5" x14ac:dyDescent="0.25">
      <c r="A26">
        <v>130700</v>
      </c>
      <c r="B26" t="s">
        <v>4</v>
      </c>
      <c r="C26">
        <v>634</v>
      </c>
      <c r="D26" s="5">
        <f t="shared" ca="1" si="0"/>
        <v>31.7</v>
      </c>
      <c r="E26" s="5">
        <f t="shared" ca="1" si="1"/>
        <v>665.69999999999993</v>
      </c>
    </row>
    <row r="27" spans="1:5" x14ac:dyDescent="0.25">
      <c r="A27">
        <v>130701</v>
      </c>
      <c r="B27" t="s">
        <v>31</v>
      </c>
      <c r="C27">
        <v>225</v>
      </c>
      <c r="D27" s="5">
        <f t="shared" ca="1" si="0"/>
        <v>11.25</v>
      </c>
      <c r="E27" s="5">
        <f t="shared" ca="1" si="1"/>
        <v>236.25</v>
      </c>
    </row>
    <row r="28" spans="1:5" x14ac:dyDescent="0.25">
      <c r="A28">
        <v>130702</v>
      </c>
      <c r="B28" t="s">
        <v>13</v>
      </c>
      <c r="C28">
        <v>1680</v>
      </c>
      <c r="D28" s="5">
        <f t="shared" ca="1" si="0"/>
        <v>84</v>
      </c>
      <c r="E28" s="5">
        <f t="shared" ca="1" si="1"/>
        <v>1764</v>
      </c>
    </row>
    <row r="29" spans="1:5" x14ac:dyDescent="0.25">
      <c r="A29">
        <v>130703</v>
      </c>
      <c r="B29" t="s">
        <v>18</v>
      </c>
      <c r="C29">
        <v>2341</v>
      </c>
      <c r="D29" s="5">
        <f t="shared" ca="1" si="0"/>
        <v>117.05</v>
      </c>
      <c r="E29" s="5">
        <f t="shared" ca="1" si="1"/>
        <v>2458.0499999999997</v>
      </c>
    </row>
    <row r="30" spans="1:5" x14ac:dyDescent="0.25">
      <c r="A30">
        <v>130707</v>
      </c>
      <c r="B30" t="s">
        <v>43</v>
      </c>
      <c r="C30">
        <v>94</v>
      </c>
      <c r="D30" s="5">
        <f t="shared" ca="1" si="0"/>
        <v>4.7</v>
      </c>
      <c r="E30" s="5">
        <f t="shared" ca="1" si="1"/>
        <v>98.7</v>
      </c>
    </row>
    <row r="31" spans="1:5" x14ac:dyDescent="0.25">
      <c r="A31">
        <v>131150</v>
      </c>
      <c r="B31" t="s">
        <v>23</v>
      </c>
      <c r="C31">
        <v>1248</v>
      </c>
      <c r="D31" s="5">
        <f t="shared" ca="1" si="0"/>
        <v>62.4</v>
      </c>
      <c r="E31" s="5">
        <f t="shared" ca="1" si="1"/>
        <v>1310.3999999999999</v>
      </c>
    </row>
    <row r="32" spans="1:5" x14ac:dyDescent="0.25">
      <c r="A32">
        <v>131151</v>
      </c>
      <c r="B32" t="s">
        <v>20</v>
      </c>
      <c r="C32">
        <v>2622</v>
      </c>
      <c r="D32" s="5">
        <f t="shared" ca="1" si="0"/>
        <v>131.1</v>
      </c>
      <c r="E32" s="5">
        <f t="shared" ca="1" si="1"/>
        <v>2753.1</v>
      </c>
    </row>
    <row r="33" spans="1:5" x14ac:dyDescent="0.25">
      <c r="A33">
        <v>131152</v>
      </c>
      <c r="B33" t="s">
        <v>33</v>
      </c>
      <c r="C33">
        <v>1390</v>
      </c>
      <c r="D33" s="5">
        <f t="shared" ca="1" si="0"/>
        <v>69.5</v>
      </c>
      <c r="E33" s="5">
        <f t="shared" ca="1" si="1"/>
        <v>1459.5</v>
      </c>
    </row>
    <row r="34" spans="1:5" x14ac:dyDescent="0.25">
      <c r="A34">
        <v>131153</v>
      </c>
      <c r="B34" t="s">
        <v>12</v>
      </c>
      <c r="C34">
        <v>921</v>
      </c>
      <c r="D34" s="5">
        <f t="shared" ca="1" si="0"/>
        <v>46.05</v>
      </c>
      <c r="E34" s="5">
        <f t="shared" ca="1" si="1"/>
        <v>967.05</v>
      </c>
    </row>
    <row r="35" spans="1:5" x14ac:dyDescent="0.25">
      <c r="A35">
        <v>131154</v>
      </c>
      <c r="B35" t="s">
        <v>49</v>
      </c>
      <c r="C35">
        <v>406</v>
      </c>
      <c r="D35" s="5">
        <f t="shared" ca="1" si="0"/>
        <v>20.3</v>
      </c>
      <c r="E35" s="5">
        <f t="shared" ca="1" si="1"/>
        <v>426.3</v>
      </c>
    </row>
    <row r="36" spans="1:5" x14ac:dyDescent="0.25">
      <c r="A36">
        <v>131155</v>
      </c>
      <c r="B36" t="s">
        <v>62</v>
      </c>
      <c r="C36">
        <v>433</v>
      </c>
      <c r="D36" s="5">
        <f t="shared" ca="1" si="0"/>
        <v>21.65</v>
      </c>
      <c r="E36" s="5">
        <f t="shared" ca="1" si="1"/>
        <v>454.65</v>
      </c>
    </row>
    <row r="37" spans="1:5" x14ac:dyDescent="0.25">
      <c r="A37">
        <v>131700</v>
      </c>
      <c r="B37" t="s">
        <v>21</v>
      </c>
      <c r="C37">
        <v>325</v>
      </c>
      <c r="D37" s="5">
        <f t="shared" ca="1" si="0"/>
        <v>16.25</v>
      </c>
      <c r="E37" s="5">
        <f t="shared" ca="1" si="1"/>
        <v>341.25</v>
      </c>
    </row>
    <row r="38" spans="1:5" x14ac:dyDescent="0.25">
      <c r="A38">
        <v>131701</v>
      </c>
      <c r="B38" t="s">
        <v>25</v>
      </c>
      <c r="C38">
        <v>465</v>
      </c>
      <c r="D38" s="5">
        <f t="shared" ca="1" si="0"/>
        <v>23.25</v>
      </c>
      <c r="E38" s="5">
        <f t="shared" ca="1" si="1"/>
        <v>488.25</v>
      </c>
    </row>
    <row r="39" spans="1:5" x14ac:dyDescent="0.25">
      <c r="A39">
        <v>132150</v>
      </c>
      <c r="B39" t="s">
        <v>26</v>
      </c>
      <c r="C39">
        <v>1975</v>
      </c>
      <c r="D39" s="5">
        <f t="shared" ca="1" si="0"/>
        <v>98.75</v>
      </c>
      <c r="E39" s="5">
        <f t="shared" ca="1" si="1"/>
        <v>2073.75</v>
      </c>
    </row>
    <row r="40" spans="1:5" x14ac:dyDescent="0.25">
      <c r="A40">
        <v>132151</v>
      </c>
      <c r="B40" t="s">
        <v>27</v>
      </c>
      <c r="C40">
        <v>1618</v>
      </c>
      <c r="D40" s="5">
        <f t="shared" ca="1" si="0"/>
        <v>80.900000000000006</v>
      </c>
      <c r="E40" s="5">
        <f t="shared" ca="1" si="1"/>
        <v>1698.9</v>
      </c>
    </row>
    <row r="41" spans="1:5" x14ac:dyDescent="0.25">
      <c r="A41">
        <v>132152</v>
      </c>
      <c r="B41" t="s">
        <v>28</v>
      </c>
      <c r="C41">
        <v>2271</v>
      </c>
      <c r="D41" s="5">
        <f t="shared" ca="1" si="0"/>
        <v>113.55</v>
      </c>
      <c r="E41" s="5">
        <f t="shared" ca="1" si="1"/>
        <v>2384.5499999999997</v>
      </c>
    </row>
    <row r="42" spans="1:5" x14ac:dyDescent="0.25">
      <c r="A42">
        <v>132153</v>
      </c>
      <c r="B42" t="s">
        <v>41</v>
      </c>
      <c r="C42">
        <v>1104</v>
      </c>
      <c r="D42" s="5">
        <f t="shared" ca="1" si="0"/>
        <v>55.2</v>
      </c>
      <c r="E42" s="5">
        <f t="shared" ca="1" si="1"/>
        <v>1159.2</v>
      </c>
    </row>
    <row r="43" spans="1:5" x14ac:dyDescent="0.25">
      <c r="A43">
        <v>134000</v>
      </c>
      <c r="B43" t="s">
        <v>36</v>
      </c>
      <c r="C43">
        <v>20</v>
      </c>
      <c r="D43" s="5">
        <f t="shared" ca="1" si="0"/>
        <v>1</v>
      </c>
      <c r="E43" s="5">
        <f t="shared" ca="1" si="1"/>
        <v>21</v>
      </c>
    </row>
    <row r="44" spans="1:5" x14ac:dyDescent="0.25">
      <c r="A44">
        <v>134001</v>
      </c>
      <c r="B44" t="s">
        <v>48</v>
      </c>
      <c r="C44">
        <v>0</v>
      </c>
      <c r="D44" s="5">
        <f t="shared" ca="1" si="0"/>
        <v>0</v>
      </c>
      <c r="E44" s="5">
        <f t="shared" ca="1" si="1"/>
        <v>0</v>
      </c>
    </row>
    <row r="45" spans="1:5" x14ac:dyDescent="0.25">
      <c r="A45">
        <v>140230</v>
      </c>
      <c r="B45" t="s">
        <v>19</v>
      </c>
      <c r="C45">
        <v>175</v>
      </c>
      <c r="D45" s="5">
        <f t="shared" ca="1" si="0"/>
        <v>8.75</v>
      </c>
      <c r="E45" s="5">
        <f t="shared" ca="1" si="1"/>
        <v>183.75</v>
      </c>
    </row>
    <row r="46" spans="1:5" x14ac:dyDescent="0.25">
      <c r="A46">
        <v>140231</v>
      </c>
      <c r="B46" t="s">
        <v>11</v>
      </c>
      <c r="C46">
        <v>1474</v>
      </c>
      <c r="D46" s="5">
        <f t="shared" ca="1" si="0"/>
        <v>73.7</v>
      </c>
      <c r="E46" s="5">
        <f t="shared" ca="1" si="1"/>
        <v>1547.7</v>
      </c>
    </row>
    <row r="47" spans="1:5" x14ac:dyDescent="0.25">
      <c r="A47">
        <v>140232</v>
      </c>
      <c r="B47" t="s">
        <v>10</v>
      </c>
      <c r="C47">
        <v>361</v>
      </c>
      <c r="D47" s="5">
        <f t="shared" ca="1" si="0"/>
        <v>18.05</v>
      </c>
      <c r="E47" s="5">
        <f t="shared" ca="1" si="1"/>
        <v>379.05</v>
      </c>
    </row>
    <row r="48" spans="1:5" x14ac:dyDescent="0.25">
      <c r="A48">
        <v>150360</v>
      </c>
      <c r="B48" t="s">
        <v>29</v>
      </c>
      <c r="C48">
        <v>792</v>
      </c>
      <c r="D48" s="5">
        <f t="shared" ca="1" si="0"/>
        <v>39.6</v>
      </c>
      <c r="E48" s="5">
        <f t="shared" ca="1" si="1"/>
        <v>831.6</v>
      </c>
    </row>
    <row r="49" spans="1:5" x14ac:dyDescent="0.25">
      <c r="A49">
        <v>150361</v>
      </c>
      <c r="B49" t="s">
        <v>30</v>
      </c>
      <c r="C49">
        <v>1376</v>
      </c>
      <c r="D49" s="5">
        <f t="shared" ca="1" si="0"/>
        <v>68.8</v>
      </c>
      <c r="E49" s="5">
        <f t="shared" ca="1" si="1"/>
        <v>1444.8</v>
      </c>
    </row>
    <row r="50" spans="1:5" x14ac:dyDescent="0.25">
      <c r="A50">
        <v>150362</v>
      </c>
      <c r="B50" t="s">
        <v>37</v>
      </c>
      <c r="C50">
        <v>539</v>
      </c>
      <c r="D50" s="5">
        <f t="shared" ca="1" si="0"/>
        <v>26.95</v>
      </c>
      <c r="E50" s="5">
        <f t="shared" ca="1" si="1"/>
        <v>565.94999999999993</v>
      </c>
    </row>
    <row r="51" spans="1:5" x14ac:dyDescent="0.25">
      <c r="A51">
        <v>150363</v>
      </c>
      <c r="B51" t="s">
        <v>32</v>
      </c>
      <c r="C51">
        <v>626</v>
      </c>
      <c r="D51" s="5">
        <f t="shared" ca="1" si="0"/>
        <v>31.3</v>
      </c>
      <c r="E51" s="5">
        <f t="shared" ca="1" si="1"/>
        <v>657.30000000000007</v>
      </c>
    </row>
    <row r="52" spans="1:5" x14ac:dyDescent="0.25">
      <c r="A52">
        <v>151500</v>
      </c>
      <c r="B52" t="s">
        <v>42</v>
      </c>
      <c r="C52">
        <v>155</v>
      </c>
      <c r="D52" s="5">
        <f t="shared" ca="1" si="0"/>
        <v>7.75</v>
      </c>
      <c r="E52" s="5">
        <f t="shared" ca="1" si="1"/>
        <v>162.75</v>
      </c>
    </row>
    <row r="53" spans="1:5" x14ac:dyDescent="0.25">
      <c r="A53">
        <v>151501</v>
      </c>
      <c r="B53" t="s">
        <v>34</v>
      </c>
      <c r="C53">
        <v>272</v>
      </c>
      <c r="D53" s="5">
        <f t="shared" ca="1" si="0"/>
        <v>13.6</v>
      </c>
      <c r="E53" s="5">
        <f t="shared" ca="1" si="1"/>
        <v>285.59999999999997</v>
      </c>
    </row>
    <row r="54" spans="1:5" x14ac:dyDescent="0.25">
      <c r="A54">
        <v>151502</v>
      </c>
      <c r="B54" t="s">
        <v>38</v>
      </c>
      <c r="C54">
        <v>93</v>
      </c>
      <c r="D54" s="5">
        <f t="shared" ca="1" si="0"/>
        <v>4.6500000000000004</v>
      </c>
      <c r="E54" s="5">
        <f t="shared" ca="1" si="1"/>
        <v>97.65</v>
      </c>
    </row>
    <row r="55" spans="1:5" x14ac:dyDescent="0.25">
      <c r="A55">
        <v>151503</v>
      </c>
      <c r="B55" t="s">
        <v>35</v>
      </c>
      <c r="C55">
        <v>144</v>
      </c>
      <c r="D55" s="5">
        <f t="shared" ca="1" si="0"/>
        <v>7.2</v>
      </c>
      <c r="E55" s="5">
        <f t="shared" ca="1" si="1"/>
        <v>151.20000000000002</v>
      </c>
    </row>
    <row r="56" spans="1:5" x14ac:dyDescent="0.25">
      <c r="D56" s="5">
        <f ca="1">SUM(D8:D54)</f>
        <v>3544.05</v>
      </c>
      <c r="E56" s="5">
        <f ca="1">SUM(E8:E54)</f>
        <v>74425.05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  <row r="66" spans="4:5" x14ac:dyDescent="0.25">
      <c r="D66" s="5"/>
      <c r="E6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F73"/>
  <sheetViews>
    <sheetView workbookViewId="0">
      <selection activeCell="C43" sqref="C4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6" ht="21" x14ac:dyDescent="0.35">
      <c r="B1" s="8" t="s">
        <v>58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f ca="1">TODAY()</f>
        <v>46265</v>
      </c>
      <c r="F2" s="4">
        <f ca="1">NETWORKDAYS(E1,E2)-1</f>
        <v>20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 ca="1">NETWORKDAYS(E2,E3)</f>
        <v>1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797</v>
      </c>
      <c r="D8" s="5">
        <f ca="1">C8/$F$2</f>
        <v>39.85</v>
      </c>
      <c r="E8" s="5">
        <f ca="1">D8*($F$2+$F$3)</f>
        <v>836.85</v>
      </c>
    </row>
    <row r="9" spans="1:6" x14ac:dyDescent="0.25">
      <c r="A9">
        <v>110151</v>
      </c>
      <c r="B9" t="s">
        <v>6</v>
      </c>
      <c r="C9">
        <v>134</v>
      </c>
      <c r="D9" s="5">
        <f t="shared" ref="D9:D55" ca="1" si="0">C9/$F$2</f>
        <v>6.7</v>
      </c>
      <c r="E9" s="5">
        <f t="shared" ref="E9:E55" ca="1" si="1">D9*($F$2+$F$3)</f>
        <v>140.70000000000002</v>
      </c>
    </row>
    <row r="10" spans="1:6" x14ac:dyDescent="0.25">
      <c r="A10">
        <v>110230</v>
      </c>
      <c r="B10" t="s">
        <v>1</v>
      </c>
      <c r="C10">
        <v>283</v>
      </c>
      <c r="D10" s="5">
        <f ca="1">C10/$F$2</f>
        <v>14.15</v>
      </c>
      <c r="E10" s="5">
        <f t="shared" ca="1" si="1"/>
        <v>297.15000000000003</v>
      </c>
    </row>
    <row r="11" spans="1:6" x14ac:dyDescent="0.25">
      <c r="A11">
        <v>110400</v>
      </c>
      <c r="B11" t="s">
        <v>14</v>
      </c>
      <c r="C11">
        <v>46</v>
      </c>
      <c r="D11" s="5">
        <f t="shared" ca="1" si="0"/>
        <v>2.2999999999999998</v>
      </c>
      <c r="E11" s="5">
        <f t="shared" ca="1" si="1"/>
        <v>48.3</v>
      </c>
    </row>
    <row r="12" spans="1:6" x14ac:dyDescent="0.25">
      <c r="A12">
        <v>111000</v>
      </c>
      <c r="B12" t="s">
        <v>15</v>
      </c>
      <c r="C12">
        <v>8</v>
      </c>
      <c r="D12" s="5">
        <f t="shared" ca="1" si="0"/>
        <v>0.4</v>
      </c>
      <c r="E12" s="5">
        <f t="shared" ca="1" si="1"/>
        <v>8.4</v>
      </c>
    </row>
    <row r="13" spans="1:6" x14ac:dyDescent="0.25">
      <c r="A13">
        <v>120130</v>
      </c>
      <c r="B13" t="s">
        <v>16</v>
      </c>
      <c r="C13">
        <v>1297</v>
      </c>
      <c r="D13" s="5">
        <f t="shared" ca="1" si="0"/>
        <v>64.849999999999994</v>
      </c>
      <c r="E13" s="5">
        <f t="shared" ca="1" si="1"/>
        <v>1361.85</v>
      </c>
    </row>
    <row r="14" spans="1:6" x14ac:dyDescent="0.25">
      <c r="A14">
        <v>120131</v>
      </c>
      <c r="B14" t="s">
        <v>24</v>
      </c>
      <c r="C14">
        <v>94</v>
      </c>
      <c r="D14" s="5">
        <f t="shared" ca="1" si="0"/>
        <v>4.7</v>
      </c>
      <c r="E14" s="5">
        <f t="shared" ca="1" si="1"/>
        <v>98.7</v>
      </c>
    </row>
    <row r="15" spans="1:6" x14ac:dyDescent="0.25">
      <c r="A15">
        <v>120132</v>
      </c>
      <c r="B15" t="s">
        <v>22</v>
      </c>
      <c r="C15">
        <v>207</v>
      </c>
      <c r="D15" s="5">
        <f t="shared" ca="1" si="0"/>
        <v>10.35</v>
      </c>
      <c r="E15" s="5">
        <f t="shared" ca="1" si="1"/>
        <v>217.35</v>
      </c>
    </row>
    <row r="16" spans="1:6" x14ac:dyDescent="0.25">
      <c r="A16">
        <v>130150</v>
      </c>
      <c r="B16" t="s">
        <v>0</v>
      </c>
      <c r="C16">
        <v>497</v>
      </c>
      <c r="D16" s="5">
        <f t="shared" ca="1" si="0"/>
        <v>24.85</v>
      </c>
      <c r="E16" s="5">
        <f t="shared" ca="1" si="1"/>
        <v>521.85</v>
      </c>
    </row>
    <row r="17" spans="1:5" x14ac:dyDescent="0.25">
      <c r="A17">
        <v>130151</v>
      </c>
      <c r="B17" t="s">
        <v>5</v>
      </c>
      <c r="C17">
        <v>200</v>
      </c>
      <c r="D17" s="5">
        <f t="shared" ca="1" si="0"/>
        <v>10</v>
      </c>
      <c r="E17" s="5">
        <f t="shared" ca="1" si="1"/>
        <v>210</v>
      </c>
    </row>
    <row r="18" spans="1:5" x14ac:dyDescent="0.25">
      <c r="A18">
        <v>130152</v>
      </c>
      <c r="B18" t="s">
        <v>55</v>
      </c>
      <c r="C18">
        <v>2971</v>
      </c>
      <c r="D18" s="5">
        <f ca="1">C18/$F$2</f>
        <v>148.55000000000001</v>
      </c>
      <c r="E18" s="5">
        <f t="shared" ca="1" si="1"/>
        <v>3119.55</v>
      </c>
    </row>
    <row r="19" spans="1:5" x14ac:dyDescent="0.25">
      <c r="A19">
        <v>130153</v>
      </c>
      <c r="B19" t="s">
        <v>56</v>
      </c>
      <c r="C19">
        <v>1778</v>
      </c>
      <c r="D19" s="5">
        <f t="shared" ca="1" si="0"/>
        <v>88.9</v>
      </c>
      <c r="E19" s="5">
        <f t="shared" ca="1" si="1"/>
        <v>1866.9</v>
      </c>
    </row>
    <row r="20" spans="1:5" x14ac:dyDescent="0.25">
      <c r="A20">
        <v>130154</v>
      </c>
      <c r="B20" t="s">
        <v>57</v>
      </c>
      <c r="C20">
        <v>2105</v>
      </c>
      <c r="D20" s="5">
        <f t="shared" ca="1" si="0"/>
        <v>105.25</v>
      </c>
      <c r="E20" s="5">
        <f t="shared" ca="1" si="1"/>
        <v>2210.25</v>
      </c>
    </row>
    <row r="21" spans="1:5" x14ac:dyDescent="0.25">
      <c r="A21">
        <v>130155</v>
      </c>
      <c r="B21" t="s">
        <v>17</v>
      </c>
      <c r="C21">
        <v>1747</v>
      </c>
      <c r="D21" s="5">
        <f t="shared" ca="1" si="0"/>
        <v>87.35</v>
      </c>
      <c r="E21" s="5">
        <f ca="1">D21*($F$2+$F$3)</f>
        <v>1834.35</v>
      </c>
    </row>
    <row r="22" spans="1:5" x14ac:dyDescent="0.25">
      <c r="A22">
        <v>130156</v>
      </c>
      <c r="B22" t="s">
        <v>3</v>
      </c>
      <c r="C22">
        <v>37</v>
      </c>
      <c r="D22" s="5">
        <f t="shared" ca="1" si="0"/>
        <v>1.85</v>
      </c>
      <c r="E22" s="5">
        <f t="shared" ca="1" si="1"/>
        <v>38.85</v>
      </c>
    </row>
    <row r="23" spans="1:5" x14ac:dyDescent="0.25">
      <c r="A23">
        <v>130157</v>
      </c>
      <c r="B23" t="s">
        <v>44</v>
      </c>
      <c r="C23">
        <v>384</v>
      </c>
      <c r="D23" s="5">
        <f ca="1">C23/$F$2</f>
        <v>19.2</v>
      </c>
      <c r="E23" s="5">
        <f ca="1">D23*($F$2+$F$3)</f>
        <v>403.2</v>
      </c>
    </row>
    <row r="24" spans="1:5" x14ac:dyDescent="0.25">
      <c r="A24">
        <v>130158</v>
      </c>
      <c r="B24" t="s">
        <v>45</v>
      </c>
      <c r="C24">
        <v>474</v>
      </c>
      <c r="D24" s="5">
        <f ca="1">C24/$F$2</f>
        <v>23.7</v>
      </c>
      <c r="E24" s="5">
        <f ca="1">D24*($F$2+$F$3)</f>
        <v>497.7</v>
      </c>
    </row>
    <row r="25" spans="1:5" x14ac:dyDescent="0.25">
      <c r="A25">
        <v>130159</v>
      </c>
      <c r="B25" t="s">
        <v>46</v>
      </c>
      <c r="C25">
        <v>434</v>
      </c>
      <c r="D25" s="5">
        <f ca="1">C25/$F$2</f>
        <v>21.7</v>
      </c>
      <c r="E25" s="5">
        <f ca="1">D25*($F$2+$F$3)</f>
        <v>455.7</v>
      </c>
    </row>
    <row r="26" spans="1:5" x14ac:dyDescent="0.25">
      <c r="A26">
        <v>130700</v>
      </c>
      <c r="B26" t="s">
        <v>4</v>
      </c>
      <c r="C26">
        <v>72</v>
      </c>
      <c r="D26" s="5">
        <f t="shared" ca="1" si="0"/>
        <v>3.6</v>
      </c>
      <c r="E26" s="5">
        <f t="shared" ca="1" si="1"/>
        <v>75.600000000000009</v>
      </c>
    </row>
    <row r="27" spans="1:5" x14ac:dyDescent="0.25">
      <c r="A27">
        <v>130701</v>
      </c>
      <c r="B27" t="s">
        <v>31</v>
      </c>
      <c r="C27">
        <v>40</v>
      </c>
      <c r="D27" s="5">
        <f t="shared" ca="1" si="0"/>
        <v>2</v>
      </c>
      <c r="E27" s="5">
        <f t="shared" ca="1" si="1"/>
        <v>42</v>
      </c>
    </row>
    <row r="28" spans="1:5" x14ac:dyDescent="0.25">
      <c r="A28">
        <v>130702</v>
      </c>
      <c r="B28" t="s">
        <v>13</v>
      </c>
      <c r="C28">
        <v>270</v>
      </c>
      <c r="D28" s="5">
        <f t="shared" ca="1" si="0"/>
        <v>13.5</v>
      </c>
      <c r="E28" s="5">
        <f t="shared" ca="1" si="1"/>
        <v>283.5</v>
      </c>
    </row>
    <row r="29" spans="1:5" x14ac:dyDescent="0.25">
      <c r="A29">
        <v>130703</v>
      </c>
      <c r="B29" t="s">
        <v>18</v>
      </c>
      <c r="C29">
        <v>348</v>
      </c>
      <c r="D29" s="5">
        <f t="shared" ca="1" si="0"/>
        <v>17.399999999999999</v>
      </c>
      <c r="E29" s="5">
        <f t="shared" ca="1" si="1"/>
        <v>365.4</v>
      </c>
    </row>
    <row r="30" spans="1:5" x14ac:dyDescent="0.25">
      <c r="A30">
        <v>130707</v>
      </c>
      <c r="B30" t="s">
        <v>43</v>
      </c>
      <c r="C30">
        <v>0</v>
      </c>
      <c r="D30" s="5">
        <f t="shared" ca="1" si="0"/>
        <v>0</v>
      </c>
      <c r="E30" s="5">
        <f t="shared" ca="1" si="1"/>
        <v>0</v>
      </c>
    </row>
    <row r="31" spans="1:5" x14ac:dyDescent="0.25">
      <c r="A31">
        <v>131150</v>
      </c>
      <c r="B31" t="s">
        <v>23</v>
      </c>
      <c r="C31">
        <v>912</v>
      </c>
      <c r="D31" s="5">
        <f t="shared" ca="1" si="0"/>
        <v>45.6</v>
      </c>
      <c r="E31" s="5">
        <f t="shared" ca="1" si="1"/>
        <v>957.6</v>
      </c>
    </row>
    <row r="32" spans="1:5" x14ac:dyDescent="0.25">
      <c r="A32">
        <v>131151</v>
      </c>
      <c r="B32" t="s">
        <v>20</v>
      </c>
      <c r="C32">
        <v>1895</v>
      </c>
      <c r="D32" s="5">
        <f t="shared" ca="1" si="0"/>
        <v>94.75</v>
      </c>
      <c r="E32" s="5">
        <f t="shared" ca="1" si="1"/>
        <v>1989.75</v>
      </c>
    </row>
    <row r="33" spans="1:5" x14ac:dyDescent="0.25">
      <c r="A33">
        <v>131152</v>
      </c>
      <c r="B33" t="s">
        <v>33</v>
      </c>
      <c r="C33">
        <v>975</v>
      </c>
      <c r="D33" s="5">
        <f t="shared" ca="1" si="0"/>
        <v>48.75</v>
      </c>
      <c r="E33" s="5">
        <f t="shared" ca="1" si="1"/>
        <v>1023.75</v>
      </c>
    </row>
    <row r="34" spans="1:5" x14ac:dyDescent="0.25">
      <c r="A34">
        <v>131153</v>
      </c>
      <c r="B34" t="s">
        <v>12</v>
      </c>
      <c r="C34">
        <v>724</v>
      </c>
      <c r="D34" s="5">
        <f t="shared" ca="1" si="0"/>
        <v>36.200000000000003</v>
      </c>
      <c r="E34" s="5">
        <f t="shared" ca="1" si="1"/>
        <v>760.2</v>
      </c>
    </row>
    <row r="35" spans="1:5" x14ac:dyDescent="0.25">
      <c r="A35">
        <v>131154</v>
      </c>
      <c r="B35" t="s">
        <v>49</v>
      </c>
      <c r="C35">
        <v>8</v>
      </c>
      <c r="D35" s="5">
        <f t="shared" ca="1" si="0"/>
        <v>0.4</v>
      </c>
      <c r="E35" s="5">
        <f t="shared" ca="1" si="1"/>
        <v>8.4</v>
      </c>
    </row>
    <row r="36" spans="1:5" x14ac:dyDescent="0.25">
      <c r="A36">
        <v>131155</v>
      </c>
      <c r="B36" t="s">
        <v>62</v>
      </c>
      <c r="C36">
        <v>8</v>
      </c>
      <c r="D36" s="5">
        <f t="shared" ca="1" si="0"/>
        <v>0.4</v>
      </c>
      <c r="E36" s="5">
        <f t="shared" ca="1" si="1"/>
        <v>8.4</v>
      </c>
    </row>
    <row r="37" spans="1:5" x14ac:dyDescent="0.25">
      <c r="A37">
        <v>131700</v>
      </c>
      <c r="B37" t="s">
        <v>21</v>
      </c>
      <c r="C37">
        <v>83</v>
      </c>
      <c r="D37" s="5">
        <f t="shared" ca="1" si="0"/>
        <v>4.1500000000000004</v>
      </c>
      <c r="E37" s="5">
        <f t="shared" ca="1" si="1"/>
        <v>87.15</v>
      </c>
    </row>
    <row r="38" spans="1:5" x14ac:dyDescent="0.25">
      <c r="A38">
        <v>131701</v>
      </c>
      <c r="B38" t="s">
        <v>25</v>
      </c>
      <c r="C38">
        <v>81</v>
      </c>
      <c r="D38" s="5">
        <f t="shared" ca="1" si="0"/>
        <v>4.05</v>
      </c>
      <c r="E38" s="5">
        <f t="shared" ca="1" si="1"/>
        <v>85.05</v>
      </c>
    </row>
    <row r="39" spans="1:5" x14ac:dyDescent="0.25">
      <c r="A39">
        <v>132150</v>
      </c>
      <c r="B39" t="s">
        <v>26</v>
      </c>
      <c r="C39">
        <v>1098</v>
      </c>
      <c r="D39" s="5">
        <f t="shared" ca="1" si="0"/>
        <v>54.9</v>
      </c>
      <c r="E39" s="5">
        <f t="shared" ca="1" si="1"/>
        <v>1152.8999999999999</v>
      </c>
    </row>
    <row r="40" spans="1:5" x14ac:dyDescent="0.25">
      <c r="A40">
        <v>132151</v>
      </c>
      <c r="B40" t="s">
        <v>27</v>
      </c>
      <c r="C40">
        <v>727</v>
      </c>
      <c r="D40" s="5">
        <f t="shared" ca="1" si="0"/>
        <v>36.35</v>
      </c>
      <c r="E40" s="5">
        <f t="shared" ca="1" si="1"/>
        <v>763.35</v>
      </c>
    </row>
    <row r="41" spans="1:5" x14ac:dyDescent="0.25">
      <c r="A41">
        <v>132152</v>
      </c>
      <c r="B41" t="s">
        <v>28</v>
      </c>
      <c r="C41">
        <v>1082</v>
      </c>
      <c r="D41" s="5">
        <f t="shared" ca="1" si="0"/>
        <v>54.1</v>
      </c>
      <c r="E41" s="5">
        <f t="shared" ca="1" si="1"/>
        <v>1136.1000000000001</v>
      </c>
    </row>
    <row r="42" spans="1:5" x14ac:dyDescent="0.25">
      <c r="A42">
        <v>132153</v>
      </c>
      <c r="B42" t="s">
        <v>41</v>
      </c>
      <c r="C42">
        <v>801</v>
      </c>
      <c r="D42" s="5">
        <f t="shared" ca="1" si="0"/>
        <v>40.049999999999997</v>
      </c>
      <c r="E42" s="5">
        <f t="shared" ca="1" si="1"/>
        <v>841.05</v>
      </c>
    </row>
    <row r="43" spans="1:5" x14ac:dyDescent="0.25">
      <c r="A43">
        <v>134000</v>
      </c>
      <c r="B43" t="s">
        <v>36</v>
      </c>
      <c r="C43"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134001</v>
      </c>
      <c r="B44" t="s">
        <v>48</v>
      </c>
      <c r="C44">
        <v>0</v>
      </c>
      <c r="D44" s="5">
        <f t="shared" ca="1" si="0"/>
        <v>0</v>
      </c>
      <c r="E44" s="5">
        <f t="shared" ca="1" si="1"/>
        <v>0</v>
      </c>
    </row>
    <row r="45" spans="1:5" x14ac:dyDescent="0.25">
      <c r="A45">
        <v>140230</v>
      </c>
      <c r="B45" t="s">
        <v>19</v>
      </c>
      <c r="C45">
        <v>112</v>
      </c>
      <c r="D45" s="5">
        <f t="shared" ca="1" si="0"/>
        <v>5.6</v>
      </c>
      <c r="E45" s="5">
        <f t="shared" ca="1" si="1"/>
        <v>117.6</v>
      </c>
    </row>
    <row r="46" spans="1:5" x14ac:dyDescent="0.25">
      <c r="A46">
        <v>140231</v>
      </c>
      <c r="B46" t="s">
        <v>11</v>
      </c>
      <c r="C46">
        <v>441</v>
      </c>
      <c r="D46" s="5">
        <f t="shared" ca="1" si="0"/>
        <v>22.05</v>
      </c>
      <c r="E46" s="5">
        <f t="shared" ca="1" si="1"/>
        <v>463.05</v>
      </c>
    </row>
    <row r="47" spans="1:5" x14ac:dyDescent="0.25">
      <c r="A47">
        <v>140232</v>
      </c>
      <c r="B47" t="s">
        <v>10</v>
      </c>
      <c r="C47">
        <v>0</v>
      </c>
      <c r="D47" s="5">
        <f t="shared" ca="1" si="0"/>
        <v>0</v>
      </c>
      <c r="E47" s="5">
        <f t="shared" ca="1" si="1"/>
        <v>0</v>
      </c>
    </row>
    <row r="48" spans="1:5" x14ac:dyDescent="0.25">
      <c r="A48">
        <v>150360</v>
      </c>
      <c r="B48" t="s">
        <v>29</v>
      </c>
      <c r="C48">
        <v>488</v>
      </c>
      <c r="D48" s="5">
        <f t="shared" ca="1" si="0"/>
        <v>24.4</v>
      </c>
      <c r="E48" s="5">
        <f t="shared" ca="1" si="1"/>
        <v>512.4</v>
      </c>
    </row>
    <row r="49" spans="1:5" x14ac:dyDescent="0.25">
      <c r="A49">
        <v>150361</v>
      </c>
      <c r="B49" t="s">
        <v>30</v>
      </c>
      <c r="C49">
        <v>869</v>
      </c>
      <c r="D49" s="5">
        <f t="shared" ca="1" si="0"/>
        <v>43.45</v>
      </c>
      <c r="E49" s="5">
        <f t="shared" ca="1" si="1"/>
        <v>912.45</v>
      </c>
    </row>
    <row r="50" spans="1:5" x14ac:dyDescent="0.25">
      <c r="A50">
        <v>150362</v>
      </c>
      <c r="B50" t="s">
        <v>37</v>
      </c>
      <c r="C50">
        <v>334</v>
      </c>
      <c r="D50" s="5">
        <f t="shared" ca="1" si="0"/>
        <v>16.7</v>
      </c>
      <c r="E50" s="5">
        <f t="shared" ca="1" si="1"/>
        <v>350.7</v>
      </c>
    </row>
    <row r="51" spans="1:5" x14ac:dyDescent="0.25">
      <c r="A51">
        <v>150363</v>
      </c>
      <c r="B51" t="s">
        <v>32</v>
      </c>
      <c r="C51">
        <v>442</v>
      </c>
      <c r="D51" s="5">
        <f t="shared" ca="1" si="0"/>
        <v>22.1</v>
      </c>
      <c r="E51" s="5">
        <f t="shared" ca="1" si="1"/>
        <v>464.1</v>
      </c>
    </row>
    <row r="52" spans="1:5" x14ac:dyDescent="0.25">
      <c r="A52">
        <v>151500</v>
      </c>
      <c r="B52" t="s">
        <v>42</v>
      </c>
      <c r="C52">
        <v>30</v>
      </c>
      <c r="D52" s="5">
        <f t="shared" ca="1" si="0"/>
        <v>1.5</v>
      </c>
      <c r="E52" s="5">
        <f t="shared" ca="1" si="1"/>
        <v>31.5</v>
      </c>
    </row>
    <row r="53" spans="1:5" x14ac:dyDescent="0.25">
      <c r="A53">
        <v>151501</v>
      </c>
      <c r="B53" t="s">
        <v>34</v>
      </c>
      <c r="C53">
        <v>69</v>
      </c>
      <c r="D53" s="5">
        <f t="shared" ca="1" si="0"/>
        <v>3.45</v>
      </c>
      <c r="E53" s="5">
        <f t="shared" ca="1" si="1"/>
        <v>72.45</v>
      </c>
    </row>
    <row r="54" spans="1:5" x14ac:dyDescent="0.25">
      <c r="A54">
        <v>151502</v>
      </c>
      <c r="B54" t="s">
        <v>38</v>
      </c>
      <c r="C54">
        <v>45</v>
      </c>
      <c r="D54" s="5">
        <f t="shared" ca="1" si="0"/>
        <v>2.25</v>
      </c>
      <c r="E54" s="5">
        <f t="shared" ca="1" si="1"/>
        <v>47.25</v>
      </c>
    </row>
    <row r="55" spans="1:5" x14ac:dyDescent="0.25">
      <c r="A55">
        <v>151503</v>
      </c>
      <c r="B55" t="s">
        <v>35</v>
      </c>
      <c r="C55">
        <v>26</v>
      </c>
      <c r="D55" s="5">
        <f t="shared" ca="1" si="0"/>
        <v>1.3</v>
      </c>
      <c r="E55" s="5">
        <f t="shared" ca="1" si="1"/>
        <v>27.3</v>
      </c>
    </row>
    <row r="56" spans="1:5" x14ac:dyDescent="0.25">
      <c r="D56" s="7">
        <f ca="1">SUM(D8:D65)</f>
        <v>1316.0714285714284</v>
      </c>
      <c r="E56" s="7">
        <f ca="1">SUM(E8:E65)</f>
        <v>28953.571428571428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5" spans="4:5" x14ac:dyDescent="0.25">
      <c r="D65" s="5"/>
      <c r="E65" s="5"/>
    </row>
    <row r="66" spans="4:5" x14ac:dyDescent="0.25">
      <c r="D66" s="5"/>
      <c r="E66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  <row r="73" spans="4:5" x14ac:dyDescent="0.25">
      <c r="D73" s="5"/>
      <c r="E73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F64"/>
  <sheetViews>
    <sheetView workbookViewId="0">
      <selection activeCell="I16" sqref="I16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6" ht="21" x14ac:dyDescent="0.35">
      <c r="B1" s="8" t="s">
        <v>47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f ca="1">TODAY()</f>
        <v>46265</v>
      </c>
      <c r="F2" s="4">
        <f ca="1">NETWORKDAYS(E1,E2)</f>
        <v>21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 ca="1">NETWORKDAYS(E2,E3)</f>
        <v>1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f>'VENTAS CONSOLIDADA ORIENTE'!C8+'VENTAS CONSOLIDADA LARA'!C8+'VENTAS CONSOLIDADA CARABOBO'!C8+'VENTAS CONSOLIDADA CARACAS'!C8+'VENTAS CONSOLIDADA ZULIA'!C8</f>
        <v>22945</v>
      </c>
      <c r="D8" s="5">
        <f ca="1">C8/$F$2</f>
        <v>1092.6190476190477</v>
      </c>
      <c r="E8" s="5">
        <f ca="1">D8*22</f>
        <v>24037.61904761905</v>
      </c>
    </row>
    <row r="9" spans="1:6" x14ac:dyDescent="0.25">
      <c r="A9">
        <v>110151</v>
      </c>
      <c r="B9" t="s">
        <v>6</v>
      </c>
      <c r="C9">
        <f>'VENTAS CONSOLIDADA ORIENTE'!C9+'VENTAS CONSOLIDADA LARA'!C9+'VENTAS CONSOLIDADA CARABOBO'!C9+'VENTAS CONSOLIDADA CARACAS'!C9+'VENTAS CONSOLIDADA ZULIA'!C9</f>
        <v>1501</v>
      </c>
      <c r="D9" s="5">
        <f t="shared" ref="D9:D55" ca="1" si="0">C9/$F$2</f>
        <v>71.476190476190482</v>
      </c>
      <c r="E9" s="5">
        <f t="shared" ref="E9:E55" ca="1" si="1">D9*22</f>
        <v>1572.4761904761906</v>
      </c>
    </row>
    <row r="10" spans="1:6" x14ac:dyDescent="0.25">
      <c r="A10">
        <v>110230</v>
      </c>
      <c r="B10" t="s">
        <v>1</v>
      </c>
      <c r="C10">
        <f>'VENTAS CONSOLIDADA ORIENTE'!C10+'VENTAS CONSOLIDADA LARA'!C10+'VENTAS CONSOLIDADA CARABOBO'!C10+'VENTAS CONSOLIDADA CARACAS'!C10+'VENTAS CONSOLIDADA ZULIA'!C10</f>
        <v>9703</v>
      </c>
      <c r="D10" s="5">
        <f t="shared" ca="1" si="0"/>
        <v>462.04761904761904</v>
      </c>
      <c r="E10" s="5">
        <f t="shared" ca="1" si="1"/>
        <v>10165.047619047618</v>
      </c>
    </row>
    <row r="11" spans="1:6" x14ac:dyDescent="0.25">
      <c r="A11">
        <v>110400</v>
      </c>
      <c r="B11" t="s">
        <v>14</v>
      </c>
      <c r="C11">
        <f>'VENTAS CONSOLIDADA ORIENTE'!C11+'VENTAS CONSOLIDADA LARA'!C11+'VENTAS CONSOLIDADA CARABOBO'!C11+'VENTAS CONSOLIDADA CARACAS'!C11+'VENTAS CONSOLIDADA ZULIA'!C11</f>
        <v>1765</v>
      </c>
      <c r="D11" s="5">
        <f t="shared" ca="1" si="0"/>
        <v>84.047619047619051</v>
      </c>
      <c r="E11" s="5">
        <f t="shared" ca="1" si="1"/>
        <v>1849.047619047619</v>
      </c>
    </row>
    <row r="12" spans="1:6" x14ac:dyDescent="0.25">
      <c r="A12">
        <v>111000</v>
      </c>
      <c r="B12" t="s">
        <v>15</v>
      </c>
      <c r="C12">
        <f>'VENTAS CONSOLIDADA ORIENTE'!C12+'VENTAS CONSOLIDADA LARA'!C12+'VENTAS CONSOLIDADA CARABOBO'!C12+'VENTAS CONSOLIDADA CARACAS'!C12+'VENTAS CONSOLIDADA ZULIA'!C12</f>
        <v>244</v>
      </c>
      <c r="D12" s="5">
        <f t="shared" ca="1" si="0"/>
        <v>11.619047619047619</v>
      </c>
      <c r="E12" s="5">
        <f t="shared" ca="1" si="1"/>
        <v>255.61904761904762</v>
      </c>
    </row>
    <row r="13" spans="1:6" x14ac:dyDescent="0.25">
      <c r="A13">
        <v>120130</v>
      </c>
      <c r="B13" t="s">
        <v>16</v>
      </c>
      <c r="C13">
        <f>'VENTAS CONSOLIDADA ORIENTE'!C13+'VENTAS CONSOLIDADA LARA'!C13+'VENTAS CONSOLIDADA CARABOBO'!C13+'VENTAS CONSOLIDADA CARACAS'!C13+'VENTAS CONSOLIDADA ZULIA'!C13</f>
        <v>28306</v>
      </c>
      <c r="D13" s="5">
        <f t="shared" ca="1" si="0"/>
        <v>1347.9047619047619</v>
      </c>
      <c r="E13" s="5">
        <f t="shared" ca="1" si="1"/>
        <v>29653.904761904763</v>
      </c>
    </row>
    <row r="14" spans="1:6" x14ac:dyDescent="0.25">
      <c r="A14">
        <v>120131</v>
      </c>
      <c r="B14" t="s">
        <v>24</v>
      </c>
      <c r="C14">
        <f>'VENTAS CONSOLIDADA ORIENTE'!C14+'VENTAS CONSOLIDADA LARA'!C14+'VENTAS CONSOLIDADA CARABOBO'!C14+'VENTAS CONSOLIDADA CARACAS'!C14+'VENTAS CONSOLIDADA ZULIA'!C14</f>
        <v>2797</v>
      </c>
      <c r="D14" s="5">
        <f t="shared" ca="1" si="0"/>
        <v>133.1904761904762</v>
      </c>
      <c r="E14" s="5">
        <f t="shared" ca="1" si="1"/>
        <v>2930.1904761904766</v>
      </c>
    </row>
    <row r="15" spans="1:6" x14ac:dyDescent="0.25">
      <c r="A15">
        <v>120132</v>
      </c>
      <c r="B15" t="s">
        <v>22</v>
      </c>
      <c r="C15">
        <f>'VENTAS CONSOLIDADA ORIENTE'!C15+'VENTAS CONSOLIDADA LARA'!C15+'VENTAS CONSOLIDADA CARABOBO'!C15+'VENTAS CONSOLIDADA CARACAS'!C15+'VENTAS CONSOLIDADA ZULIA'!C15</f>
        <v>6437</v>
      </c>
      <c r="D15" s="5">
        <f t="shared" ca="1" si="0"/>
        <v>306.52380952380952</v>
      </c>
      <c r="E15" s="5">
        <f t="shared" ca="1" si="1"/>
        <v>6743.5238095238092</v>
      </c>
    </row>
    <row r="16" spans="1:6" x14ac:dyDescent="0.25">
      <c r="A16">
        <v>130150</v>
      </c>
      <c r="B16" t="s">
        <v>0</v>
      </c>
      <c r="C16">
        <f>'VENTAS CONSOLIDADA ORIENTE'!C16+'VENTAS CONSOLIDADA LARA'!C16+'VENTAS CONSOLIDADA CARABOBO'!C16+'VENTAS CONSOLIDADA CARACAS'!C16+'VENTAS CONSOLIDADA ZULIA'!C16</f>
        <v>14952</v>
      </c>
      <c r="D16" s="5">
        <f t="shared" ca="1" si="0"/>
        <v>712</v>
      </c>
      <c r="E16" s="5">
        <f t="shared" ca="1" si="1"/>
        <v>15664</v>
      </c>
    </row>
    <row r="17" spans="1:5" x14ac:dyDescent="0.25">
      <c r="A17">
        <v>130151</v>
      </c>
      <c r="B17" t="s">
        <v>5</v>
      </c>
      <c r="C17">
        <f>'VENTAS CONSOLIDADA ORIENTE'!C17+'VENTAS CONSOLIDADA LARA'!C17+'VENTAS CONSOLIDADA CARABOBO'!C17+'VENTAS CONSOLIDADA CARACAS'!C17+'VENTAS CONSOLIDADA ZULIA'!C17</f>
        <v>7013</v>
      </c>
      <c r="D17" s="5">
        <f t="shared" ca="1" si="0"/>
        <v>333.95238095238096</v>
      </c>
      <c r="E17" s="5">
        <f t="shared" ca="1" si="1"/>
        <v>7346.9523809523816</v>
      </c>
    </row>
    <row r="18" spans="1:5" x14ac:dyDescent="0.25">
      <c r="A18">
        <v>130152</v>
      </c>
      <c r="B18" t="s">
        <v>55</v>
      </c>
      <c r="C18">
        <f>'VENTAS CONSOLIDADA ORIENTE'!C18+'VENTAS CONSOLIDADA LARA'!C18+'VENTAS CONSOLIDADA CARABOBO'!C18+'VENTAS CONSOLIDADA CARACAS'!C18+'VENTAS CONSOLIDADA ZULIA'!C18</f>
        <v>68059</v>
      </c>
      <c r="D18" s="5">
        <f t="shared" ca="1" si="0"/>
        <v>3240.9047619047619</v>
      </c>
      <c r="E18" s="5">
        <f t="shared" ca="1" si="1"/>
        <v>71299.904761904763</v>
      </c>
    </row>
    <row r="19" spans="1:5" x14ac:dyDescent="0.25">
      <c r="A19">
        <v>130153</v>
      </c>
      <c r="B19" t="s">
        <v>56</v>
      </c>
      <c r="C19">
        <f>'VENTAS CONSOLIDADA ORIENTE'!C19+'VENTAS CONSOLIDADA LARA'!C19+'VENTAS CONSOLIDADA CARABOBO'!C19+'VENTAS CONSOLIDADA CARACAS'!C19+'VENTAS CONSOLIDADA ZULIA'!C19</f>
        <v>44386</v>
      </c>
      <c r="D19" s="5">
        <f t="shared" ca="1" si="0"/>
        <v>2113.6190476190477</v>
      </c>
      <c r="E19" s="5">
        <f t="shared" ca="1" si="1"/>
        <v>46499.619047619053</v>
      </c>
    </row>
    <row r="20" spans="1:5" x14ac:dyDescent="0.25">
      <c r="A20">
        <v>130154</v>
      </c>
      <c r="B20" t="s">
        <v>57</v>
      </c>
      <c r="C20">
        <f>'VENTAS CONSOLIDADA ORIENTE'!C20+'VENTAS CONSOLIDADA LARA'!C20+'VENTAS CONSOLIDADA CARABOBO'!C20+'VENTAS CONSOLIDADA CARACAS'!C20+'VENTAS CONSOLIDADA ZULIA'!C20</f>
        <v>42963</v>
      </c>
      <c r="D20" s="5">
        <f t="shared" ca="1" si="0"/>
        <v>2045.8571428571429</v>
      </c>
      <c r="E20" s="5">
        <f t="shared" ca="1" si="1"/>
        <v>45008.857142857145</v>
      </c>
    </row>
    <row r="21" spans="1:5" x14ac:dyDescent="0.25">
      <c r="A21">
        <v>130155</v>
      </c>
      <c r="B21" t="s">
        <v>17</v>
      </c>
      <c r="C21">
        <f>'VENTAS CONSOLIDADA ORIENTE'!C21+'VENTAS CONSOLIDADA LARA'!C21+'VENTAS CONSOLIDADA CARABOBO'!C21+'VENTAS CONSOLIDADA CARACAS'!C21+'VENTAS CONSOLIDADA ZULIA'!C21</f>
        <v>51465</v>
      </c>
      <c r="D21" s="5">
        <f t="shared" ca="1" si="0"/>
        <v>2450.7142857142858</v>
      </c>
      <c r="E21" s="5">
        <f t="shared" ca="1" si="1"/>
        <v>53915.71428571429</v>
      </c>
    </row>
    <row r="22" spans="1:5" x14ac:dyDescent="0.25">
      <c r="A22">
        <v>130156</v>
      </c>
      <c r="B22" t="s">
        <v>3</v>
      </c>
      <c r="C22">
        <f>'VENTAS CONSOLIDADA ORIENTE'!C22+'VENTAS CONSOLIDADA LARA'!C22+'VENTAS CONSOLIDADA CARABOBO'!C22+'VENTAS CONSOLIDADA CARACAS'!C22+'VENTAS CONSOLIDADA ZULIA'!C22</f>
        <v>194</v>
      </c>
      <c r="D22" s="5">
        <f t="shared" ca="1" si="0"/>
        <v>9.2380952380952372</v>
      </c>
      <c r="E22" s="5">
        <f t="shared" ca="1" si="1"/>
        <v>203.23809523809521</v>
      </c>
    </row>
    <row r="23" spans="1:5" x14ac:dyDescent="0.25">
      <c r="A23">
        <v>130157</v>
      </c>
      <c r="B23" t="s">
        <v>44</v>
      </c>
      <c r="C23">
        <f>'VENTAS CONSOLIDADA ORIENTE'!C23+'VENTAS CONSOLIDADA LARA'!C23+'VENTAS CONSOLIDADA CARABOBO'!C23+'VENTAS CONSOLIDADA CARACAS'!C23+'VENTAS CONSOLIDADA ZULIA'!C23</f>
        <v>7342</v>
      </c>
      <c r="D23" s="5">
        <f t="shared" ca="1" si="0"/>
        <v>349.61904761904759</v>
      </c>
      <c r="E23" s="5">
        <f t="shared" ca="1" si="1"/>
        <v>7691.6190476190468</v>
      </c>
    </row>
    <row r="24" spans="1:5" x14ac:dyDescent="0.25">
      <c r="A24">
        <v>130158</v>
      </c>
      <c r="B24" t="s">
        <v>45</v>
      </c>
      <c r="C24">
        <f>'VENTAS CONSOLIDADA ORIENTE'!C24+'VENTAS CONSOLIDADA LARA'!C24+'VENTAS CONSOLIDADA CARABOBO'!C24+'VENTAS CONSOLIDADA CARACAS'!C24+'VENTAS CONSOLIDADA ZULIA'!C24</f>
        <v>8294</v>
      </c>
      <c r="D24" s="5">
        <f t="shared" ca="1" si="0"/>
        <v>394.95238095238096</v>
      </c>
      <c r="E24" s="5">
        <f t="shared" ca="1" si="1"/>
        <v>8688.9523809523816</v>
      </c>
    </row>
    <row r="25" spans="1:5" x14ac:dyDescent="0.25">
      <c r="A25">
        <v>130159</v>
      </c>
      <c r="B25" t="s">
        <v>46</v>
      </c>
      <c r="C25">
        <f>'VENTAS CONSOLIDADA ORIENTE'!C25+'VENTAS CONSOLIDADA LARA'!C25+'VENTAS CONSOLIDADA CARABOBO'!C25+'VENTAS CONSOLIDADA CARACAS'!C25+'VENTAS CONSOLIDADA ZULIA'!C25</f>
        <v>7683</v>
      </c>
      <c r="D25" s="5">
        <f t="shared" ca="1" si="0"/>
        <v>365.85714285714283</v>
      </c>
      <c r="E25" s="5">
        <f t="shared" ca="1" si="1"/>
        <v>8048.8571428571422</v>
      </c>
    </row>
    <row r="26" spans="1:5" x14ac:dyDescent="0.25">
      <c r="A26">
        <v>130700</v>
      </c>
      <c r="B26" t="s">
        <v>4</v>
      </c>
      <c r="C26">
        <f>'VENTAS CONSOLIDADA ORIENTE'!C26+'VENTAS CONSOLIDADA LARA'!C26+'VENTAS CONSOLIDADA CARABOBO'!C26+'VENTAS CONSOLIDADA CARACAS'!C26+'VENTAS CONSOLIDADA ZULIA'!C26</f>
        <v>4655</v>
      </c>
      <c r="D26" s="5">
        <f t="shared" ca="1" si="0"/>
        <v>221.66666666666666</v>
      </c>
      <c r="E26" s="5">
        <f t="shared" ca="1" si="1"/>
        <v>4876.6666666666661</v>
      </c>
    </row>
    <row r="27" spans="1:5" x14ac:dyDescent="0.25">
      <c r="A27">
        <v>130701</v>
      </c>
      <c r="B27" t="s">
        <v>31</v>
      </c>
      <c r="C27">
        <f>'VENTAS CONSOLIDADA ORIENTE'!C27+'VENTAS CONSOLIDADA LARA'!C27+'VENTAS CONSOLIDADA CARABOBO'!C27+'VENTAS CONSOLIDADA CARACAS'!C27+'VENTAS CONSOLIDADA ZULIA'!C27</f>
        <v>2711</v>
      </c>
      <c r="D27" s="5">
        <f t="shared" ca="1" si="0"/>
        <v>129.0952380952381</v>
      </c>
      <c r="E27" s="5">
        <f t="shared" ca="1" si="1"/>
        <v>2840.0952380952381</v>
      </c>
    </row>
    <row r="28" spans="1:5" x14ac:dyDescent="0.25">
      <c r="A28">
        <v>130702</v>
      </c>
      <c r="B28" t="s">
        <v>13</v>
      </c>
      <c r="C28">
        <f>'VENTAS CONSOLIDADA ORIENTE'!C28+'VENTAS CONSOLIDADA LARA'!C28+'VENTAS CONSOLIDADA CARABOBO'!C28+'VENTAS CONSOLIDADA CARACAS'!C28+'VENTAS CONSOLIDADA ZULIA'!C28</f>
        <v>9927</v>
      </c>
      <c r="D28" s="5">
        <f t="shared" ca="1" si="0"/>
        <v>472.71428571428572</v>
      </c>
      <c r="E28" s="5">
        <f t="shared" ca="1" si="1"/>
        <v>10399.714285714286</v>
      </c>
    </row>
    <row r="29" spans="1:5" x14ac:dyDescent="0.25">
      <c r="A29">
        <v>130703</v>
      </c>
      <c r="B29" t="s">
        <v>18</v>
      </c>
      <c r="C29">
        <f>'VENTAS CONSOLIDADA ORIENTE'!C29+'VENTAS CONSOLIDADA LARA'!C29+'VENTAS CONSOLIDADA CARABOBO'!C29+'VENTAS CONSOLIDADA CARACAS'!C29+'VENTAS CONSOLIDADA ZULIA'!C29</f>
        <v>15700</v>
      </c>
      <c r="D29" s="5">
        <f t="shared" ca="1" si="0"/>
        <v>747.61904761904759</v>
      </c>
      <c r="E29" s="5">
        <f t="shared" ca="1" si="1"/>
        <v>16447.619047619046</v>
      </c>
    </row>
    <row r="30" spans="1:5" x14ac:dyDescent="0.25">
      <c r="A30">
        <v>130707</v>
      </c>
      <c r="B30" t="s">
        <v>43</v>
      </c>
      <c r="C30">
        <f>'VENTAS CONSOLIDADA ORIENTE'!C30+'VENTAS CONSOLIDADA LARA'!C30+'VENTAS CONSOLIDADA CARABOBO'!C30+'VENTAS CONSOLIDADA CARACAS'!C30+'VENTAS CONSOLIDADA ZULIA'!C30</f>
        <v>1274</v>
      </c>
      <c r="D30" s="5">
        <f t="shared" ca="1" si="0"/>
        <v>60.666666666666664</v>
      </c>
      <c r="E30" s="5">
        <f t="shared" ca="1" si="1"/>
        <v>1334.6666666666665</v>
      </c>
    </row>
    <row r="31" spans="1:5" x14ac:dyDescent="0.25">
      <c r="A31">
        <v>131150</v>
      </c>
      <c r="B31" t="s">
        <v>23</v>
      </c>
      <c r="C31">
        <f>'VENTAS CONSOLIDADA ORIENTE'!C31+'VENTAS CONSOLIDADA LARA'!C31+'VENTAS CONSOLIDADA CARABOBO'!C31+'VENTAS CONSOLIDADA CARACAS'!C31+'VENTAS CONSOLIDADA ZULIA'!C31</f>
        <v>14193</v>
      </c>
      <c r="D31" s="5">
        <f t="shared" ca="1" si="0"/>
        <v>675.85714285714289</v>
      </c>
      <c r="E31" s="5">
        <f t="shared" ca="1" si="1"/>
        <v>14868.857142857143</v>
      </c>
    </row>
    <row r="32" spans="1:5" x14ac:dyDescent="0.25">
      <c r="A32">
        <v>131151</v>
      </c>
      <c r="B32" t="s">
        <v>20</v>
      </c>
      <c r="C32">
        <f>'VENTAS CONSOLIDADA ORIENTE'!C32+'VENTAS CONSOLIDADA LARA'!C32+'VENTAS CONSOLIDADA CARABOBO'!C32+'VENTAS CONSOLIDADA CARACAS'!C32+'VENTAS CONSOLIDADA ZULIA'!C32</f>
        <v>23259</v>
      </c>
      <c r="D32" s="5">
        <f t="shared" ca="1" si="0"/>
        <v>1107.5714285714287</v>
      </c>
      <c r="E32" s="5">
        <f t="shared" ca="1" si="1"/>
        <v>24366.571428571431</v>
      </c>
    </row>
    <row r="33" spans="1:5" x14ac:dyDescent="0.25">
      <c r="A33">
        <v>131152</v>
      </c>
      <c r="B33" t="s">
        <v>33</v>
      </c>
      <c r="C33">
        <f>'VENTAS CONSOLIDADA ORIENTE'!C33+'VENTAS CONSOLIDADA LARA'!C33+'VENTAS CONSOLIDADA CARABOBO'!C33+'VENTAS CONSOLIDADA CARACAS'!C33+'VENTAS CONSOLIDADA ZULIA'!C33</f>
        <v>10205</v>
      </c>
      <c r="D33" s="5">
        <f t="shared" ca="1" si="0"/>
        <v>485.95238095238096</v>
      </c>
      <c r="E33" s="5">
        <f t="shared" ca="1" si="1"/>
        <v>10690.952380952382</v>
      </c>
    </row>
    <row r="34" spans="1:5" x14ac:dyDescent="0.25">
      <c r="A34">
        <v>131153</v>
      </c>
      <c r="B34" t="s">
        <v>12</v>
      </c>
      <c r="C34">
        <f>'VENTAS CONSOLIDADA ORIENTE'!C34+'VENTAS CONSOLIDADA LARA'!C34+'VENTAS CONSOLIDADA CARABOBO'!C34+'VENTAS CONSOLIDADA CARACAS'!C34+'VENTAS CONSOLIDADA ZULIA'!C34</f>
        <v>8012</v>
      </c>
      <c r="D34" s="5">
        <f t="shared" ca="1" si="0"/>
        <v>381.52380952380952</v>
      </c>
      <c r="E34" s="5">
        <f t="shared" ca="1" si="1"/>
        <v>8393.5238095238092</v>
      </c>
    </row>
    <row r="35" spans="1:5" x14ac:dyDescent="0.25">
      <c r="A35">
        <v>131154</v>
      </c>
      <c r="B35" t="s">
        <v>49</v>
      </c>
      <c r="C35">
        <f>'VENTAS CONSOLIDADA ORIENTE'!C35+'VENTAS CONSOLIDADA LARA'!C35+'VENTAS CONSOLIDADA CARABOBO'!C35+'VENTAS CONSOLIDADA CARACAS'!C35+'VENTAS CONSOLIDADA ZULIA'!C35</f>
        <v>1418</v>
      </c>
      <c r="D35" s="5">
        <f t="shared" ca="1" si="0"/>
        <v>67.523809523809518</v>
      </c>
      <c r="E35" s="5">
        <f t="shared" ca="1" si="1"/>
        <v>1485.5238095238094</v>
      </c>
    </row>
    <row r="36" spans="1:5" x14ac:dyDescent="0.25">
      <c r="A36">
        <v>131155</v>
      </c>
      <c r="B36" t="s">
        <v>62</v>
      </c>
      <c r="C36">
        <f>'VENTAS CONSOLIDADA ORIENTE'!C36+'VENTAS CONSOLIDADA LARA'!C36+'VENTAS CONSOLIDADA CARABOBO'!C36+'VENTAS CONSOLIDADA CARACAS'!C36+'VENTAS CONSOLIDADA ZULIA'!C36</f>
        <v>1350</v>
      </c>
      <c r="D36" s="5">
        <f t="shared" ca="1" si="0"/>
        <v>64.285714285714292</v>
      </c>
      <c r="E36" s="5">
        <f t="shared" ca="1" si="1"/>
        <v>1414.2857142857144</v>
      </c>
    </row>
    <row r="37" spans="1:5" x14ac:dyDescent="0.25">
      <c r="A37">
        <v>131700</v>
      </c>
      <c r="B37" t="s">
        <v>21</v>
      </c>
      <c r="C37">
        <f>'VENTAS CONSOLIDADA ORIENTE'!C37+'VENTAS CONSOLIDADA LARA'!C37+'VENTAS CONSOLIDADA CARABOBO'!C37+'VENTAS CONSOLIDADA CARACAS'!C37+'VENTAS CONSOLIDADA ZULIA'!C37</f>
        <v>2368</v>
      </c>
      <c r="D37" s="5">
        <f t="shared" ca="1" si="0"/>
        <v>112.76190476190476</v>
      </c>
      <c r="E37" s="5">
        <f t="shared" ca="1" si="1"/>
        <v>2480.7619047619046</v>
      </c>
    </row>
    <row r="38" spans="1:5" x14ac:dyDescent="0.25">
      <c r="A38">
        <v>131701</v>
      </c>
      <c r="B38" t="s">
        <v>25</v>
      </c>
      <c r="C38">
        <f>'VENTAS CONSOLIDADA ORIENTE'!C38+'VENTAS CONSOLIDADA LARA'!C38+'VENTAS CONSOLIDADA CARABOBO'!C38+'VENTAS CONSOLIDADA CARACAS'!C38+'VENTAS CONSOLIDADA ZULIA'!C38</f>
        <v>2685</v>
      </c>
      <c r="D38" s="5">
        <f t="shared" ca="1" si="0"/>
        <v>127.85714285714286</v>
      </c>
      <c r="E38" s="5">
        <f t="shared" ca="1" si="1"/>
        <v>2812.8571428571431</v>
      </c>
    </row>
    <row r="39" spans="1:5" x14ac:dyDescent="0.25">
      <c r="A39">
        <v>132150</v>
      </c>
      <c r="B39" t="s">
        <v>26</v>
      </c>
      <c r="C39">
        <f>'VENTAS CONSOLIDADA ORIENTE'!C39+'VENTAS CONSOLIDADA LARA'!C39+'VENTAS CONSOLIDADA CARABOBO'!C39+'VENTAS CONSOLIDADA CARACAS'!C39+'VENTAS CONSOLIDADA ZULIA'!C39</f>
        <v>12822</v>
      </c>
      <c r="D39" s="5">
        <f t="shared" ca="1" si="0"/>
        <v>610.57142857142856</v>
      </c>
      <c r="E39" s="5">
        <f t="shared" ca="1" si="1"/>
        <v>13432.571428571428</v>
      </c>
    </row>
    <row r="40" spans="1:5" x14ac:dyDescent="0.25">
      <c r="A40">
        <v>132151</v>
      </c>
      <c r="B40" t="s">
        <v>27</v>
      </c>
      <c r="C40">
        <f>'VENTAS CONSOLIDADA ORIENTE'!C40+'VENTAS CONSOLIDADA LARA'!C40+'VENTAS CONSOLIDADA CARABOBO'!C40+'VENTAS CONSOLIDADA CARACAS'!C40+'VENTAS CONSOLIDADA ZULIA'!C40</f>
        <v>12402</v>
      </c>
      <c r="D40" s="5">
        <f t="shared" ca="1" si="0"/>
        <v>590.57142857142856</v>
      </c>
      <c r="E40" s="5">
        <f t="shared" ca="1" si="1"/>
        <v>12992.571428571428</v>
      </c>
    </row>
    <row r="41" spans="1:5" x14ac:dyDescent="0.25">
      <c r="A41">
        <v>132152</v>
      </c>
      <c r="B41" t="s">
        <v>28</v>
      </c>
      <c r="C41">
        <f>'VENTAS CONSOLIDADA ORIENTE'!C41+'VENTAS CONSOLIDADA LARA'!C41+'VENTAS CONSOLIDADA CARABOBO'!C41+'VENTAS CONSOLIDADA CARACAS'!C41+'VENTAS CONSOLIDADA ZULIA'!C41</f>
        <v>16577</v>
      </c>
      <c r="D41" s="5">
        <f t="shared" ca="1" si="0"/>
        <v>789.38095238095241</v>
      </c>
      <c r="E41" s="5">
        <f t="shared" ca="1" si="1"/>
        <v>17366.380952380954</v>
      </c>
    </row>
    <row r="42" spans="1:5" x14ac:dyDescent="0.25">
      <c r="A42">
        <v>132153</v>
      </c>
      <c r="B42" t="s">
        <v>41</v>
      </c>
      <c r="C42">
        <f>'VENTAS CONSOLIDADA ORIENTE'!C42+'VENTAS CONSOLIDADA LARA'!C42+'VENTAS CONSOLIDADA CARABOBO'!C42+'VENTAS CONSOLIDADA CARACAS'!C42+'VENTAS CONSOLIDADA ZULIA'!C42</f>
        <v>11287</v>
      </c>
      <c r="D42" s="5">
        <f t="shared" ca="1" si="0"/>
        <v>537.47619047619048</v>
      </c>
      <c r="E42" s="5">
        <f t="shared" ca="1" si="1"/>
        <v>11824.476190476191</v>
      </c>
    </row>
    <row r="43" spans="1:5" x14ac:dyDescent="0.25">
      <c r="A43">
        <v>134000</v>
      </c>
      <c r="B43" t="s">
        <v>36</v>
      </c>
      <c r="C43">
        <f>'VENTAS CONSOLIDADA ORIENTE'!C43+'VENTAS CONSOLIDADA LARA'!C43+'VENTAS CONSOLIDADA CARABOBO'!C43+'VENTAS CONSOLIDADA CARACAS'!C43+'VENTAS CONSOLIDADA ZULIA'!C43</f>
        <v>47</v>
      </c>
      <c r="D43" s="5">
        <f t="shared" ca="1" si="0"/>
        <v>2.2380952380952381</v>
      </c>
      <c r="E43" s="5">
        <f t="shared" ca="1" si="1"/>
        <v>49.238095238095241</v>
      </c>
    </row>
    <row r="44" spans="1:5" x14ac:dyDescent="0.25">
      <c r="A44">
        <v>134001</v>
      </c>
      <c r="B44" t="s">
        <v>48</v>
      </c>
      <c r="C44">
        <f>'VENTAS CONSOLIDADA ORIENTE'!C44+'VENTAS CONSOLIDADA LARA'!C44+'VENTAS CONSOLIDADA CARABOBO'!C44+'VENTAS CONSOLIDADA CARACAS'!C44+'VENTAS CONSOLIDADA ZULIA'!C44</f>
        <v>9</v>
      </c>
      <c r="D44" s="5">
        <f t="shared" ca="1" si="0"/>
        <v>0.42857142857142855</v>
      </c>
      <c r="E44" s="5">
        <f t="shared" ca="1" si="1"/>
        <v>9.4285714285714288</v>
      </c>
    </row>
    <row r="45" spans="1:5" x14ac:dyDescent="0.25">
      <c r="A45">
        <v>140230</v>
      </c>
      <c r="B45" t="s">
        <v>19</v>
      </c>
      <c r="C45">
        <f>'VENTAS CONSOLIDADA ORIENTE'!C45+'VENTAS CONSOLIDADA LARA'!C45+'VENTAS CONSOLIDADA CARABOBO'!C45+'VENTAS CONSOLIDADA CARACAS'!C45+'VENTAS CONSOLIDADA ZULIA'!C45</f>
        <v>2729</v>
      </c>
      <c r="D45" s="5">
        <f t="shared" ca="1" si="0"/>
        <v>129.95238095238096</v>
      </c>
      <c r="E45" s="5">
        <f t="shared" ca="1" si="1"/>
        <v>2858.9523809523812</v>
      </c>
    </row>
    <row r="46" spans="1:5" x14ac:dyDescent="0.25">
      <c r="A46">
        <v>140231</v>
      </c>
      <c r="B46" t="s">
        <v>11</v>
      </c>
      <c r="C46">
        <f>'VENTAS CONSOLIDADA ORIENTE'!C46+'VENTAS CONSOLIDADA LARA'!C46+'VENTAS CONSOLIDADA CARABOBO'!C46+'VENTAS CONSOLIDADA CARACAS'!C46+'VENTAS CONSOLIDADA ZULIA'!C46</f>
        <v>10580</v>
      </c>
      <c r="D46" s="5">
        <f t="shared" ca="1" si="0"/>
        <v>503.8095238095238</v>
      </c>
      <c r="E46" s="5">
        <f t="shared" ca="1" si="1"/>
        <v>11083.809523809523</v>
      </c>
    </row>
    <row r="47" spans="1:5" x14ac:dyDescent="0.25">
      <c r="A47">
        <v>140232</v>
      </c>
      <c r="B47" t="s">
        <v>10</v>
      </c>
      <c r="C47">
        <f>'VENTAS CONSOLIDADA ORIENTE'!C47+'VENTAS CONSOLIDADA LARA'!C47+'VENTAS CONSOLIDADA CARABOBO'!C47+'VENTAS CONSOLIDADA CARACAS'!C47+'VENTAS CONSOLIDADA ZULIA'!C47</f>
        <v>1577</v>
      </c>
      <c r="D47" s="5">
        <f t="shared" ca="1" si="0"/>
        <v>75.095238095238102</v>
      </c>
      <c r="E47" s="5">
        <f t="shared" ca="1" si="1"/>
        <v>1652.0952380952383</v>
      </c>
    </row>
    <row r="48" spans="1:5" x14ac:dyDescent="0.25">
      <c r="A48">
        <v>150360</v>
      </c>
      <c r="B48" t="s">
        <v>29</v>
      </c>
      <c r="C48">
        <f>'VENTAS CONSOLIDADA ORIENTE'!C48+'VENTAS CONSOLIDADA LARA'!C48+'VENTAS CONSOLIDADA CARABOBO'!C48+'VENTAS CONSOLIDADA CARACAS'!C48+'VENTAS CONSOLIDADA ZULIA'!C48</f>
        <v>5929</v>
      </c>
      <c r="D48" s="5">
        <f t="shared" ca="1" si="0"/>
        <v>282.33333333333331</v>
      </c>
      <c r="E48" s="5">
        <f t="shared" ca="1" si="1"/>
        <v>6211.333333333333</v>
      </c>
    </row>
    <row r="49" spans="1:5" x14ac:dyDescent="0.25">
      <c r="A49">
        <v>150361</v>
      </c>
      <c r="B49" t="s">
        <v>30</v>
      </c>
      <c r="C49">
        <f>'VENTAS CONSOLIDADA ORIENTE'!C49+'VENTAS CONSOLIDADA LARA'!C49+'VENTAS CONSOLIDADA CARABOBO'!C49+'VENTAS CONSOLIDADA CARACAS'!C49+'VENTAS CONSOLIDADA ZULIA'!C49</f>
        <v>10492</v>
      </c>
      <c r="D49" s="5">
        <f t="shared" ca="1" si="0"/>
        <v>499.61904761904759</v>
      </c>
      <c r="E49" s="5">
        <f t="shared" ca="1" si="1"/>
        <v>10991.619047619048</v>
      </c>
    </row>
    <row r="50" spans="1:5" x14ac:dyDescent="0.25">
      <c r="A50">
        <v>150362</v>
      </c>
      <c r="B50" t="s">
        <v>37</v>
      </c>
      <c r="C50">
        <f>'VENTAS CONSOLIDADA ORIENTE'!C50+'VENTAS CONSOLIDADA LARA'!C50+'VENTAS CONSOLIDADA CARABOBO'!C50+'VENTAS CONSOLIDADA CARACAS'!C50+'VENTAS CONSOLIDADA ZULIA'!C50</f>
        <v>6154</v>
      </c>
      <c r="D50" s="5">
        <f t="shared" ca="1" si="0"/>
        <v>293.04761904761904</v>
      </c>
      <c r="E50" s="5">
        <f t="shared" ca="1" si="1"/>
        <v>6447.0476190476184</v>
      </c>
    </row>
    <row r="51" spans="1:5" x14ac:dyDescent="0.25">
      <c r="A51">
        <v>150363</v>
      </c>
      <c r="B51" t="s">
        <v>32</v>
      </c>
      <c r="C51">
        <f>'VENTAS CONSOLIDADA ORIENTE'!C51+'VENTAS CONSOLIDADA LARA'!C51+'VENTAS CONSOLIDADA CARABOBO'!C51+'VENTAS CONSOLIDADA CARACAS'!C51+'VENTAS CONSOLIDADA ZULIA'!C51</f>
        <v>5824</v>
      </c>
      <c r="D51" s="5">
        <f t="shared" ca="1" si="0"/>
        <v>277.33333333333331</v>
      </c>
      <c r="E51" s="5">
        <f t="shared" ca="1" si="1"/>
        <v>6101.333333333333</v>
      </c>
    </row>
    <row r="52" spans="1:5" x14ac:dyDescent="0.25">
      <c r="A52">
        <v>151500</v>
      </c>
      <c r="B52" t="s">
        <v>42</v>
      </c>
      <c r="C52">
        <f>'VENTAS CONSOLIDADA ORIENTE'!C52+'VENTAS CONSOLIDADA LARA'!C52+'VENTAS CONSOLIDADA CARABOBO'!C52+'VENTAS CONSOLIDADA CARACAS'!C52+'VENTAS CONSOLIDADA ZULIA'!C52</f>
        <v>1126</v>
      </c>
      <c r="D52" s="5">
        <f t="shared" ca="1" si="0"/>
        <v>53.61904761904762</v>
      </c>
      <c r="E52" s="5">
        <f t="shared" ca="1" si="1"/>
        <v>1179.6190476190477</v>
      </c>
    </row>
    <row r="53" spans="1:5" x14ac:dyDescent="0.25">
      <c r="A53">
        <v>151501</v>
      </c>
      <c r="B53" t="s">
        <v>34</v>
      </c>
      <c r="C53">
        <f>'VENTAS CONSOLIDADA ORIENTE'!C53+'VENTAS CONSOLIDADA LARA'!C53+'VENTAS CONSOLIDADA CARABOBO'!C53+'VENTAS CONSOLIDADA CARACAS'!C53+'VENTAS CONSOLIDADA ZULIA'!C53</f>
        <v>2091</v>
      </c>
      <c r="D53" s="5">
        <f t="shared" ca="1" si="0"/>
        <v>99.571428571428569</v>
      </c>
      <c r="E53" s="5">
        <f t="shared" ca="1" si="1"/>
        <v>2190.5714285714284</v>
      </c>
    </row>
    <row r="54" spans="1:5" x14ac:dyDescent="0.25">
      <c r="A54">
        <v>151502</v>
      </c>
      <c r="B54" t="s">
        <v>38</v>
      </c>
      <c r="C54">
        <f>'VENTAS CONSOLIDADA ORIENTE'!C54+'VENTAS CONSOLIDADA LARA'!C54+'VENTAS CONSOLIDADA CARABOBO'!C54+'VENTAS CONSOLIDADA CARACAS'!C54+'VENTAS CONSOLIDADA ZULIA'!C54</f>
        <v>984</v>
      </c>
      <c r="D54" s="5">
        <f t="shared" ca="1" si="0"/>
        <v>46.857142857142854</v>
      </c>
      <c r="E54" s="5">
        <f t="shared" ca="1" si="1"/>
        <v>1030.8571428571429</v>
      </c>
    </row>
    <row r="55" spans="1:5" x14ac:dyDescent="0.25">
      <c r="A55">
        <v>151503</v>
      </c>
      <c r="B55" t="s">
        <v>35</v>
      </c>
      <c r="C55">
        <f>'VENTAS CONSOLIDADA ORIENTE'!C55+'VENTAS CONSOLIDADA LARA'!C55+'VENTAS CONSOLIDADA CARABOBO'!C55+'VENTAS CONSOLIDADA CARACAS'!C55+'VENTAS CONSOLIDADA ZULIA'!C55</f>
        <v>1088</v>
      </c>
      <c r="D55" s="5">
        <f t="shared" ca="1" si="0"/>
        <v>51.80952380952381</v>
      </c>
      <c r="E55" s="5">
        <f t="shared" ca="1" si="1"/>
        <v>1139.8095238095239</v>
      </c>
    </row>
    <row r="56" spans="1:5" x14ac:dyDescent="0.25">
      <c r="C56">
        <f>SUM(C8:C55)</f>
        <v>525524</v>
      </c>
      <c r="D56" s="5">
        <f ca="1">SUM(D8:D55)</f>
        <v>25024.952380952367</v>
      </c>
      <c r="E56" s="5">
        <f ca="1">SUM(E8:E55)</f>
        <v>550548.95238095243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CFB06E3D-1317-4F60-85DB-890000D02217}">
  <ds:schemaRefs/>
</ds:datastoreItem>
</file>

<file path=customXml/itemProps2.xml><?xml version="1.0" encoding="utf-8"?>
<ds:datastoreItem xmlns:ds="http://schemas.openxmlformats.org/officeDocument/2006/customXml" ds:itemID="{1624F75C-FD6B-41DE-81B8-76266AB6E660}">
  <ds:schemaRefs/>
</ds:datastoreItem>
</file>

<file path=customXml/itemProps3.xml><?xml version="1.0" encoding="utf-8"?>
<ds:datastoreItem xmlns:ds="http://schemas.openxmlformats.org/officeDocument/2006/customXml" ds:itemID="{38DB5A37-2218-4EAC-B67D-146D68E76E36}">
  <ds:schemaRefs/>
</ds:datastoreItem>
</file>

<file path=customXml/itemProps4.xml><?xml version="1.0" encoding="utf-8"?>
<ds:datastoreItem xmlns:ds="http://schemas.openxmlformats.org/officeDocument/2006/customXml" ds:itemID="{CAB6C292-B853-467D-B711-6EBB7D36CC58}">
  <ds:schemaRefs/>
</ds:datastoreItem>
</file>

<file path=customXml/itemProps5.xml><?xml version="1.0" encoding="utf-8"?>
<ds:datastoreItem xmlns:ds="http://schemas.openxmlformats.org/officeDocument/2006/customXml" ds:itemID="{65BE5737-5D13-4B92-9A1E-66AAD091BECC}">
  <ds:schemaRefs/>
</ds:datastoreItem>
</file>

<file path=customXml/itemProps6.xml><?xml version="1.0" encoding="utf-8"?>
<ds:datastoreItem xmlns:ds="http://schemas.openxmlformats.org/officeDocument/2006/customXml" ds:itemID="{084C0BCB-4732-44D2-A228-50E994334BF1}">
  <ds:schemaRefs/>
</ds:datastoreItem>
</file>

<file path=customXml/itemProps7.xml><?xml version="1.0" encoding="utf-8"?>
<ds:datastoreItem xmlns:ds="http://schemas.openxmlformats.org/officeDocument/2006/customXml" ds:itemID="{0AD6CB95-564A-49A8-92C3-BDDCD21D69FF}">
  <ds:schemaRefs/>
</ds:datastoreItem>
</file>

<file path=customXml/itemProps8.xml><?xml version="1.0" encoding="utf-8"?>
<ds:datastoreItem xmlns:ds="http://schemas.openxmlformats.org/officeDocument/2006/customXml" ds:itemID="{7845B0CC-F2DA-4435-B3A8-0B67EEA59E3E}">
  <ds:schemaRefs/>
</ds:datastoreItem>
</file>

<file path=customXml/itemProps9.xml><?xml version="1.0" encoding="utf-8"?>
<ds:datastoreItem xmlns:ds="http://schemas.openxmlformats.org/officeDocument/2006/customXml" ds:itemID="{52FA8FE5-D878-4A8D-B664-9568032292DD}">
  <ds:schemaRefs/>
</ds:datastoreItem>
</file>

<file path=customXml/itemProps10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7AE93A93-CA27-4BDA-AA62-2C35967BA493}">
  <ds:schemaRefs/>
</ds:datastoreItem>
</file>

<file path=customXml/itemProps12.xml><?xml version="1.0" encoding="utf-8"?>
<ds:datastoreItem xmlns:ds="http://schemas.openxmlformats.org/officeDocument/2006/customXml" ds:itemID="{F5D7323A-644E-4D3D-8486-43C2FFAD8146}">
  <ds:schemaRefs/>
</ds:datastoreItem>
</file>

<file path=customXml/itemProps13.xml><?xml version="1.0" encoding="utf-8"?>
<ds:datastoreItem xmlns:ds="http://schemas.openxmlformats.org/officeDocument/2006/customXml" ds:itemID="{AF2AF42B-D484-4F26-B929-D7FB2E56F71D}">
  <ds:schemaRefs/>
</ds:datastoreItem>
</file>

<file path=customXml/itemProps14.xml><?xml version="1.0" encoding="utf-8"?>
<ds:datastoreItem xmlns:ds="http://schemas.openxmlformats.org/officeDocument/2006/customXml" ds:itemID="{DEFC51E7-3E67-4621-B139-07F56E3C51B6}">
  <ds:schemaRefs/>
</ds:datastoreItem>
</file>

<file path=customXml/itemProps15.xml><?xml version="1.0" encoding="utf-8"?>
<ds:datastoreItem xmlns:ds="http://schemas.openxmlformats.org/officeDocument/2006/customXml" ds:itemID="{4DF253BA-E348-4CD2-AA4E-97FB2A32A7F0}">
  <ds:schemaRefs/>
</ds:datastoreItem>
</file>

<file path=customXml/itemProps16.xml><?xml version="1.0" encoding="utf-8"?>
<ds:datastoreItem xmlns:ds="http://schemas.openxmlformats.org/officeDocument/2006/customXml" ds:itemID="{2FB7461A-5A6D-4ED3-B35C-48147355CFC0}">
  <ds:schemaRefs/>
</ds:datastoreItem>
</file>

<file path=customXml/itemProps17.xml><?xml version="1.0" encoding="utf-8"?>
<ds:datastoreItem xmlns:ds="http://schemas.openxmlformats.org/officeDocument/2006/customXml" ds:itemID="{DB2ACCEB-6CC9-4D35-BDF4-AC9EF8C2F118}">
  <ds:schemaRefs/>
</ds:datastoreItem>
</file>

<file path=customXml/itemProps18.xml><?xml version="1.0" encoding="utf-8"?>
<ds:datastoreItem xmlns:ds="http://schemas.openxmlformats.org/officeDocument/2006/customXml" ds:itemID="{CC2043D8-989E-412C-8862-ACDB973E448B}">
  <ds:schemaRefs/>
</ds:datastoreItem>
</file>

<file path=customXml/itemProps19.xml><?xml version="1.0" encoding="utf-8"?>
<ds:datastoreItem xmlns:ds="http://schemas.openxmlformats.org/officeDocument/2006/customXml" ds:itemID="{8E0207D3-36B0-4047-99FA-B78F3EBADFAC}">
  <ds:schemaRefs/>
</ds:datastoreItem>
</file>

<file path=customXml/itemProps20.xml><?xml version="1.0" encoding="utf-8"?>
<ds:datastoreItem xmlns:ds="http://schemas.openxmlformats.org/officeDocument/2006/customXml" ds:itemID="{B0CC2B14-7DD7-4033-8A48-822C26B12A4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2026-08-31T12:16:41Z</dcterms:modified>
</cp:coreProperties>
</file>