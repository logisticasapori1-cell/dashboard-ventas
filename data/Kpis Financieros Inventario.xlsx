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"/>
    </mc:Choice>
  </mc:AlternateContent>
  <xr:revisionPtr revIDLastSave="0" documentId="8_{15EA4AD9-8D7C-4506-8634-9DE435AD4465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4" i="1" l="1"/>
  <c r="C34" i="1"/>
  <c r="D34" i="1"/>
  <c r="B35" i="1"/>
  <c r="C35" i="1"/>
  <c r="D35" i="1"/>
  <c r="B29" i="1"/>
  <c r="C29" i="1"/>
  <c r="D29" i="1"/>
  <c r="B30" i="1"/>
  <c r="C30" i="1"/>
  <c r="D30" i="1"/>
  <c r="B24" i="1"/>
  <c r="C24" i="1"/>
  <c r="D24" i="1"/>
  <c r="B25" i="1"/>
  <c r="D25" i="1"/>
  <c r="B19" i="1"/>
  <c r="C19" i="1"/>
  <c r="D19" i="1"/>
  <c r="B20" i="1"/>
  <c r="D20" i="1"/>
  <c r="B14" i="1"/>
  <c r="C14" i="1"/>
  <c r="D14" i="1"/>
  <c r="B15" i="1"/>
  <c r="C15" i="1"/>
  <c r="D15" i="1"/>
  <c r="B9" i="1"/>
  <c r="C9" i="1"/>
  <c r="D9" i="1"/>
  <c r="B10" i="1"/>
  <c r="C10" i="1"/>
  <c r="D10" i="1"/>
  <c r="B4" i="1"/>
  <c r="C4" i="1"/>
  <c r="D4" i="1"/>
  <c r="B5" i="1"/>
  <c r="C5" i="1"/>
  <c r="D5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<sst xmlns="http://schemas.openxmlformats.org/spreadsheetml/2006/main" count="50" uniqueCount="26">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</sst>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164" fontId="2" fillId="0" borderId="0" xfId="0" applyNumberFormat="1" applyFont="1" applyAlignment="1">
      <alignment horizontal="right" vertical="center"/>
    </xf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163855.10728794136</v>
          </cell>
          <cell r="C9">
            <v>13781.46783678359</v>
          </cell>
          <cell r="D9">
            <v>11.889525065726449</v>
          </cell>
        </row>
        <row r="10">
          <cell r="B10">
            <v>282371.5244729534</v>
          </cell>
          <cell r="C10">
            <v>3833.3433721023121</v>
          </cell>
          <cell r="D10">
            <v>73.66194391244764</v>
          </cell>
        </row>
        <row r="14">
          <cell r="B14">
            <v>136571.55674831438</v>
          </cell>
          <cell r="C14">
            <v>572841.76700551296</v>
          </cell>
          <cell r="D14">
            <v>0.23841061286824786</v>
          </cell>
        </row>
        <row r="15">
          <cell r="B15">
            <v>4527.1099999999997</v>
          </cell>
          <cell r="C15">
            <v>88362.038183632205</v>
          </cell>
          <cell r="D15">
            <v>5.1233652969749868E-2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163855.10728794136</v>
          </cell>
          <cell r="C24">
            <v>446226.63176089479</v>
          </cell>
          <cell r="D24">
            <v>0.36720154205350336</v>
          </cell>
        </row>
        <row r="25">
          <cell r="B25">
            <v>282371.5244729534</v>
          </cell>
          <cell r="D25">
            <v>0.63279845794649658</v>
          </cell>
        </row>
        <row r="29">
          <cell r="B29">
            <v>11.889525065726449</v>
          </cell>
          <cell r="C29">
            <v>10</v>
          </cell>
          <cell r="D29">
            <v>1.8895250657264491</v>
          </cell>
        </row>
        <row r="30">
          <cell r="B30">
            <v>73.66194391244764</v>
          </cell>
          <cell r="C30">
            <v>15</v>
          </cell>
          <cell r="D30">
            <v>58.66194391244764</v>
          </cell>
        </row>
        <row r="34">
          <cell r="B34">
            <v>163855.10728794136</v>
          </cell>
          <cell r="C34">
            <v>136571.55674831438</v>
          </cell>
          <cell r="D34">
            <v>123487.42222840591</v>
          </cell>
        </row>
        <row r="35">
          <cell r="B35">
            <v>282371.5244729534</v>
          </cell>
          <cell r="C35">
            <v>4527.1099999999997</v>
          </cell>
          <cell r="D35">
            <v>63563.649499363841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G28" sqref="G28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" t="s">
        <v>0</v>
      </c>
      <c r="B1" s="1"/>
      <c r="C1" s="1"/>
      <c r="D1" s="1"/>
    </row>
    <row r="2" spans="1:4" ht="15.75" x14ac:dyDescent="0.25">
      <c r="A2" s="2" t="s">
        <v>1</v>
      </c>
      <c r="B2" s="2"/>
      <c r="C2" s="2"/>
      <c r="D2" s="2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3" t="s">
        <v>6</v>
      </c>
      <c r="B4" s="4">
        <f>'[1]DASHBOARD FINANCIERO'!B4</f>
        <v>150253.06764921901</v>
      </c>
      <c r="C4" s="4">
        <f>'[1]DASHBOARD FINANCIERO'!C4</f>
        <v>13781.46783678359</v>
      </c>
      <c r="D4" s="5">
        <f>'[1]DASHBOARD FINANCIERO'!D4</f>
        <v>10.902544593122677</v>
      </c>
    </row>
    <row r="5" spans="1:4" x14ac:dyDescent="0.25">
      <c r="A5" s="3" t="s">
        <v>7</v>
      </c>
      <c r="B5" s="4">
        <f>'[1]DASHBOARD FINANCIERO'!B5</f>
        <v>349539.95608949504</v>
      </c>
      <c r="C5" s="4">
        <f>'[1]DASHBOARD FINANCIERO'!C5</f>
        <v>3833.3433721023121</v>
      </c>
      <c r="D5" s="5">
        <f>'[1]DASHBOARD FINANCIERO'!D5</f>
        <v>91.184097577409986</v>
      </c>
    </row>
    <row r="7" spans="1:4" ht="15.75" x14ac:dyDescent="0.25">
      <c r="A7" s="2" t="s">
        <v>8</v>
      </c>
      <c r="B7" s="2"/>
      <c r="C7" s="2"/>
      <c r="D7" s="2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3" t="s">
        <v>6</v>
      </c>
      <c r="B9" s="4">
        <f>'[1]DASHBOARD FINANCIERO'!B9</f>
        <v>163855.10728794136</v>
      </c>
      <c r="C9" s="4">
        <f>'[1]DASHBOARD FINANCIERO'!C9</f>
        <v>13781.46783678359</v>
      </c>
      <c r="D9" s="5">
        <f>'[1]DASHBOARD FINANCIERO'!D9</f>
        <v>11.889525065726449</v>
      </c>
    </row>
    <row r="10" spans="1:4" x14ac:dyDescent="0.25">
      <c r="A10" s="3" t="s">
        <v>7</v>
      </c>
      <c r="B10" s="4">
        <f>'[1]DASHBOARD FINANCIERO'!B10</f>
        <v>282371.5244729534</v>
      </c>
      <c r="C10" s="4">
        <f>'[1]DASHBOARD FINANCIERO'!C10</f>
        <v>3833.3433721023121</v>
      </c>
      <c r="D10" s="5">
        <f>'[1]DASHBOARD FINANCIERO'!D10</f>
        <v>73.66194391244764</v>
      </c>
    </row>
    <row r="12" spans="1:4" ht="15.75" x14ac:dyDescent="0.25">
      <c r="A12" s="2" t="s">
        <v>10</v>
      </c>
      <c r="B12" s="2"/>
      <c r="C12" s="2"/>
      <c r="D12" s="2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3" t="s">
        <v>6</v>
      </c>
      <c r="B14" s="4">
        <f>'[1]DASHBOARD FINANCIERO'!B14</f>
        <v>136571.55674831438</v>
      </c>
      <c r="C14" s="4">
        <f>'[1]DASHBOARD FINANCIERO'!C14</f>
        <v>572841.76700551296</v>
      </c>
      <c r="D14" s="6">
        <f>'[1]DASHBOARD FINANCIERO'!D14</f>
        <v>0.23841061286824786</v>
      </c>
    </row>
    <row r="15" spans="1:4" x14ac:dyDescent="0.25">
      <c r="A15" s="3" t="s">
        <v>7</v>
      </c>
      <c r="B15" s="4">
        <f>'[1]DASHBOARD FINANCIERO'!B15</f>
        <v>4527.1099999999997</v>
      </c>
      <c r="C15" s="4">
        <f>'[1]DASHBOARD FINANCIERO'!C15</f>
        <v>88362.038183632205</v>
      </c>
      <c r="D15" s="6">
        <f>'[1]DASHBOARD FINANCIERO'!D15</f>
        <v>5.1233652969749868E-2</v>
      </c>
    </row>
    <row r="17" spans="1:4" ht="15.75" x14ac:dyDescent="0.25">
      <c r="A17" s="2" t="s">
        <v>14</v>
      </c>
      <c r="B17" s="2"/>
      <c r="C17" s="2"/>
      <c r="D17" s="2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3" t="s">
        <v>6</v>
      </c>
      <c r="B19" s="4">
        <f>'[1]DASHBOARD FINANCIERO'!B19</f>
        <v>150253.06764921901</v>
      </c>
      <c r="C19" s="7">
        <f>'[1]DASHBOARD FINANCIERO'!C19</f>
        <v>499793.02373871405</v>
      </c>
      <c r="D19" s="6">
        <f>'[1]DASHBOARD FINANCIERO'!D19</f>
        <v>0.30063058208625487</v>
      </c>
    </row>
    <row r="20" spans="1:4" x14ac:dyDescent="0.25">
      <c r="A20" s="3" t="s">
        <v>7</v>
      </c>
      <c r="B20" s="4">
        <f>'[1]DASHBOARD FINANCIERO'!B20</f>
        <v>349539.95608949504</v>
      </c>
      <c r="C20" s="7"/>
      <c r="D20" s="6">
        <f>'[1]DASHBOARD FINANCIERO'!D20</f>
        <v>0.69936941791374507</v>
      </c>
    </row>
    <row r="22" spans="1:4" ht="15.75" x14ac:dyDescent="0.25">
      <c r="A22" s="2" t="s">
        <v>17</v>
      </c>
      <c r="B22" s="2"/>
      <c r="C22" s="2"/>
      <c r="D22" s="2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3" t="s">
        <v>6</v>
      </c>
      <c r="B24" s="4">
        <f>'[1]DASHBOARD FINANCIERO'!B24</f>
        <v>163855.10728794136</v>
      </c>
      <c r="C24" s="7">
        <f>'[1]DASHBOARD FINANCIERO'!C24</f>
        <v>446226.63176089479</v>
      </c>
      <c r="D24" s="6">
        <f>'[1]DASHBOARD FINANCIERO'!D24</f>
        <v>0.36720154205350336</v>
      </c>
    </row>
    <row r="25" spans="1:4" x14ac:dyDescent="0.25">
      <c r="A25" s="3" t="s">
        <v>7</v>
      </c>
      <c r="B25" s="4">
        <f>'[1]DASHBOARD FINANCIERO'!B25</f>
        <v>282371.5244729534</v>
      </c>
      <c r="C25" s="7"/>
      <c r="D25" s="6">
        <f>'[1]DASHBOARD FINANCIERO'!D25</f>
        <v>0.63279845794649658</v>
      </c>
    </row>
    <row r="27" spans="1:4" ht="15.75" x14ac:dyDescent="0.25">
      <c r="A27" s="2" t="s">
        <v>19</v>
      </c>
      <c r="B27" s="2"/>
      <c r="C27" s="2"/>
      <c r="D27" s="2"/>
    </row>
    <row r="28" spans="1:4" x14ac:dyDescent="0.25">
      <c r="A28" t="s">
        <v>2</v>
      </c>
      <c r="B28" s="8" t="s">
        <v>20</v>
      </c>
      <c r="C28" t="s">
        <v>21</v>
      </c>
      <c r="D28" t="s">
        <v>22</v>
      </c>
    </row>
    <row r="29" spans="1:4" x14ac:dyDescent="0.25">
      <c r="A29" s="3" t="s">
        <v>6</v>
      </c>
      <c r="B29" s="5">
        <f>'[1]DASHBOARD FINANCIERO'!B29</f>
        <v>11.889525065726449</v>
      </c>
      <c r="C29" s="10">
        <f>'[1]DASHBOARD FINANCIERO'!C29</f>
        <v>10</v>
      </c>
      <c r="D29" s="9">
        <f>'[1]DASHBOARD FINANCIERO'!D29</f>
        <v>1.8895250657264491</v>
      </c>
    </row>
    <row r="30" spans="1:4" x14ac:dyDescent="0.25">
      <c r="A30" s="3" t="s">
        <v>7</v>
      </c>
      <c r="B30" s="5">
        <f>'[1]DASHBOARD FINANCIERO'!B30</f>
        <v>73.66194391244764</v>
      </c>
      <c r="C30" s="10">
        <f>'[1]DASHBOARD FINANCIERO'!C30</f>
        <v>15</v>
      </c>
      <c r="D30" s="9">
        <f>'[1]DASHBOARD FINANCIERO'!D30</f>
        <v>58.66194391244764</v>
      </c>
    </row>
    <row r="32" spans="1:4" ht="15.75" x14ac:dyDescent="0.25">
      <c r="A32" s="2" t="s">
        <v>23</v>
      </c>
      <c r="B32" s="2"/>
      <c r="C32" s="2"/>
      <c r="D32" s="2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3" t="s">
        <v>6</v>
      </c>
      <c r="B34" s="4">
        <f>'[1]DASHBOARD FINANCIERO'!B34</f>
        <v>163855.10728794136</v>
      </c>
      <c r="C34" s="4">
        <f>'[1]DASHBOARD FINANCIERO'!C34</f>
        <v>136571.55674831438</v>
      </c>
      <c r="D34" s="4">
        <f>'[1]DASHBOARD FINANCIERO'!D34</f>
        <v>123487.42222840591</v>
      </c>
    </row>
    <row r="35" spans="1:4" x14ac:dyDescent="0.25">
      <c r="A35" s="3" t="s">
        <v>7</v>
      </c>
      <c r="B35" s="4">
        <f>'[1]DASHBOARD FINANCIERO'!B35</f>
        <v>282371.5244729534</v>
      </c>
      <c r="C35" s="4">
        <f>'[1]DASHBOARD FINANCIERO'!C35</f>
        <v>4527.1099999999997</v>
      </c>
      <c r="D35" s="4">
        <f>'[1]DASHBOARD FINANCIERO'!D35</f>
        <v>63563.649499363841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2026-08-13T16:22:17Z</dcterms:modified>
</cp:coreProperties>
</file>