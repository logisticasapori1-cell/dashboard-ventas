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6AE709BB-A006-41BE-8FCD-425DD4E62EE3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4" i="1" l="1"/>
  <c r="B35" i="1"/>
  <c r="B29" i="1"/>
  <c r="C29" i="1"/>
  <c r="D29" i="1"/>
  <c r="B30" i="1"/>
  <c r="C30" i="1"/>
  <c r="D30" i="1"/>
  <c r="B24" i="1"/>
  <c r="C24" i="1"/>
  <c r="D24" i="1"/>
  <c r="B25" i="1"/>
  <c r="D25" i="1"/>
  <c r="B19" i="1"/>
  <c r="C19" i="1"/>
  <c r="D19" i="1"/>
  <c r="B20" i="1"/>
  <c r="D20" i="1"/>
  <c r="C14" i="1"/>
  <c r="C15" i="1"/>
  <c r="B9" i="1"/>
  <c r="C9" i="1"/>
  <c r="D9" i="1"/>
  <c r="B10" i="1"/>
  <c r="C10" i="1"/>
  <c r="D10" i="1"/>
  <c r="B4" i="1"/>
  <c r="C4" i="1"/>
  <c r="D4" i="1"/>
  <c r="B5" i="1"/>
  <c r="C5" i="1"/>
  <c r="D5" i="1"/>
  <c r="A2" i="1" l="1"/>
  <c r="A3" i="1"/>
  <c r="B3" i="1"/>
  <c r="C3" i="1"/>
  <c r="D3" i="1"/>
  <c r="A4" i="1"/>
  <c r="A5" i="1"/>
  <c r="A7" i="1"/>
  <c r="A8" i="1"/>
  <c r="B8" i="1"/>
  <c r="C8" i="1"/>
  <c r="D8" i="1"/>
  <c r="A9" i="1"/>
  <c r="A10" i="1"/>
  <c r="A12" i="1"/>
  <c r="A13" i="1"/>
  <c r="B13" i="1"/>
  <c r="C13" i="1"/>
  <c r="D13" i="1"/>
  <c r="A14" i="1"/>
  <c r="A15" i="1"/>
  <c r="A17" i="1"/>
  <c r="A18" i="1"/>
  <c r="B18" i="1"/>
  <c r="C18" i="1"/>
  <c r="D18" i="1"/>
  <c r="A19" i="1"/>
  <c r="A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A30" i="1"/>
  <c r="A32" i="1"/>
  <c r="A33" i="1"/>
  <c r="B33" i="1"/>
  <c r="C33" i="1"/>
  <c r="D33" i="1"/>
  <c r="A34" i="1"/>
  <c r="A35" i="1"/>
  <c r="D34" i="1" l="1"/>
  <c r="D35" i="1"/>
  <c r="B15" i="1"/>
  <c r="B14" i="1"/>
  <c r="C34" i="1" l="1"/>
  <c r="C35" i="1"/>
  <c r="D15" i="1"/>
  <c r="D14" i="1" l="1"/>
</calcChain>
</file>

<file path=xl/sharedStrings.xml><?xml version="1.0" encoding="utf-8"?>
<sst xmlns="http://schemas.openxmlformats.org/spreadsheetml/2006/main" count="1" uniqueCount="1">
  <si>
    <t>DASHBOARD - FINANCIERO - 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</si>
</sst>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aster%20Producci&#242;n%20Planner%202026\Octubre%202026\Master_Prod_Planner_v3_OCTUBRE.xlsx" TargetMode="External"/><Relationship Id="rId1" Type="http://schemas.openxmlformats.org/officeDocument/2006/relationships/externalLinkPath" Target="file:///C:\Users\Orbit\Desktop\Almac&#233;n\Master%20Producci&#242;n%20Planner%202026\Octubre%202026\Master_Prod_Planner_v3_OCTUBR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aster%20Producci&#242;n%20Planner%202026/Octubre%202026/Master_Prod_Planner_v3_OCTUBRE.xlsx" TargetMode="External"/><Relationship Id="rId2" Type="http://schemas.openxmlformats.org/officeDocument/2006/relationships/externalLinkPath" Target="file:///R:\SUPPLY%20CHAIN\Master%20Producci&#242;n%20Planner%202026\Octubre%202026\Master_Prod_Planner_v3_OCTUBRE.xlsx" TargetMode="External"/><Relationship Id="rId1" Type="http://schemas.openxmlformats.org/officeDocument/2006/relationships/externalLinkPath" Target="/SUPPLY%20CHAIN/Master%20Producci&#242;n%20Planner%202026/Octubre%202026/Master_Prod_Planner_v3_OCTU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</row>
        <row r="5">
          <cell r="A5" t="str">
            <v>MATERIAL EMPAQUE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</row>
        <row r="10">
          <cell r="A10" t="str">
            <v>MATERIAL EMPAQUE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</row>
        <row r="15">
          <cell r="A15" t="str">
            <v>MATERIAL EMPAQUE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</row>
        <row r="20">
          <cell r="A20" t="str">
            <v>MATERIAL EMPAQUE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</row>
        <row r="25">
          <cell r="A25" t="str">
            <v>MATERIAL EMPAQUE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</row>
        <row r="30">
          <cell r="A30" t="str">
            <v>MATERIAL EMPAQUE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</row>
        <row r="35">
          <cell r="A35" t="str">
            <v>MATERIAL EMPAQUE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98512</v>
          </cell>
          <cell r="C4">
            <v>16308.416113180272</v>
          </cell>
          <cell r="D4">
            <v>6.0405620825669111</v>
          </cell>
        </row>
        <row r="5">
          <cell r="B5">
            <v>279710</v>
          </cell>
          <cell r="C5">
            <v>8213.3775174174825</v>
          </cell>
          <cell r="D5">
            <v>34.055417446335611</v>
          </cell>
        </row>
        <row r="9">
          <cell r="B9">
            <v>148747.56501353366</v>
          </cell>
          <cell r="C9">
            <v>16308.416113180272</v>
          </cell>
          <cell r="D9">
            <v>9.1209081238316951</v>
          </cell>
        </row>
        <row r="10">
          <cell r="B10">
            <v>235917.84893290888</v>
          </cell>
          <cell r="C10">
            <v>8213.3775174174825</v>
          </cell>
          <cell r="D10">
            <v>28.723609554366142</v>
          </cell>
        </row>
        <row r="14">
          <cell r="B14">
            <v>153982.22400000002</v>
          </cell>
          <cell r="C14">
            <v>403455.17050000001</v>
          </cell>
          <cell r="D14">
            <v>0.38165881926651379</v>
          </cell>
        </row>
        <row r="15">
          <cell r="B15">
            <v>6892.1362332197787</v>
          </cell>
          <cell r="C15">
            <v>93998.107645677228</v>
          </cell>
          <cell r="D15">
            <v>7.3322074303872789E-2</v>
          </cell>
        </row>
        <row r="19">
          <cell r="B19">
            <v>98512</v>
          </cell>
          <cell r="C19">
            <v>378222</v>
          </cell>
          <cell r="D19">
            <v>0.26046078757978119</v>
          </cell>
        </row>
        <row r="20">
          <cell r="B20">
            <v>279710</v>
          </cell>
          <cell r="D20">
            <v>0.73953921242021881</v>
          </cell>
        </row>
        <row r="24">
          <cell r="B24">
            <v>148747.56501353366</v>
          </cell>
          <cell r="C24">
            <v>384665.41394644254</v>
          </cell>
          <cell r="D24">
            <v>0.38669336940763793</v>
          </cell>
        </row>
        <row r="25">
          <cell r="B25">
            <v>235917.84893290888</v>
          </cell>
          <cell r="D25">
            <v>0.61330663059236212</v>
          </cell>
        </row>
        <row r="29">
          <cell r="B29">
            <v>9.1209081238316951</v>
          </cell>
          <cell r="C29">
            <v>10</v>
          </cell>
          <cell r="D29">
            <v>-0.87909187616830486</v>
          </cell>
        </row>
        <row r="30">
          <cell r="B30">
            <v>28.723609554366142</v>
          </cell>
          <cell r="C30">
            <v>15</v>
          </cell>
          <cell r="D30">
            <v>13.723609554366142</v>
          </cell>
        </row>
        <row r="34">
          <cell r="B34">
            <v>148747.56501353366</v>
          </cell>
          <cell r="C34">
            <v>153982.22400000002</v>
          </cell>
          <cell r="D34">
            <v>90536.571390355675</v>
          </cell>
        </row>
        <row r="35">
          <cell r="B35">
            <v>235917.84893290888</v>
          </cell>
          <cell r="C35">
            <v>6892.1362332197787</v>
          </cell>
          <cell r="D35">
            <v>36852.447472619227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26" sqref="F26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'[2]DASHBOARD FINANCIERO'!B4</f>
        <v>98512</v>
      </c>
      <c r="C4" s="2">
        <f>'[2]DASHBOARD FINANCIERO'!C4</f>
        <v>16308.416113180272</v>
      </c>
      <c r="D4" s="3">
        <f>'[2]DASHBOARD FINANCIERO'!D4</f>
        <v>6.0405620825669111</v>
      </c>
    </row>
    <row r="5" spans="1:4" x14ac:dyDescent="0.25">
      <c r="A5" s="1" t="str">
        <f>'[1]DASHBOARD FINANCIERO'!A5</f>
        <v>MATERIAL EMPAQUE</v>
      </c>
      <c r="B5" s="2">
        <f>'[2]DASHBOARD FINANCIERO'!B5</f>
        <v>279710</v>
      </c>
      <c r="C5" s="2">
        <f>'[2]DASHBOARD FINANCIERO'!C5</f>
        <v>8213.3775174174825</v>
      </c>
      <c r="D5" s="3">
        <f>'[2]DASHBOARD FINANCIERO'!D5</f>
        <v>34.055417446335611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'[2]DASHBOARD FINANCIERO'!B9</f>
        <v>148747.56501353366</v>
      </c>
      <c r="C9" s="2">
        <f>'[2]DASHBOARD FINANCIERO'!C9</f>
        <v>16308.416113180272</v>
      </c>
      <c r="D9" s="3">
        <f>'[2]DASHBOARD FINANCIERO'!D9</f>
        <v>9.1209081238316951</v>
      </c>
    </row>
    <row r="10" spans="1:4" x14ac:dyDescent="0.25">
      <c r="A10" s="1" t="str">
        <f>'[1]DASHBOARD FINANCIERO'!A10</f>
        <v>MATERIAL EMPAQUE</v>
      </c>
      <c r="B10" s="2">
        <f>'[2]DASHBOARD FINANCIERO'!B10</f>
        <v>235917.84893290888</v>
      </c>
      <c r="C10" s="2">
        <f>'[2]DASHBOARD FINANCIERO'!C10</f>
        <v>8213.3775174174825</v>
      </c>
      <c r="D10" s="3">
        <f>'[2]DASHBOARD FINANCIERO'!D10</f>
        <v>28.723609554366142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'[2]DASHBOARD FINANCIERO'!B14</f>
        <v>153982.22400000002</v>
      </c>
      <c r="C14" s="2">
        <f>'[2]DASHBOARD FINANCIERO'!C14</f>
        <v>403455.17050000001</v>
      </c>
      <c r="D14" s="4">
        <f>'[2]DASHBOARD FINANCIERO'!D14</f>
        <v>0.38165881926651379</v>
      </c>
    </row>
    <row r="15" spans="1:4" x14ac:dyDescent="0.25">
      <c r="A15" s="1" t="str">
        <f>'[1]DASHBOARD FINANCIERO'!A15</f>
        <v>MATERIAL EMPAQUE</v>
      </c>
      <c r="B15" s="2">
        <f>'[2]DASHBOARD FINANCIERO'!B15</f>
        <v>6892.1362332197787</v>
      </c>
      <c r="C15" s="2">
        <f>'[2]DASHBOARD FINANCIERO'!C15</f>
        <v>93998.107645677228</v>
      </c>
      <c r="D15" s="4">
        <f>'[2]DASHBOARD FINANCIERO'!D15</f>
        <v>7.3322074303872789E-2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'[2]DASHBOARD FINANCIERO'!B19</f>
        <v>98512</v>
      </c>
      <c r="C19" s="9">
        <f>'[2]DASHBOARD FINANCIERO'!C19</f>
        <v>378222</v>
      </c>
      <c r="D19" s="4">
        <f>'[2]DASHBOARD FINANCIERO'!D19</f>
        <v>0.26046078757978119</v>
      </c>
    </row>
    <row r="20" spans="1:4" x14ac:dyDescent="0.25">
      <c r="A20" s="1" t="str">
        <f>'[1]DASHBOARD FINANCIERO'!A20</f>
        <v>MATERIAL EMPAQUE</v>
      </c>
      <c r="B20" s="2">
        <f>'[2]DASHBOARD FINANCIERO'!B20</f>
        <v>279710</v>
      </c>
      <c r="C20" s="9"/>
      <c r="D20" s="4">
        <f>'[2]DASHBOARD FINANCIERO'!D20</f>
        <v>0.73953921242021881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'[2]DASHBOARD FINANCIERO'!B24</f>
        <v>148747.56501353366</v>
      </c>
      <c r="C24" s="9">
        <f>'[2]DASHBOARD FINANCIERO'!C24</f>
        <v>384665.41394644254</v>
      </c>
      <c r="D24" s="4">
        <f>'[2]DASHBOARD FINANCIERO'!D24</f>
        <v>0.38669336940763793</v>
      </c>
    </row>
    <row r="25" spans="1:4" x14ac:dyDescent="0.25">
      <c r="A25" s="1" t="str">
        <f>'[1]DASHBOARD FINANCIERO'!A25</f>
        <v>MATERIAL EMPAQUE</v>
      </c>
      <c r="B25" s="2">
        <f>'[2]DASHBOARD FINANCIERO'!B25</f>
        <v>235917.84893290888</v>
      </c>
      <c r="C25" s="9"/>
      <c r="D25" s="4">
        <f>'[2]DASHBOARD FINANCIERO'!D25</f>
        <v>0.61330663059236212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'[2]DASHBOARD FINANCIERO'!B29</f>
        <v>9.1209081238316951</v>
      </c>
      <c r="C29" s="7">
        <f>'[2]DASHBOARD FINANCIERO'!C29</f>
        <v>10</v>
      </c>
      <c r="D29" s="6">
        <f>'[2]DASHBOARD FINANCIERO'!D29</f>
        <v>-0.87909187616830486</v>
      </c>
    </row>
    <row r="30" spans="1:4" x14ac:dyDescent="0.25">
      <c r="A30" s="1" t="str">
        <f>'[1]DASHBOARD FINANCIERO'!A30</f>
        <v>MATERIAL EMPAQUE</v>
      </c>
      <c r="B30" s="3">
        <f>'[2]DASHBOARD FINANCIERO'!B30</f>
        <v>28.723609554366142</v>
      </c>
      <c r="C30" s="7">
        <f>'[2]DASHBOARD FINANCIERO'!C30</f>
        <v>15</v>
      </c>
      <c r="D30" s="6">
        <f>'[2]DASHBOARD FINANCIERO'!D30</f>
        <v>13.723609554366142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'[2]DASHBOARD FINANCIERO'!B34</f>
        <v>148747.56501353366</v>
      </c>
      <c r="C34" s="2">
        <f>'[2]DASHBOARD FINANCIERO'!C34</f>
        <v>153982.22400000002</v>
      </c>
      <c r="D34" s="2">
        <f>'[2]DASHBOARD FINANCIERO'!D34</f>
        <v>90536.571390355675</v>
      </c>
    </row>
    <row r="35" spans="1:4" x14ac:dyDescent="0.25">
      <c r="A35" s="1" t="str">
        <f>'[1]DASHBOARD FINANCIERO'!A35</f>
        <v>MATERIAL EMPAQUE</v>
      </c>
      <c r="B35" s="2">
        <f>'[2]DASHBOARD FINANCIERO'!B35</f>
        <v>235917.84893290888</v>
      </c>
      <c r="C35" s="2">
        <f>'[2]DASHBOARD FINANCIERO'!C35</f>
        <v>6892.1362332197787</v>
      </c>
      <c r="D35" s="2">
        <f>'[2]DASHBOARD FINANCIERO'!D35</f>
        <v>36852.447472619227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2026-10-09T12:17:54Z</dcterms:modified>
</cp:coreProperties>
</file>