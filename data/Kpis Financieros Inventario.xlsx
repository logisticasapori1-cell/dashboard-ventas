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953DCE4-C331-4A6B-BA78-8A5EB6F3528B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C4" i="1"/>
  <c r="A5" i="1"/>
  <c r="B5" i="1"/>
  <c r="C5" i="1"/>
  <c r="A7" i="1"/>
  <c r="A8" i="1"/>
  <c r="B8" i="1"/>
  <c r="C8" i="1"/>
  <c r="D8" i="1"/>
  <c r="A9" i="1"/>
  <c r="B9" i="1"/>
  <c r="C9" i="1"/>
  <c r="D9" i="1"/>
  <c r="A10" i="1"/>
  <c r="B10" i="1"/>
  <c r="C10" i="1"/>
  <c r="D10" i="1"/>
  <c r="A12" i="1"/>
  <c r="A13" i="1"/>
  <c r="B13" i="1"/>
  <c r="C13" i="1"/>
  <c r="D13" i="1"/>
  <c r="A14" i="1"/>
  <c r="B14" i="1"/>
  <c r="C14" i="1"/>
  <c r="D14" i="1"/>
  <c r="A15" i="1"/>
  <c r="B15" i="1"/>
  <c r="C15" i="1"/>
  <c r="D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B24" i="1"/>
  <c r="C24" i="1"/>
  <c r="D24" i="1"/>
  <c r="A25" i="1"/>
  <c r="B25" i="1"/>
  <c r="D25" i="1"/>
  <c r="A27" i="1"/>
  <c r="A28" i="1"/>
  <c r="B28" i="1"/>
  <c r="C28" i="1"/>
  <c r="D28" i="1"/>
  <c r="A29" i="1"/>
  <c r="B29" i="1"/>
  <c r="C29" i="1"/>
  <c r="D29" i="1"/>
  <c r="A30" i="1"/>
  <c r="B30" i="1"/>
  <c r="C30" i="1"/>
  <c r="D30" i="1"/>
  <c r="A32" i="1"/>
  <c r="A33" i="1"/>
  <c r="B33" i="1"/>
  <c r="C33" i="1"/>
  <c r="D33" i="1"/>
  <c r="A34" i="1"/>
  <c r="B34" i="1"/>
  <c r="C34" i="1"/>
  <c r="D34" i="1"/>
  <c r="A35" i="1"/>
  <c r="B35" i="1"/>
  <c r="C35" i="1"/>
  <c r="D35" i="1"/>
  <c r="D5" i="1"/>
  <c r="D4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C4">
            <v>15307</v>
          </cell>
          <cell r="D4">
            <v>10.063329987681257</v>
          </cell>
        </row>
        <row r="5">
          <cell r="A5" t="str">
            <v>MATERIAL EMPAQUE</v>
          </cell>
          <cell r="B5">
            <v>292864</v>
          </cell>
          <cell r="C5">
            <v>7348</v>
          </cell>
          <cell r="D5">
            <v>39.856287425149702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186408.39212143651</v>
          </cell>
          <cell r="C9">
            <v>13781.46783678359</v>
          </cell>
          <cell r="D9">
            <v>13.526018732482253</v>
          </cell>
        </row>
        <row r="10">
          <cell r="A10" t="str">
            <v>MATERIAL EMPAQUE</v>
          </cell>
          <cell r="B10">
            <v>310222.90694886539</v>
          </cell>
          <cell r="C10">
            <v>3833.3433721023121</v>
          </cell>
          <cell r="D10">
            <v>80.927502922528575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106085.496</v>
          </cell>
          <cell r="C14">
            <v>572841.76700551296</v>
          </cell>
          <cell r="D14">
            <v>0.1851916220329986</v>
          </cell>
        </row>
        <row r="15">
          <cell r="A15" t="str">
            <v>MATERIAL EMPAQUE</v>
          </cell>
          <cell r="B15">
            <v>51176.87999999999</v>
          </cell>
          <cell r="C15">
            <v>88362.038183632205</v>
          </cell>
          <cell r="D15">
            <v>0.57917269737084642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80323.392121437006</v>
          </cell>
          <cell r="C19">
            <v>338769.39212143701</v>
          </cell>
          <cell r="D19">
            <v>0.23710345146129339</v>
          </cell>
        </row>
        <row r="20">
          <cell r="A20" t="str">
            <v>MATERIAL EMPAQUE</v>
          </cell>
          <cell r="B20">
            <v>258446</v>
          </cell>
          <cell r="D20">
            <v>0.76289654853870659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186408.39212143651</v>
          </cell>
          <cell r="C24">
            <v>496631.29907030193</v>
          </cell>
          <cell r="D24">
            <v>0.37534563864660692</v>
          </cell>
        </row>
        <row r="25">
          <cell r="A25" t="str">
            <v>MATERIAL EMPAQUE</v>
          </cell>
          <cell r="B25">
            <v>310222.90694886539</v>
          </cell>
          <cell r="D25">
            <v>0.62465436135339303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13.526018732482253</v>
          </cell>
          <cell r="C29">
            <v>10</v>
          </cell>
          <cell r="D29">
            <v>3.5260187324822532</v>
          </cell>
        </row>
        <row r="30">
          <cell r="A30" t="str">
            <v>MATERIAL EMPAQUE</v>
          </cell>
          <cell r="B30">
            <v>80.927502922528575</v>
          </cell>
          <cell r="C30">
            <v>15</v>
          </cell>
          <cell r="D30">
            <v>65.927502922528575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186408.39212143651</v>
          </cell>
          <cell r="C34">
            <v>106085.496</v>
          </cell>
          <cell r="D34">
            <v>73716.443770643091</v>
          </cell>
        </row>
        <row r="35">
          <cell r="A35" t="str">
            <v>MATERIAL EMPAQUE</v>
          </cell>
          <cell r="B35">
            <v>310222.90694886539</v>
          </cell>
          <cell r="C35">
            <v>51176.87999999999</v>
          </cell>
          <cell r="D35">
            <v>34417.548806354411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H16" sqref="H16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f>'[1]DASHBOARD FINANCIERO'!C4</f>
        <v>15307</v>
      </c>
      <c r="D4" s="3">
        <f>'[1]DASHBOARD FINANCIERO'!D4</f>
        <v>10.063329987681257</v>
      </c>
    </row>
    <row r="5" spans="1:4" x14ac:dyDescent="0.25">
      <c r="A5" s="1" t="str">
        <f>'[1]DASHBOARD FINANCIERO'!A5</f>
        <v>MATERIAL EMPAQUE</v>
      </c>
      <c r="B5" s="2">
        <f>'[1]DASHBOARD FINANCIERO'!B5</f>
        <v>292864</v>
      </c>
      <c r="C5" s="2">
        <f>'[1]DASHBOARD FINANCIERO'!C5</f>
        <v>7348</v>
      </c>
      <c r="D5" s="3">
        <f>'[1]DASHBOARD FINANCIERO'!D5</f>
        <v>39.856287425149702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186408.39212143651</v>
      </c>
      <c r="C9" s="2">
        <f>'[1]DASHBOARD FINANCIERO'!C9</f>
        <v>13781.46783678359</v>
      </c>
      <c r="D9" s="3">
        <f>'[1]DASHBOARD FINANCIERO'!D9</f>
        <v>13.526018732482253</v>
      </c>
    </row>
    <row r="10" spans="1:4" x14ac:dyDescent="0.25">
      <c r="A10" s="1" t="str">
        <f>'[1]DASHBOARD FINANCIERO'!A10</f>
        <v>MATERIAL EMPAQUE</v>
      </c>
      <c r="B10" s="2">
        <f>'[1]DASHBOARD FINANCIERO'!B10</f>
        <v>310222.90694886539</v>
      </c>
      <c r="C10" s="2">
        <f>'[1]DASHBOARD FINANCIERO'!C10</f>
        <v>3833.3433721023121</v>
      </c>
      <c r="D10" s="3">
        <f>'[1]DASHBOARD FINANCIERO'!D10</f>
        <v>80.927502922528575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106085.496</v>
      </c>
      <c r="C14" s="2">
        <f>'[1]DASHBOARD FINANCIERO'!C14</f>
        <v>572841.76700551296</v>
      </c>
      <c r="D14" s="4">
        <f>'[1]DASHBOARD FINANCIERO'!D14</f>
        <v>0.1851916220329986</v>
      </c>
    </row>
    <row r="15" spans="1:4" x14ac:dyDescent="0.25">
      <c r="A15" s="1" t="str">
        <f>'[1]DASHBOARD FINANCIERO'!A15</f>
        <v>MATERIAL EMPAQUE</v>
      </c>
      <c r="B15" s="2">
        <f>'[1]DASHBOARD FINANCIERO'!B15</f>
        <v>51176.87999999999</v>
      </c>
      <c r="C15" s="2">
        <f>'[1]DASHBOARD FINANCIERO'!C15</f>
        <v>88362.038183632205</v>
      </c>
      <c r="D15" s="4">
        <f>'[1]DASHBOARD FINANCIERO'!D15</f>
        <v>0.57917269737084642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80323.392121437006</v>
      </c>
      <c r="C19" s="9">
        <f>'[1]DASHBOARD FINANCIERO'!C19</f>
        <v>338769.39212143701</v>
      </c>
      <c r="D19" s="4">
        <f>'[1]DASHBOARD FINANCIERO'!D19</f>
        <v>0.23710345146129339</v>
      </c>
    </row>
    <row r="20" spans="1:4" x14ac:dyDescent="0.25">
      <c r="A20" s="1" t="str">
        <f>'[1]DASHBOARD FINANCIERO'!A20</f>
        <v>MATERIAL EMPAQUE</v>
      </c>
      <c r="B20" s="2">
        <f>'[1]DASHBOARD FINANCIERO'!B20</f>
        <v>258446</v>
      </c>
      <c r="C20" s="9"/>
      <c r="D20" s="4">
        <f>'[1]DASHBOARD FINANCIERO'!D20</f>
        <v>0.76289654853870659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186408.39212143651</v>
      </c>
      <c r="C24" s="9">
        <f>'[1]DASHBOARD FINANCIERO'!C24</f>
        <v>496631.29907030193</v>
      </c>
      <c r="D24" s="4">
        <f>'[1]DASHBOARD FINANCIERO'!D24</f>
        <v>0.37534563864660692</v>
      </c>
    </row>
    <row r="25" spans="1:4" x14ac:dyDescent="0.25">
      <c r="A25" s="1" t="str">
        <f>'[1]DASHBOARD FINANCIERO'!A25</f>
        <v>MATERIAL EMPAQUE</v>
      </c>
      <c r="B25" s="2">
        <f>'[1]DASHBOARD FINANCIERO'!B25</f>
        <v>310222.90694886539</v>
      </c>
      <c r="C25" s="9"/>
      <c r="D25" s="4">
        <f>'[1]DASHBOARD FINANCIERO'!D25</f>
        <v>0.62465436135339303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>'[1]DASHBOARD FINANCIERO'!B29</f>
        <v>13.526018732482253</v>
      </c>
      <c r="C29" s="7">
        <f>'[1]DASHBOARD FINANCIERO'!C29</f>
        <v>10</v>
      </c>
      <c r="D29" s="6">
        <f>'[1]DASHBOARD FINANCIERO'!D29</f>
        <v>3.5260187324822532</v>
      </c>
    </row>
    <row r="30" spans="1:4" x14ac:dyDescent="0.25">
      <c r="A30" s="1" t="str">
        <f>'[1]DASHBOARD FINANCIERO'!A30</f>
        <v>MATERIAL EMPAQUE</v>
      </c>
      <c r="B30" s="3">
        <f>'[1]DASHBOARD FINANCIERO'!B30</f>
        <v>80.927502922528575</v>
      </c>
      <c r="C30" s="7">
        <f>'[1]DASHBOARD FINANCIERO'!C30</f>
        <v>15</v>
      </c>
      <c r="D30" s="6">
        <f>'[1]DASHBOARD FINANCIERO'!D30</f>
        <v>65.927502922528575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186408.39212143651</v>
      </c>
      <c r="C34" s="2">
        <f>'[1]DASHBOARD FINANCIERO'!C34</f>
        <v>106085.496</v>
      </c>
      <c r="D34" s="2">
        <f>'[1]DASHBOARD FINANCIERO'!D34</f>
        <v>73716.443770643091</v>
      </c>
    </row>
    <row r="35" spans="1:4" x14ac:dyDescent="0.25">
      <c r="A35" s="1" t="str">
        <f>'[1]DASHBOARD FINANCIERO'!A35</f>
        <v>MATERIAL EMPAQUE</v>
      </c>
      <c r="B35" s="2">
        <f>'[1]DASHBOARD FINANCIERO'!B35</f>
        <v>310222.90694886539</v>
      </c>
      <c r="C35" s="2">
        <f>'[1]DASHBOARD FINANCIERO'!C35</f>
        <v>51176.87999999999</v>
      </c>
      <c r="D35" s="2">
        <f>'[1]DASHBOARD FINANCIERO'!D35</f>
        <v>34417.548806354411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2026-09-08T17:24:31Z</dcterms:modified>
</cp:coreProperties>
</file>