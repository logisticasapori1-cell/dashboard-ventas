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F6FD7F15-2AC6-4F9A-9796-81C0AD061BE9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5" i="1" l="1"/>
  <c r="D34" i="1"/>
  <c r="B15" i="1"/>
  <c r="C29" i="1"/>
  <c r="C30" i="1"/>
  <c r="B19" i="1"/>
  <c r="C19" i="1"/>
  <c r="D19" i="1"/>
  <c r="B20" i="1"/>
  <c r="D20" i="1"/>
  <c r="C14" i="1"/>
  <c r="C15" i="1"/>
  <c r="C9" i="1"/>
  <c r="C10" i="1"/>
  <c r="B4" i="1"/>
  <c r="C4" i="1"/>
  <c r="D4" i="1"/>
  <c r="B5" i="1"/>
  <c r="C5" i="1"/>
  <c r="D5" i="1"/>
  <c r="D15" i="1" l="1"/>
  <c r="B10" i="1" l="1"/>
  <c r="D10" i="1" l="1"/>
  <c r="B35" i="1"/>
  <c r="B25" i="1"/>
  <c r="B30" i="1" l="1"/>
  <c r="D30" i="1"/>
  <c r="D35" i="1" l="1"/>
  <c r="B9" i="1" l="1"/>
  <c r="B24" i="1" l="1"/>
  <c r="C34" i="1"/>
  <c r="D9" i="1" l="1"/>
  <c r="D14" i="1"/>
  <c r="B14" i="1"/>
  <c r="C24" i="1"/>
  <c r="B34" i="1"/>
  <c r="B29" i="1" l="1"/>
  <c r="D29" i="1"/>
  <c r="D25" i="1"/>
  <c r="D24" i="1"/>
</calcChain>
</file>

<file path=xl/sharedStrings.xml><?xml version="1.0" encoding="utf-8"?>
<sst xmlns="http://schemas.openxmlformats.org/spreadsheetml/2006/main" count="50" uniqueCount="26">
  <si>
    <r>
      <t xml:space="preserve">DASHBOARD - FINANCIERO - KPIs - </t>
    </r>
    <r>
      <rPr>
        <i/>
        <sz val="14"/>
        <color theme="1"/>
        <rFont val="Calibri"/>
        <family val="2"/>
        <scheme val="minor"/>
      </rPr>
      <t>AGOSTO 2026</t>
    </r>
  </si>
  <si>
    <t>DIAS DE COBERTURA (INICIO MES)</t>
  </si>
  <si>
    <t>CATEGORIA</t>
  </si>
  <si>
    <t>VALOR INICIAL (USD)</t>
  </si>
  <si>
    <t>CONSUMO DIARIO (USD)</t>
  </si>
  <si>
    <r>
      <t>DIAS DE COBERTURA (</t>
    </r>
    <r>
      <rPr>
        <b/>
        <sz val="11"/>
        <color theme="1"/>
        <rFont val="Calibri"/>
        <family val="2"/>
        <scheme val="minor"/>
      </rPr>
      <t>DIO</t>
    </r>
    <r>
      <rPr>
        <sz val="11"/>
        <color theme="1"/>
        <rFont val="Calibri"/>
        <family val="2"/>
        <scheme val="minor"/>
      </rPr>
      <t>)</t>
    </r>
  </si>
  <si>
    <t xml:space="preserve">MATERIA PRIMA </t>
  </si>
  <si>
    <t>MATERIAL EMPAQUE</t>
  </si>
  <si>
    <t>DIAS DE COBERTURA (TIEMPO REAL)</t>
  </si>
  <si>
    <t>INVENTARIO DISPONIBLE (USD)</t>
  </si>
  <si>
    <t>SUPPLIER FILL RATE</t>
  </si>
  <si>
    <t>COSTO RECEPCION (USD)</t>
  </si>
  <si>
    <t>COSTO REQUERIMIENTO (USD)</t>
  </si>
  <si>
    <t>FILL RATE</t>
  </si>
  <si>
    <t>ESTRUCTURA DEL CAPITAL INMOVILIZADO (INICIO MES)</t>
  </si>
  <si>
    <t>VALOR INICIAL TOTAL (USD)</t>
  </si>
  <si>
    <t>CAPITAL ALLOCATION</t>
  </si>
  <si>
    <t>ESTRUCTURA DEL CAPITAL INMOVILIZADO (TIEMPO REAL)</t>
  </si>
  <si>
    <t>VALOR TOTAL (USD)</t>
  </si>
  <si>
    <t>VARIABLE DE TIEMPO DE ENTREGA</t>
  </si>
  <si>
    <t>DIO</t>
  </si>
  <si>
    <t>LEAD TIME</t>
  </si>
  <si>
    <t>MARGEN DE SEGURIDAD</t>
  </si>
  <si>
    <t>MOVIMIENTOS (MES ACTUAL)</t>
  </si>
  <si>
    <t>RECEPCION/COMPRAS (USD)</t>
  </si>
  <si>
    <t>CONSUMO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</si>
</sst>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6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lmac&#233;n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4">
          <cell r="B4">
            <v>150253.06764921901</v>
          </cell>
          <cell r="C4">
            <v>13781.46783678359</v>
          </cell>
          <cell r="D4">
            <v>10.902544593122677</v>
          </cell>
        </row>
        <row r="5">
          <cell r="B5">
            <v>349539.95608949504</v>
          </cell>
          <cell r="C5">
            <v>3833.3433721023121</v>
          </cell>
          <cell r="D5">
            <v>91.184097577409986</v>
          </cell>
        </row>
        <row r="9">
          <cell r="B9">
            <v>179101.51877194631</v>
          </cell>
          <cell r="C9">
            <v>13781.46783678359</v>
          </cell>
          <cell r="D9">
            <v>12.995823151283878</v>
          </cell>
        </row>
        <row r="10">
          <cell r="B10">
            <v>266962.84207953367</v>
          </cell>
          <cell r="C10">
            <v>3833.3433721023121</v>
          </cell>
          <cell r="D10">
            <v>69.642298162589029</v>
          </cell>
        </row>
        <row r="14">
          <cell r="B14">
            <v>194311.40674831436</v>
          </cell>
          <cell r="C14">
            <v>572841.76700551296</v>
          </cell>
          <cell r="D14">
            <v>0.33920607389377794</v>
          </cell>
        </row>
        <row r="15">
          <cell r="B15">
            <v>4527.1099999999997</v>
          </cell>
          <cell r="C15">
            <v>88362.038183632205</v>
          </cell>
          <cell r="D15">
            <v>5.1233652969749868E-2</v>
          </cell>
        </row>
        <row r="19">
          <cell r="B19">
            <v>150253.06764921901</v>
          </cell>
          <cell r="C19">
            <v>499793.02373871405</v>
          </cell>
          <cell r="D19">
            <v>0.30063058208625487</v>
          </cell>
        </row>
        <row r="20">
          <cell r="B20">
            <v>349539.95608949504</v>
          </cell>
          <cell r="D20">
            <v>0.69936941791374507</v>
          </cell>
        </row>
        <row r="24">
          <cell r="B24">
            <v>179101.51877194631</v>
          </cell>
          <cell r="C24">
            <v>446064.36085147999</v>
          </cell>
          <cell r="D24">
            <v>0.40151497068733388</v>
          </cell>
        </row>
        <row r="25">
          <cell r="B25">
            <v>266962.84207953367</v>
          </cell>
          <cell r="D25">
            <v>0.59848502931266612</v>
          </cell>
        </row>
        <row r="29">
          <cell r="B29">
            <v>12.995823151283878</v>
          </cell>
          <cell r="C29">
            <v>10</v>
          </cell>
          <cell r="D29">
            <v>2.9958231512838776</v>
          </cell>
        </row>
        <row r="30">
          <cell r="B30">
            <v>69.642298162589029</v>
          </cell>
          <cell r="C30">
            <v>15</v>
          </cell>
          <cell r="D30">
            <v>54.642298162589029</v>
          </cell>
        </row>
        <row r="34">
          <cell r="B34">
            <v>179101.51877194631</v>
          </cell>
          <cell r="C34">
            <v>194311.40674831436</v>
          </cell>
          <cell r="D34">
            <v>167516.03153571667</v>
          </cell>
        </row>
        <row r="35">
          <cell r="B35">
            <v>266962.84207953367</v>
          </cell>
          <cell r="C35">
            <v>4527.1099999999997</v>
          </cell>
          <cell r="D35">
            <v>82113.842168804462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F11" sqref="F11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">
        <v>0</v>
      </c>
      <c r="B1" s="10"/>
      <c r="C1" s="10"/>
      <c r="D1" s="10"/>
    </row>
    <row r="2" spans="1:4" ht="15.75" x14ac:dyDescent="0.25">
      <c r="A2" s="8" t="s">
        <v>1</v>
      </c>
      <c r="B2" s="8"/>
      <c r="C2" s="8"/>
      <c r="D2" s="8"/>
    </row>
    <row r="3" spans="1:4" x14ac:dyDescent="0.25">
      <c r="A3" t="s">
        <v>2</v>
      </c>
      <c r="B3" t="s">
        <v>3</v>
      </c>
      <c r="C3" t="s">
        <v>4</v>
      </c>
      <c r="D3" t="s">
        <v>5</v>
      </c>
    </row>
    <row r="4" spans="1:4" x14ac:dyDescent="0.25">
      <c r="A4" s="1" t="s">
        <v>6</v>
      </c>
      <c r="B4" s="2">
        <f>'[1]DASHBOARD FINANCIERO'!B4</f>
        <v>150253.06764921901</v>
      </c>
      <c r="C4" s="2">
        <f>'[1]DASHBOARD FINANCIERO'!C4</f>
        <v>13781.46783678359</v>
      </c>
      <c r="D4" s="3">
        <f>'[1]DASHBOARD FINANCIERO'!D4</f>
        <v>10.902544593122677</v>
      </c>
    </row>
    <row r="5" spans="1:4" x14ac:dyDescent="0.25">
      <c r="A5" s="1" t="s">
        <v>7</v>
      </c>
      <c r="B5" s="2">
        <f>'[1]DASHBOARD FINANCIERO'!B5</f>
        <v>349539.95608949504</v>
      </c>
      <c r="C5" s="2">
        <f>'[1]DASHBOARD FINANCIERO'!C5</f>
        <v>3833.3433721023121</v>
      </c>
      <c r="D5" s="3">
        <f>'[1]DASHBOARD FINANCIERO'!D5</f>
        <v>91.184097577409986</v>
      </c>
    </row>
    <row r="7" spans="1:4" ht="15.75" x14ac:dyDescent="0.25">
      <c r="A7" s="8" t="s">
        <v>8</v>
      </c>
      <c r="B7" s="8"/>
      <c r="C7" s="8"/>
      <c r="D7" s="8"/>
    </row>
    <row r="8" spans="1:4" x14ac:dyDescent="0.25">
      <c r="A8" t="s">
        <v>2</v>
      </c>
      <c r="B8" t="s">
        <v>9</v>
      </c>
      <c r="C8" t="s">
        <v>4</v>
      </c>
      <c r="D8" t="s">
        <v>5</v>
      </c>
    </row>
    <row r="9" spans="1:4" x14ac:dyDescent="0.25">
      <c r="A9" s="1" t="s">
        <v>6</v>
      </c>
      <c r="B9" s="2">
        <f>'[1]DASHBOARD FINANCIERO'!B9</f>
        <v>179101.51877194631</v>
      </c>
      <c r="C9" s="2">
        <f>'[1]DASHBOARD FINANCIERO'!C9</f>
        <v>13781.46783678359</v>
      </c>
      <c r="D9" s="3">
        <f>'[1]DASHBOARD FINANCIERO'!D9</f>
        <v>12.995823151283878</v>
      </c>
    </row>
    <row r="10" spans="1:4" x14ac:dyDescent="0.25">
      <c r="A10" s="1" t="s">
        <v>7</v>
      </c>
      <c r="B10" s="2">
        <f>'[1]DASHBOARD FINANCIERO'!B10</f>
        <v>266962.84207953367</v>
      </c>
      <c r="C10" s="2">
        <f>'[1]DASHBOARD FINANCIERO'!C10</f>
        <v>3833.3433721023121</v>
      </c>
      <c r="D10" s="3">
        <f>'[1]DASHBOARD FINANCIERO'!D10</f>
        <v>69.642298162589029</v>
      </c>
    </row>
    <row r="12" spans="1:4" ht="15.75" x14ac:dyDescent="0.25">
      <c r="A12" s="8" t="s">
        <v>10</v>
      </c>
      <c r="B12" s="8"/>
      <c r="C12" s="8"/>
      <c r="D12" s="8"/>
    </row>
    <row r="13" spans="1:4" x14ac:dyDescent="0.25">
      <c r="A13" t="s">
        <v>2</v>
      </c>
      <c r="B13" t="s">
        <v>11</v>
      </c>
      <c r="C13" t="s">
        <v>12</v>
      </c>
      <c r="D13" t="s">
        <v>13</v>
      </c>
    </row>
    <row r="14" spans="1:4" x14ac:dyDescent="0.25">
      <c r="A14" s="1" t="s">
        <v>6</v>
      </c>
      <c r="B14" s="2">
        <f>'[1]DASHBOARD FINANCIERO'!B14</f>
        <v>194311.40674831436</v>
      </c>
      <c r="C14" s="2">
        <f>'[1]DASHBOARD FINANCIERO'!C14</f>
        <v>572841.76700551296</v>
      </c>
      <c r="D14" s="4">
        <f>'[1]DASHBOARD FINANCIERO'!D14</f>
        <v>0.33920607389377794</v>
      </c>
    </row>
    <row r="15" spans="1:4" x14ac:dyDescent="0.25">
      <c r="A15" s="1" t="s">
        <v>7</v>
      </c>
      <c r="B15" s="2">
        <f>'[1]DASHBOARD FINANCIERO'!B15</f>
        <v>4527.1099999999997</v>
      </c>
      <c r="C15" s="2">
        <f>'[1]DASHBOARD FINANCIERO'!C15</f>
        <v>88362.038183632205</v>
      </c>
      <c r="D15" s="4">
        <f>'[1]DASHBOARD FINANCIERO'!D15</f>
        <v>5.1233652969749868E-2</v>
      </c>
    </row>
    <row r="17" spans="1:4" ht="15.75" x14ac:dyDescent="0.25">
      <c r="A17" s="8" t="s">
        <v>14</v>
      </c>
      <c r="B17" s="8"/>
      <c r="C17" s="8"/>
      <c r="D17" s="8"/>
    </row>
    <row r="18" spans="1:4" x14ac:dyDescent="0.25">
      <c r="A18" t="s">
        <v>2</v>
      </c>
      <c r="B18" t="s">
        <v>3</v>
      </c>
      <c r="C18" t="s">
        <v>15</v>
      </c>
      <c r="D18" t="s">
        <v>16</v>
      </c>
    </row>
    <row r="19" spans="1:4" x14ac:dyDescent="0.25">
      <c r="A19" s="1" t="s">
        <v>6</v>
      </c>
      <c r="B19" s="2">
        <f>'[1]DASHBOARD FINANCIERO'!B19</f>
        <v>150253.06764921901</v>
      </c>
      <c r="C19" s="9">
        <f>'[1]DASHBOARD FINANCIERO'!C19</f>
        <v>499793.02373871405</v>
      </c>
      <c r="D19" s="4">
        <f>'[1]DASHBOARD FINANCIERO'!D19</f>
        <v>0.30063058208625487</v>
      </c>
    </row>
    <row r="20" spans="1:4" x14ac:dyDescent="0.25">
      <c r="A20" s="1" t="s">
        <v>7</v>
      </c>
      <c r="B20" s="2">
        <f>'[1]DASHBOARD FINANCIERO'!B20</f>
        <v>349539.95608949504</v>
      </c>
      <c r="C20" s="9"/>
      <c r="D20" s="4">
        <f>'[1]DASHBOARD FINANCIERO'!D20</f>
        <v>0.69936941791374507</v>
      </c>
    </row>
    <row r="22" spans="1:4" ht="15.75" x14ac:dyDescent="0.25">
      <c r="A22" s="8" t="s">
        <v>17</v>
      </c>
      <c r="B22" s="8"/>
      <c r="C22" s="8"/>
      <c r="D22" s="8"/>
    </row>
    <row r="23" spans="1:4" x14ac:dyDescent="0.25">
      <c r="A23" t="s">
        <v>2</v>
      </c>
      <c r="B23" t="s">
        <v>9</v>
      </c>
      <c r="C23" t="s">
        <v>18</v>
      </c>
      <c r="D23" t="s">
        <v>16</v>
      </c>
    </row>
    <row r="24" spans="1:4" x14ac:dyDescent="0.25">
      <c r="A24" s="1" t="s">
        <v>6</v>
      </c>
      <c r="B24" s="2">
        <f>'[1]DASHBOARD FINANCIERO'!B24</f>
        <v>179101.51877194631</v>
      </c>
      <c r="C24" s="9">
        <f>'[1]DASHBOARD FINANCIERO'!C24</f>
        <v>446064.36085147999</v>
      </c>
      <c r="D24" s="4">
        <f>'[1]DASHBOARD FINANCIERO'!D24</f>
        <v>0.40151497068733388</v>
      </c>
    </row>
    <row r="25" spans="1:4" x14ac:dyDescent="0.25">
      <c r="A25" s="1" t="s">
        <v>7</v>
      </c>
      <c r="B25" s="2">
        <f>'[1]DASHBOARD FINANCIERO'!B25</f>
        <v>266962.84207953367</v>
      </c>
      <c r="C25" s="9"/>
      <c r="D25" s="4">
        <f>'[1]DASHBOARD FINANCIERO'!D25</f>
        <v>0.59848502931266612</v>
      </c>
    </row>
    <row r="27" spans="1:4" ht="15.75" x14ac:dyDescent="0.25">
      <c r="A27" s="8" t="s">
        <v>19</v>
      </c>
      <c r="B27" s="8"/>
      <c r="C27" s="8"/>
      <c r="D27" s="8"/>
    </row>
    <row r="28" spans="1:4" x14ac:dyDescent="0.25">
      <c r="A28" t="s">
        <v>2</v>
      </c>
      <c r="B28" s="5" t="s">
        <v>20</v>
      </c>
      <c r="C28" t="s">
        <v>21</v>
      </c>
      <c r="D28" t="s">
        <v>22</v>
      </c>
    </row>
    <row r="29" spans="1:4" x14ac:dyDescent="0.25">
      <c r="A29" s="1" t="s">
        <v>6</v>
      </c>
      <c r="B29" s="3">
        <f>'[1]DASHBOARD FINANCIERO'!B29</f>
        <v>12.995823151283878</v>
      </c>
      <c r="C29" s="7">
        <f>'[1]DASHBOARD FINANCIERO'!C29</f>
        <v>10</v>
      </c>
      <c r="D29" s="6">
        <f>'[1]DASHBOARD FINANCIERO'!D29</f>
        <v>2.9958231512838776</v>
      </c>
    </row>
    <row r="30" spans="1:4" x14ac:dyDescent="0.25">
      <c r="A30" s="1" t="s">
        <v>7</v>
      </c>
      <c r="B30" s="3">
        <f>'[1]DASHBOARD FINANCIERO'!B30</f>
        <v>69.642298162589029</v>
      </c>
      <c r="C30" s="7">
        <f>'[1]DASHBOARD FINANCIERO'!C30</f>
        <v>15</v>
      </c>
      <c r="D30" s="6">
        <f>'[1]DASHBOARD FINANCIERO'!D30</f>
        <v>54.642298162589029</v>
      </c>
    </row>
    <row r="32" spans="1:4" ht="15.75" x14ac:dyDescent="0.25">
      <c r="A32" s="8" t="s">
        <v>23</v>
      </c>
      <c r="B32" s="8"/>
      <c r="C32" s="8"/>
      <c r="D32" s="8"/>
    </row>
    <row r="33" spans="1:4" x14ac:dyDescent="0.25">
      <c r="A33" t="s">
        <v>2</v>
      </c>
      <c r="B33" t="s">
        <v>9</v>
      </c>
      <c r="C33" t="s">
        <v>24</v>
      </c>
      <c r="D33" t="s">
        <v>25</v>
      </c>
    </row>
    <row r="34" spans="1:4" x14ac:dyDescent="0.25">
      <c r="A34" s="1" t="s">
        <v>6</v>
      </c>
      <c r="B34" s="2">
        <f>'[1]DASHBOARD FINANCIERO'!B34</f>
        <v>179101.51877194631</v>
      </c>
      <c r="C34" s="2">
        <f>'[1]DASHBOARD FINANCIERO'!C34</f>
        <v>194311.40674831436</v>
      </c>
      <c r="D34" s="2">
        <f>'[1]DASHBOARD FINANCIERO'!D34</f>
        <v>167516.03153571667</v>
      </c>
    </row>
    <row r="35" spans="1:4" x14ac:dyDescent="0.25">
      <c r="A35" s="1" t="s">
        <v>7</v>
      </c>
      <c r="B35" s="2">
        <f>'[1]DASHBOARD FINANCIERO'!B35</f>
        <v>266962.84207953367</v>
      </c>
      <c r="C35" s="2">
        <f>'[1]DASHBOARD FINANCIERO'!C35</f>
        <v>4527.1099999999997</v>
      </c>
      <c r="D35" s="2">
        <f>'[1]DASHBOARD FINANCIERO'!D35</f>
        <v>82113.842168804462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2026-08-18T22:05:00Z</dcterms:modified>
</cp:coreProperties>
</file>