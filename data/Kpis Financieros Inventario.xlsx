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bit\Desktop\Almacén\Mi_Dashboard_Ventas\dashboard_supply_v.2.0\data\"/>
    </mc:Choice>
  </mc:AlternateContent>
  <xr:revisionPtr revIDLastSave="0" documentId="13_ncr:1_{23ED8033-4223-4DEB-AD28-DA5727975BB2}" xr6:coauthVersionLast="47" xr6:coauthVersionMax="47" xr10:uidLastSave="{00000000-0000-0000-0000-000000000000}"/>
  <bookViews>
    <workbookView xWindow="-120" yWindow="-120" windowWidth="29040" windowHeight="15720" xr2:uid="{438CA555-B5FD-48EA-A9D0-CDEF222AFC2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2" i="1"/>
  <c r="A3" i="1"/>
  <c r="B3" i="1"/>
  <c r="C3" i="1"/>
  <c r="D3" i="1"/>
  <c r="A4" i="1"/>
  <c r="B4" i="1"/>
  <c r="A5" i="1"/>
  <c r="B5" i="1"/>
  <c r="A7" i="1"/>
  <c r="A8" i="1"/>
  <c r="B8" i="1"/>
  <c r="C8" i="1"/>
  <c r="D8" i="1"/>
  <c r="A9" i="1"/>
  <c r="A10" i="1"/>
  <c r="A12" i="1"/>
  <c r="A13" i="1"/>
  <c r="B13" i="1"/>
  <c r="C13" i="1"/>
  <c r="D13" i="1"/>
  <c r="A14" i="1"/>
  <c r="C14" i="1"/>
  <c r="A15" i="1"/>
  <c r="C15" i="1"/>
  <c r="A17" i="1"/>
  <c r="A18" i="1"/>
  <c r="B18" i="1"/>
  <c r="C18" i="1"/>
  <c r="D18" i="1"/>
  <c r="A19" i="1"/>
  <c r="B19" i="1"/>
  <c r="C19" i="1"/>
  <c r="D19" i="1"/>
  <c r="A20" i="1"/>
  <c r="B20" i="1"/>
  <c r="D20" i="1"/>
  <c r="A22" i="1"/>
  <c r="A23" i="1"/>
  <c r="B23" i="1"/>
  <c r="C23" i="1"/>
  <c r="D23" i="1"/>
  <c r="A24" i="1"/>
  <c r="A25" i="1"/>
  <c r="A27" i="1"/>
  <c r="A28" i="1"/>
  <c r="B28" i="1"/>
  <c r="C28" i="1"/>
  <c r="D28" i="1"/>
  <c r="A29" i="1"/>
  <c r="C29" i="1"/>
  <c r="A30" i="1"/>
  <c r="C30" i="1"/>
  <c r="A32" i="1"/>
  <c r="A33" i="1"/>
  <c r="B33" i="1"/>
  <c r="C33" i="1"/>
  <c r="D33" i="1"/>
  <c r="A34" i="1"/>
  <c r="A35" i="1"/>
  <c r="D35" i="1"/>
  <c r="B10" i="1" l="1"/>
  <c r="B25" i="1"/>
  <c r="B35" i="1" l="1"/>
  <c r="D5" i="1"/>
  <c r="B9" i="1" l="1"/>
  <c r="B24" i="1" l="1"/>
  <c r="C24" i="1" l="1"/>
  <c r="B34" i="1"/>
  <c r="D25" i="1" l="1"/>
  <c r="D24" i="1"/>
  <c r="D34" i="1" l="1"/>
  <c r="B15" i="1" l="1"/>
  <c r="C35" i="1" l="1"/>
  <c r="D15" i="1"/>
  <c r="B14" i="1" l="1"/>
  <c r="D14" i="1" l="1"/>
  <c r="C34" i="1"/>
  <c r="D10" i="1" l="1"/>
  <c r="B30" i="1" l="1"/>
  <c r="D30" i="1" l="1"/>
  <c r="D4" i="1" l="1"/>
  <c r="D9" i="1" l="1"/>
  <c r="B29" i="1" l="1"/>
  <c r="D2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5" fillId="0" borderId="0" xfId="0" applyFont="1"/>
    <xf numFmtId="164" fontId="2" fillId="0" borderId="0" xfId="0" applyNumberFormat="1" applyFont="1"/>
    <xf numFmtId="2" fontId="2" fillId="0" borderId="0" xfId="0" applyNumberFormat="1" applyFont="1"/>
    <xf numFmtId="9" fontId="2" fillId="0" borderId="0" xfId="1" applyFont="1"/>
    <xf numFmtId="0" fontId="2" fillId="0" borderId="0" xfId="0" applyFont="1"/>
    <xf numFmtId="2" fontId="2" fillId="0" borderId="0" xfId="1" applyNumberFormat="1" applyFont="1"/>
    <xf numFmtId="2" fontId="2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%20Producci&#242;n%20Planner%202026/Master_Prod_Planner_v3_SEPTIEMBRE.xlsx" TargetMode="External"/><Relationship Id="rId2" Type="http://schemas.openxmlformats.org/officeDocument/2006/relationships/externalLinkPath" Target="file:///C:\Users\Orbit\Desktop\Almac&#233;n\Master%20Producci&#242;n%20Planner%202026\Master_Prod_Planner_v3_SEPTIEMBRE.xlsx" TargetMode="External"/><Relationship Id="rId1" Type="http://schemas.openxmlformats.org/officeDocument/2006/relationships/externalLinkPath" Target="/Users/Orbit/Desktop/Almac&#233;n/Master%20Producci&#242;n%20Planner%202026/Master_Prod_Planner_v3_SEPT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QUERIMIENTO COMPRAS"/>
      <sheetName val="DASHBOARD FINANCIERO"/>
      <sheetName val="VINCULO VTS BY SKU"/>
      <sheetName val="FILL RATE"/>
      <sheetName val="MPS"/>
      <sheetName val="BOM (Recetas)"/>
      <sheetName val="Explosión de materiales"/>
      <sheetName val="FOTORequerimienMateriaPrima09"/>
      <sheetName val="Requerimiento Materia Prima"/>
      <sheetName val="VINCULO MP"/>
      <sheetName val="VALOR $ CONSUMO MP"/>
      <sheetName val="FOTORequerimienMaterialConten09"/>
      <sheetName val="Requerimien Material Contenedor"/>
      <sheetName val="VINCULO MC"/>
      <sheetName val="VALOR $ CONSUMO MC"/>
      <sheetName val="FOTORequerimientoMaterialEmpa09"/>
      <sheetName val="Requerimiento Material Empaque"/>
      <sheetName val="VINCULO ME"/>
      <sheetName val="VALOR $ CONSUMO ME"/>
      <sheetName val="Plan Producción Semanal"/>
      <sheetName val="Plan Maduraciòn Semanal"/>
      <sheetName val="Panel Producción Diario"/>
    </sheetNames>
    <sheetDataSet>
      <sheetData sheetId="0"/>
      <sheetData sheetId="1">
        <row r="1">
          <cell r="A1" t="str">
            <v>DASHBOARD - FINANCIERO - KPIs - SEPTIEMBRE 2026</v>
          </cell>
        </row>
        <row r="2">
          <cell r="A2" t="str">
            <v>DIAS DE COBERTURA (INICIO MES)</v>
          </cell>
        </row>
        <row r="3">
          <cell r="A3" t="str">
            <v>CATEGORIA</v>
          </cell>
          <cell r="B3" t="str">
            <v>VALOR INICIAL (USD)</v>
          </cell>
          <cell r="C3" t="str">
            <v>CONSUMO DIARIO (USD)</v>
          </cell>
          <cell r="D3" t="str">
            <v>DIAS DE COBERTURA (DIO)</v>
          </cell>
        </row>
        <row r="4">
          <cell r="A4" t="str">
            <v xml:space="preserve">MATERIA PRIMA </v>
          </cell>
          <cell r="B4">
            <v>154039.39212143701</v>
          </cell>
          <cell r="D4">
            <v>9.2112669769611735</v>
          </cell>
        </row>
        <row r="5">
          <cell r="A5" t="str">
            <v>MATERIAL EMPAQUE</v>
          </cell>
          <cell r="B5">
            <v>314158</v>
          </cell>
          <cell r="D5">
            <v>37.973645778346146</v>
          </cell>
        </row>
        <row r="7">
          <cell r="A7" t="str">
            <v>DIAS DE COBERTURA (TIEMPO REAL)</v>
          </cell>
        </row>
        <row r="8">
          <cell r="A8" t="str">
            <v>CATEGORIA</v>
          </cell>
          <cell r="B8" t="str">
            <v>INVENTARIO DISPONIBLE (USD)</v>
          </cell>
          <cell r="C8" t="str">
            <v>CONSUMO DIARIO (USD)</v>
          </cell>
          <cell r="D8" t="str">
            <v>DIAS DE COBERTURA (DIO)</v>
          </cell>
        </row>
        <row r="9">
          <cell r="A9" t="str">
            <v xml:space="preserve">MATERIA PRIMA </v>
          </cell>
          <cell r="B9">
            <v>122213.21077101516</v>
          </cell>
          <cell r="D9">
            <v>7.3081209748995324</v>
          </cell>
        </row>
        <row r="10">
          <cell r="A10" t="str">
            <v>MATERIAL EMPAQUE</v>
          </cell>
          <cell r="B10">
            <v>276001.54440655507</v>
          </cell>
          <cell r="D10">
            <v>33.361508799938235</v>
          </cell>
        </row>
        <row r="12">
          <cell r="A12" t="str">
            <v>SUPPLIER FILL RATE</v>
          </cell>
        </row>
        <row r="13">
          <cell r="A13" t="str">
            <v>CATEGORIA</v>
          </cell>
          <cell r="B13" t="str">
            <v>COSTO RECEPCION (USD)</v>
          </cell>
          <cell r="C13" t="str">
            <v>COSTO REQUERIMIENTO (USD)</v>
          </cell>
          <cell r="D13" t="str">
            <v>FILL RATE</v>
          </cell>
        </row>
        <row r="14">
          <cell r="A14" t="str">
            <v xml:space="preserve">MATERIA PRIMA </v>
          </cell>
          <cell r="B14">
            <v>285745.99550000002</v>
          </cell>
          <cell r="C14">
            <v>344799.25199999998</v>
          </cell>
          <cell r="D14">
            <v>0.82873148315298562</v>
          </cell>
        </row>
        <row r="15">
          <cell r="A15" t="str">
            <v>MATERIAL EMPAQUE</v>
          </cell>
          <cell r="B15">
            <v>110743.91860786518</v>
          </cell>
          <cell r="C15">
            <v>108924.24443806437</v>
          </cell>
          <cell r="D15">
            <v>1.0167058691036917</v>
          </cell>
        </row>
        <row r="17">
          <cell r="A17" t="str">
            <v>ESTRUCTURA DEL CAPITAL INMOVILIZADO (INICIO MES)</v>
          </cell>
        </row>
        <row r="18">
          <cell r="A18" t="str">
            <v>CATEGORIA</v>
          </cell>
          <cell r="B18" t="str">
            <v>VALOR INICIAL (USD)</v>
          </cell>
          <cell r="C18" t="str">
            <v>VALOR INICIAL TOTAL (USD)</v>
          </cell>
          <cell r="D18" t="str">
            <v>CAPITAL ALLOCATION</v>
          </cell>
        </row>
        <row r="19">
          <cell r="A19" t="str">
            <v xml:space="preserve">MATERIA PRIMA </v>
          </cell>
          <cell r="B19">
            <v>154039.39212143701</v>
          </cell>
          <cell r="C19">
            <v>468197.39212143701</v>
          </cell>
          <cell r="D19">
            <v>0.32900523307802532</v>
          </cell>
        </row>
        <row r="20">
          <cell r="A20" t="str">
            <v>MATERIAL EMPAQUE</v>
          </cell>
          <cell r="B20">
            <v>314158</v>
          </cell>
          <cell r="D20">
            <v>0.67099476692197468</v>
          </cell>
        </row>
        <row r="22">
          <cell r="A22" t="str">
            <v>ESTRUCTURA DEL CAPITAL INMOVILIZADO (TIEMPO REAL)</v>
          </cell>
        </row>
        <row r="23">
          <cell r="A23" t="str">
            <v>CATEGORIA</v>
          </cell>
          <cell r="B23" t="str">
            <v>INVENTARIO DISPONIBLE (USD)</v>
          </cell>
          <cell r="C23" t="str">
            <v>VALOR TOTAL (USD)</v>
          </cell>
          <cell r="D23" t="str">
            <v>CAPITAL ALLOCATION</v>
          </cell>
        </row>
        <row r="24">
          <cell r="A24" t="str">
            <v xml:space="preserve">MATERIA PRIMA </v>
          </cell>
          <cell r="B24">
            <v>122213.21077101516</v>
          </cell>
          <cell r="C24">
            <v>398214.75517757022</v>
          </cell>
          <cell r="D24">
            <v>0.30690276837310654</v>
          </cell>
        </row>
        <row r="25">
          <cell r="A25" t="str">
            <v>MATERIAL EMPAQUE</v>
          </cell>
          <cell r="B25">
            <v>276001.54440655507</v>
          </cell>
          <cell r="D25">
            <v>0.69309723162689352</v>
          </cell>
        </row>
        <row r="27">
          <cell r="A27" t="str">
            <v>VARIABLE DE TIEMPO DE ENTREGA</v>
          </cell>
        </row>
        <row r="28">
          <cell r="A28" t="str">
            <v>CATEGORIA</v>
          </cell>
          <cell r="B28" t="str">
            <v>DIO</v>
          </cell>
          <cell r="C28" t="str">
            <v>LEAD TIME</v>
          </cell>
          <cell r="D28" t="str">
            <v>MARGEN DE SEGURIDAD</v>
          </cell>
        </row>
        <row r="29">
          <cell r="A29" t="str">
            <v xml:space="preserve">MATERIA PRIMA </v>
          </cell>
          <cell r="B29">
            <v>7.3081209748995324</v>
          </cell>
          <cell r="C29">
            <v>10</v>
          </cell>
          <cell r="D29">
            <v>-2.6918790251004676</v>
          </cell>
        </row>
        <row r="30">
          <cell r="A30" t="str">
            <v>MATERIAL EMPAQUE</v>
          </cell>
          <cell r="B30">
            <v>33.361508799938235</v>
          </cell>
          <cell r="C30">
            <v>15</v>
          </cell>
          <cell r="D30">
            <v>18.361508799938235</v>
          </cell>
        </row>
        <row r="32">
          <cell r="A32" t="str">
            <v>MOVIMIENTOS (MES ACTUAL)</v>
          </cell>
        </row>
        <row r="33">
          <cell r="A33" t="str">
            <v>CATEGORIA</v>
          </cell>
          <cell r="B33" t="str">
            <v>INVENTARIO DISPONIBLE (USD)</v>
          </cell>
          <cell r="C33" t="str">
            <v>RECEPCION/COMPRAS (USD)</v>
          </cell>
          <cell r="D33" t="str">
            <v>CONSUMO (USD)</v>
          </cell>
        </row>
        <row r="34">
          <cell r="A34" t="str">
            <v xml:space="preserve">MATERIA PRIMA </v>
          </cell>
          <cell r="B34">
            <v>122213.21077101516</v>
          </cell>
          <cell r="C34">
            <v>285745.99550000002</v>
          </cell>
          <cell r="D34">
            <v>317735.70971589047</v>
          </cell>
        </row>
        <row r="35">
          <cell r="A35" t="str">
            <v>MATERIAL EMPAQUE</v>
          </cell>
          <cell r="B35">
            <v>276001.54440655507</v>
          </cell>
          <cell r="C35">
            <v>110743.91860786518</v>
          </cell>
          <cell r="D35">
            <v>157188.0149417659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A687-646F-4D57-AB43-78E40D81A358}">
  <dimension ref="A1:D35"/>
  <sheetViews>
    <sheetView tabSelected="1" workbookViewId="0">
      <selection activeCell="H15" sqref="H15"/>
    </sheetView>
  </sheetViews>
  <sheetFormatPr baseColWidth="10" defaultRowHeight="15" x14ac:dyDescent="0.25"/>
  <cols>
    <col min="1" max="1" width="23.42578125" customWidth="1"/>
    <col min="2" max="2" width="29.28515625" customWidth="1"/>
    <col min="3" max="4" width="27.5703125" customWidth="1"/>
  </cols>
  <sheetData>
    <row r="1" spans="1:4" ht="18.75" x14ac:dyDescent="0.25">
      <c r="A1" s="10" t="str">
        <f>'[1]DASHBOARD FINANCIERO'!A1</f>
        <v>DASHBOARD - FINANCIERO - KPIs - SEPTIEMBRE 2026</v>
      </c>
      <c r="B1" s="10"/>
      <c r="C1" s="10"/>
      <c r="D1" s="10"/>
    </row>
    <row r="2" spans="1:4" ht="15.75" x14ac:dyDescent="0.25">
      <c r="A2" s="8" t="str">
        <f>'[1]DASHBOARD FINANCIERO'!A2</f>
        <v>DIAS DE COBERTURA (INICIO MES)</v>
      </c>
      <c r="B2" s="8"/>
      <c r="C2" s="8"/>
      <c r="D2" s="8"/>
    </row>
    <row r="3" spans="1:4" x14ac:dyDescent="0.25">
      <c r="A3" t="str">
        <f>'[1]DASHBOARD FINANCIERO'!A3</f>
        <v>CATEGORIA</v>
      </c>
      <c r="B3" t="str">
        <f>'[1]DASHBOARD FINANCIERO'!B3</f>
        <v>VALOR INICIAL (USD)</v>
      </c>
      <c r="C3" t="str">
        <f>'[1]DASHBOARD FINANCIERO'!C3</f>
        <v>CONSUMO DIARIO (USD)</v>
      </c>
      <c r="D3" t="str">
        <f>'[1]DASHBOARD FINANCIERO'!D3</f>
        <v>DIAS DE COBERTURA (DIO)</v>
      </c>
    </row>
    <row r="4" spans="1:4" x14ac:dyDescent="0.25">
      <c r="A4" s="1" t="str">
        <f>'[1]DASHBOARD FINANCIERO'!A4</f>
        <v xml:space="preserve">MATERIA PRIMA </v>
      </c>
      <c r="B4" s="2">
        <f>'[1]DASHBOARD FINANCIERO'!B4</f>
        <v>154039.39212143701</v>
      </c>
      <c r="C4" s="2">
        <v>16722.932090310023</v>
      </c>
      <c r="D4" s="3">
        <f ca="1">'[1]DASHBOARD FINANCIERO'!D4</f>
        <v>9.2112669769611735</v>
      </c>
    </row>
    <row r="5" spans="1:4" x14ac:dyDescent="0.25">
      <c r="A5" s="1" t="str">
        <f>'[1]DASHBOARD FINANCIERO'!A5</f>
        <v>MATERIAL EMPAQUE</v>
      </c>
      <c r="B5" s="2">
        <f>'[1]DASHBOARD FINANCIERO'!B5</f>
        <v>314158</v>
      </c>
      <c r="C5" s="2">
        <v>8273.0534179876795</v>
      </c>
      <c r="D5" s="3">
        <f ca="1">'[1]DASHBOARD FINANCIERO'!D5</f>
        <v>37.973645778346146</v>
      </c>
    </row>
    <row r="7" spans="1:4" ht="15.75" x14ac:dyDescent="0.25">
      <c r="A7" s="8" t="str">
        <f>'[1]DASHBOARD FINANCIERO'!A7</f>
        <v>DIAS DE COBERTURA (TIEMPO REAL)</v>
      </c>
      <c r="B7" s="8"/>
      <c r="C7" s="8"/>
      <c r="D7" s="8"/>
    </row>
    <row r="8" spans="1:4" x14ac:dyDescent="0.25">
      <c r="A8" t="str">
        <f>'[1]DASHBOARD FINANCIERO'!A8</f>
        <v>CATEGORIA</v>
      </c>
      <c r="B8" t="str">
        <f>'[1]DASHBOARD FINANCIERO'!B8</f>
        <v>INVENTARIO DISPONIBLE (USD)</v>
      </c>
      <c r="C8" t="str">
        <f>'[1]DASHBOARD FINANCIERO'!C8</f>
        <v>CONSUMO DIARIO (USD)</v>
      </c>
      <c r="D8" t="str">
        <f>'[1]DASHBOARD FINANCIERO'!D8</f>
        <v>DIAS DE COBERTURA (DIO)</v>
      </c>
    </row>
    <row r="9" spans="1:4" x14ac:dyDescent="0.25">
      <c r="A9" s="1" t="str">
        <f>'[1]DASHBOARD FINANCIERO'!A9</f>
        <v xml:space="preserve">MATERIA PRIMA </v>
      </c>
      <c r="B9" s="2">
        <f>'[1]DASHBOARD FINANCIERO'!B9</f>
        <v>122213.21077101516</v>
      </c>
      <c r="C9" s="2">
        <v>16722.932090310023</v>
      </c>
      <c r="D9" s="3">
        <f ca="1">'[1]DASHBOARD FINANCIERO'!D9</f>
        <v>7.3081209748995324</v>
      </c>
    </row>
    <row r="10" spans="1:4" x14ac:dyDescent="0.25">
      <c r="A10" s="1" t="str">
        <f>'[1]DASHBOARD FINANCIERO'!A10</f>
        <v>MATERIAL EMPAQUE</v>
      </c>
      <c r="B10" s="2">
        <f>'[1]DASHBOARD FINANCIERO'!B10</f>
        <v>276001.54440655507</v>
      </c>
      <c r="C10" s="2">
        <v>8273.0534179876795</v>
      </c>
      <c r="D10" s="3">
        <f ca="1">'[1]DASHBOARD FINANCIERO'!D10</f>
        <v>33.361508799938235</v>
      </c>
    </row>
    <row r="12" spans="1:4" ht="15.75" x14ac:dyDescent="0.25">
      <c r="A12" s="8" t="str">
        <f>'[1]DASHBOARD FINANCIERO'!A12</f>
        <v>SUPPLIER FILL RATE</v>
      </c>
      <c r="B12" s="8"/>
      <c r="C12" s="8"/>
      <c r="D12" s="8"/>
    </row>
    <row r="13" spans="1:4" x14ac:dyDescent="0.25">
      <c r="A13" t="str">
        <f>'[1]DASHBOARD FINANCIERO'!A13</f>
        <v>CATEGORIA</v>
      </c>
      <c r="B13" t="str">
        <f>'[1]DASHBOARD FINANCIERO'!B13</f>
        <v>COSTO RECEPCION (USD)</v>
      </c>
      <c r="C13" t="str">
        <f>'[1]DASHBOARD FINANCIERO'!C13</f>
        <v>COSTO REQUERIMIENTO (USD)</v>
      </c>
      <c r="D13" t="str">
        <f>'[1]DASHBOARD FINANCIERO'!D13</f>
        <v>FILL RATE</v>
      </c>
    </row>
    <row r="14" spans="1:4" x14ac:dyDescent="0.25">
      <c r="A14" s="1" t="str">
        <f>'[1]DASHBOARD FINANCIERO'!A14</f>
        <v xml:space="preserve">MATERIA PRIMA </v>
      </c>
      <c r="B14" s="2">
        <f>'[1]DASHBOARD FINANCIERO'!B14</f>
        <v>285745.99550000002</v>
      </c>
      <c r="C14" s="2">
        <f>'[1]DASHBOARD FINANCIERO'!C14</f>
        <v>344799.25199999998</v>
      </c>
      <c r="D14" s="4">
        <f>'[1]DASHBOARD FINANCIERO'!D14</f>
        <v>0.82873148315298562</v>
      </c>
    </row>
    <row r="15" spans="1:4" x14ac:dyDescent="0.25">
      <c r="A15" s="1" t="str">
        <f>'[1]DASHBOARD FINANCIERO'!A15</f>
        <v>MATERIAL EMPAQUE</v>
      </c>
      <c r="B15" s="2">
        <f>'[1]DASHBOARD FINANCIERO'!B15</f>
        <v>110743.91860786518</v>
      </c>
      <c r="C15" s="2">
        <f>'[1]DASHBOARD FINANCIERO'!C15</f>
        <v>108924.24443806437</v>
      </c>
      <c r="D15" s="4">
        <f>'[1]DASHBOARD FINANCIERO'!D15</f>
        <v>1.0167058691036917</v>
      </c>
    </row>
    <row r="17" spans="1:4" ht="15.75" x14ac:dyDescent="0.25">
      <c r="A17" s="8" t="str">
        <f>'[1]DASHBOARD FINANCIERO'!A17</f>
        <v>ESTRUCTURA DEL CAPITAL INMOVILIZADO (INICIO MES)</v>
      </c>
      <c r="B17" s="8"/>
      <c r="C17" s="8"/>
      <c r="D17" s="8"/>
    </row>
    <row r="18" spans="1:4" x14ac:dyDescent="0.25">
      <c r="A18" t="str">
        <f>'[1]DASHBOARD FINANCIERO'!A18</f>
        <v>CATEGORIA</v>
      </c>
      <c r="B18" t="str">
        <f>'[1]DASHBOARD FINANCIERO'!B18</f>
        <v>VALOR INICIAL (USD)</v>
      </c>
      <c r="C18" t="str">
        <f>'[1]DASHBOARD FINANCIERO'!C18</f>
        <v>VALOR INICIAL TOTAL (USD)</v>
      </c>
      <c r="D18" t="str">
        <f>'[1]DASHBOARD FINANCIERO'!D18</f>
        <v>CAPITAL ALLOCATION</v>
      </c>
    </row>
    <row r="19" spans="1:4" x14ac:dyDescent="0.25">
      <c r="A19" s="1" t="str">
        <f>'[1]DASHBOARD FINANCIERO'!A19</f>
        <v xml:space="preserve">MATERIA PRIMA </v>
      </c>
      <c r="B19" s="2">
        <f>'[1]DASHBOARD FINANCIERO'!B19</f>
        <v>154039.39212143701</v>
      </c>
      <c r="C19" s="9">
        <f>'[1]DASHBOARD FINANCIERO'!C19</f>
        <v>468197.39212143701</v>
      </c>
      <c r="D19" s="4">
        <f>'[1]DASHBOARD FINANCIERO'!D19</f>
        <v>0.32900523307802532</v>
      </c>
    </row>
    <row r="20" spans="1:4" x14ac:dyDescent="0.25">
      <c r="A20" s="1" t="str">
        <f>'[1]DASHBOARD FINANCIERO'!A20</f>
        <v>MATERIAL EMPAQUE</v>
      </c>
      <c r="B20" s="2">
        <f>'[1]DASHBOARD FINANCIERO'!B20</f>
        <v>314158</v>
      </c>
      <c r="C20" s="9"/>
      <c r="D20" s="4">
        <f>'[1]DASHBOARD FINANCIERO'!D20</f>
        <v>0.67099476692197468</v>
      </c>
    </row>
    <row r="22" spans="1:4" ht="15.75" x14ac:dyDescent="0.25">
      <c r="A22" s="8" t="str">
        <f>'[1]DASHBOARD FINANCIERO'!A22</f>
        <v>ESTRUCTURA DEL CAPITAL INMOVILIZADO (TIEMPO REAL)</v>
      </c>
      <c r="B22" s="8"/>
      <c r="C22" s="8"/>
      <c r="D22" s="8"/>
    </row>
    <row r="23" spans="1:4" x14ac:dyDescent="0.25">
      <c r="A23" t="str">
        <f>'[1]DASHBOARD FINANCIERO'!A23</f>
        <v>CATEGORIA</v>
      </c>
      <c r="B23" t="str">
        <f>'[1]DASHBOARD FINANCIERO'!B23</f>
        <v>INVENTARIO DISPONIBLE (USD)</v>
      </c>
      <c r="C23" t="str">
        <f>'[1]DASHBOARD FINANCIERO'!C23</f>
        <v>VALOR TOTAL (USD)</v>
      </c>
      <c r="D23" t="str">
        <f>'[1]DASHBOARD FINANCIERO'!D23</f>
        <v>CAPITAL ALLOCATION</v>
      </c>
    </row>
    <row r="24" spans="1:4" x14ac:dyDescent="0.25">
      <c r="A24" s="1" t="str">
        <f>'[1]DASHBOARD FINANCIERO'!A24</f>
        <v xml:space="preserve">MATERIA PRIMA </v>
      </c>
      <c r="B24" s="2">
        <f>'[1]DASHBOARD FINANCIERO'!B24</f>
        <v>122213.21077101516</v>
      </c>
      <c r="C24" s="9">
        <f>'[1]DASHBOARD FINANCIERO'!C24</f>
        <v>398214.75517757022</v>
      </c>
      <c r="D24" s="4">
        <f>'[1]DASHBOARD FINANCIERO'!D24</f>
        <v>0.30690276837310654</v>
      </c>
    </row>
    <row r="25" spans="1:4" x14ac:dyDescent="0.25">
      <c r="A25" s="1" t="str">
        <f>'[1]DASHBOARD FINANCIERO'!A25</f>
        <v>MATERIAL EMPAQUE</v>
      </c>
      <c r="B25" s="2">
        <f>'[1]DASHBOARD FINANCIERO'!B25</f>
        <v>276001.54440655507</v>
      </c>
      <c r="C25" s="9"/>
      <c r="D25" s="4">
        <f>'[1]DASHBOARD FINANCIERO'!D25</f>
        <v>0.69309723162689352</v>
      </c>
    </row>
    <row r="27" spans="1:4" ht="15.75" x14ac:dyDescent="0.25">
      <c r="A27" s="8" t="str">
        <f>'[1]DASHBOARD FINANCIERO'!A27</f>
        <v>VARIABLE DE TIEMPO DE ENTREGA</v>
      </c>
      <c r="B27" s="8"/>
      <c r="C27" s="8"/>
      <c r="D27" s="8"/>
    </row>
    <row r="28" spans="1:4" x14ac:dyDescent="0.25">
      <c r="A28" t="str">
        <f>'[1]DASHBOARD FINANCIERO'!A28</f>
        <v>CATEGORIA</v>
      </c>
      <c r="B28" s="5" t="str">
        <f>'[1]DASHBOARD FINANCIERO'!B28</f>
        <v>DIO</v>
      </c>
      <c r="C28" t="str">
        <f>'[1]DASHBOARD FINANCIERO'!C28</f>
        <v>LEAD TIME</v>
      </c>
      <c r="D28" t="str">
        <f>'[1]DASHBOARD FINANCIERO'!D28</f>
        <v>MARGEN DE SEGURIDAD</v>
      </c>
    </row>
    <row r="29" spans="1:4" x14ac:dyDescent="0.25">
      <c r="A29" s="1" t="str">
        <f>'[1]DASHBOARD FINANCIERO'!A29</f>
        <v xml:space="preserve">MATERIA PRIMA </v>
      </c>
      <c r="B29" s="3">
        <f ca="1">'[1]DASHBOARD FINANCIERO'!B29</f>
        <v>7.3081209748995324</v>
      </c>
      <c r="C29" s="7">
        <f>'[1]DASHBOARD FINANCIERO'!C29</f>
        <v>10</v>
      </c>
      <c r="D29" s="6">
        <f ca="1">'[1]DASHBOARD FINANCIERO'!D29</f>
        <v>-2.6918790251004676</v>
      </c>
    </row>
    <row r="30" spans="1:4" x14ac:dyDescent="0.25">
      <c r="A30" s="1" t="str">
        <f>'[1]DASHBOARD FINANCIERO'!A30</f>
        <v>MATERIAL EMPAQUE</v>
      </c>
      <c r="B30" s="3">
        <f ca="1">'[1]DASHBOARD FINANCIERO'!B30</f>
        <v>33.361508799938235</v>
      </c>
      <c r="C30" s="7">
        <f>'[1]DASHBOARD FINANCIERO'!C30</f>
        <v>15</v>
      </c>
      <c r="D30" s="6">
        <f ca="1">'[1]DASHBOARD FINANCIERO'!D30</f>
        <v>18.361508799938235</v>
      </c>
    </row>
    <row r="32" spans="1:4" ht="15.75" x14ac:dyDescent="0.25">
      <c r="A32" s="8" t="str">
        <f>'[1]DASHBOARD FINANCIERO'!A32</f>
        <v>MOVIMIENTOS (MES ACTUAL)</v>
      </c>
      <c r="B32" s="8"/>
      <c r="C32" s="8"/>
      <c r="D32" s="8"/>
    </row>
    <row r="33" spans="1:4" x14ac:dyDescent="0.25">
      <c r="A33" t="str">
        <f>'[1]DASHBOARD FINANCIERO'!A33</f>
        <v>CATEGORIA</v>
      </c>
      <c r="B33" t="str">
        <f>'[1]DASHBOARD FINANCIERO'!B33</f>
        <v>INVENTARIO DISPONIBLE (USD)</v>
      </c>
      <c r="C33" t="str">
        <f>'[1]DASHBOARD FINANCIERO'!C33</f>
        <v>RECEPCION/COMPRAS (USD)</v>
      </c>
      <c r="D33" t="str">
        <f>'[1]DASHBOARD FINANCIERO'!D33</f>
        <v>CONSUMO (USD)</v>
      </c>
    </row>
    <row r="34" spans="1:4" x14ac:dyDescent="0.25">
      <c r="A34" s="1" t="str">
        <f>'[1]DASHBOARD FINANCIERO'!A34</f>
        <v xml:space="preserve">MATERIA PRIMA </v>
      </c>
      <c r="B34" s="2">
        <f>'[1]DASHBOARD FINANCIERO'!B34</f>
        <v>122213.21077101516</v>
      </c>
      <c r="C34" s="2">
        <f>'[1]DASHBOARD FINANCIERO'!C34</f>
        <v>285745.99550000002</v>
      </c>
      <c r="D34" s="2">
        <f>'[1]DASHBOARD FINANCIERO'!D34</f>
        <v>317735.70971589047</v>
      </c>
    </row>
    <row r="35" spans="1:4" x14ac:dyDescent="0.25">
      <c r="A35" s="1" t="str">
        <f>'[1]DASHBOARD FINANCIERO'!A35</f>
        <v>MATERIAL EMPAQUE</v>
      </c>
      <c r="B35" s="2">
        <f>'[1]DASHBOARD FINANCIERO'!B35</f>
        <v>276001.54440655507</v>
      </c>
      <c r="C35" s="2">
        <f>'[1]DASHBOARD FINANCIERO'!C35</f>
        <v>110743.91860786518</v>
      </c>
      <c r="D35" s="2">
        <f>'[1]DASHBOARD FINANCIERO'!D35</f>
        <v>157188.0149417659</v>
      </c>
    </row>
  </sheetData>
  <mergeCells count="10">
    <mergeCell ref="A22:D22"/>
    <mergeCell ref="C24:C25"/>
    <mergeCell ref="A27:D27"/>
    <mergeCell ref="A32:D32"/>
    <mergeCell ref="A1:D1"/>
    <mergeCell ref="A2:D2"/>
    <mergeCell ref="A7:D7"/>
    <mergeCell ref="A12:D12"/>
    <mergeCell ref="A17:D17"/>
    <mergeCell ref="C19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dcterms:created xsi:type="dcterms:W3CDTF">2026-08-13T16:20:33Z</dcterms:created>
  <dcterms:modified xsi:type="dcterms:W3CDTF">2026-09-28T17:41:50Z</dcterms:modified>
</cp:coreProperties>
</file>