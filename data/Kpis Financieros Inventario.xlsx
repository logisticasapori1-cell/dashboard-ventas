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D12AFE97-8F10-4BE1-969F-B083FACF7652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C14" i="1"/>
  <c r="A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A35" i="1"/>
  <c r="D35" i="1"/>
  <c r="D5" i="1"/>
  <c r="D4" i="1"/>
  <c r="B14" i="1" l="1"/>
  <c r="C34" i="1" l="1"/>
  <c r="D14" i="1" l="1"/>
  <c r="B10" i="1" l="1"/>
  <c r="D10" i="1"/>
  <c r="B25" i="1"/>
  <c r="B30" i="1" l="1"/>
  <c r="B35" i="1"/>
  <c r="D30" i="1" l="1"/>
  <c r="B9" i="1" l="1"/>
  <c r="B24" i="1" l="1"/>
  <c r="D9" i="1"/>
  <c r="B29" i="1" l="1"/>
  <c r="C24" i="1"/>
  <c r="B34" i="1"/>
  <c r="D29" i="1" l="1"/>
  <c r="D25" i="1"/>
  <c r="D24" i="1"/>
  <c r="D34" i="1" l="1"/>
  <c r="B15" i="1"/>
  <c r="D15" i="1" l="1"/>
  <c r="C35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269763</v>
          </cell>
          <cell r="C5">
            <v>7348</v>
          </cell>
          <cell r="D5">
            <v>36.712438758845941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74682.126015793518</v>
          </cell>
          <cell r="C9">
            <v>15307</v>
          </cell>
          <cell r="D9">
            <v>4.8789525064214754</v>
          </cell>
        </row>
        <row r="10">
          <cell r="A10" t="str">
            <v>MATERIAL EMPAQUE</v>
          </cell>
          <cell r="B10">
            <v>340342.07687351556</v>
          </cell>
          <cell r="C10">
            <v>7348</v>
          </cell>
          <cell r="D10">
            <v>46.317647914196456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121443.3245</v>
          </cell>
          <cell r="C14">
            <v>344799.25199999998</v>
          </cell>
          <cell r="D14">
            <v>0.35221458224045105</v>
          </cell>
        </row>
        <row r="15">
          <cell r="A15" t="str">
            <v>MATERIAL EMPAQUE</v>
          </cell>
          <cell r="B15">
            <v>110743.91860786518</v>
          </cell>
          <cell r="C15">
            <v>108924.24443806437</v>
          </cell>
          <cell r="D15">
            <v>1.0167058691036917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423802.39212143701</v>
          </cell>
          <cell r="D19">
            <v>0.36346985053661124</v>
          </cell>
        </row>
        <row r="20">
          <cell r="A20" t="str">
            <v>MATERIAL EMPAQUE</v>
          </cell>
          <cell r="B20">
            <v>269763</v>
          </cell>
          <cell r="D20">
            <v>0.63653014946338882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74682.126015793518</v>
          </cell>
          <cell r="C24">
            <v>415024.20288930909</v>
          </cell>
          <cell r="D24">
            <v>0.1799464356436869</v>
          </cell>
        </row>
        <row r="25">
          <cell r="A25" t="str">
            <v>MATERIAL EMPAQUE</v>
          </cell>
          <cell r="B25">
            <v>340342.07687351556</v>
          </cell>
          <cell r="D25">
            <v>0.82005356435631305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4.8789525064214754</v>
          </cell>
          <cell r="C29">
            <v>10</v>
          </cell>
          <cell r="D29">
            <v>-5.1210474935785246</v>
          </cell>
        </row>
        <row r="30">
          <cell r="A30" t="str">
            <v>MATERIAL EMPAQUE</v>
          </cell>
          <cell r="B30">
            <v>46.317647914196456</v>
          </cell>
          <cell r="C30">
            <v>15</v>
          </cell>
          <cell r="D30">
            <v>31.317647914196456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74682.126015793518</v>
          </cell>
          <cell r="C34">
            <v>121443.3245</v>
          </cell>
          <cell r="D34">
            <v>197562.54805286491</v>
          </cell>
        </row>
        <row r="35">
          <cell r="A35" t="str">
            <v>MATERIAL EMPAQUE</v>
          </cell>
          <cell r="B35">
            <v>340342.07687351556</v>
          </cell>
          <cell r="C35">
            <v>110743.91860786518</v>
          </cell>
          <cell r="D35">
            <v>97389.675902141506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G18" sqref="G18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269763</v>
      </c>
      <c r="C5" s="2">
        <f>'[1]DASHBOARD FINANCIERO'!C5</f>
        <v>7348</v>
      </c>
      <c r="D5" s="3">
        <f>'[1]DASHBOARD FINANCIERO'!D5</f>
        <v>36.712438758845941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74682.126015793518</v>
      </c>
      <c r="C9" s="2">
        <f>'[1]DASHBOARD FINANCIERO'!C9</f>
        <v>15307</v>
      </c>
      <c r="D9" s="3">
        <f>'[1]DASHBOARD FINANCIERO'!D9</f>
        <v>4.8789525064214754</v>
      </c>
    </row>
    <row r="10" spans="1:4" x14ac:dyDescent="0.25">
      <c r="A10" s="1" t="str">
        <f>'[1]DASHBOARD FINANCIERO'!A10</f>
        <v>MATERIAL EMPAQUE</v>
      </c>
      <c r="B10" s="2">
        <f>'[1]DASHBOARD FINANCIERO'!B10</f>
        <v>340342.07687351556</v>
      </c>
      <c r="C10" s="2">
        <f>'[1]DASHBOARD FINANCIERO'!C10</f>
        <v>7348</v>
      </c>
      <c r="D10" s="3">
        <f>'[1]DASHBOARD FINANCIERO'!D10</f>
        <v>46.317647914196456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121443.3245</v>
      </c>
      <c r="C14" s="2">
        <f>'[1]DASHBOARD FINANCIERO'!C14</f>
        <v>344799.25199999998</v>
      </c>
      <c r="D14" s="4">
        <f>'[1]DASHBOARD FINANCIERO'!D14</f>
        <v>0.35221458224045105</v>
      </c>
    </row>
    <row r="15" spans="1:4" x14ac:dyDescent="0.25">
      <c r="A15" s="1" t="str">
        <f>'[1]DASHBOARD FINANCIERO'!A15</f>
        <v>MATERIAL EMPAQUE</v>
      </c>
      <c r="B15" s="2">
        <f>'[1]DASHBOARD FINANCIERO'!B15</f>
        <v>110743.91860786518</v>
      </c>
      <c r="C15" s="2">
        <f>'[1]DASHBOARD FINANCIERO'!C15</f>
        <v>108924.24443806437</v>
      </c>
      <c r="D15" s="4">
        <f>'[1]DASHBOARD FINANCIERO'!D15</f>
        <v>1.0167058691036917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423802.39212143701</v>
      </c>
      <c r="D19" s="4">
        <f>'[1]DASHBOARD FINANCIERO'!D19</f>
        <v>0.36346985053661124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269763</v>
      </c>
      <c r="C20" s="9"/>
      <c r="D20" s="4">
        <f>'[1]DASHBOARD FINANCIERO'!D20</f>
        <v>0.63653014946338882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74682.126015793518</v>
      </c>
      <c r="C24" s="9">
        <f>'[1]DASHBOARD FINANCIERO'!C24</f>
        <v>415024.20288930909</v>
      </c>
      <c r="D24" s="4">
        <f>'[1]DASHBOARD FINANCIERO'!D24</f>
        <v>0.1799464356436869</v>
      </c>
    </row>
    <row r="25" spans="1:4" x14ac:dyDescent="0.25">
      <c r="A25" s="1" t="str">
        <f>'[1]DASHBOARD FINANCIERO'!A25</f>
        <v>MATERIAL EMPAQUE</v>
      </c>
      <c r="B25" s="2">
        <f>'[1]DASHBOARD FINANCIERO'!B25</f>
        <v>340342.07687351556</v>
      </c>
      <c r="C25" s="9"/>
      <c r="D25" s="4">
        <f>'[1]DASHBOARD FINANCIERO'!D25</f>
        <v>0.82005356435631305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4.8789525064214754</v>
      </c>
      <c r="C29" s="7">
        <f>'[1]DASHBOARD FINANCIERO'!C29</f>
        <v>10</v>
      </c>
      <c r="D29" s="6">
        <f>'[1]DASHBOARD FINANCIERO'!D29</f>
        <v>-5.1210474935785246</v>
      </c>
    </row>
    <row r="30" spans="1:4" x14ac:dyDescent="0.25">
      <c r="A30" s="1" t="str">
        <f>'[1]DASHBOARD FINANCIERO'!A30</f>
        <v>MATERIAL EMPAQUE</v>
      </c>
      <c r="B30" s="3">
        <f>'[1]DASHBOARD FINANCIERO'!B30</f>
        <v>46.317647914196456</v>
      </c>
      <c r="C30" s="7">
        <f>'[1]DASHBOARD FINANCIERO'!C30</f>
        <v>15</v>
      </c>
      <c r="D30" s="6">
        <f>'[1]DASHBOARD FINANCIERO'!D30</f>
        <v>31.317647914196456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74682.126015793518</v>
      </c>
      <c r="C34" s="2">
        <f>'[1]DASHBOARD FINANCIERO'!C34</f>
        <v>121443.3245</v>
      </c>
      <c r="D34" s="2">
        <f>'[1]DASHBOARD FINANCIERO'!D34</f>
        <v>197562.54805286491</v>
      </c>
    </row>
    <row r="35" spans="1:4" x14ac:dyDescent="0.25">
      <c r="A35" s="1" t="str">
        <f>'[1]DASHBOARD FINANCIERO'!A35</f>
        <v>MATERIAL EMPAQUE</v>
      </c>
      <c r="B35" s="2">
        <f>'[1]DASHBOARD FINANCIERO'!B35</f>
        <v>340342.07687351556</v>
      </c>
      <c r="C35" s="2">
        <f>'[1]DASHBOARD FINANCIERO'!C35</f>
        <v>110743.91860786518</v>
      </c>
      <c r="D35" s="2">
        <f>'[1]DASHBOARD FINANCIERO'!D35</f>
        <v>97389.675902141506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2026-09-18T12:33:44Z</dcterms:modified>
</cp:coreProperties>
</file>