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257639EF-80E3-4CCD-83D9-10B46D84FE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43" i="1"/>
  <c r="E45" i="1"/>
  <c r="F30" i="1" l="1"/>
  <c r="F29" i="1"/>
  <c r="F28" i="1"/>
  <c r="F32" i="1"/>
  <c r="F31" i="1"/>
  <c r="F34" i="1"/>
  <c r="F33" i="1"/>
  <c r="F36" i="1"/>
  <c r="F38" i="1"/>
  <c r="F37" i="1"/>
  <c r="F40" i="1"/>
  <c r="F39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44" i="1"/>
  <c r="F35" i="1"/>
  <c r="F3" i="1"/>
  <c r="F2" i="1"/>
  <c r="F43" i="1"/>
  <c r="F45" i="1"/>
  <c r="G30" i="1" l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<sst xmlns="http://schemas.openxmlformats.org/spreadsheetml/2006/main" count="102" uniqueCount="62">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</sst>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  <sheetName val="INVENTARIO NACIONAL 05-08-26"/>
      <sheetName val="INVENTARIO NACIONAL 06-08-26"/>
      <sheetName val="INVENTARIO NACIONAL 07-08-26"/>
      <sheetName val="INVENTARIO NACIONAL 10-08-26"/>
    </sheetNames>
    <sheetDataSet>
      <sheetData sheetId="0"/>
      <sheetData sheetId="1"/>
      <sheetData sheetId="2">
        <row r="4">
          <cell r="F4">
            <v>1114.5999999999999</v>
          </cell>
          <cell r="G4">
            <v>-3.5273081924578342E-3</v>
          </cell>
          <cell r="H4" t="str">
            <v>BAJO</v>
          </cell>
        </row>
        <row r="5">
          <cell r="F5">
            <v>93.8</v>
          </cell>
          <cell r="G5">
            <v>0.20326530612244897</v>
          </cell>
          <cell r="H5" t="str">
            <v>SUBIÓ</v>
          </cell>
        </row>
        <row r="6">
          <cell r="F6">
            <v>393.8</v>
          </cell>
          <cell r="G6">
            <v>-0.2807305936073059</v>
          </cell>
          <cell r="H6" t="str">
            <v>BAJO</v>
          </cell>
        </row>
        <row r="7">
          <cell r="F7">
            <v>104.6</v>
          </cell>
          <cell r="G7">
            <v>6.9827986982798684E-2</v>
          </cell>
          <cell r="H7" t="str">
            <v>SUBIÓ</v>
          </cell>
        </row>
        <row r="8">
          <cell r="F8">
            <v>8.4</v>
          </cell>
          <cell r="G8">
            <v>-0.49645776566757494</v>
          </cell>
          <cell r="H8" t="str">
            <v>BAJO</v>
          </cell>
        </row>
        <row r="9">
          <cell r="F9">
            <v>1301.2</v>
          </cell>
          <cell r="G9">
            <v>4.8581859028362651E-3</v>
          </cell>
          <cell r="H9" t="str">
            <v>SUBIÓ</v>
          </cell>
        </row>
        <row r="10">
          <cell r="F10">
            <v>123.4</v>
          </cell>
          <cell r="G10">
            <v>9.9702380952380043E-3</v>
          </cell>
          <cell r="H10" t="str">
            <v>SUBIÓ</v>
          </cell>
        </row>
        <row r="11">
          <cell r="F11">
            <v>327</v>
          </cell>
          <cell r="G11">
            <v>7.6623765339718597E-2</v>
          </cell>
          <cell r="H11" t="str">
            <v>SUBIÓ</v>
          </cell>
        </row>
        <row r="12">
          <cell r="F12">
            <v>745.6</v>
          </cell>
          <cell r="G12">
            <v>0.12628398791540785</v>
          </cell>
          <cell r="H12" t="str">
            <v>SUBIÓ</v>
          </cell>
        </row>
        <row r="13">
          <cell r="F13">
            <v>423.2</v>
          </cell>
          <cell r="G13">
            <v>4.4352215367358339E-2</v>
          </cell>
          <cell r="H13" t="str">
            <v>SUBIÓ</v>
          </cell>
        </row>
        <row r="14">
          <cell r="F14">
            <v>3133.8</v>
          </cell>
          <cell r="G14">
            <v>-3.5767331925427581E-2</v>
          </cell>
          <cell r="H14" t="str">
            <v>BAJO</v>
          </cell>
        </row>
        <row r="15">
          <cell r="F15">
            <v>2087.4</v>
          </cell>
          <cell r="G15">
            <v>-4.1837756634952372E-2</v>
          </cell>
          <cell r="H15" t="str">
            <v>BAJO</v>
          </cell>
        </row>
        <row r="16">
          <cell r="F16">
            <v>2021</v>
          </cell>
          <cell r="G16">
            <v>-6.5453169665377509E-2</v>
          </cell>
          <cell r="H16" t="str">
            <v>BAJO</v>
          </cell>
        </row>
        <row r="17">
          <cell r="F17">
            <v>2275.8000000000002</v>
          </cell>
          <cell r="G17">
            <v>-5.3596204374042888E-2</v>
          </cell>
          <cell r="H17" t="str">
            <v>BAJO</v>
          </cell>
        </row>
        <row r="18">
          <cell r="F18">
            <v>62</v>
          </cell>
          <cell r="G18">
            <v>-0.53431205189484454</v>
          </cell>
          <cell r="H18" t="str">
            <v>BAJO</v>
          </cell>
        </row>
        <row r="19">
          <cell r="F19">
            <v>208.2</v>
          </cell>
          <cell r="G19">
            <v>-7.8204870195210385E-2</v>
          </cell>
          <cell r="H19" t="str">
            <v>BAJO</v>
          </cell>
        </row>
        <row r="20">
          <cell r="F20">
            <v>125.6</v>
          </cell>
          <cell r="G20">
            <v>-0.15082974800245852</v>
          </cell>
          <cell r="H20" t="str">
            <v>BAJO</v>
          </cell>
        </row>
        <row r="21">
          <cell r="F21">
            <v>484.4</v>
          </cell>
          <cell r="G21">
            <v>-4.5025688930406815E-3</v>
          </cell>
          <cell r="H21" t="str">
            <v>BAJO</v>
          </cell>
        </row>
        <row r="22">
          <cell r="F22">
            <v>731</v>
          </cell>
          <cell r="G22">
            <v>-8.2130015410079249E-2</v>
          </cell>
          <cell r="H22" t="str">
            <v>BAJO</v>
          </cell>
        </row>
        <row r="23">
          <cell r="F23">
            <v>0</v>
          </cell>
          <cell r="G23">
            <v>-1</v>
          </cell>
          <cell r="H23" t="str">
            <v>BAJO</v>
          </cell>
        </row>
        <row r="24">
          <cell r="F24">
            <v>80.400000000000006</v>
          </cell>
          <cell r="G24">
            <v>0.63475046210720909</v>
          </cell>
          <cell r="H24" t="str">
            <v>SUBIÓ</v>
          </cell>
        </row>
        <row r="25">
          <cell r="F25">
            <v>575.4</v>
          </cell>
          <cell r="G25">
            <v>-0.15966542750929369</v>
          </cell>
          <cell r="H25" t="str">
            <v>BAJO</v>
          </cell>
        </row>
        <row r="26">
          <cell r="F26">
            <v>882.6</v>
          </cell>
          <cell r="G26">
            <v>-0.20457170947523651</v>
          </cell>
          <cell r="H26" t="str">
            <v>BAJO</v>
          </cell>
        </row>
        <row r="27">
          <cell r="F27">
            <v>480.2</v>
          </cell>
          <cell r="G27">
            <v>-5.609939759036231E-3</v>
          </cell>
          <cell r="H27" t="str">
            <v>BAJO</v>
          </cell>
        </row>
        <row r="28">
          <cell r="F28">
            <v>331.6</v>
          </cell>
          <cell r="G28">
            <v>-9.5000620270437874E-2</v>
          </cell>
          <cell r="H28" t="str">
            <v>BAJO</v>
          </cell>
        </row>
        <row r="29">
          <cell r="F29">
            <v>116.4</v>
          </cell>
          <cell r="G29">
            <v>8.738853503184707E-2</v>
          </cell>
          <cell r="H29" t="str">
            <v>SUBIÓ</v>
          </cell>
        </row>
        <row r="30">
          <cell r="F30">
            <v>102.6</v>
          </cell>
          <cell r="G30">
            <v>-0.162759643916914</v>
          </cell>
          <cell r="H30" t="str">
            <v>BAJO</v>
          </cell>
        </row>
        <row r="31">
          <cell r="F31">
            <v>406.4</v>
          </cell>
          <cell r="G31">
            <v>-0.48604276845251781</v>
          </cell>
          <cell r="H31" t="str">
            <v>BAJO</v>
          </cell>
        </row>
        <row r="32">
          <cell r="F32">
            <v>631.6</v>
          </cell>
          <cell r="G32">
            <v>-3.0612529649783671E-2</v>
          </cell>
          <cell r="H32" t="str">
            <v>BAJO</v>
          </cell>
        </row>
        <row r="33">
          <cell r="F33">
            <v>820</v>
          </cell>
          <cell r="G33">
            <v>-2.6863739346207782E-2</v>
          </cell>
          <cell r="H33" t="str">
            <v>BAJO</v>
          </cell>
        </row>
        <row r="34">
          <cell r="F34">
            <v>494.6</v>
          </cell>
          <cell r="G34">
            <v>-0.13586404066073698</v>
          </cell>
          <cell r="H34" t="str">
            <v>BAJO</v>
          </cell>
        </row>
        <row r="35">
          <cell r="F35">
            <v>34.4</v>
          </cell>
          <cell r="G35">
            <v>-0.83815226689478184</v>
          </cell>
          <cell r="H35" t="str">
            <v>BAJO</v>
          </cell>
        </row>
        <row r="36">
          <cell r="F36">
            <v>647.4</v>
          </cell>
          <cell r="G36">
            <v>1.2212726138490333</v>
          </cell>
          <cell r="H36" t="str">
            <v>SUBIÓ</v>
          </cell>
        </row>
        <row r="37">
          <cell r="F37">
            <v>132.4</v>
          </cell>
          <cell r="G37">
            <v>-0.64620429976922145</v>
          </cell>
          <cell r="H37" t="str">
            <v>BAJO</v>
          </cell>
        </row>
        <row r="38">
          <cell r="F38">
            <v>285.60000000000002</v>
          </cell>
          <cell r="G38">
            <v>4.6328059950041744E-2</v>
          </cell>
          <cell r="H38" t="str">
            <v>SUBIÓ</v>
          </cell>
        </row>
        <row r="39">
          <cell r="F39">
            <v>574.79999999999995</v>
          </cell>
          <cell r="G39">
            <v>0.36723970158936092</v>
          </cell>
          <cell r="H39" t="str">
            <v>SUBIÓ</v>
          </cell>
        </row>
        <row r="40">
          <cell r="F40">
            <v>312.2</v>
          </cell>
          <cell r="G40">
            <v>0.26676503135374396</v>
          </cell>
          <cell r="H40" t="str">
            <v>SUBIÓ</v>
          </cell>
        </row>
        <row r="41">
          <cell r="F41">
            <v>250.4</v>
          </cell>
          <cell r="G41">
            <v>-4.9387402933563473E-2</v>
          </cell>
          <cell r="H41" t="str">
            <v>BAJO</v>
          </cell>
        </row>
        <row r="42">
          <cell r="F42">
            <v>41</v>
          </cell>
          <cell r="G42">
            <v>-0.17850637522768664</v>
          </cell>
          <cell r="H42" t="str">
            <v>BAJO</v>
          </cell>
        </row>
        <row r="43">
          <cell r="F43">
            <v>90.4</v>
          </cell>
          <cell r="G43">
            <v>0.13840870062965105</v>
          </cell>
          <cell r="H43" t="str">
            <v>SUBIÓ</v>
          </cell>
        </row>
        <row r="44">
          <cell r="F44">
            <v>66.2</v>
          </cell>
          <cell r="G44">
            <v>0.93156498673740051</v>
          </cell>
          <cell r="H44" t="str">
            <v>SUBIÓ</v>
          </cell>
        </row>
        <row r="45">
          <cell r="F45">
            <v>43.2</v>
          </cell>
          <cell r="G45">
            <v>0.15200000000000014</v>
          </cell>
          <cell r="H45" t="str">
            <v>SUBIÓ</v>
          </cell>
        </row>
        <row r="46">
          <cell r="F46">
            <v>0</v>
          </cell>
          <cell r="G46">
            <v>-1</v>
          </cell>
          <cell r="H46" t="str">
            <v>BAJO</v>
          </cell>
        </row>
        <row r="47">
          <cell r="F47">
            <v>2</v>
          </cell>
          <cell r="G47">
            <v>-0.38888888888888895</v>
          </cell>
          <cell r="H47" t="str">
            <v>BAJO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I17" sqref="I17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1114.5999999999999</v>
      </c>
      <c r="F2" s="6">
        <f ca="1">'[1]DESV. VTS BY SKU'!G4</f>
        <v>-3.5273081924578342E-3</v>
      </c>
      <c r="G2" s="8" t="str">
        <f ca="1">'[1]DESV. VTS BY SKU'!H4</f>
        <v>BAJO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93.8</v>
      </c>
      <c r="F3" s="7">
        <f ca="1">'[1]DESV. VTS BY SKU'!G5</f>
        <v>0.20326530612244897</v>
      </c>
      <c r="G3" s="8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393.8</v>
      </c>
      <c r="F4" s="6">
        <f ca="1">'[1]DESV. VTS BY SKU'!G6</f>
        <v>-0.2807305936073059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104.6</v>
      </c>
      <c r="F5" s="7">
        <f ca="1">'[1]DESV. VTS BY SKU'!G7</f>
        <v>6.9827986982798684E-2</v>
      </c>
      <c r="G5" s="8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8.4</v>
      </c>
      <c r="F6" s="6">
        <f ca="1">'[1]DESV. VTS BY SKU'!G8</f>
        <v>-0.49645776566757494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1301.2</v>
      </c>
      <c r="F7" s="7">
        <f ca="1">'[1]DESV. VTS BY SKU'!G9</f>
        <v>4.8581859028362651E-3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123.4</v>
      </c>
      <c r="F8" s="6">
        <f ca="1">'[1]DESV. VTS BY SKU'!G10</f>
        <v>9.9702380952380043E-3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327</v>
      </c>
      <c r="F9" s="7">
        <f ca="1">'[1]DESV. VTS BY SKU'!G11</f>
        <v>7.6623765339718597E-2</v>
      </c>
      <c r="G9" s="8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745.6</v>
      </c>
      <c r="F10" s="6">
        <f ca="1">'[1]DESV. VTS BY SKU'!G12</f>
        <v>0.12628398791540785</v>
      </c>
      <c r="G10" s="8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423.2</v>
      </c>
      <c r="F11" s="7">
        <f ca="1">'[1]DESV. VTS BY SKU'!G13</f>
        <v>4.4352215367358339E-2</v>
      </c>
      <c r="G11" s="8" t="str">
        <f ca="1">'[1]DESV. VTS BY SKU'!H13</f>
        <v>SUBIÓ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3133.8</v>
      </c>
      <c r="F12" s="6">
        <f ca="1">'[1]DESV. VTS BY SKU'!G14</f>
        <v>-3.5767331925427581E-2</v>
      </c>
      <c r="G12" s="8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2087.4</v>
      </c>
      <c r="F13" s="7">
        <f ca="1">'[1]DESV. VTS BY SKU'!G15</f>
        <v>-4.1837756634952372E-2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2021</v>
      </c>
      <c r="F14" s="6">
        <f ca="1">'[1]DESV. VTS BY SKU'!G16</f>
        <v>-6.5453169665377509E-2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2275.8000000000002</v>
      </c>
      <c r="F15" s="7">
        <f ca="1">'[1]DESV. VTS BY SKU'!G17</f>
        <v>-5.3596204374042888E-2</v>
      </c>
      <c r="G15" s="8" t="str">
        <f ca="1">'[1]DESV. VTS BY SKU'!H17</f>
        <v>BAJO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62</v>
      </c>
      <c r="F16" s="6">
        <f ca="1">'[1]DESV. VTS BY SKU'!G18</f>
        <v>-0.53431205189484454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208.2</v>
      </c>
      <c r="F17" s="7">
        <f ca="1">'[1]DESV. VTS BY SKU'!G19</f>
        <v>-7.8204870195210385E-2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125.6</v>
      </c>
      <c r="F18" s="6">
        <f ca="1">'[1]DESV. VTS BY SKU'!G20</f>
        <v>-0.15082974800245852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484.4</v>
      </c>
      <c r="F19" s="7">
        <f ca="1">'[1]DESV. VTS BY SKU'!G21</f>
        <v>-4.5025688930406815E-3</v>
      </c>
      <c r="G19" s="8" t="str">
        <f ca="1">'[1]DESV. VTS BY SKU'!H21</f>
        <v>BAJO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731</v>
      </c>
      <c r="F20" s="6">
        <f ca="1">'[1]DESV. VTS BY SKU'!G22</f>
        <v>-8.2130015410079249E-2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0</v>
      </c>
      <c r="F21" s="7">
        <f ca="1">'[1]DESV. VTS BY SKU'!G23</f>
        <v>-1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80.400000000000006</v>
      </c>
      <c r="F22" s="6">
        <f ca="1">'[1]DESV. VTS BY SKU'!G24</f>
        <v>0.63475046210720909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575.4</v>
      </c>
      <c r="F23" s="7">
        <f ca="1">'[1]DESV. VTS BY SKU'!G25</f>
        <v>-0.15966542750929369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882.6</v>
      </c>
      <c r="F24" s="6">
        <f ca="1">'[1]DESV. VTS BY SKU'!G26</f>
        <v>-0.20457170947523651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480.2</v>
      </c>
      <c r="F25" s="7">
        <f ca="1">'[1]DESV. VTS BY SKU'!G27</f>
        <v>-5.609939759036231E-3</v>
      </c>
      <c r="G25" s="8" t="str">
        <f ca="1">'[1]DESV. VTS BY SKU'!H27</f>
        <v>BAJO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331.6</v>
      </c>
      <c r="F26" s="6">
        <f ca="1">'[1]DESV. VTS BY SKU'!G28</f>
        <v>-9.5000620270437874E-2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116.4</v>
      </c>
      <c r="F27" s="7">
        <f ca="1">'[1]DESV. VTS BY SKU'!G29</f>
        <v>8.738853503184707E-2</v>
      </c>
      <c r="G27" s="8" t="str">
        <f ca="1">'[1]DESV. VTS BY SKU'!H29</f>
        <v>SUBIÓ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102.6</v>
      </c>
      <c r="F28" s="6">
        <f ca="1">'[1]DESV. VTS BY SKU'!G30</f>
        <v>-0.162759643916914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406.4</v>
      </c>
      <c r="F29" s="7">
        <f ca="1">'[1]DESV. VTS BY SKU'!G31</f>
        <v>-0.48604276845251781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631.6</v>
      </c>
      <c r="F30" s="6">
        <f ca="1">'[1]DESV. VTS BY SKU'!G32</f>
        <v>-3.0612529649783671E-2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820</v>
      </c>
      <c r="F31" s="7">
        <f ca="1">'[1]DESV. VTS BY SKU'!G33</f>
        <v>-2.6863739346207782E-2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494.6</v>
      </c>
      <c r="F32" s="6">
        <f ca="1">'[1]DESV. VTS BY SKU'!G34</f>
        <v>-0.13586404066073698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34.4</v>
      </c>
      <c r="F33" s="7">
        <f ca="1">'[1]DESV. VTS BY SKU'!G35</f>
        <v>-0.83815226689478184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647.4</v>
      </c>
      <c r="F34" s="6">
        <f ca="1">'[1]DESV. VTS BY SKU'!G36</f>
        <v>1.2212726138490333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132.4</v>
      </c>
      <c r="F35" s="7">
        <f ca="1">'[1]DESV. VTS BY SKU'!G37</f>
        <v>-0.64620429976922145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285.60000000000002</v>
      </c>
      <c r="F36" s="6">
        <f ca="1">'[1]DESV. VTS BY SKU'!G38</f>
        <v>4.6328059950041744E-2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574.79999999999995</v>
      </c>
      <c r="F37" s="7">
        <f ca="1">'[1]DESV. VTS BY SKU'!G39</f>
        <v>0.36723970158936092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312.2</v>
      </c>
      <c r="F38" s="6">
        <f ca="1">'[1]DESV. VTS BY SKU'!G40</f>
        <v>0.26676503135374396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250.4</v>
      </c>
      <c r="F39" s="7">
        <f ca="1">'[1]DESV. VTS BY SKU'!G41</f>
        <v>-4.9387402933563473E-2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41</v>
      </c>
      <c r="F40" s="6">
        <f ca="1">'[1]DESV. VTS BY SKU'!G42</f>
        <v>-0.17850637522768664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90.4</v>
      </c>
      <c r="F41" s="7">
        <f ca="1">'[1]DESV. VTS BY SKU'!G43</f>
        <v>0.13840870062965105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66.2</v>
      </c>
      <c r="F42" s="6">
        <f ca="1">'[1]DESV. VTS BY SKU'!G44</f>
        <v>0.93156498673740051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43.2</v>
      </c>
      <c r="F43" s="7">
        <f ca="1">'[1]DESV. VTS BY SKU'!G45</f>
        <v>0.15200000000000014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</v>
      </c>
      <c r="F44" s="6">
        <f ca="1">'[1]DESV. VTS BY SKU'!G46</f>
        <v>-1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2</v>
      </c>
      <c r="F45" s="7">
        <f ca="1">'[1]DESV. VTS BY SKU'!G47</f>
        <v>-0.38888888888888895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2026-08-10T15:29:38Z</dcterms:modified>
</cp:coreProperties>
</file>