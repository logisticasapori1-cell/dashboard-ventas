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8823BA16-7311-4122-A2E1-6C6725B08E4F}" xr6:coauthVersionLast="47" xr6:coauthVersionMax="47" xr10:uidLastSave="{00000000-0000-0000-0000-000000000000}"/>
  <bookViews>
    <workbookView xWindow="-120" yWindow="-120" windowWidth="29040" windowHeight="15720" activeTab="2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2" l="1"/>
  <c r="G3" i="1"/>
  <c r="G3" i="12"/>
  <c r="G3" i="11"/>
  <c r="G3" i="10"/>
  <c r="G3" i="9"/>
  <c r="G3" i="8"/>
  <c r="G3" i="7"/>
  <c r="G4" i="6"/>
  <c r="G3" i="6"/>
  <c r="G4" i="4"/>
  <c r="G3" i="4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G4" i="2" l="1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10"/>
  <c r="F3" i="9"/>
  <c r="F3" i="8"/>
  <c r="F4" i="11" l="1"/>
  <c r="G4" i="11"/>
  <c r="F4" i="10"/>
  <c r="G4" i="10"/>
  <c r="F4" i="9"/>
  <c r="G4" i="9"/>
  <c r="F4" i="8"/>
  <c r="G4" i="8"/>
  <c r="F3" i="6"/>
  <c r="F3" i="7"/>
  <c r="F4" i="4"/>
  <c r="F4" i="6"/>
  <c r="F4" i="7" l="1"/>
  <c r="G4" i="7"/>
  <c r="F4" i="2"/>
  <c r="F3" i="12" l="1"/>
  <c r="F4" i="12" l="1"/>
  <c r="G4" i="12"/>
  <c r="F3" i="1"/>
  <c r="F4" i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<sst xmlns="http://schemas.openxmlformats.org/spreadsheetml/2006/main" count="10" uniqueCount="10">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</sst>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4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10" fontId="0" fillId="0" borderId="0" xfId="0" applyNumberForma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65869</v>
          </cell>
        </row>
      </sheetData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  <cell r="V9">
            <v>55962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-0.8603732156310302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 refreshError="1"/>
      <sheetData sheetId="6">
        <row r="5">
          <cell r="I5">
            <v>-0.37216510723499285</v>
          </cell>
          <cell r="J5">
            <v>0.38922449480236732</v>
          </cell>
          <cell r="K5">
            <v>-0.86519954087939255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0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  <cell r="I6">
            <v>0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0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  <cell r="I8">
            <v>3503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464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  <cell r="I10">
            <v>0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  <cell r="I11">
            <v>4015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194544</v>
          </cell>
          <cell r="K15">
            <v>40857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8355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1022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>
        <row r="88">
          <cell r="AD88">
            <v>52352</v>
          </cell>
        </row>
      </sheetData>
      <sheetData sheetId="8" refreshError="1"/>
      <sheetData sheetId="9">
        <row r="3">
          <cell r="C3">
            <v>5692</v>
          </cell>
        </row>
        <row r="39">
          <cell r="G39">
            <v>9155</v>
          </cell>
        </row>
      </sheetData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G4"/>
  <sheetViews>
    <sheetView workbookViewId="0">
      <selection activeCell="E37" sqref="E37"/>
    </sheetView>
  </sheetViews>
  <sheetFormatPr baseColWidth="10" defaultRowHeight="15" x14ac:dyDescent="0.25"/>
  <sheetData>
    <row r="1" spans="1:7" x14ac:dyDescent="0.25">
      <c r="A1" s="13" t="s">
        <v>0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</row>
    <row r="3" spans="1:7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65869</v>
      </c>
    </row>
    <row r="4" spans="1:7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10"/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x14ac:dyDescent="0.25">
      <c r="A1" s="13" t="s">
        <v>1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'[1]Total Cremigurt Unidades'!$V$9</f>
        <v>55962</v>
      </c>
    </row>
    <row r="4" spans="1:7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-0.86972675255020093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G4"/>
  <sheetViews>
    <sheetView tabSelected="1" workbookViewId="0">
      <selection activeCell="G3" sqref="G3"/>
    </sheetView>
  </sheetViews>
  <sheetFormatPr baseColWidth="10" defaultRowHeight="15" x14ac:dyDescent="0.25"/>
  <sheetData>
    <row r="1" spans="1:7" x14ac:dyDescent="0.25">
      <c r="A1" s="13" t="s">
        <v>2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1">
        <f>'[2]PRODUCCION DIARIA AGOSTO 2026'!$AD$88</f>
        <v>52352</v>
      </c>
    </row>
    <row r="4" spans="1:7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-0.8603732156310302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G4"/>
  <sheetViews>
    <sheetView workbookViewId="0">
      <selection activeCell="K15" sqref="K15"/>
    </sheetView>
  </sheetViews>
  <sheetFormatPr baseColWidth="10" defaultRowHeight="15" x14ac:dyDescent="0.25"/>
  <sheetData>
    <row r="1" spans="1:7" x14ac:dyDescent="0.25">
      <c r="A1" s="13" t="s">
        <v>3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1">
        <f>'[2]Produccion MTD SHARE'!$G$39</f>
        <v>9155</v>
      </c>
    </row>
    <row r="4" spans="1:7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-0.86519954087939255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G4"/>
  <sheetViews>
    <sheetView workbookViewId="0">
      <selection activeCell="I8" sqref="I8"/>
    </sheetView>
  </sheetViews>
  <sheetFormatPr baseColWidth="10" defaultRowHeight="15" x14ac:dyDescent="0.25"/>
  <sheetData>
    <row r="1" spans="1:7" x14ac:dyDescent="0.25">
      <c r="A1" s="13" t="s">
        <v>4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0</v>
      </c>
    </row>
    <row r="4" spans="1:7" x14ac:dyDescent="0.25">
      <c r="A4" s="3"/>
      <c r="B4" s="3"/>
      <c r="C4" s="4">
        <f>(C3-B3)/B3</f>
        <v>1.4046501312238939</v>
      </c>
      <c r="D4" s="4">
        <f t="shared" ref="D4:G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-1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G4"/>
  <sheetViews>
    <sheetView workbookViewId="0">
      <selection activeCell="J6" sqref="J6"/>
    </sheetView>
  </sheetViews>
  <sheetFormatPr baseColWidth="10" defaultRowHeight="15" x14ac:dyDescent="0.25"/>
  <sheetData>
    <row r="1" spans="1:7" x14ac:dyDescent="0.25">
      <c r="A1" s="13" t="s">
        <v>6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+[1]POWER!$I$6+[1]POWER!$I$8+[1]POWER!$I$10+[1]POWER!$I$11</f>
        <v>7518</v>
      </c>
    </row>
    <row r="4" spans="1:7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G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-0.78510176080493943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G4"/>
  <sheetViews>
    <sheetView workbookViewId="0">
      <selection activeCell="J7" sqref="J7"/>
    </sheetView>
  </sheetViews>
  <sheetFormatPr baseColWidth="10" defaultRowHeight="15" x14ac:dyDescent="0.25"/>
  <sheetData>
    <row r="1" spans="1:7" x14ac:dyDescent="0.25">
      <c r="A1" s="13" t="s">
        <v>5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464</v>
      </c>
    </row>
    <row r="4" spans="1:7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G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-0.91028615622583142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G4"/>
  <sheetViews>
    <sheetView workbookViewId="0">
      <selection activeCell="L17" sqref="L17"/>
    </sheetView>
  </sheetViews>
  <sheetFormatPr baseColWidth="10" defaultRowHeight="15" x14ac:dyDescent="0.25"/>
  <sheetData>
    <row r="1" spans="1:7" x14ac:dyDescent="0.25">
      <c r="A1" s="13" t="s">
        <v>7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2">
        <v>46235</v>
      </c>
    </row>
    <row r="3" spans="1:7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194544</v>
      </c>
      <c r="G3" s="2">
        <f>[1]Frutas!$K$15</f>
        <v>40857</v>
      </c>
    </row>
    <row r="4" spans="1:7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G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-0.78998581297804094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G4"/>
  <sheetViews>
    <sheetView workbookViewId="0">
      <selection activeCell="H3" sqref="H3"/>
    </sheetView>
  </sheetViews>
  <sheetFormatPr baseColWidth="10" defaultRowHeight="15" x14ac:dyDescent="0.25"/>
  <sheetData>
    <row r="1" spans="1:7" x14ac:dyDescent="0.25">
      <c r="A1" s="13" t="s">
        <v>8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8355</v>
      </c>
    </row>
    <row r="4" spans="1:7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G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-0.7903177232344526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G4"/>
  <sheetViews>
    <sheetView workbookViewId="0">
      <selection activeCell="L10" sqref="L10"/>
    </sheetView>
  </sheetViews>
  <sheetFormatPr baseColWidth="10" defaultRowHeight="15" x14ac:dyDescent="0.25"/>
  <sheetData>
    <row r="1" spans="1:7" x14ac:dyDescent="0.25">
      <c r="A1" s="13" t="s">
        <v>9</v>
      </c>
      <c r="B1" s="13"/>
      <c r="C1" s="13"/>
      <c r="D1" s="13"/>
      <c r="E1" s="13"/>
      <c r="F1" s="13"/>
    </row>
    <row r="2" spans="1:7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</row>
    <row r="3" spans="1:7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1022</v>
      </c>
    </row>
    <row r="4" spans="1:7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G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-0.97748353125206544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2026-08-05T20:44:45Z</dcterms:modified>
</cp:coreProperties>
</file>