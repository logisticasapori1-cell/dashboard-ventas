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407004EF-250E-4048-87DA-F28319D726CA}" xr6:coauthVersionLast="47" xr6:coauthVersionMax="47" xr10:uidLastSave="{00000000-0000-0000-0000-000000000000}"/>
  <bookViews>
    <workbookView xWindow="-120" yWindow="-120" windowWidth="29040" windowHeight="15720" firstSheet="6" activeTab="9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2" l="1"/>
  <c r="G3" i="12"/>
  <c r="G4" i="11"/>
  <c r="G3" i="11"/>
  <c r="G4" i="10"/>
  <c r="G3" i="10"/>
  <c r="G4" i="9"/>
  <c r="G3" i="9"/>
  <c r="G4" i="8"/>
  <c r="G3" i="8"/>
  <c r="G4" i="7"/>
  <c r="G3" i="7"/>
  <c r="G4" i="6"/>
  <c r="G3" i="6"/>
  <c r="G4" i="4"/>
  <c r="G3" i="4"/>
  <c r="G3" i="2"/>
  <c r="G4" i="2" s="1"/>
  <c r="G3" i="1"/>
  <c r="A3" i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D3" i="10"/>
  <c r="D4" i="10" s="1"/>
  <c r="E3" i="10"/>
  <c r="E4" i="10" s="1"/>
  <c r="E3" i="9"/>
  <c r="D3" i="9"/>
  <c r="C3" i="9"/>
  <c r="B3" i="9"/>
  <c r="A3" i="9"/>
  <c r="B4" i="9" s="1"/>
  <c r="D4" i="9"/>
  <c r="C4" i="9"/>
  <c r="E3" i="8"/>
  <c r="D3" i="8"/>
  <c r="C3" i="8"/>
  <c r="B3" i="8"/>
  <c r="A3" i="8"/>
  <c r="B3" i="7"/>
  <c r="C3" i="7"/>
  <c r="C4" i="7" s="1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E4" i="7" l="1"/>
  <c r="E4" i="8"/>
  <c r="D4" i="8"/>
  <c r="C4" i="8"/>
  <c r="E4" i="9"/>
  <c r="C4" i="10"/>
  <c r="C4" i="11"/>
  <c r="B4" i="11"/>
  <c r="B4" i="8"/>
  <c r="F3" i="11"/>
  <c r="F4" i="11" s="1"/>
  <c r="E4" i="11"/>
  <c r="D4" i="11"/>
  <c r="F3" i="10"/>
  <c r="F4" i="10" s="1"/>
  <c r="F3" i="9"/>
  <c r="F4" i="9" s="1"/>
  <c r="F3" i="8"/>
  <c r="F4" i="8" s="1"/>
  <c r="F3" i="6" l="1"/>
  <c r="F3" i="7"/>
  <c r="F4" i="7" s="1"/>
  <c r="F4" i="4"/>
  <c r="F4" i="6"/>
  <c r="F4" i="2" l="1"/>
  <c r="F3" i="12" l="1"/>
  <c r="F4" i="12" s="1"/>
  <c r="F3" i="1" l="1"/>
  <c r="F4" i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<sst xmlns="http://schemas.openxmlformats.org/spreadsheetml/2006/main" count="10" uniqueCount="10">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</sst>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0" fontId="0" fillId="0" borderId="0" xfId="0" applyAlignment="1">
      <alignment horizontal="center"/>
    </xf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-0.89586874998249588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-0.90886014479957622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0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0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0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3503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464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0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0</v>
          </cell>
        </row>
      </sheetData>
      <sheetData sheetId="9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194544</v>
          </cell>
          <cell r="K15">
            <v>33678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5312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>
        <row r="4">
          <cell r="D4">
            <v>5312</v>
          </cell>
        </row>
      </sheetData>
      <sheetData sheetId="1">
        <row r="24">
          <cell r="C24">
            <v>15906</v>
          </cell>
        </row>
      </sheetData>
      <sheetData sheetId="2"/>
      <sheetData sheetId="3"/>
      <sheetData sheetId="4"/>
      <sheetData sheetId="5"/>
      <sheetData sheetId="6"/>
      <sheetData sheetId="7">
        <row r="88">
          <cell r="AD88">
            <v>37181</v>
          </cell>
        </row>
        <row r="90">
          <cell r="AD90">
            <v>0</v>
          </cell>
        </row>
        <row r="91">
          <cell r="AD91">
            <v>0</v>
          </cell>
        </row>
        <row r="101">
          <cell r="AJ101">
            <v>47152</v>
          </cell>
        </row>
      </sheetData>
      <sheetData sheetId="8"/>
      <sheetData sheetId="9">
        <row r="3">
          <cell r="C3">
            <v>0</v>
          </cell>
        </row>
        <row r="39">
          <cell r="G39">
            <v>4129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workbookViewId="0">
      <selection activeCell="H12" sqref="H12"/>
    </sheetView>
  </sheetViews>
  <sheetFormatPr baseColWidth="10" defaultRowHeight="15" x14ac:dyDescent="0.25"/>
  <sheetData>
    <row r="1" spans="1:7" x14ac:dyDescent="0.25">
      <c r="A1" s="5" t="s">
        <v>0</v>
      </c>
      <c r="B1" s="5"/>
      <c r="C1" s="5"/>
      <c r="D1" s="5"/>
      <c r="E1" s="5"/>
      <c r="F1" s="5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9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10">
        <f>'[2]PRODUCCION DIARIA AGOSTO 2026'!$AJ$101</f>
        <v>47152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1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5" t="s">
        <v>1</v>
      </c>
      <c r="B1" s="5"/>
      <c r="C1" s="5"/>
      <c r="D1" s="5"/>
      <c r="E1" s="5"/>
      <c r="F1" s="5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6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7">
        <f>'[2]PRODUCCION DIARIA AGOSTO 2026'!$AD$88+'[2]PRODUCCION DIARIA AGOSTO 2026'!$AD$90+'[2]PRODUCCION DIARIA AGOSTO 2026'!$AD$91</f>
        <v>37181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8">
        <f>(G3-F3)/F3</f>
        <v>-0.91344681009558304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5" t="s">
        <v>2</v>
      </c>
      <c r="B1" s="5"/>
      <c r="C1" s="5"/>
      <c r="D1" s="5"/>
      <c r="E1" s="5"/>
      <c r="F1" s="5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6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2">
        <f>'[2]PRODUCCION DIARIA AGOSTO 2026'!$AD$88</f>
        <v>37181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-0.89586874998249588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5" t="s">
        <v>3</v>
      </c>
      <c r="B1" s="5"/>
      <c r="C1" s="5"/>
      <c r="D1" s="5"/>
      <c r="E1" s="5"/>
      <c r="F1" s="5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6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2">
        <f>'[2]Produccion MTD SHARE'!$G$39</f>
        <v>4129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-0.90886014479957622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5" t="s">
        <v>4</v>
      </c>
      <c r="B1" s="5"/>
      <c r="C1" s="5"/>
      <c r="D1" s="5"/>
      <c r="E1" s="5"/>
      <c r="F1" s="5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6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0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-1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5" t="s">
        <v>6</v>
      </c>
      <c r="B1" s="5"/>
      <c r="C1" s="5"/>
      <c r="D1" s="5"/>
      <c r="E1" s="5"/>
      <c r="F1" s="5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3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3503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-0.89986851131946033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5" t="s">
        <v>5</v>
      </c>
      <c r="B1" s="5"/>
      <c r="C1" s="5"/>
      <c r="D1" s="5"/>
      <c r="E1" s="5"/>
      <c r="F1" s="5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3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464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-0.91028615622583142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5" t="s">
        <v>7</v>
      </c>
      <c r="B1" s="5"/>
      <c r="C1" s="5"/>
      <c r="D1" s="5"/>
      <c r="E1" s="5"/>
      <c r="F1" s="5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3">
        <v>46235</v>
      </c>
    </row>
    <row r="3" spans="1:7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194544</v>
      </c>
      <c r="G3" s="2">
        <f>[1]Frutas!$K$15</f>
        <v>33678</v>
      </c>
    </row>
    <row r="4" spans="1:7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G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-0.82688749074759438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5" t="s">
        <v>8</v>
      </c>
      <c r="B1" s="5"/>
      <c r="C1" s="5"/>
      <c r="D1" s="5"/>
      <c r="E1" s="5"/>
      <c r="F1" s="5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6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5312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-0.86668674396426237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tabSelected="1" workbookViewId="0">
      <selection activeCell="I7" sqref="I7"/>
    </sheetView>
  </sheetViews>
  <sheetFormatPr baseColWidth="10" defaultRowHeight="15" x14ac:dyDescent="0.25"/>
  <sheetData>
    <row r="1" spans="1:7" x14ac:dyDescent="0.25">
      <c r="A1" s="5" t="s">
        <v>9</v>
      </c>
      <c r="B1" s="5"/>
      <c r="C1" s="5"/>
      <c r="D1" s="5"/>
      <c r="E1" s="5"/>
      <c r="F1" s="5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6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0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-1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2026-08-04T19:57:13Z</dcterms:modified>
</cp:coreProperties>
</file>