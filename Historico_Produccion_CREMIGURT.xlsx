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bit\Desktop\Mi_Dashboard_Ventas\"/>
    </mc:Choice>
  </mc:AlternateContent>
  <xr:revisionPtr revIDLastSave="0" documentId="13_ncr:1_{0C146DE8-906A-4C7B-9766-D69EB3B8693C}" xr6:coauthVersionLast="47" xr6:coauthVersionMax="47" xr10:uidLastSave="{00000000-0000-0000-0000-000000000000}"/>
  <bookViews>
    <workbookView xWindow="-120" yWindow="-120" windowWidth="29040" windowHeight="15720" xr2:uid="{5FCEDCA6-54A6-483C-946E-D02D6DFB3A06}"/>
  </bookViews>
  <sheets>
    <sheet name="Produccion Total Mensual" sheetId="1" r:id="rId1"/>
    <sheet name="Produccion Total Cremigurt" sheetId="2" r:id="rId2"/>
    <sheet name="Produccion Total Cremigurt 150g" sheetId="4" r:id="rId3"/>
    <sheet name="Produccion Total Cremigurt 700g" sheetId="6" r:id="rId4"/>
    <sheet name="Produccion Total Linea Azul" sheetId="7" r:id="rId5"/>
    <sheet name="Produccion Total Power 150g" sheetId="8" r:id="rId6"/>
    <sheet name="Produccion Total Power 700g" sheetId="9" r:id="rId7"/>
    <sheet name="Produccion Total Frutas" sheetId="10" r:id="rId8"/>
    <sheet name="Produccion Total Cremosillo" sheetId="11" r:id="rId9"/>
    <sheet name="Produccion Total Saltarina" sheetId="12" r:id="rId10"/>
  </sheets>
  <externalReferences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3" i="1"/>
  <c r="G3" i="11"/>
  <c r="G3" i="6"/>
  <c r="G3" i="4"/>
  <c r="A3" i="1"/>
  <c r="A3" i="12"/>
  <c r="B3" i="12"/>
  <c r="C3" i="12"/>
  <c r="D3" i="12"/>
  <c r="E3" i="12"/>
  <c r="E4" i="12"/>
  <c r="D4" i="12"/>
  <c r="C4" i="12"/>
  <c r="B4" i="12"/>
  <c r="A3" i="11"/>
  <c r="B3" i="11"/>
  <c r="C3" i="11"/>
  <c r="D3" i="11"/>
  <c r="E3" i="11"/>
  <c r="A3" i="10"/>
  <c r="B3" i="10"/>
  <c r="B4" i="10" s="1"/>
  <c r="C3" i="10"/>
  <c r="D3" i="10"/>
  <c r="D4" i="10" s="1"/>
  <c r="E3" i="10"/>
  <c r="E4" i="10" s="1"/>
  <c r="E3" i="9"/>
  <c r="D3" i="9"/>
  <c r="C3" i="9"/>
  <c r="B3" i="9"/>
  <c r="A3" i="9"/>
  <c r="B4" i="9" s="1"/>
  <c r="D4" i="9"/>
  <c r="C4" i="9"/>
  <c r="E3" i="8"/>
  <c r="D3" i="8"/>
  <c r="C3" i="8"/>
  <c r="B3" i="8"/>
  <c r="A3" i="8"/>
  <c r="B3" i="7"/>
  <c r="C3" i="7"/>
  <c r="D3" i="7"/>
  <c r="D4" i="7" s="1"/>
  <c r="E3" i="7"/>
  <c r="B4" i="6"/>
  <c r="C4" i="6"/>
  <c r="D4" i="6"/>
  <c r="E4" i="6"/>
  <c r="A3" i="6"/>
  <c r="B3" i="6"/>
  <c r="C3" i="6"/>
  <c r="D3" i="6"/>
  <c r="E3" i="6"/>
  <c r="B4" i="4"/>
  <c r="C4" i="4"/>
  <c r="D4" i="4"/>
  <c r="E4" i="4"/>
  <c r="A3" i="4"/>
  <c r="B3" i="4"/>
  <c r="C3" i="4"/>
  <c r="D3" i="4"/>
  <c r="E3" i="4"/>
  <c r="A4" i="2"/>
  <c r="B4" i="2"/>
  <c r="C4" i="2"/>
  <c r="D4" i="2"/>
  <c r="E4" i="2"/>
  <c r="A3" i="2"/>
  <c r="B3" i="2"/>
  <c r="C3" i="2"/>
  <c r="D3" i="2"/>
  <c r="E3" i="2"/>
  <c r="B4" i="1"/>
  <c r="C4" i="1"/>
  <c r="D4" i="1"/>
  <c r="E4" i="1"/>
  <c r="B3" i="1"/>
  <c r="C3" i="1"/>
  <c r="D3" i="1"/>
  <c r="E3" i="1"/>
  <c r="F3" i="4"/>
  <c r="F3" i="2"/>
  <c r="G3" i="9" l="1"/>
  <c r="G3" i="8"/>
  <c r="G4" i="2"/>
  <c r="C4" i="7"/>
  <c r="E4" i="7"/>
  <c r="E4" i="8"/>
  <c r="D4" i="8"/>
  <c r="C4" i="8"/>
  <c r="E4" i="9"/>
  <c r="C4" i="10"/>
  <c r="C4" i="11"/>
  <c r="B4" i="11"/>
  <c r="B4" i="8"/>
  <c r="F3" i="11"/>
  <c r="E4" i="11"/>
  <c r="D4" i="11"/>
  <c r="F3" i="10"/>
  <c r="F3" i="9"/>
  <c r="F3" i="8"/>
  <c r="G3" i="12" l="1"/>
  <c r="G4" i="4"/>
  <c r="G3" i="7"/>
  <c r="G3" i="10"/>
  <c r="G4" i="10" s="1"/>
  <c r="F4" i="11"/>
  <c r="G4" i="11"/>
  <c r="F4" i="10"/>
  <c r="F4" i="9"/>
  <c r="G4" i="9"/>
  <c r="F4" i="8"/>
  <c r="G4" i="8"/>
  <c r="F3" i="6"/>
  <c r="F3" i="7"/>
  <c r="F4" i="4"/>
  <c r="F4" i="6"/>
  <c r="G4" i="6" l="1"/>
  <c r="F4" i="7"/>
  <c r="G4" i="7"/>
  <c r="F4" i="2"/>
  <c r="F3" i="12" l="1"/>
  <c r="F4" i="12" l="1"/>
  <c r="G4" i="12"/>
  <c r="F3" i="1"/>
  <c r="F4" i="1"/>
</calcChain>
</file>

<file path=xl/sharedStrings.xml><?xml version="1.0" encoding="utf-8"?>
<sst xmlns="http://schemas.openxmlformats.org/spreadsheetml/2006/main" count="10" uniqueCount="10">
  <si>
    <t>Produccion Total Mensual</t>
  </si>
  <si>
    <t>Produccion Total Cremigurt</t>
  </si>
  <si>
    <t>Produccion Total Cremigurt 150g</t>
  </si>
  <si>
    <t>Produccion Total Cremigurt 700g</t>
  </si>
  <si>
    <t>Produccion Total Linea Azul</t>
  </si>
  <si>
    <t>Produccion Total Power 700g</t>
  </si>
  <si>
    <t>Produccion Total Power 150g</t>
  </si>
  <si>
    <t>Produccion Total Frutas</t>
  </si>
  <si>
    <t>Produccion Total Cremosillo</t>
  </si>
  <si>
    <t>Produccion Total Saltarina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</si>
</sst>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7" fontId="0" fillId="0" borderId="0" xfId="0" applyNumberFormat="1"/>
    <xf numFmtId="3" fontId="0" fillId="0" borderId="0" xfId="0" applyNumberFormat="1"/>
    <xf numFmtId="10" fontId="0" fillId="0" borderId="0" xfId="0" applyNumberFormat="1"/>
    <xf numFmtId="10" fontId="2" fillId="0" borderId="0" xfId="1" applyNumberFormat="1" applyFont="1"/>
    <xf numFmtId="17" fontId="3" fillId="0" borderId="0" xfId="0" applyNumberFormat="1" applyFont="1" applyAlignment="1">
      <alignment horizontal="center" vertical="center"/>
    </xf>
    <xf numFmtId="3" fontId="3" fillId="0" borderId="0" xfId="0" applyNumberFormat="1" applyFont="1"/>
    <xf numFmtId="10" fontId="3" fillId="0" borderId="0" xfId="1" applyNumberFormat="1" applyFont="1" applyAlignment="1">
      <alignment horizontal="center" vertical="center"/>
    </xf>
    <xf numFmtId="17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3" fontId="3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OPERACIONES\INDICADOR%20DE%20DESPACHO\JULIO%202026\Historico%20Produccion%20CREMIGURT.xlsx" TargetMode="External"/><Relationship Id="rId1" Type="http://schemas.openxmlformats.org/officeDocument/2006/relationships/externalLinkPath" Target="file:///R:\OPERACIONES\INDICADOR%20DE%20DESPACHO\JULIO%202026\Historico%20Produccion%20CREMIGU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OPERACIONES\REPORTE%20DE%20PRODUCCI&#211;N\Produccion%20Diaria%20PT%20Agosto%202026.xlsx" TargetMode="External"/><Relationship Id="rId1" Type="http://schemas.openxmlformats.org/officeDocument/2006/relationships/externalLinkPath" Target="file:///R:\OPERACIONES\REPORTE%20DE%20PRODUCCI&#211;N\Produccion%20Diaria%20PT%20Agost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pori Pruccion Mensual"/>
      <sheetName val="Comparativo vs Forecast"/>
      <sheetName val="Total Unidades Mensuales"/>
      <sheetName val="Total Cremigurt Unidades"/>
      <sheetName val="150 gr"/>
      <sheetName val="Hoja3"/>
      <sheetName val="700 gr"/>
      <sheetName val="Linea Azul"/>
      <sheetName val="POWER"/>
      <sheetName val="Frutas"/>
      <sheetName val="Cremosillo"/>
      <sheetName val="Gelatina"/>
    </sheetNames>
    <sheetDataSet>
      <sheetData sheetId="0">
        <row r="12">
          <cell r="J12">
            <v>85163</v>
          </cell>
        </row>
      </sheetData>
      <sheetData sheetId="1"/>
      <sheetData sheetId="2">
        <row r="12">
          <cell r="I12">
            <v>520938</v>
          </cell>
          <cell r="J12">
            <v>413087</v>
          </cell>
          <cell r="K12">
            <v>535420</v>
          </cell>
          <cell r="L12">
            <v>564513</v>
          </cell>
          <cell r="M12">
            <v>609205</v>
          </cell>
          <cell r="N12">
            <v>518837</v>
          </cell>
        </row>
        <row r="13">
          <cell r="J13">
            <v>-0.2070323147860206</v>
          </cell>
          <cell r="K13">
            <v>0.29614342741359567</v>
          </cell>
          <cell r="L13">
            <v>5.4336782339098277E-2</v>
          </cell>
          <cell r="M13">
            <v>7.9169124537433147E-2</v>
          </cell>
          <cell r="N13">
            <v>-0.14833758751159298</v>
          </cell>
        </row>
      </sheetData>
      <sheetData sheetId="3">
        <row r="9">
          <cell r="P9">
            <v>466290</v>
          </cell>
          <cell r="Q9">
            <v>321987</v>
          </cell>
          <cell r="R9">
            <v>445909</v>
          </cell>
          <cell r="S9">
            <v>449661</v>
          </cell>
          <cell r="T9">
            <v>518112</v>
          </cell>
          <cell r="U9">
            <v>429574</v>
          </cell>
          <cell r="V9">
            <v>72880</v>
          </cell>
        </row>
        <row r="10">
          <cell r="P10">
            <v>0.47828650777044379</v>
          </cell>
          <cell r="Q10">
            <v>-0.30947050119024644</v>
          </cell>
          <cell r="R10">
            <v>0.38486646976430727</v>
          </cell>
          <cell r="S10">
            <v>8.4142728673339186E-3</v>
          </cell>
          <cell r="T10">
            <v>0.15222801176886588</v>
          </cell>
          <cell r="U10">
            <v>-0.17088583163485888</v>
          </cell>
        </row>
      </sheetData>
      <sheetData sheetId="4">
        <row r="7">
          <cell r="F7">
            <v>-0.31414769555238509</v>
          </cell>
          <cell r="G7">
            <v>0.45670958965024738</v>
          </cell>
          <cell r="H7">
            <v>-7.0805663418281161E-3</v>
          </cell>
          <cell r="I7">
            <v>0.20193635458842044</v>
          </cell>
          <cell r="J7">
            <v>-0.22600580941645712</v>
          </cell>
          <cell r="K7">
            <v>-0.82638163440775891</v>
          </cell>
        </row>
        <row r="9">
          <cell r="E9">
            <v>386904</v>
          </cell>
          <cell r="F9">
            <v>265359</v>
          </cell>
          <cell r="G9">
            <v>386551</v>
          </cell>
          <cell r="H9">
            <v>383814</v>
          </cell>
          <cell r="I9">
            <v>461320</v>
          </cell>
          <cell r="J9">
            <v>357059</v>
          </cell>
        </row>
      </sheetData>
      <sheetData sheetId="5"/>
      <sheetData sheetId="6">
        <row r="5">
          <cell r="I5">
            <v>-0.37216510723499285</v>
          </cell>
          <cell r="J5">
            <v>0.38922449480236732</v>
          </cell>
          <cell r="K5">
            <v>-0.75966802048384252</v>
          </cell>
        </row>
        <row r="7">
          <cell r="E7">
            <v>43534</v>
          </cell>
          <cell r="F7">
            <v>26517</v>
          </cell>
          <cell r="G7">
            <v>38391</v>
          </cell>
          <cell r="H7">
            <v>51942</v>
          </cell>
          <cell r="I7">
            <v>32611</v>
          </cell>
          <cell r="J7">
            <v>45304</v>
          </cell>
        </row>
      </sheetData>
      <sheetData sheetId="7">
        <row r="10">
          <cell r="E10">
            <v>27053</v>
          </cell>
          <cell r="F10">
            <v>65053</v>
          </cell>
          <cell r="G10">
            <v>65608</v>
          </cell>
          <cell r="H10">
            <v>88014</v>
          </cell>
          <cell r="I10">
            <v>59085</v>
          </cell>
          <cell r="J10">
            <v>0</v>
          </cell>
        </row>
      </sheetData>
      <sheetData sheetId="8">
        <row r="6">
          <cell r="C6">
            <v>22965</v>
          </cell>
          <cell r="D6">
            <v>21773</v>
          </cell>
          <cell r="E6">
            <v>15444</v>
          </cell>
          <cell r="F6">
            <v>20007</v>
          </cell>
          <cell r="G6">
            <v>27463</v>
          </cell>
          <cell r="H6">
            <v>8218</v>
          </cell>
          <cell r="I6">
            <v>0</v>
          </cell>
        </row>
        <row r="7">
          <cell r="C7">
            <v>2359</v>
          </cell>
          <cell r="D7">
            <v>4144</v>
          </cell>
          <cell r="E7">
            <v>3229</v>
          </cell>
          <cell r="F7">
            <v>3192</v>
          </cell>
          <cell r="G7">
            <v>2122</v>
          </cell>
          <cell r="H7">
            <v>2340</v>
          </cell>
          <cell r="I7">
            <v>0</v>
          </cell>
        </row>
        <row r="8">
          <cell r="C8">
            <v>38384</v>
          </cell>
          <cell r="D8">
            <v>18655</v>
          </cell>
          <cell r="E8">
            <v>32331</v>
          </cell>
          <cell r="F8">
            <v>29111</v>
          </cell>
          <cell r="G8">
            <v>26525</v>
          </cell>
          <cell r="H8">
            <v>21670</v>
          </cell>
          <cell r="I8">
            <v>3503</v>
          </cell>
        </row>
        <row r="9">
          <cell r="C9">
            <v>2817</v>
          </cell>
          <cell r="D9">
            <v>3044</v>
          </cell>
          <cell r="E9">
            <v>3923</v>
          </cell>
          <cell r="F9">
            <v>4464</v>
          </cell>
          <cell r="G9">
            <v>1814</v>
          </cell>
          <cell r="H9">
            <v>2832</v>
          </cell>
          <cell r="I9">
            <v>464</v>
          </cell>
        </row>
        <row r="10">
          <cell r="C10">
            <v>16075</v>
          </cell>
          <cell r="D10">
            <v>15805</v>
          </cell>
          <cell r="E10">
            <v>17535</v>
          </cell>
          <cell r="F10">
            <v>8229</v>
          </cell>
          <cell r="G10">
            <v>19313</v>
          </cell>
          <cell r="H10">
            <v>5096</v>
          </cell>
          <cell r="I10">
            <v>0</v>
          </cell>
        </row>
        <row r="11">
          <cell r="C11">
            <v>10230</v>
          </cell>
          <cell r="D11">
            <v>14418</v>
          </cell>
          <cell r="E11">
            <v>12421</v>
          </cell>
          <cell r="F11">
            <v>10881</v>
          </cell>
          <cell r="G11">
            <v>16950</v>
          </cell>
          <cell r="H11">
            <v>0</v>
          </cell>
          <cell r="I11">
            <v>4015</v>
          </cell>
        </row>
      </sheetData>
      <sheetData sheetId="9">
        <row r="15">
          <cell r="E15">
            <v>222793</v>
          </cell>
          <cell r="F15">
            <v>98244</v>
          </cell>
          <cell r="G15">
            <v>173801</v>
          </cell>
          <cell r="H15">
            <v>192306</v>
          </cell>
          <cell r="I15">
            <v>164217</v>
          </cell>
          <cell r="J15">
            <v>194544</v>
          </cell>
          <cell r="K15">
            <v>51825</v>
          </cell>
        </row>
      </sheetData>
      <sheetData sheetId="10">
        <row r="11">
          <cell r="E11">
            <v>19349</v>
          </cell>
          <cell r="F11">
            <v>34006</v>
          </cell>
          <cell r="G11">
            <v>31406</v>
          </cell>
          <cell r="H11">
            <v>49884</v>
          </cell>
          <cell r="I11">
            <v>31803</v>
          </cell>
          <cell r="J11">
            <v>39846</v>
          </cell>
          <cell r="K11">
            <v>10440</v>
          </cell>
        </row>
      </sheetData>
      <sheetData sheetId="11">
        <row r="13">
          <cell r="E13">
            <v>18271</v>
          </cell>
          <cell r="F13">
            <v>18567</v>
          </cell>
          <cell r="G13">
            <v>30849</v>
          </cell>
          <cell r="H13">
            <v>30055</v>
          </cell>
          <cell r="I13">
            <v>52803</v>
          </cell>
          <cell r="J13">
            <v>45389</v>
          </cell>
          <cell r="K13">
            <v>1022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GRAFIA"/>
      <sheetName val="Balance Vs Ventas"/>
      <sheetName val="Comparativo Sales LT vs MTD Pro"/>
      <sheetName val="Programacion"/>
      <sheetName val="Escenarios de Alcance"/>
      <sheetName val="RESUMEN MAYO 26"/>
      <sheetName val="Resumen Inventarios ABRIL 26"/>
      <sheetName val="PRODUCCION DIARIA AGOSTO 2026"/>
      <sheetName val="RESUMEN Y GRÁFICOS"/>
      <sheetName val="Produccion MTD SHARE"/>
      <sheetName val="DASHBOARD"/>
      <sheetName val="Foto Cierre Semana 06-1004"/>
      <sheetName val="Foto Cierre Semana 13-1726"/>
      <sheetName val="Foto Cierre Semana 16-2026"/>
      <sheetName val="Formula"/>
      <sheetName val="RESUMEN COP BY SK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8">
          <cell r="AD88">
            <v>61992</v>
          </cell>
        </row>
      </sheetData>
      <sheetData sheetId="8"/>
      <sheetData sheetId="9">
        <row r="39">
          <cell r="G39">
            <v>10888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0725-B085-4570-857C-BD64735FAA95}">
  <dimension ref="A1:G4"/>
  <sheetViews>
    <sheetView tabSelected="1" workbookViewId="0">
      <selection activeCell="E37" sqref="E37"/>
    </sheetView>
  </sheetViews>
  <sheetFormatPr baseColWidth="10" defaultRowHeight="15" x14ac:dyDescent="0.25"/>
  <sheetData>
    <row r="1" spans="1:7" x14ac:dyDescent="0.25">
      <c r="A1" s="13" t="s">
        <v>0</v>
      </c>
      <c r="B1" s="13"/>
      <c r="C1" s="13"/>
      <c r="D1" s="13"/>
      <c r="E1" s="13"/>
      <c r="F1" s="13"/>
    </row>
    <row r="2" spans="1:7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8">
        <v>46235</v>
      </c>
    </row>
    <row r="3" spans="1:7" x14ac:dyDescent="0.25">
      <c r="A3" s="2">
        <f>'[1]Total Unidades Mensuales'!I12</f>
        <v>520938</v>
      </c>
      <c r="B3">
        <f>'[1]Total Unidades Mensuales'!J12</f>
        <v>413087</v>
      </c>
      <c r="C3">
        <f>'[1]Total Unidades Mensuales'!K12</f>
        <v>535420</v>
      </c>
      <c r="D3">
        <f>'[1]Total Unidades Mensuales'!L12</f>
        <v>564513</v>
      </c>
      <c r="E3">
        <f>'[1]Total Unidades Mensuales'!M12</f>
        <v>609205</v>
      </c>
      <c r="F3" s="2">
        <f>'[1]Total Unidades Mensuales'!$N$12</f>
        <v>518837</v>
      </c>
      <c r="G3" s="9">
        <f>'[1]Sapori Pruccion Mensual'!$J$12</f>
        <v>85163</v>
      </c>
    </row>
    <row r="4" spans="1:7" x14ac:dyDescent="0.25">
      <c r="B4" s="3">
        <f>'[1]Total Unidades Mensuales'!J13</f>
        <v>-0.2070323147860206</v>
      </c>
      <c r="C4" s="3">
        <f>'[1]Total Unidades Mensuales'!K13</f>
        <v>0.29614342741359567</v>
      </c>
      <c r="D4" s="3">
        <f>'[1]Total Unidades Mensuales'!L13</f>
        <v>5.4336782339098277E-2</v>
      </c>
      <c r="E4" s="3">
        <f>'[1]Total Unidades Mensuales'!M13</f>
        <v>7.9169124537433147E-2</v>
      </c>
      <c r="F4" s="3">
        <f>'[1]Total Unidades Mensuales'!N13</f>
        <v>-0.14833758751159298</v>
      </c>
      <c r="G4" s="10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7DED-5639-47E9-9129-9ED451DB0330}">
  <dimension ref="A1:G4"/>
  <sheetViews>
    <sheetView workbookViewId="0">
      <selection activeCell="G4" sqref="G4"/>
    </sheetView>
  </sheetViews>
  <sheetFormatPr baseColWidth="10" defaultRowHeight="15" x14ac:dyDescent="0.25"/>
  <sheetData>
    <row r="1" spans="1:7" x14ac:dyDescent="0.25">
      <c r="A1" s="13" t="s">
        <v>1</v>
      </c>
      <c r="B1" s="13"/>
      <c r="C1" s="13"/>
      <c r="D1" s="13"/>
      <c r="E1" s="13"/>
      <c r="F1" s="13"/>
    </row>
    <row r="2" spans="1:7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5">
        <v>46235</v>
      </c>
    </row>
    <row r="3" spans="1:7" x14ac:dyDescent="0.25">
      <c r="A3">
        <f>'[1]Total Cremigurt Unidades'!P9</f>
        <v>466290</v>
      </c>
      <c r="B3">
        <f>'[1]Total Cremigurt Unidades'!Q9</f>
        <v>321987</v>
      </c>
      <c r="C3">
        <f>'[1]Total Cremigurt Unidades'!R9</f>
        <v>445909</v>
      </c>
      <c r="D3">
        <f>'[1]Total Cremigurt Unidades'!S9</f>
        <v>449661</v>
      </c>
      <c r="E3">
        <f>'[1]Total Cremigurt Unidades'!T9</f>
        <v>518112</v>
      </c>
      <c r="F3">
        <f>'[1]Total Cremigurt Unidades'!U9</f>
        <v>429574</v>
      </c>
      <c r="G3" s="6">
        <f>'[1]Total Cremigurt Unidades'!$V$9</f>
        <v>72880</v>
      </c>
    </row>
    <row r="4" spans="1:7" x14ac:dyDescent="0.25">
      <c r="A4" s="3">
        <f>'[1]Total Cremigurt Unidades'!P10</f>
        <v>0.47828650777044379</v>
      </c>
      <c r="B4" s="3">
        <f>'[1]Total Cremigurt Unidades'!Q10</f>
        <v>-0.30947050119024644</v>
      </c>
      <c r="C4" s="3">
        <f>'[1]Total Cremigurt Unidades'!R10</f>
        <v>0.38486646976430727</v>
      </c>
      <c r="D4" s="3">
        <f>'[1]Total Cremigurt Unidades'!S10</f>
        <v>8.4142728673339186E-3</v>
      </c>
      <c r="E4" s="3">
        <f>'[1]Total Cremigurt Unidades'!T10</f>
        <v>0.15222801176886588</v>
      </c>
      <c r="F4" s="3">
        <f>'[1]Total Cremigurt Unidades'!U10</f>
        <v>-0.17088583163485888</v>
      </c>
      <c r="G4" s="7">
        <f>(G3-F3)/F3</f>
        <v>-0.83034354965617097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1579-B0AE-4BBF-B8B9-801ECC475242}">
  <dimension ref="A1:G4"/>
  <sheetViews>
    <sheetView workbookViewId="0">
      <selection activeCell="I15" sqref="I15"/>
    </sheetView>
  </sheetViews>
  <sheetFormatPr baseColWidth="10" defaultRowHeight="15" x14ac:dyDescent="0.25"/>
  <sheetData>
    <row r="1" spans="1:7" x14ac:dyDescent="0.25">
      <c r="A1" s="13" t="s">
        <v>2</v>
      </c>
      <c r="B1" s="13"/>
      <c r="C1" s="13"/>
      <c r="D1" s="13"/>
      <c r="E1" s="13"/>
      <c r="F1" s="13"/>
    </row>
    <row r="2" spans="1:7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5">
        <v>46235</v>
      </c>
    </row>
    <row r="3" spans="1:7" x14ac:dyDescent="0.25">
      <c r="A3">
        <f>'[1]150 gr'!E9</f>
        <v>386904</v>
      </c>
      <c r="B3">
        <f>'[1]150 gr'!F9</f>
        <v>265359</v>
      </c>
      <c r="C3">
        <f>'[1]150 gr'!G9</f>
        <v>386551</v>
      </c>
      <c r="D3">
        <f>'[1]150 gr'!H9</f>
        <v>383814</v>
      </c>
      <c r="E3">
        <f>'[1]150 gr'!I9</f>
        <v>461320</v>
      </c>
      <c r="F3">
        <f>'[1]150 gr'!J9</f>
        <v>357059</v>
      </c>
      <c r="G3" s="11">
        <f>'[2]PRODUCCION DIARIA AGOSTO 2026'!$AD$88</f>
        <v>61992</v>
      </c>
    </row>
    <row r="4" spans="1:7" x14ac:dyDescent="0.25">
      <c r="A4" s="3"/>
      <c r="B4" s="3">
        <f>'[1]150 gr'!F7</f>
        <v>-0.31414769555238509</v>
      </c>
      <c r="C4" s="3">
        <f>'[1]150 gr'!G7</f>
        <v>0.45670958965024738</v>
      </c>
      <c r="D4" s="3">
        <f>'[1]150 gr'!H7</f>
        <v>-7.0805663418281161E-3</v>
      </c>
      <c r="E4" s="3">
        <f>'[1]150 gr'!I7</f>
        <v>0.20193635458842044</v>
      </c>
      <c r="F4" s="3">
        <f>'[1]150 gr'!J7</f>
        <v>-0.22600580941645712</v>
      </c>
      <c r="G4" s="3">
        <f>'[1]150 gr'!K7</f>
        <v>-0.82638163440775891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516D-CC49-45A3-8161-FD9764305B52}">
  <dimension ref="A1:G4"/>
  <sheetViews>
    <sheetView workbookViewId="0">
      <selection activeCell="K15" sqref="K15"/>
    </sheetView>
  </sheetViews>
  <sheetFormatPr baseColWidth="10" defaultRowHeight="15" x14ac:dyDescent="0.25"/>
  <sheetData>
    <row r="1" spans="1:7" x14ac:dyDescent="0.25">
      <c r="A1" s="13" t="s">
        <v>3</v>
      </c>
      <c r="B1" s="13"/>
      <c r="C1" s="13"/>
      <c r="D1" s="13"/>
      <c r="E1" s="13"/>
      <c r="F1" s="13"/>
    </row>
    <row r="2" spans="1:7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5">
        <v>46235</v>
      </c>
    </row>
    <row r="3" spans="1:7" x14ac:dyDescent="0.25">
      <c r="A3">
        <f>'[1]700 gr'!E7</f>
        <v>43534</v>
      </c>
      <c r="B3">
        <f>'[1]700 gr'!F7</f>
        <v>26517</v>
      </c>
      <c r="C3">
        <f>'[1]700 gr'!G7</f>
        <v>38391</v>
      </c>
      <c r="D3">
        <f>'[1]700 gr'!H7</f>
        <v>51942</v>
      </c>
      <c r="E3">
        <f>'[1]700 gr'!I7</f>
        <v>32611</v>
      </c>
      <c r="F3">
        <f>'[1]700 gr'!J7</f>
        <v>45304</v>
      </c>
      <c r="G3" s="11">
        <f>'[2]Produccion MTD SHARE'!$G$39</f>
        <v>10888</v>
      </c>
    </row>
    <row r="4" spans="1:7" x14ac:dyDescent="0.25">
      <c r="A4" s="3"/>
      <c r="B4" s="3">
        <f>'[1]700 gr'!F5</f>
        <v>0</v>
      </c>
      <c r="C4" s="3">
        <f>'[1]700 gr'!G5</f>
        <v>0</v>
      </c>
      <c r="D4" s="3">
        <f>'[1]700 gr'!H5</f>
        <v>0</v>
      </c>
      <c r="E4" s="3">
        <f>'[1]700 gr'!I5</f>
        <v>-0.37216510723499285</v>
      </c>
      <c r="F4" s="3">
        <f>'[1]700 gr'!J5</f>
        <v>0.38922449480236732</v>
      </c>
      <c r="G4" s="3">
        <f>'[1]700 gr'!K5</f>
        <v>-0.75966802048384252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0131-7A3A-4EA9-BC89-BE76C1CC5304}">
  <dimension ref="A1:G4"/>
  <sheetViews>
    <sheetView workbookViewId="0">
      <selection activeCell="I8" sqref="I8"/>
    </sheetView>
  </sheetViews>
  <sheetFormatPr baseColWidth="10" defaultRowHeight="15" x14ac:dyDescent="0.25"/>
  <sheetData>
    <row r="1" spans="1:7" x14ac:dyDescent="0.25">
      <c r="A1" s="13" t="s">
        <v>4</v>
      </c>
      <c r="B1" s="13"/>
      <c r="C1" s="13"/>
      <c r="D1" s="13"/>
      <c r="E1" s="13"/>
      <c r="F1" s="13"/>
    </row>
    <row r="2" spans="1:7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5">
        <v>46235</v>
      </c>
    </row>
    <row r="3" spans="1:7" x14ac:dyDescent="0.25">
      <c r="A3">
        <v>0</v>
      </c>
      <c r="B3" s="2">
        <f>'[1]Linea Azul'!E10</f>
        <v>27053</v>
      </c>
      <c r="C3" s="2">
        <f>'[1]Linea Azul'!F10</f>
        <v>65053</v>
      </c>
      <c r="D3" s="2">
        <f>'[1]Linea Azul'!G10</f>
        <v>65608</v>
      </c>
      <c r="E3" s="2">
        <f>'[1]Linea Azul'!H10</f>
        <v>88014</v>
      </c>
      <c r="F3" s="2">
        <f>'[1]Linea Azul'!I10</f>
        <v>59085</v>
      </c>
      <c r="G3" s="2">
        <f>'[1]Linea Azul'!$J$10</f>
        <v>0</v>
      </c>
    </row>
    <row r="4" spans="1:7" x14ac:dyDescent="0.25">
      <c r="A4" s="3"/>
      <c r="B4" s="3"/>
      <c r="C4" s="4">
        <f>(C3-B3)/B3</f>
        <v>1.4046501312238939</v>
      </c>
      <c r="D4" s="4">
        <f t="shared" ref="D4:G4" si="0">(D3-C3)/C3</f>
        <v>8.5315050804728454E-3</v>
      </c>
      <c r="E4" s="4">
        <f t="shared" si="0"/>
        <v>0.34151323009389101</v>
      </c>
      <c r="F4" s="4">
        <f t="shared" si="0"/>
        <v>-0.3286863453541482</v>
      </c>
      <c r="G4" s="4">
        <f t="shared" si="0"/>
        <v>-1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D05B-3ECD-40A5-BED5-A9D687E905B1}">
  <dimension ref="A1:G4"/>
  <sheetViews>
    <sheetView workbookViewId="0">
      <selection activeCell="J6" sqref="J6"/>
    </sheetView>
  </sheetViews>
  <sheetFormatPr baseColWidth="10" defaultRowHeight="15" x14ac:dyDescent="0.25"/>
  <sheetData>
    <row r="1" spans="1:7" x14ac:dyDescent="0.25">
      <c r="A1" s="13" t="s">
        <v>6</v>
      </c>
      <c r="B1" s="13"/>
      <c r="C1" s="13"/>
      <c r="D1" s="13"/>
      <c r="E1" s="13"/>
      <c r="F1" s="13"/>
    </row>
    <row r="2" spans="1:7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12">
        <v>46235</v>
      </c>
    </row>
    <row r="3" spans="1:7" x14ac:dyDescent="0.25">
      <c r="A3" s="2">
        <f>[1]POWER!$C$6+[1]POWER!$C$8+[1]POWER!$C$10+[1]POWER!$C$11</f>
        <v>87654</v>
      </c>
      <c r="B3" s="2">
        <f>[1]POWER!$D$6+[1]POWER!$D$8+[1]POWER!$D$10+[1]POWER!$D$11</f>
        <v>70651</v>
      </c>
      <c r="C3" s="2">
        <f>[1]POWER!$E$6+[1]POWER!$E$8+[1]POWER!$E$10+[1]POWER!$E$11</f>
        <v>77731</v>
      </c>
      <c r="D3" s="2">
        <f>[1]POWER!$F$6+[1]POWER!$F$8+[1]POWER!$F$10+[1]POWER!$F$11</f>
        <v>68228</v>
      </c>
      <c r="E3" s="2">
        <f>[1]POWER!$G$6+[1]POWER!$G$8+[1]POWER!$G$10+[1]POWER!$G$11</f>
        <v>90251</v>
      </c>
      <c r="F3" s="2">
        <f>[1]POWER!$H$6+[1]POWER!$H$8+[1]POWER!$H$10+[1]POWER!$H$11</f>
        <v>34984</v>
      </c>
      <c r="G3" s="2">
        <f>+[1]POWER!$I$6+[1]POWER!$I$8+[1]POWER!$I$10+[1]POWER!$I$11</f>
        <v>7518</v>
      </c>
    </row>
    <row r="4" spans="1:7" x14ac:dyDescent="0.25">
      <c r="A4" s="3"/>
      <c r="B4" s="4">
        <f>(B3-A3)/A3</f>
        <v>-0.19397859766810413</v>
      </c>
      <c r="C4" s="4">
        <f>(C3-B3)/B3</f>
        <v>0.10021089581180734</v>
      </c>
      <c r="D4" s="4">
        <f t="shared" ref="D4:G4" si="0">(D3-C3)/C3</f>
        <v>-0.12225495619508304</v>
      </c>
      <c r="E4" s="4">
        <f t="shared" si="0"/>
        <v>0.32278536671161401</v>
      </c>
      <c r="F4" s="4">
        <f t="shared" si="0"/>
        <v>-0.61236994603937911</v>
      </c>
      <c r="G4" s="4">
        <f t="shared" si="0"/>
        <v>-0.78510176080493943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4C49-388F-40D7-B11A-32B8FBF66B8E}">
  <dimension ref="A1:G4"/>
  <sheetViews>
    <sheetView workbookViewId="0">
      <selection activeCell="J7" sqref="J7"/>
    </sheetView>
  </sheetViews>
  <sheetFormatPr baseColWidth="10" defaultRowHeight="15" x14ac:dyDescent="0.25"/>
  <sheetData>
    <row r="1" spans="1:7" x14ac:dyDescent="0.25">
      <c r="A1" s="13" t="s">
        <v>5</v>
      </c>
      <c r="B1" s="13"/>
      <c r="C1" s="13"/>
      <c r="D1" s="13"/>
      <c r="E1" s="13"/>
      <c r="F1" s="13"/>
    </row>
    <row r="2" spans="1:7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12">
        <v>46235</v>
      </c>
    </row>
    <row r="3" spans="1:7" x14ac:dyDescent="0.25">
      <c r="A3" s="2">
        <f>[1]POWER!$C$7+[1]POWER!$C$9</f>
        <v>5176</v>
      </c>
      <c r="B3" s="2">
        <f>[1]POWER!$D$7+[1]POWER!$D$9</f>
        <v>7188</v>
      </c>
      <c r="C3" s="2">
        <f>[1]POWER!$E$7+[1]POWER!$E$9</f>
        <v>7152</v>
      </c>
      <c r="D3" s="2">
        <f>[1]POWER!$F$7+[1]POWER!$F$9</f>
        <v>7656</v>
      </c>
      <c r="E3" s="2">
        <f>[1]POWER!$G$7+[1]POWER!$G$9</f>
        <v>3936</v>
      </c>
      <c r="F3" s="2">
        <f>[1]POWER!$H$7+[1]POWER!$H$9</f>
        <v>5172</v>
      </c>
      <c r="G3" s="2">
        <f>+[1]POWER!$I$7+[1]POWER!$I$9</f>
        <v>464</v>
      </c>
    </row>
    <row r="4" spans="1:7" x14ac:dyDescent="0.25">
      <c r="A4" s="3"/>
      <c r="B4" s="4">
        <f>(B3-A3)/A3</f>
        <v>0.38871715610510044</v>
      </c>
      <c r="C4" s="4">
        <f>(C3-B3)/B3</f>
        <v>-5.008347245409015E-3</v>
      </c>
      <c r="D4" s="4">
        <f t="shared" ref="D4:G4" si="0">(D3-C3)/C3</f>
        <v>7.0469798657718116E-2</v>
      </c>
      <c r="E4" s="4">
        <f t="shared" si="0"/>
        <v>-0.48589341692789967</v>
      </c>
      <c r="F4" s="4">
        <f t="shared" si="0"/>
        <v>0.31402439024390244</v>
      </c>
      <c r="G4" s="4">
        <f t="shared" si="0"/>
        <v>-0.91028615622583142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7DE2-0B78-461F-9558-D9AD76E0CDAB}">
  <dimension ref="A1:G4"/>
  <sheetViews>
    <sheetView workbookViewId="0">
      <selection activeCell="L17" sqref="L17"/>
    </sheetView>
  </sheetViews>
  <sheetFormatPr baseColWidth="10" defaultRowHeight="15" x14ac:dyDescent="0.25"/>
  <sheetData>
    <row r="1" spans="1:7" x14ac:dyDescent="0.25">
      <c r="A1" s="13" t="s">
        <v>7</v>
      </c>
      <c r="B1" s="13"/>
      <c r="C1" s="13"/>
      <c r="D1" s="13"/>
      <c r="E1" s="13"/>
      <c r="F1" s="13"/>
    </row>
    <row r="2" spans="1:7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12">
        <v>46235</v>
      </c>
    </row>
    <row r="3" spans="1:7" x14ac:dyDescent="0.25">
      <c r="A3" s="2">
        <f>[1]Frutas!E15</f>
        <v>222793</v>
      </c>
      <c r="B3" s="2">
        <f>[1]Frutas!F15</f>
        <v>98244</v>
      </c>
      <c r="C3" s="2">
        <f>[1]Frutas!G15</f>
        <v>173801</v>
      </c>
      <c r="D3" s="2">
        <f>[1]Frutas!H15</f>
        <v>192306</v>
      </c>
      <c r="E3" s="2">
        <f>[1]Frutas!I15</f>
        <v>164217</v>
      </c>
      <c r="F3" s="2">
        <f>[1]Frutas!J15</f>
        <v>194544</v>
      </c>
      <c r="G3" s="2">
        <f>[1]Frutas!$K$15</f>
        <v>51825</v>
      </c>
    </row>
    <row r="4" spans="1:7" x14ac:dyDescent="0.25">
      <c r="A4" s="3"/>
      <c r="B4" s="4">
        <f>(B3-A3)/A3</f>
        <v>-0.55903461957960976</v>
      </c>
      <c r="C4" s="4">
        <f>(C3-B3)/B3</f>
        <v>0.76907495623142386</v>
      </c>
      <c r="D4" s="4">
        <f t="shared" ref="D4:G4" si="0">(D3-C3)/C3</f>
        <v>0.10647234480814265</v>
      </c>
      <c r="E4" s="4">
        <f t="shared" si="0"/>
        <v>-0.14606408536395121</v>
      </c>
      <c r="F4" s="4">
        <f t="shared" si="0"/>
        <v>0.18467637333528197</v>
      </c>
      <c r="G4" s="4">
        <f t="shared" si="0"/>
        <v>-0.73360782136688873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9A32-DE1B-43F8-A9E1-7A0C474A6180}">
  <dimension ref="A1:G4"/>
  <sheetViews>
    <sheetView workbookViewId="0">
      <selection activeCell="H3" sqref="H3"/>
    </sheetView>
  </sheetViews>
  <sheetFormatPr baseColWidth="10" defaultRowHeight="15" x14ac:dyDescent="0.25"/>
  <sheetData>
    <row r="1" spans="1:7" x14ac:dyDescent="0.25">
      <c r="A1" s="13" t="s">
        <v>8</v>
      </c>
      <c r="B1" s="13"/>
      <c r="C1" s="13"/>
      <c r="D1" s="13"/>
      <c r="E1" s="13"/>
      <c r="F1" s="13"/>
    </row>
    <row r="2" spans="1:7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5">
        <v>46235</v>
      </c>
    </row>
    <row r="3" spans="1:7" x14ac:dyDescent="0.25">
      <c r="A3" s="2">
        <f>[1]Cremosillo!E11</f>
        <v>19349</v>
      </c>
      <c r="B3" s="2">
        <f>[1]Cremosillo!F11</f>
        <v>34006</v>
      </c>
      <c r="C3" s="2">
        <f>[1]Cremosillo!G11</f>
        <v>31406</v>
      </c>
      <c r="D3" s="2">
        <f>[1]Cremosillo!H11</f>
        <v>49884</v>
      </c>
      <c r="E3" s="2">
        <f>[1]Cremosillo!I11</f>
        <v>31803</v>
      </c>
      <c r="F3" s="2">
        <f>[1]Cremosillo!J11</f>
        <v>39846</v>
      </c>
      <c r="G3" s="2">
        <f>[1]Cremosillo!$K$11</f>
        <v>10440</v>
      </c>
    </row>
    <row r="4" spans="1:7" x14ac:dyDescent="0.25">
      <c r="A4" s="3"/>
      <c r="B4" s="4">
        <f>(B3-A3)/A3</f>
        <v>0.75750684789911626</v>
      </c>
      <c r="C4" s="4">
        <f>(C3-B3)/B3</f>
        <v>-7.6457095806622355E-2</v>
      </c>
      <c r="D4" s="4">
        <f t="shared" ref="D4:G4" si="0">(D3-C3)/C3</f>
        <v>0.58835891230974968</v>
      </c>
      <c r="E4" s="4">
        <f t="shared" si="0"/>
        <v>-0.36246090930959829</v>
      </c>
      <c r="F4" s="4">
        <f t="shared" si="0"/>
        <v>0.25290066974813696</v>
      </c>
      <c r="G4" s="4">
        <f t="shared" si="0"/>
        <v>-0.73799126637554591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21FD-1DF5-467A-8795-A0197415D027}">
  <dimension ref="A1:G4"/>
  <sheetViews>
    <sheetView workbookViewId="0">
      <selection activeCell="L10" sqref="L10"/>
    </sheetView>
  </sheetViews>
  <sheetFormatPr baseColWidth="10" defaultRowHeight="15" x14ac:dyDescent="0.25"/>
  <sheetData>
    <row r="1" spans="1:7" x14ac:dyDescent="0.25">
      <c r="A1" s="13" t="s">
        <v>9</v>
      </c>
      <c r="B1" s="13"/>
      <c r="C1" s="13"/>
      <c r="D1" s="13"/>
      <c r="E1" s="13"/>
      <c r="F1" s="13"/>
    </row>
    <row r="2" spans="1:7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  <c r="G2" s="5">
        <v>46235</v>
      </c>
    </row>
    <row r="3" spans="1:7" x14ac:dyDescent="0.25">
      <c r="A3" s="2">
        <f>[1]Gelatina!E13</f>
        <v>18271</v>
      </c>
      <c r="B3" s="2">
        <f>[1]Gelatina!F13</f>
        <v>18567</v>
      </c>
      <c r="C3" s="2">
        <f>[1]Gelatina!G13</f>
        <v>30849</v>
      </c>
      <c r="D3" s="2">
        <f>[1]Gelatina!H13</f>
        <v>30055</v>
      </c>
      <c r="E3" s="2">
        <f>[1]Gelatina!I13</f>
        <v>52803</v>
      </c>
      <c r="F3" s="2">
        <f>[1]Gelatina!J13</f>
        <v>45389</v>
      </c>
      <c r="G3" s="2">
        <f>[1]Gelatina!$K$13</f>
        <v>1022</v>
      </c>
    </row>
    <row r="4" spans="1:7" x14ac:dyDescent="0.25">
      <c r="A4" s="3"/>
      <c r="B4" s="4">
        <f>(B3-A3)/A3</f>
        <v>1.6200536369109519E-2</v>
      </c>
      <c r="C4" s="4">
        <f>(C3-B3)/B3</f>
        <v>0.66149620294070122</v>
      </c>
      <c r="D4" s="4">
        <f t="shared" ref="D4:G4" si="0">(D3-C3)/C3</f>
        <v>-2.5738273525884144E-2</v>
      </c>
      <c r="E4" s="4">
        <f t="shared" si="0"/>
        <v>0.75687905506571285</v>
      </c>
      <c r="F4" s="4">
        <f t="shared" si="0"/>
        <v>-0.14040868890025188</v>
      </c>
      <c r="G4" s="4">
        <f t="shared" si="0"/>
        <v>-0.97748353125206544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Produccion Total Mensual</vt:lpstr>
      <vt:lpstr>Produccion Total Cremigurt</vt:lpstr>
      <vt:lpstr>Produccion Total Cremigurt 150g</vt:lpstr>
      <vt:lpstr>Produccion Total Cremigurt 700g</vt:lpstr>
      <vt:lpstr>Produccion Total Linea Azul</vt:lpstr>
      <vt:lpstr>Produccion Total Power 150g</vt:lpstr>
      <vt:lpstr>Produccion Total Power 700g</vt:lpstr>
      <vt:lpstr>Produccion Total Frutas</vt:lpstr>
      <vt:lpstr>Produccion Total Cremosillo</vt:lpstr>
      <vt:lpstr>Produccion Total Saltarina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Orbit</dc:creator>
  <cp:lastModifiedBy>Orbit</cp:lastModifiedBy>
  <dcterms:created xsi:type="dcterms:W3CDTF">2026-07-20T12:01:30Z</dcterms:created>
  <dcterms:modified xsi:type="dcterms:W3CDTF">2026-08-06T11:45:55Z</dcterms:modified>
</cp:coreProperties>
</file>