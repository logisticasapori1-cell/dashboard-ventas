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02EFD4A9-0740-4E66-8B80-D6B354495B7B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3" i="12"/>
  <c r="B3" i="12"/>
  <c r="C3" i="12"/>
  <c r="D3" i="12"/>
  <c r="E3" i="12"/>
  <c r="E4" i="12"/>
  <c r="D4" i="12"/>
  <c r="C4" i="12"/>
  <c r="B4" i="12"/>
  <c r="A3" i="11"/>
  <c r="B3" i="11"/>
  <c r="C3" i="11"/>
  <c r="D3" i="11"/>
  <c r="E3" i="11"/>
  <c r="A3" i="10"/>
  <c r="B3" i="10"/>
  <c r="B4" i="10" s="1"/>
  <c r="C3" i="10"/>
  <c r="C4" i="10" s="1"/>
  <c r="D3" i="10"/>
  <c r="D4" i="10" s="1"/>
  <c r="E3" i="10"/>
  <c r="E4" i="10" s="1"/>
  <c r="E3" i="9"/>
  <c r="E4" i="9" s="1"/>
  <c r="D3" i="9"/>
  <c r="C3" i="9"/>
  <c r="B3" i="9"/>
  <c r="A3" i="9"/>
  <c r="B4" i="9" s="1"/>
  <c r="D4" i="9"/>
  <c r="C4" i="9"/>
  <c r="E3" i="8"/>
  <c r="D3" i="8"/>
  <c r="C3" i="8"/>
  <c r="B3" i="8"/>
  <c r="A3" i="8"/>
  <c r="E4" i="8"/>
  <c r="D4" i="8"/>
  <c r="C4" i="8"/>
  <c r="B3" i="7"/>
  <c r="C3" i="7"/>
  <c r="C4" i="7" s="1"/>
  <c r="D3" i="7"/>
  <c r="D4" i="7" s="1"/>
  <c r="E3" i="7"/>
  <c r="E4" i="7" s="1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B4" i="1"/>
  <c r="C4" i="1"/>
  <c r="D4" i="1"/>
  <c r="E4" i="1"/>
  <c r="B3" i="1"/>
  <c r="C3" i="1"/>
  <c r="D3" i="1"/>
  <c r="E3" i="1"/>
  <c r="F3" i="4"/>
  <c r="F3" i="2"/>
  <c r="C4" i="11" l="1"/>
  <c r="B4" i="11"/>
  <c r="B4" i="8"/>
  <c r="F3" i="11"/>
  <c r="F4" i="11" s="1"/>
  <c r="E4" i="11"/>
  <c r="D4" i="11"/>
  <c r="F3" i="10"/>
  <c r="F4" i="10" s="1"/>
  <c r="F3" i="9"/>
  <c r="F4" i="9" s="1"/>
  <c r="F3" i="8"/>
  <c r="F4" i="8" s="1"/>
  <c r="F3" i="6" l="1"/>
  <c r="F3" i="7"/>
  <c r="F4" i="7" s="1"/>
  <c r="F4" i="4"/>
  <c r="F4" i="6"/>
  <c r="F4" i="2" l="1"/>
  <c r="F3" i="12" l="1"/>
  <c r="F4" i="12" s="1"/>
  <c r="F3" i="1" l="1"/>
  <c r="F4" i="1" l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<sst xmlns="http://schemas.openxmlformats.org/spreadsheetml/2006/main" count="10" uniqueCount="10">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</sst>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oduccion Mensual"/>
      <sheetName val="Comparativo vs Forecast"/>
      <sheetName val="Total Unidades Mensuales"/>
      <sheetName val="Total Cremigurt Unidades"/>
      <sheetName val="150 gr"/>
      <sheetName val="700 gr"/>
      <sheetName val="Linea Azul"/>
      <sheetName val="POWER"/>
      <sheetName val="Frutas"/>
      <sheetName val="Cremosillo"/>
      <sheetName val="Gelatina"/>
    </sheetNames>
    <sheetDataSet>
      <sheetData sheetId="0"/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326130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-0.46466296238540394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269650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-0.47955268358964859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-0.50791858146189195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227007</v>
          </cell>
        </row>
      </sheetData>
      <sheetData sheetId="5">
        <row r="5">
          <cell r="F5">
            <v>-0.39088987917489776</v>
          </cell>
          <cell r="G5">
            <v>0.44778821133612401</v>
          </cell>
          <cell r="H5">
            <v>0.35297335312963973</v>
          </cell>
          <cell r="I5">
            <v>-0.37216510723499285</v>
          </cell>
          <cell r="J5">
            <v>-7.9390389745791295E-2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30022</v>
          </cell>
        </row>
      </sheetData>
      <sheetData sheetId="6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34652</v>
          </cell>
        </row>
      </sheetData>
      <sheetData sheetId="7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1755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18230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2253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0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</row>
      </sheetData>
      <sheetData sheetId="8">
        <row r="15">
          <cell r="E15">
            <v>222793</v>
          </cell>
          <cell r="F15">
            <v>98244</v>
          </cell>
          <cell r="G15">
            <v>173801</v>
          </cell>
          <cell r="H15">
            <v>192306</v>
          </cell>
          <cell r="I15">
            <v>164217</v>
          </cell>
          <cell r="J15">
            <v>116774</v>
          </cell>
        </row>
      </sheetData>
      <sheetData sheetId="9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21596</v>
          </cell>
        </row>
      </sheetData>
      <sheetData sheetId="10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32496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F4"/>
  <sheetViews>
    <sheetView tabSelected="1" workbookViewId="0">
      <selection activeCell="L17" sqref="L17"/>
    </sheetView>
  </sheetViews>
  <sheetFormatPr baseColWidth="10" defaultRowHeight="15" x14ac:dyDescent="0.25"/>
  <sheetData>
    <row r="1" spans="1:6" x14ac:dyDescent="0.25">
      <c r="A1" s="5" t="s">
        <v>0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>
        <f>'[1]Total Unidades Mensuales'!N12</f>
        <v>326130</v>
      </c>
    </row>
    <row r="4" spans="1:6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-0.46466296238540394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1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269650</v>
      </c>
    </row>
    <row r="4" spans="1:6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-0.47955268358964859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2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227007</v>
      </c>
    </row>
    <row r="4" spans="1:6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-0.50791858146189195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3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30022</v>
      </c>
    </row>
    <row r="4" spans="1:6" x14ac:dyDescent="0.25">
      <c r="A4" s="3"/>
      <c r="B4" s="3">
        <f>'[1]700 gr'!F5</f>
        <v>-0.39088987917489776</v>
      </c>
      <c r="C4" s="3">
        <f>'[1]700 gr'!G5</f>
        <v>0.44778821133612401</v>
      </c>
      <c r="D4" s="3">
        <f>'[1]700 gr'!H5</f>
        <v>0.35297335312963973</v>
      </c>
      <c r="E4" s="3">
        <f>'[1]700 gr'!I5</f>
        <v>-0.37216510723499285</v>
      </c>
      <c r="F4" s="3">
        <f>'[1]700 gr'!J5</f>
        <v>-7.9390389745791295E-2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4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34652</v>
      </c>
    </row>
    <row r="4" spans="1:6" x14ac:dyDescent="0.25">
      <c r="A4" s="3"/>
      <c r="B4" s="3"/>
      <c r="C4" s="4">
        <f>(C3-B3)/B3</f>
        <v>1.4046501312238939</v>
      </c>
      <c r="D4" s="4">
        <f t="shared" ref="D4:F4" si="0">(D3-C3)/C3</f>
        <v>8.5315050804728454E-3</v>
      </c>
      <c r="E4" s="4">
        <f t="shared" si="0"/>
        <v>0.34151323009389101</v>
      </c>
      <c r="F4" s="4">
        <f t="shared" si="0"/>
        <v>-0.60628990842365982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6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26448</v>
      </c>
    </row>
    <row r="4" spans="1:6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F4" si="0">(D3-C3)/C3</f>
        <v>-0.12225495619508304</v>
      </c>
      <c r="E4" s="4">
        <f t="shared" si="0"/>
        <v>0.32278536671161401</v>
      </c>
      <c r="F4" s="4">
        <f t="shared" si="0"/>
        <v>-0.70695061550564542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5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4008</v>
      </c>
    </row>
    <row r="4" spans="1:6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F4" si="0">(D3-C3)/C3</f>
        <v>7.0469798657718116E-2</v>
      </c>
      <c r="E4" s="4">
        <f t="shared" si="0"/>
        <v>-0.48589341692789967</v>
      </c>
      <c r="F4" s="4">
        <f t="shared" si="0"/>
        <v>1.8292682926829267E-2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7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[1]Frutas!E15</f>
        <v>222793</v>
      </c>
      <c r="B3" s="2">
        <f>[1]Frutas!F15</f>
        <v>98244</v>
      </c>
      <c r="C3" s="2">
        <f>[1]Frutas!G15</f>
        <v>173801</v>
      </c>
      <c r="D3" s="2">
        <f>[1]Frutas!H15</f>
        <v>192306</v>
      </c>
      <c r="E3" s="2">
        <f>[1]Frutas!I15</f>
        <v>164217</v>
      </c>
      <c r="F3" s="2">
        <f>[1]Frutas!J15</f>
        <v>116774</v>
      </c>
    </row>
    <row r="4" spans="1:6" x14ac:dyDescent="0.25">
      <c r="A4" s="3"/>
      <c r="B4" s="4">
        <f>(B3-A3)/A3</f>
        <v>-0.55903461957960976</v>
      </c>
      <c r="C4" s="4">
        <f>(C3-B3)/B3</f>
        <v>0.76907495623142386</v>
      </c>
      <c r="D4" s="4">
        <f t="shared" ref="D4:F4" si="0">(D3-C3)/C3</f>
        <v>0.10647234480814265</v>
      </c>
      <c r="E4" s="4">
        <f t="shared" si="0"/>
        <v>-0.14606408536395121</v>
      </c>
      <c r="F4" s="4">
        <f t="shared" si="0"/>
        <v>-0.2889043156311466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8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21596</v>
      </c>
    </row>
    <row r="4" spans="1:6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F4" si="0">(D3-C3)/C3</f>
        <v>0.58835891230974968</v>
      </c>
      <c r="E4" s="4">
        <f t="shared" si="0"/>
        <v>-0.36246090930959829</v>
      </c>
      <c r="F4" s="4">
        <f t="shared" si="0"/>
        <v>-0.32094456497814672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9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32496</v>
      </c>
    </row>
    <row r="4" spans="1:6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F4" si="0">(D3-C3)/C3</f>
        <v>-2.5738273525884144E-2</v>
      </c>
      <c r="E4" s="4">
        <f t="shared" si="0"/>
        <v>0.75687905506571285</v>
      </c>
      <c r="F4" s="4">
        <f t="shared" si="0"/>
        <v>-0.38458042156695643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2026-07-20T14:36:33Z</dcterms:modified>
</cp:coreProperties>
</file>