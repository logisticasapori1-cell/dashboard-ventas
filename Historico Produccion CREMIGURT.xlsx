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OPERACIONES\INDICADOR DE DESPACHO\JULIO 2026\"/>
    </mc:Choice>
  </mc:AlternateContent>
  <xr:revisionPtr revIDLastSave="0" documentId="13_ncr:1_{F4C964F6-6933-4183-A3EC-34C30A20890F}" xr6:coauthVersionLast="47" xr6:coauthVersionMax="47" xr10:uidLastSave="{00000000-0000-0000-0000-000000000000}"/>
  <bookViews>
    <workbookView xWindow="-108" yWindow="-108" windowWidth="23256" windowHeight="13896" firstSheet="4" activeTab="11" xr2:uid="{FE5DE777-23D7-42D6-AAC2-919C3AE5CE67}"/>
  </bookViews>
  <sheets>
    <sheet name="Sapori Pruccion Mensual" sheetId="8" r:id="rId1"/>
    <sheet name="Comparativo vs Forecast" sheetId="9" r:id="rId2"/>
    <sheet name="Total Unidades Mensuales" sheetId="7" r:id="rId3"/>
    <sheet name="Total Cremigurt Unidades" sheetId="1" r:id="rId4"/>
    <sheet name="150 gr" sheetId="6" r:id="rId5"/>
    <sheet name="Hoja3" sheetId="10" r:id="rId6"/>
    <sheet name="700 gr" sheetId="5" r:id="rId7"/>
    <sheet name="Linea Azul" sheetId="4" r:id="rId8"/>
    <sheet name="POWER" sheetId="2" r:id="rId9"/>
    <sheet name="Frutas" sheetId="3" r:id="rId10"/>
    <sheet name="Cremosillo" sheetId="11" r:id="rId11"/>
    <sheet name="Gelatina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6" l="1"/>
  <c r="U9" i="1"/>
  <c r="J11" i="11"/>
  <c r="K11" i="11" s="1"/>
  <c r="J14" i="3"/>
  <c r="J13" i="3"/>
  <c r="J12" i="3"/>
  <c r="J11" i="3"/>
  <c r="J15" i="3" l="1"/>
  <c r="H7" i="2"/>
  <c r="H8" i="2"/>
  <c r="H9" i="2"/>
  <c r="H10" i="2"/>
  <c r="H11" i="2"/>
  <c r="H6" i="2"/>
  <c r="I9" i="4"/>
  <c r="I8" i="4"/>
  <c r="I7" i="4"/>
  <c r="I6" i="4"/>
  <c r="J7" i="5"/>
  <c r="K7" i="5" s="1"/>
  <c r="F16" i="9"/>
  <c r="I10" i="4" l="1"/>
  <c r="H12" i="2"/>
  <c r="M12" i="7"/>
  <c r="T9" i="1"/>
  <c r="I9" i="6"/>
  <c r="J7" i="6" s="1"/>
  <c r="I7" i="5"/>
  <c r="J5" i="5" s="1"/>
  <c r="H9" i="4"/>
  <c r="H8" i="4"/>
  <c r="H7" i="4"/>
  <c r="H6" i="4"/>
  <c r="G11" i="2"/>
  <c r="G10" i="2"/>
  <c r="G9" i="2"/>
  <c r="G8" i="2"/>
  <c r="G7" i="2"/>
  <c r="G6" i="2"/>
  <c r="I14" i="3"/>
  <c r="I13" i="3"/>
  <c r="I12" i="3"/>
  <c r="I11" i="3"/>
  <c r="I11" i="11"/>
  <c r="K9" i="11" s="1"/>
  <c r="I13" i="12"/>
  <c r="K6" i="5" l="1"/>
  <c r="J9" i="11"/>
  <c r="U10" i="1"/>
  <c r="E13" i="12"/>
  <c r="F13" i="12" l="1"/>
  <c r="F11" i="12" s="1"/>
  <c r="G13" i="12" l="1"/>
  <c r="G11" i="12" s="1"/>
  <c r="H13" i="12" l="1"/>
  <c r="H11" i="11"/>
  <c r="I9" i="11" l="1"/>
  <c r="H11" i="12"/>
  <c r="I11" i="12"/>
  <c r="G11" i="11"/>
  <c r="H9" i="11" l="1"/>
  <c r="F11" i="11"/>
  <c r="G9" i="11" l="1"/>
  <c r="E11" i="11"/>
  <c r="F9" i="11" s="1"/>
  <c r="I15" i="3" l="1"/>
  <c r="Q26" i="1"/>
  <c r="F13" i="9"/>
  <c r="F14" i="9"/>
  <c r="G14" i="9" s="1"/>
  <c r="H14" i="9" l="1"/>
  <c r="G13" i="9"/>
  <c r="H12" i="8"/>
  <c r="H10" i="4"/>
  <c r="G12" i="2"/>
  <c r="F15" i="9"/>
  <c r="L12" i="7"/>
  <c r="K12" i="7"/>
  <c r="J12" i="7"/>
  <c r="I12" i="7"/>
  <c r="M13" i="7" l="1"/>
  <c r="L6" i="7"/>
  <c r="E12" i="8"/>
  <c r="G15" i="9"/>
  <c r="H16" i="9"/>
  <c r="H15" i="9"/>
  <c r="G12" i="8"/>
  <c r="I10" i="7"/>
  <c r="F12" i="8"/>
  <c r="G13" i="7"/>
  <c r="F13" i="7"/>
  <c r="L13" i="7"/>
  <c r="K13" i="7"/>
  <c r="H12" i="7"/>
  <c r="I13" i="7" s="1"/>
  <c r="H9" i="6"/>
  <c r="I7" i="6" s="1"/>
  <c r="G9" i="6"/>
  <c r="F9" i="6"/>
  <c r="E9" i="6"/>
  <c r="F10" i="7" l="1"/>
  <c r="L5" i="7"/>
  <c r="M6" i="7" s="1"/>
  <c r="H13" i="7"/>
  <c r="J13" i="7"/>
  <c r="H7" i="5"/>
  <c r="I5" i="5" s="1"/>
  <c r="G7" i="5"/>
  <c r="F7" i="5"/>
  <c r="E7" i="5"/>
  <c r="F23" i="7" l="1"/>
  <c r="I23" i="7"/>
  <c r="I8" i="7"/>
  <c r="E7" i="4"/>
  <c r="E8" i="4"/>
  <c r="E9" i="4"/>
  <c r="E6" i="4"/>
  <c r="G7" i="4"/>
  <c r="G8" i="4"/>
  <c r="G9" i="4"/>
  <c r="G6" i="4"/>
  <c r="F7" i="4"/>
  <c r="F8" i="4"/>
  <c r="F9" i="4"/>
  <c r="F6" i="4"/>
  <c r="H14" i="3"/>
  <c r="H12" i="3"/>
  <c r="H13" i="3"/>
  <c r="H11" i="3"/>
  <c r="G14" i="3"/>
  <c r="G12" i="3"/>
  <c r="G13" i="3"/>
  <c r="G11" i="3"/>
  <c r="F14" i="3"/>
  <c r="F12" i="3"/>
  <c r="F13" i="3"/>
  <c r="F11" i="3"/>
  <c r="E12" i="3"/>
  <c r="E13" i="3"/>
  <c r="E14" i="3"/>
  <c r="E11" i="3"/>
  <c r="F11" i="2"/>
  <c r="F7" i="2"/>
  <c r="F8" i="2"/>
  <c r="F9" i="2"/>
  <c r="F10" i="2"/>
  <c r="F6" i="2"/>
  <c r="E11" i="2"/>
  <c r="E7" i="2"/>
  <c r="E8" i="2"/>
  <c r="E9" i="2"/>
  <c r="E10" i="2"/>
  <c r="E6" i="2"/>
  <c r="D11" i="2"/>
  <c r="D7" i="2"/>
  <c r="D8" i="2"/>
  <c r="D9" i="2"/>
  <c r="D10" i="2"/>
  <c r="D6" i="2"/>
  <c r="C7" i="2"/>
  <c r="C8" i="2"/>
  <c r="C9" i="2"/>
  <c r="C10" i="2"/>
  <c r="C11" i="2"/>
  <c r="C6" i="2"/>
  <c r="E15" i="3" l="1"/>
  <c r="C12" i="2"/>
  <c r="G10" i="4"/>
  <c r="F12" i="2"/>
  <c r="F10" i="4"/>
  <c r="I24" i="7"/>
  <c r="E10" i="4"/>
  <c r="D12" i="2"/>
  <c r="E12" i="2"/>
  <c r="G15" i="3"/>
  <c r="H15" i="3"/>
  <c r="S9" i="1" l="1"/>
  <c r="S4" i="1" s="1"/>
  <c r="S20" i="1" l="1"/>
  <c r="T10" i="1"/>
  <c r="S7" i="1"/>
  <c r="J7" i="1"/>
  <c r="G7" i="1"/>
  <c r="D7" i="1"/>
  <c r="E10" i="1"/>
  <c r="F10" i="1"/>
  <c r="G10" i="1"/>
  <c r="H10" i="1"/>
  <c r="I10" i="1"/>
  <c r="J10" i="1"/>
  <c r="K10" i="1"/>
  <c r="L10" i="1"/>
  <c r="M10" i="1"/>
  <c r="N10" i="1"/>
  <c r="D10" i="1"/>
  <c r="P9" i="1"/>
  <c r="Q9" i="1" l="1"/>
  <c r="Q10" i="1" l="1"/>
  <c r="R9" i="1"/>
  <c r="S3" i="1" s="1"/>
  <c r="P20" i="1" s="1"/>
  <c r="S21" i="1" l="1"/>
  <c r="R10" i="1"/>
  <c r="S10" i="1"/>
  <c r="P7" i="1"/>
  <c r="T4" i="1" l="1"/>
  <c r="P6" i="1"/>
  <c r="P4" i="1"/>
  <c r="I7" i="7" s="1"/>
  <c r="P3" i="1"/>
  <c r="I6" i="7" s="1"/>
  <c r="P2" i="1"/>
  <c r="I5" i="7" s="1"/>
  <c r="O9" i="1" l="1"/>
  <c r="S2" i="1" s="1"/>
  <c r="M20" i="1" l="1"/>
  <c r="P21" i="1" s="1"/>
  <c r="T3" i="1"/>
  <c r="M7" i="1"/>
  <c r="P5" i="1" s="1"/>
  <c r="O10" i="1"/>
  <c r="P10" i="1"/>
  <c r="F15" i="3" l="1"/>
  <c r="E17" i="9" l="1"/>
  <c r="G16" i="9"/>
  <c r="J13" i="12" l="1"/>
  <c r="I12" i="8"/>
  <c r="N12" i="7" l="1"/>
  <c r="K13" i="12"/>
  <c r="K11" i="12" s="1"/>
  <c r="J11" i="12"/>
  <c r="N13" i="7" l="1"/>
  <c r="L7" i="7"/>
  <c r="L10" i="7"/>
  <c r="I9" i="7" s="1"/>
  <c r="F17" i="9"/>
  <c r="H17" i="9" l="1"/>
  <c r="G17" i="9"/>
  <c r="L23" i="7"/>
  <c r="L24" i="7" s="1"/>
  <c r="M7" i="7"/>
</calcChain>
</file>

<file path=xl/sharedStrings.xml><?xml version="1.0" encoding="utf-8"?>
<sst xmlns="http://schemas.openxmlformats.org/spreadsheetml/2006/main" count="53" uniqueCount="35">
  <si>
    <t>Und CREMIGURT</t>
  </si>
  <si>
    <t>Vs 1er Quater 25</t>
  </si>
  <si>
    <t>Vs 2do Quater 25</t>
  </si>
  <si>
    <t>Vs 3er Quater 25</t>
  </si>
  <si>
    <t>Vs 4to Quater 25</t>
  </si>
  <si>
    <t>Vs 1er Quater 26</t>
  </si>
  <si>
    <t>Power 150g</t>
  </si>
  <si>
    <t>Power 700g</t>
  </si>
  <si>
    <t>Mantecado 150g</t>
  </si>
  <si>
    <t>Mantecado 700g</t>
  </si>
  <si>
    <t>Cheesecake de fresa 150g</t>
  </si>
  <si>
    <t>Cookies and cream 150g</t>
  </si>
  <si>
    <t>TOTAL UNIDADES</t>
  </si>
  <si>
    <t>Fresa 150g</t>
  </si>
  <si>
    <t>Fresa 700g</t>
  </si>
  <si>
    <t>Durazno 150g</t>
  </si>
  <si>
    <t>Piña 150g</t>
  </si>
  <si>
    <t>Griego Azul Fresa 150 gr</t>
  </si>
  <si>
    <t>Griego Azul Caramelo Salado 150 gr</t>
  </si>
  <si>
    <t>Griego Azul Coco Vainilla 150 gr</t>
  </si>
  <si>
    <t>Griego Azul Pie de Limon 150 gr</t>
  </si>
  <si>
    <t>Total Unidades</t>
  </si>
  <si>
    <t>700 gr</t>
  </si>
  <si>
    <t>Trimestre Febrero 26 - Abril 26</t>
  </si>
  <si>
    <t>Trimestre Mayo 26 - Julio 26</t>
  </si>
  <si>
    <t xml:space="preserve">Media Productiva Und </t>
  </si>
  <si>
    <t>Variacion</t>
  </si>
  <si>
    <t>Trimestre Nov 25 - Enero 26</t>
  </si>
  <si>
    <t>150 gr</t>
  </si>
  <si>
    <t>Disponibilidad Productiva</t>
  </si>
  <si>
    <t>VS FORECAST</t>
  </si>
  <si>
    <t>VS Mes Previo</t>
  </si>
  <si>
    <t>CREMOSILLO</t>
  </si>
  <si>
    <t>SALTARINA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</si>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</sst>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8"/>
      <name val="Calibri"/>
      <family val="2"/>
      <scheme val="minor"/>
    </font>
    <font>
      <sz val="16"/>
      <color theme="0"/>
      <name val="Tahoma"/>
      <family val="2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2" fillId="0" borderId="0" xfId="0" applyFont="1"/>
    <xf numFmtId="17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0" fontId="2" fillId="0" borderId="0" xfId="1" applyNumberFormat="1" applyFont="1"/>
    <xf numFmtId="0" fontId="2" fillId="0" borderId="0" xfId="0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0" fontId="2" fillId="2" borderId="0" xfId="0" applyFont="1" applyFill="1"/>
    <xf numFmtId="17" fontId="2" fillId="0" borderId="0" xfId="0" applyNumberFormat="1" applyFont="1" applyAlignment="1">
      <alignment horizontal="center"/>
    </xf>
    <xf numFmtId="3" fontId="2" fillId="0" borderId="4" xfId="0" applyNumberFormat="1" applyFont="1" applyBorder="1" applyAlignment="1">
      <alignment horizontal="center"/>
    </xf>
    <xf numFmtId="17" fontId="0" fillId="0" borderId="0" xfId="0" applyNumberFormat="1"/>
    <xf numFmtId="3" fontId="0" fillId="0" borderId="0" xfId="0" applyNumberFormat="1"/>
    <xf numFmtId="17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3" fontId="0" fillId="0" borderId="5" xfId="0" applyNumberFormat="1" applyBorder="1"/>
    <xf numFmtId="3" fontId="2" fillId="0" borderId="6" xfId="0" applyNumberFormat="1" applyFont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7" fontId="0" fillId="0" borderId="5" xfId="0" applyNumberFormat="1" applyBorder="1" applyAlignment="1">
      <alignment horizontal="center"/>
    </xf>
    <xf numFmtId="10" fontId="2" fillId="0" borderId="0" xfId="1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9" fontId="0" fillId="0" borderId="2" xfId="1" applyFont="1" applyBorder="1" applyAlignment="1">
      <alignment horizontal="center" vertical="center" wrapText="1"/>
    </xf>
    <xf numFmtId="9" fontId="0" fillId="0" borderId="3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2" fillId="0" borderId="0" xfId="1" applyNumberFormat="1" applyFont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s-VE">
                <a:solidFill>
                  <a:srgbClr val="FF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SAPORI CA</a:t>
            </a:r>
            <a:br>
              <a:rPr lang="es-VE">
                <a:solidFill>
                  <a:srgbClr val="FF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</a:br>
            <a:r>
              <a:rPr lang="es-VE">
                <a:solidFill>
                  <a:srgbClr val="FF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Produccion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s-V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Tahoma" panose="020B0604030504040204" pitchFamily="34" charset="0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'Sapori Pruccion Mensual'!$E$11:$I$11</c:f>
              <c:numCache>
                <c:formatCode>mmm\-yy</c:formatCode>
                <c:ptCount val="5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</c:numCache>
            </c:numRef>
          </c:cat>
          <c:val>
            <c:numRef>
              <c:f>'Sapori Pruccion Mensual'!$E$12:$I$12</c:f>
              <c:numCache>
                <c:formatCode>#,##0</c:formatCode>
                <c:ptCount val="5"/>
                <c:pt idx="0">
                  <c:v>413087</c:v>
                </c:pt>
                <c:pt idx="1">
                  <c:v>535420</c:v>
                </c:pt>
                <c:pt idx="2">
                  <c:v>564513</c:v>
                </c:pt>
                <c:pt idx="3">
                  <c:v>609205</c:v>
                </c:pt>
                <c:pt idx="4">
                  <c:v>299310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E-48F8-AA73-05624D198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88445791"/>
        <c:axId val="1788446751"/>
        <c:axId val="0"/>
      </c:bar3DChart>
      <c:dateAx>
        <c:axId val="1788445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788446751"/>
        <c:crosses val="autoZero"/>
        <c:auto val="1"/>
        <c:lblOffset val="100"/>
        <c:baseTimeUnit val="months"/>
      </c:dateAx>
      <c:valAx>
        <c:axId val="178844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78844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/>
              <a:t>150 gr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'150 gr'!$E$8:$J$8</c:f>
              <c:numCache>
                <c:formatCode>mmm\-yy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'150 gr'!$E$9:$J$9</c:f>
              <c:numCache>
                <c:formatCode>#,##0</c:formatCode>
                <c:ptCount val="6"/>
                <c:pt idx="0">
                  <c:v>386904</c:v>
                </c:pt>
                <c:pt idx="1">
                  <c:v>265359</c:v>
                </c:pt>
                <c:pt idx="2">
                  <c:v>386551</c:v>
                </c:pt>
                <c:pt idx="3">
                  <c:v>383814</c:v>
                </c:pt>
                <c:pt idx="4">
                  <c:v>461320</c:v>
                </c:pt>
                <c:pt idx="5">
                  <c:v>225590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7-434D-9CBF-D336B38CF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49024367"/>
        <c:axId val="1249026767"/>
        <c:axId val="0"/>
      </c:bar3DChart>
      <c:dateAx>
        <c:axId val="12490243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249026767"/>
        <c:crosses val="autoZero"/>
        <c:auto val="1"/>
        <c:lblOffset val="100"/>
        <c:baseTimeUnit val="months"/>
      </c:dateAx>
      <c:valAx>
        <c:axId val="124902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24902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'700 gr'!$D$7</c:f>
              <c:strCache>
                <c:ptCount val="1"/>
                <c:pt idx="0">
                  <c:v>700 gr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'700 gr'!$E$6:$J$6</c:f>
              <c:numCache>
                <c:formatCode>mmm\-yy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'700 gr'!$E$7:$J$7</c:f>
              <c:numCache>
                <c:formatCode>#,##0</c:formatCode>
                <c:ptCount val="6"/>
                <c:pt idx="0">
                  <c:v>43534</c:v>
                </c:pt>
                <c:pt idx="1">
                  <c:v>26517</c:v>
                </c:pt>
                <c:pt idx="2">
                  <c:v>38391</c:v>
                </c:pt>
                <c:pt idx="3">
                  <c:v>51942</c:v>
                </c:pt>
                <c:pt idx="4">
                  <c:v>32611</c:v>
                </c:pt>
                <c:pt idx="5">
                  <c:v>29889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B-45CE-A247-544F7760D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7154655"/>
        <c:axId val="647113855"/>
        <c:axId val="0"/>
      </c:bar3DChart>
      <c:dateAx>
        <c:axId val="64715465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647113855"/>
        <c:crosses val="autoZero"/>
        <c:auto val="1"/>
        <c:lblOffset val="100"/>
        <c:baseTimeUnit val="months"/>
      </c:dateAx>
      <c:valAx>
        <c:axId val="64711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64715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/>
              <a:t>LINEA AZUL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>
        <c:manualLayout>
          <c:layoutTarget val="inner"/>
          <c:xMode val="edge"/>
          <c:yMode val="edge"/>
          <c:x val="0.1025531496062992"/>
          <c:y val="0.19949074074074077"/>
          <c:w val="0.8585579615048119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'Linea Azul'!$D$6</c:f>
              <c:strCache>
                <c:ptCount val="1"/>
                <c:pt idx="0">
                  <c:v>Griego Azul Fresa 150 gr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'Linea Azul'!$E$5:$I$5</c:f>
              <c:numCache>
                <c:formatCode>mmm\-yy</c:formatCode>
                <c:ptCount val="5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</c:numCache>
            </c:numRef>
          </c:cat>
          <c:val>
            <c:numRef>
              <c:f>'Linea Azul'!$E$6:$I$6</c:f>
              <c:numCache>
                <c:formatCode>#,##0</c:formatCode>
                <c:ptCount val="5"/>
                <c:pt idx="0">
                  <c:v>8992</c:v>
                </c:pt>
                <c:pt idx="1">
                  <c:v>13984</c:v>
                </c:pt>
                <c:pt idx="2">
                  <c:v>12301</c:v>
                </c:pt>
                <c:pt idx="3">
                  <c:v>27291</c:v>
                </c:pt>
                <c:pt idx="4">
                  <c:v>7754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1-45F6-BE36-6DBBC4DB59CF}"/>
            </c:ext>
          </c:extLst>
        </c:ser>
        <c:ser>
          <c:idx val="1"/>
          <c:order val="1"/>
          <c:tx>
            <c:strRef>
              <c:f>'Linea Azul'!$D$7</c:f>
              <c:strCache>
                <c:ptCount val="1"/>
                <c:pt idx="0">
                  <c:v>Griego Azul Caramelo Salado 150 gr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'Linea Azul'!$E$5:$I$5</c:f>
              <c:numCache>
                <c:formatCode>mmm\-yy</c:formatCode>
                <c:ptCount val="5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</c:numCache>
            </c:numRef>
          </c:cat>
          <c:val>
            <c:numRef>
              <c:f>'Linea Azul'!$E$7:$I$7</c:f>
              <c:numCache>
                <c:formatCode>#,##0</c:formatCode>
                <c:ptCount val="5"/>
                <c:pt idx="0">
                  <c:v>6022</c:v>
                </c:pt>
                <c:pt idx="1">
                  <c:v>16150</c:v>
                </c:pt>
                <c:pt idx="2">
                  <c:v>12209</c:v>
                </c:pt>
                <c:pt idx="3">
                  <c:v>17094</c:v>
                </c:pt>
                <c:pt idx="4">
                  <c:v>5286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1-45F6-BE36-6DBBC4DB59CF}"/>
            </c:ext>
          </c:extLst>
        </c:ser>
        <c:ser>
          <c:idx val="2"/>
          <c:order val="2"/>
          <c:tx>
            <c:strRef>
              <c:f>'Linea Azul'!$D$8</c:f>
              <c:strCache>
                <c:ptCount val="1"/>
                <c:pt idx="0">
                  <c:v>Griego Azul Coco Vainilla 150 gr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'Linea Azul'!$E$5:$I$5</c:f>
              <c:numCache>
                <c:formatCode>mmm\-yy</c:formatCode>
                <c:ptCount val="5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</c:numCache>
            </c:numRef>
          </c:cat>
          <c:val>
            <c:numRef>
              <c:f>'Linea Azul'!$E$8:$I$8</c:f>
              <c:numCache>
                <c:formatCode>#,##0</c:formatCode>
                <c:ptCount val="5"/>
                <c:pt idx="0">
                  <c:v>6019</c:v>
                </c:pt>
                <c:pt idx="1">
                  <c:v>17367</c:v>
                </c:pt>
                <c:pt idx="2">
                  <c:v>20919</c:v>
                </c:pt>
                <c:pt idx="3">
                  <c:v>17808</c:v>
                </c:pt>
                <c:pt idx="4">
                  <c:v>8639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91-45F6-BE36-6DBBC4DB59CF}"/>
            </c:ext>
          </c:extLst>
        </c:ser>
        <c:ser>
          <c:idx val="3"/>
          <c:order val="3"/>
          <c:tx>
            <c:strRef>
              <c:f>'Linea Azul'!$D$9</c:f>
              <c:strCache>
                <c:ptCount val="1"/>
                <c:pt idx="0">
                  <c:v>Griego Azul Pie de Limon 150 gr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'Linea Azul'!$E$5:$I$5</c:f>
              <c:numCache>
                <c:formatCode>mmm\-yy</c:formatCode>
                <c:ptCount val="5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</c:numCache>
            </c:numRef>
          </c:cat>
          <c:val>
            <c:numRef>
              <c:f>'Linea Azul'!$E$9:$I$9</c:f>
              <c:numCache>
                <c:formatCode>#,##0</c:formatCode>
                <c:ptCount val="5"/>
                <c:pt idx="0">
                  <c:v>6020</c:v>
                </c:pt>
                <c:pt idx="1">
                  <c:v>17552</c:v>
                </c:pt>
                <c:pt idx="2">
                  <c:v>20179</c:v>
                </c:pt>
                <c:pt idx="3">
                  <c:v>25821</c:v>
                </c:pt>
                <c:pt idx="4">
                  <c:v>12973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91-45F6-BE36-6DBBC4DB5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3158735"/>
        <c:axId val="603165935"/>
      </c:barChart>
      <c:lineChart>
        <c:grouping val="standard"/>
        <c:varyColors val="0"/>
        <c:ser>
          <c:idx val="4"/>
          <c:order val="4"/>
          <c:tx>
            <c:strRef>
              <c:f>'Linea Azul'!$D$10</c:f>
              <c:strCache>
                <c:ptCount val="1"/>
                <c:pt idx="0">
                  <c:v>Total Unidades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6350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'Linea Azul'!$E$5:$I$5</c:f>
              <c:numCache>
                <c:formatCode>mmm\-yy</c:formatCode>
                <c:ptCount val="5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</c:numCache>
            </c:numRef>
          </c:cat>
          <c:val>
            <c:numRef>
              <c:f>'Linea Azul'!$E$10:$I$10</c:f>
              <c:numCache>
                <c:formatCode>#,##0</c:formatCode>
                <c:ptCount val="5"/>
                <c:pt idx="0">
                  <c:v>27053</c:v>
                </c:pt>
                <c:pt idx="1">
                  <c:v>65053</c:v>
                </c:pt>
                <c:pt idx="2">
                  <c:v>65608</c:v>
                </c:pt>
                <c:pt idx="3">
                  <c:v>88014</c:v>
                </c:pt>
                <c:pt idx="4">
                  <c:v>34652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91-45F6-BE36-6DBBC4DB5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134015"/>
        <c:axId val="647124415"/>
      </c:lineChart>
      <c:dateAx>
        <c:axId val="603158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603165935"/>
        <c:crosses val="autoZero"/>
        <c:auto val="1"/>
        <c:lblOffset val="100"/>
        <c:baseTimeUnit val="months"/>
      </c:dateAx>
      <c:valAx>
        <c:axId val="60316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603158735"/>
        <c:crosses val="autoZero"/>
        <c:crossBetween val="between"/>
      </c:valAx>
      <c:valAx>
        <c:axId val="647124415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647134015"/>
        <c:crosses val="max"/>
        <c:crossBetween val="between"/>
      </c:valAx>
      <c:dateAx>
        <c:axId val="64713401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4712441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3185932664565791E-2"/>
          <c:y val="0.89872594050743659"/>
          <c:w val="0.87362799310280392"/>
          <c:h val="7.8125911344415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/>
              <a:t>Linea 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POWER!$B$6</c:f>
              <c:strCache>
                <c:ptCount val="1"/>
                <c:pt idx="0">
                  <c:v>Power 150g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POWER!$C$5:$H$5</c:f>
              <c:numCache>
                <c:formatCode>mmm\-yy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POWER!$C$6:$H$6</c:f>
              <c:numCache>
                <c:formatCode>#,##0</c:formatCode>
                <c:ptCount val="6"/>
                <c:pt idx="0">
                  <c:v>22965</c:v>
                </c:pt>
                <c:pt idx="1">
                  <c:v>21773</c:v>
                </c:pt>
                <c:pt idx="2">
                  <c:v>15444</c:v>
                </c:pt>
                <c:pt idx="3">
                  <c:v>20007</c:v>
                </c:pt>
                <c:pt idx="4">
                  <c:v>27463</c:v>
                </c:pt>
                <c:pt idx="5">
                  <c:v>8218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C-4462-88B4-10552E65CEC4}"/>
            </c:ext>
          </c:extLst>
        </c:ser>
        <c:ser>
          <c:idx val="1"/>
          <c:order val="1"/>
          <c:tx>
            <c:strRef>
              <c:f>POWER!$B$7</c:f>
              <c:strCache>
                <c:ptCount val="1"/>
                <c:pt idx="0">
                  <c:v>Power 700g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POWER!$C$5:$H$5</c:f>
              <c:numCache>
                <c:formatCode>mmm\-yy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POWER!$C$7:$H$7</c:f>
              <c:numCache>
                <c:formatCode>#,##0</c:formatCode>
                <c:ptCount val="6"/>
                <c:pt idx="0">
                  <c:v>2359</c:v>
                </c:pt>
                <c:pt idx="1">
                  <c:v>4144</c:v>
                </c:pt>
                <c:pt idx="2">
                  <c:v>3229</c:v>
                </c:pt>
                <c:pt idx="3">
                  <c:v>3192</c:v>
                </c:pt>
                <c:pt idx="4">
                  <c:v>2122</c:v>
                </c:pt>
                <c:pt idx="5">
                  <c:v>1755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EC-4462-88B4-10552E65CEC4}"/>
            </c:ext>
          </c:extLst>
        </c:ser>
        <c:ser>
          <c:idx val="2"/>
          <c:order val="2"/>
          <c:tx>
            <c:strRef>
              <c:f>POWER!$B$8</c:f>
              <c:strCache>
                <c:ptCount val="1"/>
                <c:pt idx="0">
                  <c:v>Mantecado 150g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trendline>
            <c:spPr>
              <a:ln w="698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POWER!$C$5:$H$5</c:f>
              <c:numCache>
                <c:formatCode>mmm\-yy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POWER!$C$8:$H$8</c:f>
              <c:numCache>
                <c:formatCode>#,##0</c:formatCode>
                <c:ptCount val="6"/>
                <c:pt idx="0">
                  <c:v>38384</c:v>
                </c:pt>
                <c:pt idx="1">
                  <c:v>18655</c:v>
                </c:pt>
                <c:pt idx="2">
                  <c:v>32331</c:v>
                </c:pt>
                <c:pt idx="3">
                  <c:v>29111</c:v>
                </c:pt>
                <c:pt idx="4">
                  <c:v>26525</c:v>
                </c:pt>
                <c:pt idx="5">
                  <c:v>18230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EC-4462-88B4-10552E65CEC4}"/>
            </c:ext>
          </c:extLst>
        </c:ser>
        <c:ser>
          <c:idx val="3"/>
          <c:order val="3"/>
          <c:tx>
            <c:strRef>
              <c:f>POWER!$B$9</c:f>
              <c:strCache>
                <c:ptCount val="1"/>
                <c:pt idx="0">
                  <c:v>Mantecado 700g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POWER!$C$5:$H$5</c:f>
              <c:numCache>
                <c:formatCode>mmm\-yy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POWER!$C$9:$H$9</c:f>
              <c:numCache>
                <c:formatCode>#,##0</c:formatCode>
                <c:ptCount val="6"/>
                <c:pt idx="0">
                  <c:v>2817</c:v>
                </c:pt>
                <c:pt idx="1">
                  <c:v>3044</c:v>
                </c:pt>
                <c:pt idx="2">
                  <c:v>3923</c:v>
                </c:pt>
                <c:pt idx="3">
                  <c:v>4464</c:v>
                </c:pt>
                <c:pt idx="4">
                  <c:v>1814</c:v>
                </c:pt>
                <c:pt idx="5">
                  <c:v>2253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EC-4462-88B4-10552E65CEC4}"/>
            </c:ext>
          </c:extLst>
        </c:ser>
        <c:ser>
          <c:idx val="4"/>
          <c:order val="4"/>
          <c:tx>
            <c:strRef>
              <c:f>POWER!$B$10</c:f>
              <c:strCache>
                <c:ptCount val="1"/>
                <c:pt idx="0">
                  <c:v>Cheesecake de fresa 150g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POWER!$C$5:$H$5</c:f>
              <c:numCache>
                <c:formatCode>mmm\-yy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POWER!$C$10:$H$10</c:f>
              <c:numCache>
                <c:formatCode>#,##0</c:formatCode>
                <c:ptCount val="6"/>
                <c:pt idx="0">
                  <c:v>16075</c:v>
                </c:pt>
                <c:pt idx="1">
                  <c:v>15805</c:v>
                </c:pt>
                <c:pt idx="2">
                  <c:v>17535</c:v>
                </c:pt>
                <c:pt idx="3">
                  <c:v>8229</c:v>
                </c:pt>
                <c:pt idx="4">
                  <c:v>19313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EC-4462-88B4-10552E65CEC4}"/>
            </c:ext>
          </c:extLst>
        </c:ser>
        <c:ser>
          <c:idx val="5"/>
          <c:order val="5"/>
          <c:tx>
            <c:strRef>
              <c:f>POWER!$B$11</c:f>
              <c:strCache>
                <c:ptCount val="1"/>
                <c:pt idx="0">
                  <c:v>Cookies and cream 150g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POWER!$C$5:$H$5</c:f>
              <c:numCache>
                <c:formatCode>mmm\-yy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POWER!$C$11:$H$11</c:f>
              <c:numCache>
                <c:formatCode>#,##0</c:formatCode>
                <c:ptCount val="6"/>
                <c:pt idx="0">
                  <c:v>10230</c:v>
                </c:pt>
                <c:pt idx="1">
                  <c:v>14418</c:v>
                </c:pt>
                <c:pt idx="2">
                  <c:v>12421</c:v>
                </c:pt>
                <c:pt idx="3">
                  <c:v>10881</c:v>
                </c:pt>
                <c:pt idx="4">
                  <c:v>16950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EC-4462-88B4-10552E65C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835472"/>
        <c:axId val="575835952"/>
      </c:barChart>
      <c:lineChart>
        <c:grouping val="standard"/>
        <c:varyColors val="0"/>
        <c:ser>
          <c:idx val="6"/>
          <c:order val="6"/>
          <c:tx>
            <c:strRef>
              <c:f>POWER!$B$12</c:f>
              <c:strCache>
                <c:ptCount val="1"/>
                <c:pt idx="0">
                  <c:v>TOTAL UNIDADES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POWER!$C$5:$H$5</c:f>
              <c:numCache>
                <c:formatCode>mmm\-yy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POWER!$C$12:$H$12</c:f>
              <c:numCache>
                <c:formatCode>#,##0</c:formatCode>
                <c:ptCount val="6"/>
                <c:pt idx="0">
                  <c:v>92830</c:v>
                </c:pt>
                <c:pt idx="1">
                  <c:v>77839</c:v>
                </c:pt>
                <c:pt idx="2">
                  <c:v>84883</c:v>
                </c:pt>
                <c:pt idx="3">
                  <c:v>75884</c:v>
                </c:pt>
                <c:pt idx="4">
                  <c:v>94187</c:v>
                </c:pt>
                <c:pt idx="5">
                  <c:v>30456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EC-4462-88B4-10552E65C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171215"/>
        <c:axId val="603160655"/>
      </c:lineChart>
      <c:dateAx>
        <c:axId val="5758354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75835952"/>
        <c:crosses val="autoZero"/>
        <c:auto val="1"/>
        <c:lblOffset val="100"/>
        <c:baseTimeUnit val="months"/>
      </c:dateAx>
      <c:valAx>
        <c:axId val="57583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75835472"/>
        <c:crosses val="autoZero"/>
        <c:crossBetween val="between"/>
      </c:valAx>
      <c:valAx>
        <c:axId val="603160655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603171215"/>
        <c:crosses val="max"/>
        <c:crossBetween val="between"/>
      </c:valAx>
      <c:dateAx>
        <c:axId val="60317121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0316065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/>
              <a:t>Linea Griego Frutas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Frutas!$D$11</c:f>
              <c:strCache>
                <c:ptCount val="1"/>
                <c:pt idx="0">
                  <c:v>Fresa 150g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Frutas!$E$10:$J$10</c:f>
              <c:numCache>
                <c:formatCode>mmm\-yy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Frutas!$E$11:$J$11</c:f>
              <c:numCache>
                <c:formatCode>#,##0</c:formatCode>
                <c:ptCount val="6"/>
                <c:pt idx="0">
                  <c:v>95875</c:v>
                </c:pt>
                <c:pt idx="1">
                  <c:v>41319</c:v>
                </c:pt>
                <c:pt idx="2">
                  <c:v>64054</c:v>
                </c:pt>
                <c:pt idx="3">
                  <c:v>90126</c:v>
                </c:pt>
                <c:pt idx="4">
                  <c:v>60848</c:v>
                </c:pt>
                <c:pt idx="5">
                  <c:v>41303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B-440D-B8AC-2DFE29A12E9E}"/>
            </c:ext>
          </c:extLst>
        </c:ser>
        <c:ser>
          <c:idx val="1"/>
          <c:order val="1"/>
          <c:tx>
            <c:strRef>
              <c:f>Frutas!$D$12</c:f>
              <c:strCache>
                <c:ptCount val="1"/>
                <c:pt idx="0">
                  <c:v>Fresa 700g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Frutas!$E$10:$J$10</c:f>
              <c:numCache>
                <c:formatCode>mmm\-yy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Frutas!$E$12:$J$12</c:f>
              <c:numCache>
                <c:formatCode>#,##0</c:formatCode>
                <c:ptCount val="6"/>
                <c:pt idx="0">
                  <c:v>8828</c:v>
                </c:pt>
                <c:pt idx="1">
                  <c:v>8274</c:v>
                </c:pt>
                <c:pt idx="2">
                  <c:v>10592</c:v>
                </c:pt>
                <c:pt idx="3">
                  <c:v>13208</c:v>
                </c:pt>
                <c:pt idx="4">
                  <c:v>7789</c:v>
                </c:pt>
                <c:pt idx="5">
                  <c:v>6836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B-440D-B8AC-2DFE29A12E9E}"/>
            </c:ext>
          </c:extLst>
        </c:ser>
        <c:ser>
          <c:idx val="2"/>
          <c:order val="2"/>
          <c:tx>
            <c:strRef>
              <c:f>Frutas!$D$13</c:f>
              <c:strCache>
                <c:ptCount val="1"/>
                <c:pt idx="0">
                  <c:v>Durazno 150g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Frutas!$E$10:$J$10</c:f>
              <c:numCache>
                <c:formatCode>mmm\-yy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Frutas!$E$13:$J$13</c:f>
              <c:numCache>
                <c:formatCode>#,##0</c:formatCode>
                <c:ptCount val="6"/>
                <c:pt idx="0">
                  <c:v>58948</c:v>
                </c:pt>
                <c:pt idx="1">
                  <c:v>22830</c:v>
                </c:pt>
                <c:pt idx="2">
                  <c:v>47957</c:v>
                </c:pt>
                <c:pt idx="3">
                  <c:v>33609</c:v>
                </c:pt>
                <c:pt idx="4">
                  <c:v>49730</c:v>
                </c:pt>
                <c:pt idx="5">
                  <c:v>35630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6B-440D-B8AC-2DFE29A12E9E}"/>
            </c:ext>
          </c:extLst>
        </c:ser>
        <c:ser>
          <c:idx val="3"/>
          <c:order val="3"/>
          <c:tx>
            <c:strRef>
              <c:f>Frutas!$D$14</c:f>
              <c:strCache>
                <c:ptCount val="1"/>
                <c:pt idx="0">
                  <c:v>Piña 150g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Frutas!$E$10:$J$10</c:f>
              <c:numCache>
                <c:formatCode>mmm\-yy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Frutas!$E$14:$J$14</c:f>
              <c:numCache>
                <c:formatCode>#,##0</c:formatCode>
                <c:ptCount val="6"/>
                <c:pt idx="0">
                  <c:v>59142</c:v>
                </c:pt>
                <c:pt idx="1">
                  <c:v>25821</c:v>
                </c:pt>
                <c:pt idx="2">
                  <c:v>51198</c:v>
                </c:pt>
                <c:pt idx="3">
                  <c:v>55363</c:v>
                </c:pt>
                <c:pt idx="4">
                  <c:v>45850</c:v>
                </c:pt>
                <c:pt idx="5">
                  <c:v>31588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6B-440D-B8AC-2DFE29A12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850352"/>
        <c:axId val="575838832"/>
      </c:barChart>
      <c:lineChart>
        <c:grouping val="standard"/>
        <c:varyColors val="0"/>
        <c:ser>
          <c:idx val="4"/>
          <c:order val="4"/>
          <c:tx>
            <c:strRef>
              <c:f>Frutas!$D$15</c:f>
              <c:strCache>
                <c:ptCount val="1"/>
                <c:pt idx="0">
                  <c:v>TOTAL UNIDADES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6350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Frutas!$E$10:$J$10</c:f>
              <c:numCache>
                <c:formatCode>mmm\-yy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Frutas!$E$15:$J$15</c:f>
              <c:numCache>
                <c:formatCode>#,##0</c:formatCode>
                <c:ptCount val="6"/>
                <c:pt idx="0">
                  <c:v>222793</c:v>
                </c:pt>
                <c:pt idx="1">
                  <c:v>98244</c:v>
                </c:pt>
                <c:pt idx="2">
                  <c:v>173801</c:v>
                </c:pt>
                <c:pt idx="3">
                  <c:v>192306</c:v>
                </c:pt>
                <c:pt idx="4">
                  <c:v>164217</c:v>
                </c:pt>
                <c:pt idx="5">
                  <c:v>115357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6B-440D-B8AC-2DFE29A12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092255"/>
        <c:axId val="647106655"/>
      </c:lineChart>
      <c:dateAx>
        <c:axId val="5758503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75838832"/>
        <c:crosses val="autoZero"/>
        <c:auto val="1"/>
        <c:lblOffset val="100"/>
        <c:baseTimeUnit val="months"/>
      </c:dateAx>
      <c:valAx>
        <c:axId val="57583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75850352"/>
        <c:crosses val="autoZero"/>
        <c:crossBetween val="between"/>
      </c:valAx>
      <c:valAx>
        <c:axId val="647106655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647092255"/>
        <c:crosses val="max"/>
        <c:crossBetween val="between"/>
      </c:valAx>
      <c:dateAx>
        <c:axId val="64709225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4710665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CREMOSILLO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Cremosillo!$E$10:$J$10</c:f>
              <c:numCache>
                <c:formatCode>mmm\-yy</c:formatCode>
                <c:ptCount val="6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</c:numCache>
            </c:numRef>
          </c:cat>
          <c:val>
            <c:numRef>
              <c:f>Cremosillo!$E$11:$J$11</c:f>
              <c:numCache>
                <c:formatCode>#,##0</c:formatCode>
                <c:ptCount val="6"/>
                <c:pt idx="0">
                  <c:v>19349</c:v>
                </c:pt>
                <c:pt idx="1">
                  <c:v>34006</c:v>
                </c:pt>
                <c:pt idx="2">
                  <c:v>31406</c:v>
                </c:pt>
                <c:pt idx="3">
                  <c:v>49884</c:v>
                </c:pt>
                <c:pt idx="4">
                  <c:v>31803</c:v>
                </c:pt>
                <c:pt idx="5">
                  <c:v>15941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B-4FEC-81E9-9C58DA2BD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19610176"/>
        <c:axId val="1825727536"/>
        <c:axId val="1793648736"/>
      </c:bar3DChart>
      <c:dateAx>
        <c:axId val="18196101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825727536"/>
        <c:crosses val="autoZero"/>
        <c:auto val="1"/>
        <c:lblOffset val="100"/>
        <c:baseTimeUnit val="months"/>
      </c:dateAx>
      <c:valAx>
        <c:axId val="182572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819610176"/>
        <c:crosses val="autoZero"/>
        <c:crossBetween val="between"/>
      </c:valAx>
      <c:serAx>
        <c:axId val="179364873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2572753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12</xdr:row>
      <xdr:rowOff>57150</xdr:rowOff>
    </xdr:from>
    <xdr:to>
      <xdr:col>13</xdr:col>
      <xdr:colOff>114300</xdr:colOff>
      <xdr:row>27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141A4D-6DC5-6A81-536A-A8A7F9C66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9</xdr:row>
      <xdr:rowOff>41910</xdr:rowOff>
    </xdr:from>
    <xdr:to>
      <xdr:col>10</xdr:col>
      <xdr:colOff>411480</xdr:colOff>
      <xdr:row>24</xdr:row>
      <xdr:rowOff>156210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438DECD-D895-7D9E-4D53-6C494CAEA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11430</xdr:rowOff>
    </xdr:from>
    <xdr:to>
      <xdr:col>10</xdr:col>
      <xdr:colOff>99060</xdr:colOff>
      <xdr:row>22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AD6DB3-92CD-48B3-5FB4-22DB4BF83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10</xdr:row>
      <xdr:rowOff>99060</xdr:rowOff>
    </xdr:from>
    <xdr:to>
      <xdr:col>9</xdr:col>
      <xdr:colOff>601980</xdr:colOff>
      <xdr:row>29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D97A01-6736-3C99-4CAD-F8F784F8B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12</xdr:row>
      <xdr:rowOff>91440</xdr:rowOff>
    </xdr:from>
    <xdr:to>
      <xdr:col>7</xdr:col>
      <xdr:colOff>1943100</xdr:colOff>
      <xdr:row>27</xdr:row>
      <xdr:rowOff>72390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91BF63-8311-467A-7372-483E4BD02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15</xdr:row>
      <xdr:rowOff>3810</xdr:rowOff>
    </xdr:from>
    <xdr:to>
      <xdr:col>10</xdr:col>
      <xdr:colOff>30480</xdr:colOff>
      <xdr:row>30</xdr:row>
      <xdr:rowOff>118110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41903C-AEB6-C567-F129-BA42C1BAD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982980</xdr:colOff>
      <xdr:row>10</xdr:row>
      <xdr:rowOff>171450</xdr:rowOff>
    </xdr:from>
    <xdr:to>
      <xdr:col>10</xdr:col>
      <xdr:colOff>7620</xdr:colOff>
      <xdr:row>26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9D940E-8BD2-208D-2ED6-24C166449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PORTE%20DE%20PRODUCCI&#211;N/Produccion%20Diaria%20PT%20Febrero%202026.xlsx" TargetMode="External"/><Relationship Id="rId2" Type="http://schemas.openxmlformats.org/officeDocument/2006/relationships/externalLinkPath" Target="file:///R:\OPERACIONES\REPORTE%20DE%20PRODUCCI&#211;N\Produccion%20Diaria%20PT%20Febrero%202026.xlsx" TargetMode="External"/><Relationship Id="rId1" Type="http://schemas.openxmlformats.org/officeDocument/2006/relationships/externalLinkPath" Target="/OPERACIONES/REPORTE%20DE%20PRODUCCI&#211;N/Produccion%20Diaria%20PT%20Febrer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PORTE%20DE%20PRODUCCI&#211;N/Produccion%20Diaria%20PT%20MARZO%202026.xlsx" TargetMode="External"/><Relationship Id="rId2" Type="http://schemas.openxmlformats.org/officeDocument/2006/relationships/externalLinkPath" Target="file:///R:\OPERACIONES\REPORTE%20DE%20PRODUCCI&#211;N\Produccion%20Diaria%20PT%20MARZO%202026.xlsx" TargetMode="External"/><Relationship Id="rId1" Type="http://schemas.openxmlformats.org/officeDocument/2006/relationships/externalLinkPath" Target="/OPERACIONES/REPORTE%20DE%20PRODUCCI&#211;N/Produccion%20Diaria%20PT%20MARZO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PORTE%20DE%20PRODUCCI&#211;N/Produccion%20Diaria%20PT%20ABRIL%202026.xlsx" TargetMode="External"/><Relationship Id="rId2" Type="http://schemas.openxmlformats.org/officeDocument/2006/relationships/externalLinkPath" Target="file:///R:\OPERACIONES\REPORTE%20DE%20PRODUCCI&#211;N\Produccion%20Diaria%20PT%20ABRIL%202026.xlsx" TargetMode="External"/><Relationship Id="rId1" Type="http://schemas.openxmlformats.org/officeDocument/2006/relationships/externalLinkPath" Target="/OPERACIONES/REPORTE%20DE%20PRODUCCI&#211;N/Produccion%20Diaria%20PT%20ABRIL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PORTE%20DE%20PRODUCCI&#211;N/Produccion%20Diaria%20PT%20MAYO%202026.xlsx" TargetMode="External"/><Relationship Id="rId2" Type="http://schemas.openxmlformats.org/officeDocument/2006/relationships/externalLinkPath" Target="file:///R:\OPERACIONES\REPORTE%20DE%20PRODUCCI&#211;N\Produccion%20Diaria%20PT%20MAYO%202026.xlsx" TargetMode="External"/><Relationship Id="rId1" Type="http://schemas.openxmlformats.org/officeDocument/2006/relationships/externalLinkPath" Target="/OPERACIONES/REPORTE%20DE%20PRODUCCI&#211;N/Produccion%20Diaria%20PT%20MAYO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PORTE%20DE%20PRODUCCI&#211;N/Produccion%20Diaria%20PT%20Junio%202026.xlsx" TargetMode="External"/><Relationship Id="rId2" Type="http://schemas.openxmlformats.org/officeDocument/2006/relationships/externalLinkPath" Target="file:///R:\OPERACIONES\REPORTE%20DE%20PRODUCCI&#211;N\Produccion%20Diaria%20PT%20Junio%202026.xlsx" TargetMode="External"/><Relationship Id="rId1" Type="http://schemas.openxmlformats.org/officeDocument/2006/relationships/externalLinkPath" Target="/OPERACIONES/REPORTE%20DE%20PRODUCCI&#211;N/Produccion%20Diaria%20PT%20Junio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PORTE%20DE%20PRODUCCI&#211;N/Produccion%20Diaria%20PT%20Julio%202026.xlsx" TargetMode="External"/><Relationship Id="rId2" Type="http://schemas.openxmlformats.org/officeDocument/2006/relationships/externalLinkPath" Target="file:///R:\OPERACIONES\REPORTE%20DE%20PRODUCCI&#211;N\Produccion%20Diaria%20PT%20Julio%202026.xlsx" TargetMode="External"/><Relationship Id="rId1" Type="http://schemas.openxmlformats.org/officeDocument/2006/relationships/externalLinkPath" Target="/OPERACIONES/REPORTE%20DE%20PRODUCCI&#211;N/Produccion%20Diaria%20PT%20Julio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AQ\Documents\LOGISTICA%20SAPORI\Historico%20Nueva%20Version%20de%20Ventas%20Sapori%20al%20030426.xls" TargetMode="External"/><Relationship Id="rId1" Type="http://schemas.openxmlformats.org/officeDocument/2006/relationships/externalLinkPath" Target="file:///C:\Users\COMPAQ\Documents\LOGISTICA%20SAPORI\Historico%20Nueva%20Version%20de%20Ventas%20Sapori%20al%200304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DUCCION DIARIA FEBRERO 2026"/>
      <sheetName val="RESUMEN Y GRÁFICOS"/>
      <sheetName val="Produccion MTD SHARE"/>
      <sheetName val="Dashboard"/>
      <sheetName val="Hoja1"/>
      <sheetName val="Comparativo Sales LT vs MTD Pro"/>
    </sheetNames>
    <sheetDataSet>
      <sheetData sheetId="0">
        <row r="79">
          <cell r="AD79">
            <v>386904</v>
          </cell>
        </row>
      </sheetData>
      <sheetData sheetId="1"/>
      <sheetData sheetId="2">
        <row r="3">
          <cell r="C3">
            <v>14656</v>
          </cell>
        </row>
        <row r="4">
          <cell r="C4">
            <v>2853</v>
          </cell>
        </row>
        <row r="5">
          <cell r="C5">
            <v>999</v>
          </cell>
        </row>
        <row r="6">
          <cell r="C6">
            <v>228</v>
          </cell>
        </row>
        <row r="7">
          <cell r="C7">
            <v>613</v>
          </cell>
        </row>
        <row r="9">
          <cell r="C9">
            <v>11160</v>
          </cell>
        </row>
        <row r="10">
          <cell r="C10">
            <v>4578</v>
          </cell>
        </row>
        <row r="11">
          <cell r="C11">
            <v>2533</v>
          </cell>
        </row>
        <row r="21">
          <cell r="C21">
            <v>8676</v>
          </cell>
        </row>
        <row r="23">
          <cell r="C23">
            <v>2560</v>
          </cell>
        </row>
        <row r="24">
          <cell r="C24">
            <v>95875</v>
          </cell>
        </row>
        <row r="25">
          <cell r="C25">
            <v>8828</v>
          </cell>
        </row>
        <row r="26">
          <cell r="C26">
            <v>58948</v>
          </cell>
        </row>
        <row r="28">
          <cell r="C28">
            <v>59142</v>
          </cell>
        </row>
        <row r="30">
          <cell r="C30">
            <v>15579</v>
          </cell>
        </row>
        <row r="31">
          <cell r="C31">
            <v>304</v>
          </cell>
        </row>
        <row r="33">
          <cell r="C33">
            <v>2411</v>
          </cell>
        </row>
        <row r="34">
          <cell r="C34">
            <v>22965</v>
          </cell>
        </row>
        <row r="35">
          <cell r="C35">
            <v>2359</v>
          </cell>
        </row>
        <row r="36">
          <cell r="C36">
            <v>38384</v>
          </cell>
        </row>
        <row r="37">
          <cell r="C37">
            <v>2817</v>
          </cell>
        </row>
        <row r="38">
          <cell r="C38">
            <v>16075</v>
          </cell>
        </row>
        <row r="40">
          <cell r="C40">
            <v>10230</v>
          </cell>
        </row>
        <row r="50">
          <cell r="C50">
            <v>520938</v>
          </cell>
        </row>
      </sheetData>
      <sheetData sheetId="3">
        <row r="4">
          <cell r="C4">
            <v>466290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en Inventarios Feb 26"/>
      <sheetName val="PRODUCCION DIARIA MARZO 2026"/>
      <sheetName val="Hoja1"/>
      <sheetName val="RESUMEN Y GRÁFICOS"/>
      <sheetName val="Produccion MTD SHARE"/>
      <sheetName val="DASHBOARD"/>
      <sheetName val="Comparativo Sales LT vs MTD Pro"/>
      <sheetName val="Foto Cierre Semana 02-0603"/>
      <sheetName val="Foto Cierre Semana 09-1326"/>
      <sheetName val="Foto Cierre Semana 16-2026"/>
      <sheetName val="Formula"/>
      <sheetName val="RESUMEN COP BY SKU"/>
    </sheetNames>
    <sheetDataSet>
      <sheetData sheetId="0"/>
      <sheetData sheetId="1">
        <row r="88">
          <cell r="AD88">
            <v>265359</v>
          </cell>
        </row>
      </sheetData>
      <sheetData sheetId="2"/>
      <sheetData sheetId="3"/>
      <sheetData sheetId="4">
        <row r="3">
          <cell r="C3">
            <v>22464</v>
          </cell>
        </row>
        <row r="4">
          <cell r="C4">
            <v>8903</v>
          </cell>
        </row>
        <row r="5">
          <cell r="C5">
            <v>1047</v>
          </cell>
        </row>
        <row r="6">
          <cell r="C6">
            <v>303</v>
          </cell>
        </row>
        <row r="7">
          <cell r="C7">
            <v>1289</v>
          </cell>
        </row>
        <row r="9">
          <cell r="C9">
            <v>14013</v>
          </cell>
        </row>
        <row r="10">
          <cell r="C10">
            <v>3309</v>
          </cell>
        </row>
        <row r="11">
          <cell r="C11">
            <v>1245</v>
          </cell>
        </row>
        <row r="21">
          <cell r="C21">
            <v>1223</v>
          </cell>
        </row>
        <row r="23">
          <cell r="C23">
            <v>3809</v>
          </cell>
        </row>
        <row r="24">
          <cell r="C24">
            <v>41319</v>
          </cell>
        </row>
        <row r="25">
          <cell r="C25">
            <v>8274</v>
          </cell>
        </row>
        <row r="26">
          <cell r="C26">
            <v>22830</v>
          </cell>
        </row>
        <row r="28">
          <cell r="C28">
            <v>25821</v>
          </cell>
        </row>
        <row r="30">
          <cell r="C30">
            <v>13025</v>
          </cell>
        </row>
        <row r="31">
          <cell r="C31">
            <v>304</v>
          </cell>
        </row>
        <row r="33">
          <cell r="C33">
            <v>968</v>
          </cell>
        </row>
        <row r="34">
          <cell r="C34">
            <v>21773</v>
          </cell>
        </row>
        <row r="35">
          <cell r="C35">
            <v>4144</v>
          </cell>
        </row>
        <row r="36">
          <cell r="C36">
            <v>18655</v>
          </cell>
        </row>
        <row r="37">
          <cell r="C37">
            <v>3044</v>
          </cell>
        </row>
        <row r="38">
          <cell r="C38">
            <v>15805</v>
          </cell>
        </row>
        <row r="40">
          <cell r="C40">
            <v>14418</v>
          </cell>
        </row>
        <row r="48">
          <cell r="C48">
            <v>8992</v>
          </cell>
        </row>
        <row r="49">
          <cell r="C49">
            <v>6022</v>
          </cell>
        </row>
        <row r="50">
          <cell r="C50">
            <v>6019</v>
          </cell>
        </row>
        <row r="51">
          <cell r="C51">
            <v>6020</v>
          </cell>
        </row>
        <row r="57">
          <cell r="C57">
            <v>413087</v>
          </cell>
        </row>
      </sheetData>
      <sheetData sheetId="5"/>
      <sheetData sheetId="6">
        <row r="15">
          <cell r="T15">
            <v>321987</v>
          </cell>
        </row>
        <row r="66">
          <cell r="Q66">
            <v>228093</v>
          </cell>
          <cell r="R66">
            <v>412724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scenarios de Alcance"/>
      <sheetName val="RESUMEN APRIL 26"/>
      <sheetName val="Resumen Inventarios Marzo 26"/>
      <sheetName val="PRODUCCION DIARIA ABRIL 2026"/>
      <sheetName val="RESUMEN Y GRÁFICOS"/>
      <sheetName val="Produccion MTD SHARE"/>
      <sheetName val="DASHBOARD"/>
      <sheetName val="Comparativo Sales LT vs MTD Pro"/>
      <sheetName val="Foto Cierre Semana 06-1004"/>
      <sheetName val="Foto Cierre Semana 13-1726"/>
      <sheetName val="Foto Cierre Semana 16-2026"/>
      <sheetName val="Formula"/>
      <sheetName val="RESUMEN COP BY SKU"/>
    </sheetNames>
    <sheetDataSet>
      <sheetData sheetId="0"/>
      <sheetData sheetId="1">
        <row r="14">
          <cell r="E14">
            <v>445909</v>
          </cell>
        </row>
      </sheetData>
      <sheetData sheetId="2"/>
      <sheetData sheetId="3">
        <row r="88">
          <cell r="AD88">
            <v>386551</v>
          </cell>
        </row>
      </sheetData>
      <sheetData sheetId="4"/>
      <sheetData sheetId="5">
        <row r="3">
          <cell r="C3">
            <v>17209</v>
          </cell>
        </row>
        <row r="4">
          <cell r="C4">
            <v>9910</v>
          </cell>
        </row>
        <row r="5">
          <cell r="C5">
            <v>2491</v>
          </cell>
        </row>
        <row r="6">
          <cell r="C6">
            <v>387</v>
          </cell>
        </row>
        <row r="7">
          <cell r="C7">
            <v>1409</v>
          </cell>
        </row>
        <row r="9">
          <cell r="C9">
            <v>22534</v>
          </cell>
        </row>
        <row r="10">
          <cell r="C10">
            <v>5814</v>
          </cell>
        </row>
        <row r="11">
          <cell r="C11">
            <v>2501</v>
          </cell>
        </row>
        <row r="21">
          <cell r="C21">
            <v>2426</v>
          </cell>
        </row>
        <row r="23">
          <cell r="C23">
            <v>1303</v>
          </cell>
        </row>
        <row r="24">
          <cell r="C24">
            <v>64054</v>
          </cell>
        </row>
        <row r="25">
          <cell r="C25">
            <v>10592</v>
          </cell>
        </row>
        <row r="26">
          <cell r="C26">
            <v>47957</v>
          </cell>
        </row>
        <row r="28">
          <cell r="C28">
            <v>51198</v>
          </cell>
        </row>
        <row r="30">
          <cell r="C30">
            <v>15648</v>
          </cell>
        </row>
        <row r="31">
          <cell r="C31">
            <v>676</v>
          </cell>
        </row>
        <row r="33">
          <cell r="C33">
            <v>594</v>
          </cell>
        </row>
        <row r="34">
          <cell r="C34">
            <v>15444</v>
          </cell>
        </row>
        <row r="35">
          <cell r="C35">
            <v>3229</v>
          </cell>
        </row>
        <row r="36">
          <cell r="C36">
            <v>32331</v>
          </cell>
        </row>
        <row r="37">
          <cell r="C37">
            <v>3923</v>
          </cell>
        </row>
        <row r="38">
          <cell r="C38">
            <v>17535</v>
          </cell>
        </row>
        <row r="40">
          <cell r="C40">
            <v>12421</v>
          </cell>
        </row>
        <row r="48">
          <cell r="C48">
            <v>13984</v>
          </cell>
        </row>
        <row r="49">
          <cell r="C49">
            <v>16150</v>
          </cell>
        </row>
        <row r="50">
          <cell r="C50">
            <v>17367</v>
          </cell>
        </row>
        <row r="51">
          <cell r="C51">
            <v>17552</v>
          </cell>
        </row>
        <row r="57">
          <cell r="C57">
            <v>535420</v>
          </cell>
        </row>
      </sheetData>
      <sheetData sheetId="6"/>
      <sheetData sheetId="7">
        <row r="66">
          <cell r="Q66">
            <v>157244</v>
          </cell>
          <cell r="R66">
            <v>535370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GRAFIA"/>
      <sheetName val="Balance Vs Ventas"/>
      <sheetName val="Comparativo Sales LT vs MTD Pro"/>
      <sheetName val="Programacion"/>
      <sheetName val="Escenarios de Alcance"/>
      <sheetName val="RESUMEN MAYO 26"/>
      <sheetName val="Resumen Inventarios ABRIL 26"/>
      <sheetName val="PRODUCCION DIARIA MAYO 2026"/>
      <sheetName val="RESUMEN Y GRÁFICOS"/>
      <sheetName val="Produccion MTD SHARE"/>
      <sheetName val="DASHBOARD"/>
      <sheetName val="Foto Cierre Semana 06-1004"/>
      <sheetName val="Foto Cierre Semana 16-2026"/>
      <sheetName val="Foto Cierre Semana 13-1726"/>
      <sheetName val="Formula"/>
      <sheetName val="RESUMEN COP BY SKU"/>
    </sheetNames>
    <sheetDataSet>
      <sheetData sheetId="0"/>
      <sheetData sheetId="1">
        <row r="57">
          <cell r="C57">
            <v>564513</v>
          </cell>
          <cell r="E57">
            <v>775689</v>
          </cell>
        </row>
      </sheetData>
      <sheetData sheetId="2"/>
      <sheetData sheetId="3"/>
      <sheetData sheetId="4"/>
      <sheetData sheetId="5"/>
      <sheetData sheetId="6"/>
      <sheetData sheetId="7">
        <row r="88">
          <cell r="AD88">
            <v>383814</v>
          </cell>
        </row>
      </sheetData>
      <sheetData sheetId="8"/>
      <sheetData sheetId="9">
        <row r="3">
          <cell r="C3">
            <v>33063</v>
          </cell>
        </row>
        <row r="4">
          <cell r="C4">
            <v>11093</v>
          </cell>
        </row>
        <row r="5">
          <cell r="C5">
            <v>2770</v>
          </cell>
        </row>
        <row r="6">
          <cell r="C6">
            <v>532</v>
          </cell>
        </row>
        <row r="7">
          <cell r="C7">
            <v>2426</v>
          </cell>
        </row>
        <row r="9">
          <cell r="C9">
            <v>21784</v>
          </cell>
        </row>
        <row r="10">
          <cell r="C10">
            <v>6053</v>
          </cell>
        </row>
        <row r="11">
          <cell r="C11">
            <v>2218</v>
          </cell>
        </row>
        <row r="24">
          <cell r="C24">
            <v>90126</v>
          </cell>
        </row>
        <row r="25">
          <cell r="C25">
            <v>13208</v>
          </cell>
        </row>
        <row r="26">
          <cell r="C26">
            <v>33609</v>
          </cell>
        </row>
        <row r="28">
          <cell r="C28">
            <v>55363</v>
          </cell>
        </row>
        <row r="34">
          <cell r="C34">
            <v>20007</v>
          </cell>
        </row>
        <row r="35">
          <cell r="C35">
            <v>3192</v>
          </cell>
        </row>
        <row r="36">
          <cell r="C36">
            <v>29111</v>
          </cell>
        </row>
        <row r="37">
          <cell r="C37">
            <v>4464</v>
          </cell>
        </row>
        <row r="38">
          <cell r="C38">
            <v>8229</v>
          </cell>
        </row>
        <row r="39">
          <cell r="G39">
            <v>51942</v>
          </cell>
        </row>
        <row r="40">
          <cell r="C40">
            <v>10881</v>
          </cell>
        </row>
        <row r="48">
          <cell r="C48">
            <v>12301</v>
          </cell>
        </row>
        <row r="49">
          <cell r="C49">
            <v>12209</v>
          </cell>
        </row>
        <row r="50">
          <cell r="C50">
            <v>20919</v>
          </cell>
        </row>
        <row r="51">
          <cell r="C51">
            <v>20179</v>
          </cell>
        </row>
      </sheetData>
      <sheetData sheetId="10">
        <row r="4">
          <cell r="C4">
            <v>449661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GRAFIA"/>
      <sheetName val="Balance Vs Ventas"/>
      <sheetName val="Comparativo Sales LT vs MTD Pro"/>
      <sheetName val="Programacion"/>
      <sheetName val="Escenarios de Alcance"/>
      <sheetName val="RESUMEN MAYO 26"/>
      <sheetName val="Resumen Inventarios ABRIL 26"/>
      <sheetName val="PRODUCCION DIARIA JUNIO 2026"/>
      <sheetName val="RESUMEN Y GRÁFICOS"/>
      <sheetName val="Produccion MTD SHARE"/>
      <sheetName val="DASHBOARD"/>
      <sheetName val="Foto Cierre Semana 06-1004"/>
      <sheetName val="Foto Cierre Semana 13-1726"/>
      <sheetName val="Foto Cierre Semana 16-2026"/>
      <sheetName val="Formula"/>
      <sheetName val="RESUMEN COP BY SKU"/>
    </sheetNames>
    <sheetDataSet>
      <sheetData sheetId="0">
        <row r="4">
          <cell r="D4">
            <v>31803</v>
          </cell>
        </row>
        <row r="9">
          <cell r="D9">
            <v>52803</v>
          </cell>
        </row>
        <row r="24">
          <cell r="C24">
            <v>60848</v>
          </cell>
        </row>
        <row r="28">
          <cell r="C28">
            <v>45850</v>
          </cell>
        </row>
        <row r="34">
          <cell r="C34">
            <v>27463</v>
          </cell>
        </row>
        <row r="35">
          <cell r="C35">
            <v>2122</v>
          </cell>
        </row>
        <row r="36">
          <cell r="C36">
            <v>26525</v>
          </cell>
        </row>
        <row r="37">
          <cell r="C37">
            <v>1814</v>
          </cell>
        </row>
        <row r="38">
          <cell r="C38">
            <v>19313</v>
          </cell>
        </row>
        <row r="40">
          <cell r="C40">
            <v>16950</v>
          </cell>
        </row>
        <row r="48">
          <cell r="C48">
            <v>27291</v>
          </cell>
        </row>
        <row r="49">
          <cell r="C49">
            <v>17094</v>
          </cell>
        </row>
        <row r="50">
          <cell r="C50">
            <v>17808</v>
          </cell>
        </row>
        <row r="51">
          <cell r="C51">
            <v>25821</v>
          </cell>
        </row>
      </sheetData>
      <sheetData sheetId="1">
        <row r="57">
          <cell r="E57">
            <v>905388</v>
          </cell>
        </row>
      </sheetData>
      <sheetData sheetId="2"/>
      <sheetData sheetId="3"/>
      <sheetData sheetId="4"/>
      <sheetData sheetId="5"/>
      <sheetData sheetId="6"/>
      <sheetData sheetId="7">
        <row r="38">
          <cell r="AH38">
            <v>7789</v>
          </cell>
        </row>
        <row r="39">
          <cell r="AH39">
            <v>49730</v>
          </cell>
        </row>
        <row r="88">
          <cell r="AD88">
            <v>461320</v>
          </cell>
        </row>
        <row r="89">
          <cell r="AD89">
            <v>32611</v>
          </cell>
        </row>
        <row r="90">
          <cell r="AD90">
            <v>24181</v>
          </cell>
        </row>
        <row r="97">
          <cell r="AD97">
            <v>609205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GRAFIA"/>
      <sheetName val="Balance Vs Ventas"/>
      <sheetName val="Comparativo Sales LT vs MTD Pro"/>
      <sheetName val="Programacion"/>
      <sheetName val="Escenarios de Alcance"/>
      <sheetName val="RESUMEN MAYO 26"/>
      <sheetName val="Resumen Inventarios ABRIL 26"/>
      <sheetName val="PRODUCCION DIARIA JULIO 2026"/>
      <sheetName val="RESUMEN Y GRÁFICOS"/>
      <sheetName val="Produccion MTD SHARE"/>
      <sheetName val="DASHBOARD"/>
      <sheetName val="Foto Cierre Semana 06-1004"/>
      <sheetName val="Foto Cierre Semana 13-1726"/>
      <sheetName val="Foto Cierre Semana 16-2026"/>
      <sheetName val="Formula"/>
      <sheetName val="RESUMEN COP BY SKU"/>
    </sheetNames>
    <sheetDataSet>
      <sheetData sheetId="0"/>
      <sheetData sheetId="1">
        <row r="57">
          <cell r="E57">
            <v>584536</v>
          </cell>
          <cell r="F57">
            <v>692998</v>
          </cell>
        </row>
      </sheetData>
      <sheetData sheetId="2"/>
      <sheetData sheetId="3"/>
      <sheetData sheetId="4"/>
      <sheetData sheetId="5"/>
      <sheetData sheetId="6"/>
      <sheetData sheetId="7">
        <row r="88">
          <cell r="AD88">
            <v>225590</v>
          </cell>
        </row>
        <row r="89">
          <cell r="AD89">
            <v>29889</v>
          </cell>
        </row>
        <row r="90">
          <cell r="AD90">
            <v>8009</v>
          </cell>
        </row>
        <row r="91">
          <cell r="AD91">
            <v>0</v>
          </cell>
        </row>
        <row r="97">
          <cell r="AD97">
            <v>299305</v>
          </cell>
        </row>
        <row r="100">
          <cell r="AN100">
            <v>10</v>
          </cell>
          <cell r="AO100">
            <v>12</v>
          </cell>
        </row>
      </sheetData>
      <sheetData sheetId="8"/>
      <sheetData sheetId="9">
        <row r="3">
          <cell r="E3">
            <v>15941</v>
          </cell>
        </row>
        <row r="9">
          <cell r="E9">
            <v>17500</v>
          </cell>
        </row>
        <row r="24">
          <cell r="C24">
            <v>41303</v>
          </cell>
        </row>
        <row r="25">
          <cell r="C25">
            <v>6836</v>
          </cell>
        </row>
        <row r="26">
          <cell r="C26">
            <v>35630</v>
          </cell>
        </row>
        <row r="28">
          <cell r="C28">
            <v>31588</v>
          </cell>
        </row>
        <row r="34">
          <cell r="C34">
            <v>8218</v>
          </cell>
        </row>
        <row r="35">
          <cell r="C35">
            <v>1755</v>
          </cell>
        </row>
        <row r="36">
          <cell r="C36">
            <v>18230</v>
          </cell>
        </row>
        <row r="37">
          <cell r="C37">
            <v>2253</v>
          </cell>
        </row>
        <row r="38">
          <cell r="C38">
            <v>0</v>
          </cell>
        </row>
        <row r="39">
          <cell r="C39">
            <v>0</v>
          </cell>
        </row>
        <row r="48">
          <cell r="C48">
            <v>7754</v>
          </cell>
        </row>
        <row r="49">
          <cell r="C49">
            <v>5286</v>
          </cell>
        </row>
        <row r="50">
          <cell r="C50">
            <v>8639</v>
          </cell>
        </row>
        <row r="51">
          <cell r="C51">
            <v>12973</v>
          </cell>
        </row>
        <row r="57">
          <cell r="C57">
            <v>299310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TAS ORIENTE"/>
      <sheetName val="VENTAS CAPITAL"/>
      <sheetName val="VENTAS CENTRO"/>
      <sheetName val="VENTAS LARA"/>
      <sheetName val="PROYECCION DE VENTAS "/>
      <sheetName val="VENTAS NACIONAL"/>
      <sheetName val="Graficas Vta."/>
      <sheetName val="Hoja7"/>
    </sheetNames>
    <sheetDataSet>
      <sheetData sheetId="0"/>
      <sheetData sheetId="1"/>
      <sheetData sheetId="2"/>
      <sheetData sheetId="3"/>
      <sheetData sheetId="4"/>
      <sheetData sheetId="5">
        <row r="13">
          <cell r="AA13">
            <v>315426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ECB9-165F-4FFC-85BD-889EA4FF92E0}">
  <dimension ref="D11:I12"/>
  <sheetViews>
    <sheetView showGridLines="0" workbookViewId="0">
      <selection activeCell="O17" sqref="O17"/>
    </sheetView>
  </sheetViews>
  <sheetFormatPr baseColWidth="10" defaultRowHeight="14.4" x14ac:dyDescent="0.3"/>
  <sheetData>
    <row r="11" spans="4:9" x14ac:dyDescent="0.3">
      <c r="D11" s="13"/>
      <c r="E11" s="15">
        <v>46082</v>
      </c>
      <c r="F11" s="15">
        <v>46113</v>
      </c>
      <c r="G11" s="15">
        <v>46143</v>
      </c>
      <c r="H11" s="15">
        <v>46174</v>
      </c>
      <c r="I11" s="15">
        <v>46204</v>
      </c>
    </row>
    <row r="12" spans="4:9" x14ac:dyDescent="0.3">
      <c r="E12" s="16">
        <f>'Total Unidades Mensuales'!J12</f>
        <v>413087</v>
      </c>
      <c r="F12" s="16">
        <f>'Total Unidades Mensuales'!K12</f>
        <v>535420</v>
      </c>
      <c r="G12" s="16">
        <f>'Total Unidades Mensuales'!L12</f>
        <v>564513</v>
      </c>
      <c r="H12" s="16">
        <f>'Total Unidades Mensuales'!M12</f>
        <v>609205</v>
      </c>
      <c r="I12" s="16">
        <f>'[6]Produccion MTD SHARE'!$C$57</f>
        <v>299310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A117-4F98-470F-923B-A8EA877BF13D}">
  <dimension ref="D12:H17"/>
  <sheetViews>
    <sheetView showGridLines="0" workbookViewId="0">
      <selection activeCell="E17" sqref="E17"/>
    </sheetView>
  </sheetViews>
  <sheetFormatPr baseColWidth="10" defaultRowHeight="14.4" x14ac:dyDescent="0.3"/>
  <cols>
    <col min="6" max="6" width="13.44140625" customWidth="1"/>
  </cols>
  <sheetData>
    <row r="12" spans="4:8" ht="28.8" x14ac:dyDescent="0.3">
      <c r="F12" s="17" t="s">
        <v>29</v>
      </c>
      <c r="G12" s="17" t="s">
        <v>30</v>
      </c>
      <c r="H12" s="17" t="s">
        <v>31</v>
      </c>
    </row>
    <row r="13" spans="4:8" x14ac:dyDescent="0.3">
      <c r="D13" s="22">
        <v>46082</v>
      </c>
      <c r="E13" s="18">
        <v>550000</v>
      </c>
      <c r="F13" s="18">
        <f>'[2]Comparativo Sales LT vs MTD Pro'!$Q$66+'[2]Comparativo Sales LT vs MTD Pro'!$R$66</f>
        <v>640817</v>
      </c>
      <c r="G13" s="20">
        <f>(F13-E13)/E13</f>
        <v>0.16512181818181818</v>
      </c>
      <c r="H13" s="21"/>
    </row>
    <row r="14" spans="4:8" x14ac:dyDescent="0.3">
      <c r="D14" s="22">
        <v>46113</v>
      </c>
      <c r="E14" s="18">
        <v>550000</v>
      </c>
      <c r="F14" s="18">
        <f>'[3]Comparativo Sales LT vs MTD Pro'!$Q$66+'[3]Comparativo Sales LT vs MTD Pro'!$R$66</f>
        <v>692614</v>
      </c>
      <c r="G14" s="20">
        <f t="shared" ref="G14:G15" si="0">(F14-E14)/E14</f>
        <v>0.25929818181818182</v>
      </c>
      <c r="H14" s="20">
        <f>(F14-F13)/F13</f>
        <v>8.0829628427460568E-2</v>
      </c>
    </row>
    <row r="15" spans="4:8" x14ac:dyDescent="0.3">
      <c r="D15" s="22">
        <v>46143</v>
      </c>
      <c r="E15" s="18">
        <v>660000</v>
      </c>
      <c r="F15" s="18">
        <f>'[4]Balance Vs Ventas'!$E$57</f>
        <v>775689</v>
      </c>
      <c r="G15" s="20">
        <f t="shared" si="0"/>
        <v>0.17528636363636363</v>
      </c>
      <c r="H15" s="20">
        <f>(F15-F14)/F14</f>
        <v>0.11994415359781928</v>
      </c>
    </row>
    <row r="16" spans="4:8" x14ac:dyDescent="0.3">
      <c r="D16" s="22">
        <v>46174</v>
      </c>
      <c r="E16" s="18">
        <v>660000</v>
      </c>
      <c r="F16" s="18">
        <f>'[5]Balance Vs Ventas'!$E$57</f>
        <v>905388</v>
      </c>
      <c r="G16" s="20">
        <f>(F16-E16)/E16</f>
        <v>0.37180000000000002</v>
      </c>
      <c r="H16" s="20">
        <f>(F16-F15)/F15</f>
        <v>0.16720489783921133</v>
      </c>
    </row>
    <row r="17" spans="4:8" x14ac:dyDescent="0.3">
      <c r="D17" s="22">
        <v>46204</v>
      </c>
      <c r="E17" s="18">
        <f>'[6]Balance Vs Ventas'!$F$57</f>
        <v>692998</v>
      </c>
      <c r="F17" s="18">
        <f>'[6]Balance Vs Ventas'!$E$57</f>
        <v>584536</v>
      </c>
      <c r="G17" s="20">
        <f>(F17-E17)/E17</f>
        <v>-0.15651127420281155</v>
      </c>
      <c r="H17" s="20">
        <f>(F17-F16)/F16</f>
        <v>-0.35438066331782619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E80C-69B3-4252-A993-3A52BD946017}">
  <dimension ref="F5:N24"/>
  <sheetViews>
    <sheetView showGridLines="0" workbookViewId="0">
      <selection activeCell="L17" sqref="L17"/>
    </sheetView>
  </sheetViews>
  <sheetFormatPr baseColWidth="10" defaultRowHeight="14.4" x14ac:dyDescent="0.3"/>
  <sheetData>
    <row r="5" spans="6:14" x14ac:dyDescent="0.3">
      <c r="F5" s="3"/>
      <c r="G5" s="33" t="s">
        <v>1</v>
      </c>
      <c r="H5" s="34"/>
      <c r="I5" s="35">
        <f>'Total Cremigurt Unidades'!P2</f>
        <v>0.58374963588230688</v>
      </c>
      <c r="J5" s="36"/>
      <c r="K5" s="36"/>
      <c r="L5" s="2">
        <f>AVERAGE(F12:H12)</f>
        <v>337995</v>
      </c>
      <c r="M5" s="3"/>
      <c r="N5" s="3"/>
    </row>
    <row r="6" spans="6:14" x14ac:dyDescent="0.3">
      <c r="F6" s="3"/>
      <c r="G6" s="33" t="s">
        <v>2</v>
      </c>
      <c r="H6" s="34"/>
      <c r="I6" s="35">
        <f>'Total Cremigurt Unidades'!P3</f>
        <v>0.29412332164184191</v>
      </c>
      <c r="J6" s="35"/>
      <c r="K6" s="35"/>
      <c r="L6" s="2">
        <f>AVERAGE(I12:K12)</f>
        <v>489815</v>
      </c>
      <c r="M6" s="6">
        <f>(L6-L5)/L5</f>
        <v>0.44917824228169057</v>
      </c>
      <c r="N6" s="3"/>
    </row>
    <row r="7" spans="6:14" x14ac:dyDescent="0.3">
      <c r="F7" s="3"/>
      <c r="G7" s="33" t="s">
        <v>3</v>
      </c>
      <c r="H7" s="34"/>
      <c r="I7" s="35">
        <f>'Total Cremigurt Unidades'!P4</f>
        <v>5.5484098287192085E-2</v>
      </c>
      <c r="J7" s="35"/>
      <c r="K7" s="35"/>
      <c r="L7" s="2">
        <f>AVERAGE(L12:N12)</f>
        <v>491007.66666666669</v>
      </c>
      <c r="M7" s="6">
        <f>(L7-L6)/L6</f>
        <v>2.4349329168495983E-3</v>
      </c>
      <c r="N7" s="3"/>
    </row>
    <row r="8" spans="6:14" x14ac:dyDescent="0.3">
      <c r="F8" s="3"/>
      <c r="G8" s="33" t="s">
        <v>4</v>
      </c>
      <c r="H8" s="34"/>
      <c r="I8" s="35">
        <f>(I10-F10)/F10</f>
        <v>0.44917824228169057</v>
      </c>
      <c r="J8" s="35"/>
      <c r="K8" s="35"/>
      <c r="L8" s="3"/>
      <c r="M8" s="3"/>
      <c r="N8" s="3"/>
    </row>
    <row r="9" spans="6:14" ht="15" thickBot="1" x14ac:dyDescent="0.35">
      <c r="F9" s="3"/>
      <c r="G9" s="33" t="s">
        <v>5</v>
      </c>
      <c r="H9" s="34"/>
      <c r="I9" s="35">
        <f>(L10-I10)/I10</f>
        <v>2.4349329168495588E-3</v>
      </c>
      <c r="J9" s="35"/>
      <c r="K9" s="35"/>
      <c r="L9" s="3"/>
      <c r="M9" s="3"/>
      <c r="N9" s="3"/>
    </row>
    <row r="10" spans="6:14" ht="15" thickBot="1" x14ac:dyDescent="0.35">
      <c r="F10" s="24">
        <f>SUM(F12:H12)</f>
        <v>1013985</v>
      </c>
      <c r="G10" s="25"/>
      <c r="H10" s="26"/>
      <c r="I10" s="24">
        <f>SUM(I12:K12)</f>
        <v>1469445</v>
      </c>
      <c r="J10" s="25"/>
      <c r="K10" s="26"/>
      <c r="L10" s="24">
        <f>SUM(L12:N12)</f>
        <v>1473023</v>
      </c>
      <c r="M10" s="25"/>
      <c r="N10" s="26"/>
    </row>
    <row r="11" spans="6:14" x14ac:dyDescent="0.3">
      <c r="F11" s="4">
        <v>45962</v>
      </c>
      <c r="G11" s="4">
        <v>45992</v>
      </c>
      <c r="H11" s="4">
        <v>46023</v>
      </c>
      <c r="I11" s="4">
        <v>46054</v>
      </c>
      <c r="J11" s="4">
        <v>46082</v>
      </c>
      <c r="K11" s="4">
        <v>46113</v>
      </c>
      <c r="L11" s="4">
        <v>46143</v>
      </c>
      <c r="M11" s="4">
        <v>46174</v>
      </c>
      <c r="N11" s="4">
        <v>46204</v>
      </c>
    </row>
    <row r="12" spans="6:14" x14ac:dyDescent="0.3">
      <c r="F12" s="9">
        <v>383986</v>
      </c>
      <c r="G12" s="9">
        <v>314573</v>
      </c>
      <c r="H12" s="9">
        <f>'[7]VENTAS NACIONAL'!$AA$13</f>
        <v>315426</v>
      </c>
      <c r="I12" s="5">
        <f>'[1]Produccion MTD SHARE'!$C$50</f>
        <v>520938</v>
      </c>
      <c r="J12" s="5">
        <f>'[2]Produccion MTD SHARE'!$C$57</f>
        <v>413087</v>
      </c>
      <c r="K12" s="5">
        <f>'[3]Produccion MTD SHARE'!$C$57</f>
        <v>535420</v>
      </c>
      <c r="L12" s="5">
        <f>'[4]Balance Vs Ventas'!$C$57</f>
        <v>564513</v>
      </c>
      <c r="M12" s="9">
        <f>'[5]PRODUCCION DIARIA JUNIO 2026'!$AD$97</f>
        <v>609205</v>
      </c>
      <c r="N12" s="9">
        <f>'[6]PRODUCCION DIARIA JULIO 2026'!$AD$97</f>
        <v>299305</v>
      </c>
    </row>
    <row r="13" spans="6:14" x14ac:dyDescent="0.3">
      <c r="F13" s="8" t="e">
        <f t="shared" ref="F13:J13" si="0">(F12-E12)/E12</f>
        <v>#DIV/0!</v>
      </c>
      <c r="G13" s="8">
        <f t="shared" si="0"/>
        <v>-0.180769611392082</v>
      </c>
      <c r="H13" s="8">
        <f t="shared" si="0"/>
        <v>2.7116122489851324E-3</v>
      </c>
      <c r="I13" s="8">
        <f t="shared" si="0"/>
        <v>0.65153792014608813</v>
      </c>
      <c r="J13" s="8">
        <f t="shared" si="0"/>
        <v>-0.2070323147860206</v>
      </c>
      <c r="K13" s="8">
        <f>(K12-J12)/J12</f>
        <v>0.29614342741359567</v>
      </c>
      <c r="L13" s="8">
        <f>(L12-K12)/K12</f>
        <v>5.4336782339098277E-2</v>
      </c>
      <c r="M13" s="8">
        <f>(M12-L12)/L12</f>
        <v>7.9169124537433147E-2</v>
      </c>
      <c r="N13" s="8">
        <f>(N12-M12)/M12</f>
        <v>-0.50869575922718957</v>
      </c>
    </row>
    <row r="14" spans="6:14" x14ac:dyDescent="0.3">
      <c r="F14" s="3"/>
      <c r="G14" s="3"/>
      <c r="H14" s="3"/>
      <c r="I14" s="3"/>
      <c r="J14" s="3"/>
      <c r="K14" s="3"/>
      <c r="L14" s="3"/>
      <c r="M14" s="3"/>
      <c r="N14" s="3"/>
    </row>
    <row r="15" spans="6:14" x14ac:dyDescent="0.3">
      <c r="F15" s="3"/>
      <c r="G15" s="3"/>
      <c r="H15" s="3"/>
      <c r="I15" s="3"/>
      <c r="J15" s="3"/>
      <c r="K15" s="3"/>
      <c r="L15" s="3"/>
      <c r="M15" s="3"/>
      <c r="N15" s="3"/>
    </row>
    <row r="16" spans="6:14" x14ac:dyDescent="0.3">
      <c r="F16" s="3"/>
      <c r="G16" s="3"/>
      <c r="H16" s="3"/>
      <c r="I16" s="3"/>
      <c r="J16" s="3"/>
      <c r="K16" s="3"/>
      <c r="L16" s="3"/>
      <c r="M16" s="3"/>
      <c r="N16" s="3"/>
    </row>
    <row r="17" spans="6:14" x14ac:dyDescent="0.3">
      <c r="F17" s="3"/>
      <c r="G17" s="3"/>
      <c r="H17" s="3"/>
      <c r="I17" s="3"/>
      <c r="J17" s="3"/>
      <c r="K17" s="3"/>
      <c r="L17" s="3"/>
      <c r="M17" s="3"/>
      <c r="N17" s="3"/>
    </row>
    <row r="18" spans="6:14" x14ac:dyDescent="0.3">
      <c r="F18" s="3"/>
      <c r="G18" s="3"/>
      <c r="H18" s="3"/>
      <c r="I18" s="3"/>
      <c r="J18" s="3"/>
      <c r="K18" s="3"/>
      <c r="L18" s="3"/>
      <c r="M18" s="3"/>
      <c r="N18" s="3"/>
    </row>
    <row r="19" spans="6:14" x14ac:dyDescent="0.3">
      <c r="F19" s="3"/>
      <c r="G19" s="3"/>
      <c r="H19" s="3"/>
      <c r="I19" s="3"/>
      <c r="J19" s="3"/>
      <c r="K19" s="3"/>
      <c r="L19" s="3"/>
      <c r="M19" s="3"/>
      <c r="N19" s="3"/>
    </row>
    <row r="20" spans="6:14" ht="15" thickBot="1" x14ac:dyDescent="0.35">
      <c r="F20" s="3"/>
      <c r="G20" s="3"/>
      <c r="H20" s="3"/>
      <c r="I20" s="3"/>
      <c r="J20" s="3"/>
      <c r="K20" s="3"/>
      <c r="L20" s="3"/>
      <c r="M20" s="3"/>
      <c r="N20" s="3"/>
    </row>
    <row r="21" spans="6:14" ht="15" thickBot="1" x14ac:dyDescent="0.35">
      <c r="F21" s="24" t="s">
        <v>27</v>
      </c>
      <c r="G21" s="25"/>
      <c r="H21" s="26"/>
      <c r="I21" s="24" t="s">
        <v>23</v>
      </c>
      <c r="J21" s="25"/>
      <c r="K21" s="26"/>
      <c r="L21" s="24" t="s">
        <v>24</v>
      </c>
      <c r="M21" s="25"/>
      <c r="N21" s="26"/>
    </row>
    <row r="22" spans="6:14" ht="15" thickBot="1" x14ac:dyDescent="0.35">
      <c r="F22" s="24" t="s">
        <v>25</v>
      </c>
      <c r="G22" s="25"/>
      <c r="H22" s="26"/>
      <c r="I22" s="24" t="s">
        <v>25</v>
      </c>
      <c r="J22" s="25"/>
      <c r="K22" s="26"/>
      <c r="L22" s="24" t="s">
        <v>25</v>
      </c>
      <c r="M22" s="25"/>
      <c r="N22" s="26"/>
    </row>
    <row r="23" spans="6:14" ht="15" thickBot="1" x14ac:dyDescent="0.35">
      <c r="F23" s="24">
        <f>L5</f>
        <v>337995</v>
      </c>
      <c r="G23" s="25"/>
      <c r="H23" s="26"/>
      <c r="I23" s="24">
        <f>L6</f>
        <v>489815</v>
      </c>
      <c r="J23" s="25"/>
      <c r="K23" s="26"/>
      <c r="L23" s="24">
        <f>L7</f>
        <v>491007.66666666669</v>
      </c>
      <c r="M23" s="25"/>
      <c r="N23" s="26"/>
    </row>
    <row r="24" spans="6:14" ht="21.6" thickBot="1" x14ac:dyDescent="0.35">
      <c r="F24" s="27" t="s">
        <v>26</v>
      </c>
      <c r="G24" s="28"/>
      <c r="H24" s="29"/>
      <c r="I24" s="30">
        <f>(I23-F23)/F23</f>
        <v>0.44917824228169057</v>
      </c>
      <c r="J24" s="31"/>
      <c r="K24" s="32"/>
      <c r="L24" s="30">
        <f>(L23-I23)/I23</f>
        <v>2.4349329168495983E-3</v>
      </c>
      <c r="M24" s="31"/>
      <c r="N24" s="32"/>
    </row>
  </sheetData>
  <mergeCells count="25">
    <mergeCell ref="G5:H5"/>
    <mergeCell ref="I5:K5"/>
    <mergeCell ref="G6:H6"/>
    <mergeCell ref="I6:K6"/>
    <mergeCell ref="G7:H7"/>
    <mergeCell ref="I7:K7"/>
    <mergeCell ref="G8:H8"/>
    <mergeCell ref="I8:K8"/>
    <mergeCell ref="G9:H9"/>
    <mergeCell ref="I9:K9"/>
    <mergeCell ref="F10:H10"/>
    <mergeCell ref="I10:K10"/>
    <mergeCell ref="L10:N10"/>
    <mergeCell ref="F21:H21"/>
    <mergeCell ref="I21:K21"/>
    <mergeCell ref="L21:N21"/>
    <mergeCell ref="F22:H22"/>
    <mergeCell ref="I22:K22"/>
    <mergeCell ref="L22:N22"/>
    <mergeCell ref="F23:H23"/>
    <mergeCell ref="I23:K23"/>
    <mergeCell ref="L23:N23"/>
    <mergeCell ref="F24:H24"/>
    <mergeCell ref="I24:K24"/>
    <mergeCell ref="L24:N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9B36-D54D-46F6-B944-9B1167132EC2}">
  <dimension ref="B2:U26"/>
  <sheetViews>
    <sheetView showGridLines="0" workbookViewId="0">
      <pane xSplit="2" ySplit="8" topLeftCell="I9" activePane="bottomRight" state="frozen"/>
      <selection pane="topRight" activeCell="C1" sqref="C1"/>
      <selection pane="bottomLeft" activeCell="A9" sqref="A9"/>
      <selection pane="bottomRight" activeCell="S9" sqref="S9:U9"/>
    </sheetView>
  </sheetViews>
  <sheetFormatPr baseColWidth="10" defaultRowHeight="13.8" x14ac:dyDescent="0.25"/>
  <cols>
    <col min="1" max="1" width="11.5546875" style="3"/>
    <col min="2" max="2" width="21.44140625" style="3" customWidth="1"/>
    <col min="3" max="16384" width="11.5546875" style="3"/>
  </cols>
  <sheetData>
    <row r="2" spans="2:21" ht="14.4" x14ac:dyDescent="0.25">
      <c r="N2" s="33" t="s">
        <v>1</v>
      </c>
      <c r="O2" s="34"/>
      <c r="P2" s="35">
        <f>(P7-D7)/D7</f>
        <v>0.58374963588230688</v>
      </c>
      <c r="Q2" s="36"/>
      <c r="R2" s="36"/>
      <c r="S2" s="2">
        <f>AVERAGE(M9:O9)</f>
        <v>337995</v>
      </c>
    </row>
    <row r="3" spans="2:21" ht="14.4" x14ac:dyDescent="0.25">
      <c r="N3" s="33" t="s">
        <v>2</v>
      </c>
      <c r="O3" s="34"/>
      <c r="P3" s="35">
        <f>(P7-G7)/G7</f>
        <v>0.29412332164184191</v>
      </c>
      <c r="Q3" s="35"/>
      <c r="R3" s="35"/>
      <c r="S3" s="2">
        <f>AVERAGE(P9:R9)</f>
        <v>411395.33333333331</v>
      </c>
      <c r="T3" s="6">
        <f>(S3-S2)/S2</f>
        <v>0.21716396199154814</v>
      </c>
    </row>
    <row r="4" spans="2:21" ht="14.4" x14ac:dyDescent="0.25">
      <c r="N4" s="33" t="s">
        <v>3</v>
      </c>
      <c r="O4" s="34"/>
      <c r="P4" s="35">
        <f>(P7-J7)/J7</f>
        <v>5.5484098287192085E-2</v>
      </c>
      <c r="Q4" s="35"/>
      <c r="R4" s="35"/>
      <c r="S4" s="2">
        <f>AVERAGE(S9:U9)</f>
        <v>410420.33333333331</v>
      </c>
      <c r="T4" s="6">
        <f>(S4-S3)/S3</f>
        <v>-2.3699831305816141E-3</v>
      </c>
    </row>
    <row r="5" spans="2:21" ht="14.4" x14ac:dyDescent="0.25">
      <c r="N5" s="33" t="s">
        <v>4</v>
      </c>
      <c r="O5" s="34"/>
      <c r="P5" s="35">
        <f>(P7-M7)/M7</f>
        <v>0.21716396199154819</v>
      </c>
      <c r="Q5" s="35"/>
      <c r="R5" s="35"/>
    </row>
    <row r="6" spans="2:21" ht="15" thickBot="1" x14ac:dyDescent="0.3">
      <c r="N6" s="33" t="s">
        <v>5</v>
      </c>
      <c r="O6" s="34"/>
      <c r="P6" s="35">
        <f>(S7-P7)/P7</f>
        <v>-2.3699831305816141E-3</v>
      </c>
      <c r="Q6" s="35"/>
      <c r="R6" s="35"/>
    </row>
    <row r="7" spans="2:21" ht="15" thickBot="1" x14ac:dyDescent="0.3">
      <c r="D7" s="24">
        <f>SUM(D9:F9)</f>
        <v>779281</v>
      </c>
      <c r="E7" s="25"/>
      <c r="F7" s="26"/>
      <c r="G7" s="24">
        <f>SUM(G9:I9)</f>
        <v>953685</v>
      </c>
      <c r="H7" s="25"/>
      <c r="I7" s="26"/>
      <c r="J7" s="24">
        <f>SUM(J9:L9)</f>
        <v>1169308</v>
      </c>
      <c r="K7" s="25"/>
      <c r="L7" s="26"/>
      <c r="M7" s="24">
        <f>SUM(M9:O9)</f>
        <v>1013985</v>
      </c>
      <c r="N7" s="25"/>
      <c r="O7" s="26"/>
      <c r="P7" s="24">
        <f>SUM(P9:R9)</f>
        <v>1234186</v>
      </c>
      <c r="Q7" s="25"/>
      <c r="R7" s="26"/>
      <c r="S7" s="24">
        <f>SUM(S9:U9)</f>
        <v>1231261</v>
      </c>
      <c r="T7" s="25"/>
      <c r="U7" s="26"/>
    </row>
    <row r="8" spans="2:21" x14ac:dyDescent="0.25">
      <c r="C8" s="4">
        <v>45658</v>
      </c>
      <c r="D8" s="4">
        <v>45689</v>
      </c>
      <c r="E8" s="4">
        <v>45717</v>
      </c>
      <c r="F8" s="4">
        <v>45748</v>
      </c>
      <c r="G8" s="4">
        <v>45778</v>
      </c>
      <c r="H8" s="4">
        <v>45809</v>
      </c>
      <c r="I8" s="4">
        <v>45839</v>
      </c>
      <c r="J8" s="4">
        <v>45870</v>
      </c>
      <c r="K8" s="4">
        <v>45901</v>
      </c>
      <c r="L8" s="4">
        <v>45931</v>
      </c>
      <c r="M8" s="4">
        <v>45962</v>
      </c>
      <c r="N8" s="4">
        <v>45992</v>
      </c>
      <c r="O8" s="4">
        <v>46023</v>
      </c>
      <c r="P8" s="4">
        <v>46054</v>
      </c>
      <c r="Q8" s="4">
        <v>46082</v>
      </c>
      <c r="R8" s="4">
        <v>46113</v>
      </c>
      <c r="S8" s="4">
        <v>46143</v>
      </c>
      <c r="T8" s="4">
        <v>46174</v>
      </c>
      <c r="U8" s="4">
        <v>46204</v>
      </c>
    </row>
    <row r="9" spans="2:21" x14ac:dyDescent="0.25">
      <c r="B9" s="1" t="s">
        <v>0</v>
      </c>
      <c r="C9" s="9">
        <v>207911</v>
      </c>
      <c r="D9" s="9">
        <v>234571</v>
      </c>
      <c r="E9" s="9">
        <v>247502</v>
      </c>
      <c r="F9" s="9">
        <v>297208</v>
      </c>
      <c r="G9" s="9">
        <v>298129</v>
      </c>
      <c r="H9" s="9">
        <v>307974</v>
      </c>
      <c r="I9" s="9">
        <v>347582</v>
      </c>
      <c r="J9" s="9">
        <v>348437</v>
      </c>
      <c r="K9" s="9">
        <v>396245</v>
      </c>
      <c r="L9" s="9">
        <v>424626</v>
      </c>
      <c r="M9" s="9">
        <v>383986</v>
      </c>
      <c r="N9" s="9">
        <v>314573</v>
      </c>
      <c r="O9" s="9">
        <f>'[7]VENTAS NACIONAL'!$AA$13</f>
        <v>315426</v>
      </c>
      <c r="P9" s="5">
        <f>[1]Dashboard!$C$4</f>
        <v>466290</v>
      </c>
      <c r="Q9" s="5">
        <f>'[2]Comparativo Sales LT vs MTD Pro'!$T$15</f>
        <v>321987</v>
      </c>
      <c r="R9" s="5">
        <f>'[3]RESUMEN APRIL 26'!$E$14</f>
        <v>445909</v>
      </c>
      <c r="S9" s="5">
        <f>[4]DASHBOARD!$C$4</f>
        <v>449661</v>
      </c>
      <c r="T9" s="9">
        <f>'[5]PRODUCCION DIARIA JUNIO 2026'!$AD$88+'[5]PRODUCCION DIARIA JUNIO 2026'!$AD$89+'[5]PRODUCCION DIARIA JUNIO 2026'!$AD$90</f>
        <v>518112</v>
      </c>
      <c r="U9" s="9">
        <f>'[6]PRODUCCION DIARIA JULIO 2026'!$AD$91+'[6]PRODUCCION DIARIA JULIO 2026'!$AD$90+'[6]PRODUCCION DIARIA JULIO 2026'!$AD$89+'[6]PRODUCCION DIARIA JULIO 2026'!$AD$88</f>
        <v>263488</v>
      </c>
    </row>
    <row r="10" spans="2:21" s="7" customFormat="1" x14ac:dyDescent="0.3">
      <c r="D10" s="8">
        <f>(D9-C9)/C9</f>
        <v>0.1282279436874432</v>
      </c>
      <c r="E10" s="8">
        <f t="shared" ref="E10:Q10" si="0">(E9-D9)/D9</f>
        <v>5.5126166491168985E-2</v>
      </c>
      <c r="F10" s="8">
        <f t="shared" si="0"/>
        <v>0.2008307003579769</v>
      </c>
      <c r="G10" s="8">
        <f t="shared" si="0"/>
        <v>3.098839869720869E-3</v>
      </c>
      <c r="H10" s="8">
        <f t="shared" si="0"/>
        <v>3.302261772588376E-2</v>
      </c>
      <c r="I10" s="8">
        <f t="shared" si="0"/>
        <v>0.12860825913875848</v>
      </c>
      <c r="J10" s="8">
        <f t="shared" si="0"/>
        <v>2.4598512005800069E-3</v>
      </c>
      <c r="K10" s="8">
        <f t="shared" si="0"/>
        <v>0.13720701303248506</v>
      </c>
      <c r="L10" s="8">
        <f t="shared" si="0"/>
        <v>7.162487854736338E-2</v>
      </c>
      <c r="M10" s="8">
        <f t="shared" si="0"/>
        <v>-9.5707752233730389E-2</v>
      </c>
      <c r="N10" s="8">
        <f t="shared" si="0"/>
        <v>-0.180769611392082</v>
      </c>
      <c r="O10" s="8">
        <f t="shared" si="0"/>
        <v>2.7116122489851324E-3</v>
      </c>
      <c r="P10" s="8">
        <f t="shared" si="0"/>
        <v>0.47828650777044379</v>
      </c>
      <c r="Q10" s="8">
        <f t="shared" si="0"/>
        <v>-0.30947050119024644</v>
      </c>
      <c r="R10" s="8">
        <f>(R9-Q9)/Q9</f>
        <v>0.38486646976430727</v>
      </c>
      <c r="S10" s="8">
        <f>(S9-R9)/R9</f>
        <v>8.4142728673339186E-3</v>
      </c>
      <c r="T10" s="8">
        <f>(T9-S9)/S9</f>
        <v>0.15222801176886588</v>
      </c>
      <c r="U10" s="8">
        <f>(U9-T9)/T9</f>
        <v>-0.49144586498672099</v>
      </c>
    </row>
    <row r="17" spans="13:21" ht="14.4" thickBot="1" x14ac:dyDescent="0.3"/>
    <row r="18" spans="13:21" ht="15" thickBot="1" x14ac:dyDescent="0.3">
      <c r="M18" s="24" t="s">
        <v>27</v>
      </c>
      <c r="N18" s="25"/>
      <c r="O18" s="26"/>
      <c r="P18" s="24" t="s">
        <v>23</v>
      </c>
      <c r="Q18" s="25"/>
      <c r="R18" s="26"/>
      <c r="S18" s="24" t="s">
        <v>24</v>
      </c>
      <c r="T18" s="25"/>
      <c r="U18" s="26"/>
    </row>
    <row r="19" spans="13:21" ht="15" thickBot="1" x14ac:dyDescent="0.3">
      <c r="M19" s="24" t="s">
        <v>25</v>
      </c>
      <c r="N19" s="25"/>
      <c r="O19" s="26"/>
      <c r="P19" s="24" t="s">
        <v>25</v>
      </c>
      <c r="Q19" s="25"/>
      <c r="R19" s="26"/>
      <c r="S19" s="24" t="s">
        <v>25</v>
      </c>
      <c r="T19" s="25"/>
      <c r="U19" s="26"/>
    </row>
    <row r="20" spans="13:21" ht="15" thickBot="1" x14ac:dyDescent="0.3">
      <c r="M20" s="24">
        <f>S2</f>
        <v>337995</v>
      </c>
      <c r="N20" s="25"/>
      <c r="O20" s="26"/>
      <c r="P20" s="24">
        <f>S3</f>
        <v>411395.33333333331</v>
      </c>
      <c r="Q20" s="25"/>
      <c r="R20" s="26"/>
      <c r="S20" s="24">
        <f>S4</f>
        <v>410420.33333333331</v>
      </c>
      <c r="T20" s="25"/>
      <c r="U20" s="26"/>
    </row>
    <row r="21" spans="13:21" ht="21.6" thickBot="1" x14ac:dyDescent="0.3">
      <c r="M21" s="27" t="s">
        <v>26</v>
      </c>
      <c r="N21" s="28"/>
      <c r="O21" s="29"/>
      <c r="P21" s="30">
        <f>(P20-M20)/M20</f>
        <v>0.21716396199154814</v>
      </c>
      <c r="Q21" s="31"/>
      <c r="R21" s="32"/>
      <c r="S21" s="30">
        <f>(S20-P20)/P20</f>
        <v>-2.3699831305816141E-3</v>
      </c>
      <c r="T21" s="31"/>
      <c r="U21" s="32"/>
    </row>
    <row r="26" spans="13:21" x14ac:dyDescent="0.25">
      <c r="Q26" s="3">
        <f>190+343+1088*12</f>
        <v>13589</v>
      </c>
    </row>
  </sheetData>
  <mergeCells count="28">
    <mergeCell ref="N2:O2"/>
    <mergeCell ref="P7:R7"/>
    <mergeCell ref="P2:R2"/>
    <mergeCell ref="P3:R3"/>
    <mergeCell ref="P4:R4"/>
    <mergeCell ref="P5:R5"/>
    <mergeCell ref="N3:O3"/>
    <mergeCell ref="N4:O4"/>
    <mergeCell ref="N5:O5"/>
    <mergeCell ref="N6:O6"/>
    <mergeCell ref="P6:R6"/>
    <mergeCell ref="D7:F7"/>
    <mergeCell ref="G7:I7"/>
    <mergeCell ref="J7:L7"/>
    <mergeCell ref="M7:O7"/>
    <mergeCell ref="S7:U7"/>
    <mergeCell ref="M18:O18"/>
    <mergeCell ref="M19:O19"/>
    <mergeCell ref="P18:R18"/>
    <mergeCell ref="S18:U18"/>
    <mergeCell ref="P19:R19"/>
    <mergeCell ref="S19:U19"/>
    <mergeCell ref="M20:O20"/>
    <mergeCell ref="P20:R20"/>
    <mergeCell ref="S20:U20"/>
    <mergeCell ref="M21:O21"/>
    <mergeCell ref="P21:R21"/>
    <mergeCell ref="S21:U2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7104-4439-4A35-982F-F65107DFB74B}">
  <dimension ref="D7:J9"/>
  <sheetViews>
    <sheetView showGridLines="0" workbookViewId="0">
      <selection activeCell="N14" sqref="N14"/>
    </sheetView>
  </sheetViews>
  <sheetFormatPr baseColWidth="10" defaultRowHeight="13.8" x14ac:dyDescent="0.25"/>
  <cols>
    <col min="1" max="16384" width="11.5546875" style="3"/>
  </cols>
  <sheetData>
    <row r="7" spans="4:10" x14ac:dyDescent="0.25">
      <c r="I7" s="6">
        <f>(I9-H9)/H9</f>
        <v>0.20193635458842044</v>
      </c>
      <c r="J7" s="6">
        <f>(J9-I9)/I9</f>
        <v>-0.51099020202896039</v>
      </c>
    </row>
    <row r="8" spans="4:10" x14ac:dyDescent="0.25">
      <c r="E8" s="4">
        <v>46054</v>
      </c>
      <c r="F8" s="4">
        <v>46082</v>
      </c>
      <c r="G8" s="4">
        <v>46113</v>
      </c>
      <c r="H8" s="4">
        <v>46143</v>
      </c>
      <c r="I8" s="4">
        <v>46174</v>
      </c>
      <c r="J8" s="4">
        <v>46204</v>
      </c>
    </row>
    <row r="9" spans="4:10" x14ac:dyDescent="0.25">
      <c r="D9" s="7" t="s">
        <v>28</v>
      </c>
      <c r="E9" s="9">
        <f>'[1]PRODUCCION DIARIA FEBRERO 2026'!$AD$79</f>
        <v>386904</v>
      </c>
      <c r="F9" s="9">
        <f>'[2]PRODUCCION DIARIA MARZO 2026'!$AD$88</f>
        <v>265359</v>
      </c>
      <c r="G9" s="9">
        <f>'[3]PRODUCCION DIARIA ABRIL 2026'!$AD$88</f>
        <v>386551</v>
      </c>
      <c r="H9" s="9">
        <f>'[4]PRODUCCION DIARIA MAYO 2026'!$AD$88</f>
        <v>383814</v>
      </c>
      <c r="I9" s="9">
        <f>'[5]PRODUCCION DIARIA JUNIO 2026'!$AD$88</f>
        <v>461320</v>
      </c>
      <c r="J9" s="9">
        <f>'[6]PRODUCCION DIARIA JULIO 2026'!$AD$88</f>
        <v>225590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8F51-E3BC-4885-A9F8-6EF967B2501F}">
  <dimension ref="D7:G8"/>
  <sheetViews>
    <sheetView showGridLines="0" workbookViewId="0">
      <selection activeCell="G7" sqref="G7:G8"/>
    </sheetView>
  </sheetViews>
  <sheetFormatPr baseColWidth="10" defaultRowHeight="14.4" x14ac:dyDescent="0.3"/>
  <sheetData>
    <row r="7" spans="4:7" x14ac:dyDescent="0.3">
      <c r="E7" s="13">
        <v>46082</v>
      </c>
      <c r="F7" s="13">
        <v>46113</v>
      </c>
      <c r="G7" s="13">
        <v>46143</v>
      </c>
    </row>
    <row r="8" spans="4:7" x14ac:dyDescent="0.3">
      <c r="D8" t="s">
        <v>28</v>
      </c>
      <c r="E8" s="14">
        <v>265359</v>
      </c>
      <c r="F8" s="14">
        <v>386551</v>
      </c>
      <c r="G8" s="14">
        <v>391764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BEAF-1580-46BF-AA68-EC6EFE29ACF0}">
  <dimension ref="D5:K11"/>
  <sheetViews>
    <sheetView showGridLines="0" workbookViewId="0">
      <selection activeCell="L5" sqref="L5"/>
    </sheetView>
  </sheetViews>
  <sheetFormatPr baseColWidth="10" defaultRowHeight="13.8" x14ac:dyDescent="0.25"/>
  <cols>
    <col min="1" max="16384" width="11.5546875" style="3"/>
  </cols>
  <sheetData>
    <row r="5" spans="4:11" x14ac:dyDescent="0.25">
      <c r="I5" s="6">
        <f>(I7-H7)/H7</f>
        <v>-0.37216510723499285</v>
      </c>
      <c r="J5" s="6">
        <f>(J7-I7)/I7</f>
        <v>-8.3468768207046698E-2</v>
      </c>
      <c r="K5" s="1" t="s">
        <v>34</v>
      </c>
    </row>
    <row r="6" spans="4:11" x14ac:dyDescent="0.25">
      <c r="E6" s="4">
        <v>46054</v>
      </c>
      <c r="F6" s="4">
        <v>46082</v>
      </c>
      <c r="G6" s="4">
        <v>46113</v>
      </c>
      <c r="H6" s="4">
        <v>46143</v>
      </c>
      <c r="I6" s="4">
        <v>46174</v>
      </c>
      <c r="J6" s="4">
        <v>46204</v>
      </c>
      <c r="K6" s="23">
        <f>(K7-I7)/I7</f>
        <v>1.0163687099444974</v>
      </c>
    </row>
    <row r="7" spans="4:11" x14ac:dyDescent="0.25">
      <c r="D7" s="7" t="s">
        <v>22</v>
      </c>
      <c r="E7" s="9">
        <f>'[1]Produccion MTD SHARE'!$C$23+'[1]Produccion MTD SHARE'!$C$21+'[1]Produccion MTD SHARE'!$C$25+'[1]Produccion MTD SHARE'!$C$30+'[1]Produccion MTD SHARE'!$C$31+'[1]Produccion MTD SHARE'!$C$33+'[1]Produccion MTD SHARE'!$C$35+'[1]Produccion MTD SHARE'!$C$37</f>
        <v>43534</v>
      </c>
      <c r="F7" s="9">
        <f>'[2]Produccion MTD SHARE'!$C$35+'[2]Produccion MTD SHARE'!$C$37+'[2]Produccion MTD SHARE'!$C$21+'[2]Produccion MTD SHARE'!$C$23+'[2]Produccion MTD SHARE'!$C$30+'[2]Produccion MTD SHARE'!$C$31+'[2]Produccion MTD SHARE'!$C$33</f>
        <v>26517</v>
      </c>
      <c r="G7" s="9">
        <f>'[3]Produccion MTD SHARE'!$C$21+'[3]Produccion MTD SHARE'!$C$23+'[3]Produccion MTD SHARE'!$C$25+'[3]Produccion MTD SHARE'!$C$30+'[3]Produccion MTD SHARE'!$C$31+'[3]Produccion MTD SHARE'!$C$33+'[3]Produccion MTD SHARE'!$C$35+'[3]Produccion MTD SHARE'!$C$37</f>
        <v>38391</v>
      </c>
      <c r="H7" s="9">
        <f>'[4]Produccion MTD SHARE'!$G$39</f>
        <v>51942</v>
      </c>
      <c r="I7" s="5">
        <f>'[5]PRODUCCION DIARIA JUNIO 2026'!$AD$89</f>
        <v>32611</v>
      </c>
      <c r="J7" s="9">
        <f>'[6]PRODUCCION DIARIA JULIO 2026'!$AD$89</f>
        <v>29889</v>
      </c>
      <c r="K7" s="9">
        <f>J7/'[6]PRODUCCION DIARIA JULIO 2026'!$AN$100*'[6]PRODUCCION DIARIA JULIO 2026'!$AO$100+J7</f>
        <v>65755.8</v>
      </c>
    </row>
    <row r="8" spans="4:11" x14ac:dyDescent="0.25">
      <c r="E8" s="9"/>
      <c r="F8" s="9"/>
      <c r="G8" s="9"/>
      <c r="H8" s="9"/>
    </row>
    <row r="9" spans="4:11" x14ac:dyDescent="0.25">
      <c r="E9" s="9"/>
      <c r="F9" s="9"/>
      <c r="G9" s="9"/>
      <c r="H9" s="9"/>
    </row>
    <row r="10" spans="4:11" x14ac:dyDescent="0.25">
      <c r="E10" s="9"/>
      <c r="F10" s="9"/>
      <c r="G10" s="9"/>
      <c r="H10" s="9"/>
    </row>
    <row r="11" spans="4:11" x14ac:dyDescent="0.25">
      <c r="E11" s="9"/>
      <c r="F11" s="9"/>
      <c r="G11" s="9"/>
      <c r="H11" s="9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91B2-7BB1-48CA-BA79-6E583884090F}">
  <dimension ref="D5:I10"/>
  <sheetViews>
    <sheetView showGridLines="0" topLeftCell="A2" workbookViewId="0">
      <selection activeCell="M25" sqref="M25"/>
    </sheetView>
  </sheetViews>
  <sheetFormatPr baseColWidth="10" defaultRowHeight="13.8" x14ac:dyDescent="0.25"/>
  <cols>
    <col min="1" max="3" width="11.5546875" style="3"/>
    <col min="4" max="4" width="36.77734375" style="3" customWidth="1"/>
    <col min="5" max="16384" width="11.5546875" style="3"/>
  </cols>
  <sheetData>
    <row r="5" spans="4:9" x14ac:dyDescent="0.25">
      <c r="E5" s="4">
        <v>46082</v>
      </c>
      <c r="F5" s="4">
        <v>46113</v>
      </c>
      <c r="G5" s="4">
        <v>46143</v>
      </c>
      <c r="H5" s="4">
        <v>46174</v>
      </c>
      <c r="I5" s="4">
        <v>46204</v>
      </c>
    </row>
    <row r="6" spans="4:9" x14ac:dyDescent="0.25">
      <c r="D6" s="10" t="s">
        <v>17</v>
      </c>
      <c r="E6" s="9">
        <f>'[2]Produccion MTD SHARE'!C48</f>
        <v>8992</v>
      </c>
      <c r="F6" s="9">
        <f>'[3]Produccion MTD SHARE'!C48</f>
        <v>13984</v>
      </c>
      <c r="G6" s="9">
        <f>'[4]Produccion MTD SHARE'!C48</f>
        <v>12301</v>
      </c>
      <c r="H6" s="9">
        <f>[5]INFOGRAFIA!$C$48</f>
        <v>27291</v>
      </c>
      <c r="I6" s="9">
        <f>'[6]Produccion MTD SHARE'!$C$48</f>
        <v>7754</v>
      </c>
    </row>
    <row r="7" spans="4:9" x14ac:dyDescent="0.25">
      <c r="D7" s="10" t="s">
        <v>18</v>
      </c>
      <c r="E7" s="9">
        <f>'[2]Produccion MTD SHARE'!C49</f>
        <v>6022</v>
      </c>
      <c r="F7" s="9">
        <f>'[3]Produccion MTD SHARE'!C49</f>
        <v>16150</v>
      </c>
      <c r="G7" s="9">
        <f>'[4]Produccion MTD SHARE'!C49</f>
        <v>12209</v>
      </c>
      <c r="H7" s="9">
        <f>[5]INFOGRAFIA!$C$49</f>
        <v>17094</v>
      </c>
      <c r="I7" s="9">
        <f>'[6]Produccion MTD SHARE'!$C$49</f>
        <v>5286</v>
      </c>
    </row>
    <row r="8" spans="4:9" x14ac:dyDescent="0.25">
      <c r="D8" s="10" t="s">
        <v>19</v>
      </c>
      <c r="E8" s="9">
        <f>'[2]Produccion MTD SHARE'!C50</f>
        <v>6019</v>
      </c>
      <c r="F8" s="9">
        <f>'[3]Produccion MTD SHARE'!C50</f>
        <v>17367</v>
      </c>
      <c r="G8" s="9">
        <f>'[4]Produccion MTD SHARE'!C50</f>
        <v>20919</v>
      </c>
      <c r="H8" s="9">
        <f>[5]INFOGRAFIA!$C$50</f>
        <v>17808</v>
      </c>
      <c r="I8" s="9">
        <f>'[6]Produccion MTD SHARE'!$C$50</f>
        <v>8639</v>
      </c>
    </row>
    <row r="9" spans="4:9" x14ac:dyDescent="0.25">
      <c r="D9" s="10" t="s">
        <v>20</v>
      </c>
      <c r="E9" s="9">
        <f>'[2]Produccion MTD SHARE'!C51</f>
        <v>6020</v>
      </c>
      <c r="F9" s="9">
        <f>'[3]Produccion MTD SHARE'!C51</f>
        <v>17552</v>
      </c>
      <c r="G9" s="9">
        <f>'[4]Produccion MTD SHARE'!C51</f>
        <v>20179</v>
      </c>
      <c r="H9" s="19">
        <f>[5]INFOGRAFIA!$C$51</f>
        <v>25821</v>
      </c>
      <c r="I9" s="9">
        <f>'[6]Produccion MTD SHARE'!$C$51</f>
        <v>12973</v>
      </c>
    </row>
    <row r="10" spans="4:9" x14ac:dyDescent="0.25">
      <c r="D10" s="10" t="s">
        <v>21</v>
      </c>
      <c r="E10" s="12">
        <f>SUM(E6:E9)</f>
        <v>27053</v>
      </c>
      <c r="F10" s="12">
        <f>SUM(F6:F9)</f>
        <v>65053</v>
      </c>
      <c r="G10" s="12">
        <f>SUM(G6:G9)</f>
        <v>65608</v>
      </c>
      <c r="H10" s="12">
        <f>SUM(H6:H9)</f>
        <v>88014</v>
      </c>
      <c r="I10" s="12">
        <f>SUM(I6:I9)</f>
        <v>34652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9C4D-0C20-4D68-9686-9BEC74F0B26C}">
  <dimension ref="B5:H12"/>
  <sheetViews>
    <sheetView showGridLines="0" topLeftCell="B1" workbookViewId="0">
      <selection activeCell="B21" sqref="B21"/>
    </sheetView>
  </sheetViews>
  <sheetFormatPr baseColWidth="10" defaultColWidth="28.5546875" defaultRowHeight="13.8" x14ac:dyDescent="0.25"/>
  <cols>
    <col min="1" max="16384" width="28.5546875" style="3"/>
  </cols>
  <sheetData>
    <row r="5" spans="2:8" x14ac:dyDescent="0.25">
      <c r="C5" s="11">
        <v>46054</v>
      </c>
      <c r="D5" s="11">
        <v>46082</v>
      </c>
      <c r="E5" s="11">
        <v>46113</v>
      </c>
      <c r="F5" s="11">
        <v>46143</v>
      </c>
      <c r="G5" s="11">
        <v>46174</v>
      </c>
      <c r="H5" s="11">
        <v>46204</v>
      </c>
    </row>
    <row r="6" spans="2:8" x14ac:dyDescent="0.25">
      <c r="B6" s="10" t="s">
        <v>6</v>
      </c>
      <c r="C6" s="9">
        <f>'[1]Produccion MTD SHARE'!C34</f>
        <v>22965</v>
      </c>
      <c r="D6" s="9">
        <f>'[2]Produccion MTD SHARE'!C34</f>
        <v>21773</v>
      </c>
      <c r="E6" s="9">
        <f>'[3]Produccion MTD SHARE'!C34</f>
        <v>15444</v>
      </c>
      <c r="F6" s="9">
        <f>'[4]Produccion MTD SHARE'!C34</f>
        <v>20007</v>
      </c>
      <c r="G6" s="9">
        <f>[5]INFOGRAFIA!$C$34</f>
        <v>27463</v>
      </c>
      <c r="H6" s="9">
        <f>'[6]Produccion MTD SHARE'!C34</f>
        <v>8218</v>
      </c>
    </row>
    <row r="7" spans="2:8" x14ac:dyDescent="0.25">
      <c r="B7" s="10" t="s">
        <v>7</v>
      </c>
      <c r="C7" s="9">
        <f>'[1]Produccion MTD SHARE'!C35</f>
        <v>2359</v>
      </c>
      <c r="D7" s="9">
        <f>'[2]Produccion MTD SHARE'!C35</f>
        <v>4144</v>
      </c>
      <c r="E7" s="9">
        <f>'[3]Produccion MTD SHARE'!C35</f>
        <v>3229</v>
      </c>
      <c r="F7" s="9">
        <f>'[4]Produccion MTD SHARE'!C35</f>
        <v>3192</v>
      </c>
      <c r="G7" s="9">
        <f>[5]INFOGRAFIA!$C$35</f>
        <v>2122</v>
      </c>
      <c r="H7" s="9">
        <f>'[6]Produccion MTD SHARE'!C35</f>
        <v>1755</v>
      </c>
    </row>
    <row r="8" spans="2:8" x14ac:dyDescent="0.25">
      <c r="B8" s="10" t="s">
        <v>8</v>
      </c>
      <c r="C8" s="9">
        <f>'[1]Produccion MTD SHARE'!C36</f>
        <v>38384</v>
      </c>
      <c r="D8" s="9">
        <f>'[2]Produccion MTD SHARE'!C36</f>
        <v>18655</v>
      </c>
      <c r="E8" s="9">
        <f>'[3]Produccion MTD SHARE'!C36</f>
        <v>32331</v>
      </c>
      <c r="F8" s="9">
        <f>'[4]Produccion MTD SHARE'!C36</f>
        <v>29111</v>
      </c>
      <c r="G8" s="9">
        <f>[5]INFOGRAFIA!$C$36</f>
        <v>26525</v>
      </c>
      <c r="H8" s="9">
        <f>'[6]Produccion MTD SHARE'!C36</f>
        <v>18230</v>
      </c>
    </row>
    <row r="9" spans="2:8" x14ac:dyDescent="0.25">
      <c r="B9" s="10" t="s">
        <v>9</v>
      </c>
      <c r="C9" s="9">
        <f>'[1]Produccion MTD SHARE'!C37</f>
        <v>2817</v>
      </c>
      <c r="D9" s="9">
        <f>'[2]Produccion MTD SHARE'!C37</f>
        <v>3044</v>
      </c>
      <c r="E9" s="9">
        <f>'[3]Produccion MTD SHARE'!C37</f>
        <v>3923</v>
      </c>
      <c r="F9" s="9">
        <f>'[4]Produccion MTD SHARE'!C37</f>
        <v>4464</v>
      </c>
      <c r="G9" s="9">
        <f>[5]INFOGRAFIA!$C$37</f>
        <v>1814</v>
      </c>
      <c r="H9" s="9">
        <f>'[6]Produccion MTD SHARE'!C37</f>
        <v>2253</v>
      </c>
    </row>
    <row r="10" spans="2:8" x14ac:dyDescent="0.25">
      <c r="B10" s="10" t="s">
        <v>10</v>
      </c>
      <c r="C10" s="9">
        <f>'[1]Produccion MTD SHARE'!C38</f>
        <v>16075</v>
      </c>
      <c r="D10" s="9">
        <f>'[2]Produccion MTD SHARE'!C38</f>
        <v>15805</v>
      </c>
      <c r="E10" s="9">
        <f>'[3]Produccion MTD SHARE'!C38</f>
        <v>17535</v>
      </c>
      <c r="F10" s="9">
        <f>'[4]Produccion MTD SHARE'!C38</f>
        <v>8229</v>
      </c>
      <c r="G10" s="9">
        <f>[5]INFOGRAFIA!$C$38</f>
        <v>19313</v>
      </c>
      <c r="H10" s="9">
        <f>'[6]Produccion MTD SHARE'!C38</f>
        <v>0</v>
      </c>
    </row>
    <row r="11" spans="2:8" x14ac:dyDescent="0.25">
      <c r="B11" s="10" t="s">
        <v>11</v>
      </c>
      <c r="C11" s="9">
        <f>'[1]Produccion MTD SHARE'!C40</f>
        <v>10230</v>
      </c>
      <c r="D11" s="9">
        <f>'[2]Produccion MTD SHARE'!C40</f>
        <v>14418</v>
      </c>
      <c r="E11" s="9">
        <f>'[3]Produccion MTD SHARE'!C40</f>
        <v>12421</v>
      </c>
      <c r="F11" s="9">
        <f>'[4]Produccion MTD SHARE'!C40</f>
        <v>10881</v>
      </c>
      <c r="G11" s="19">
        <f>[5]INFOGRAFIA!$C$40</f>
        <v>16950</v>
      </c>
      <c r="H11" s="9">
        <f>'[6]Produccion MTD SHARE'!C39</f>
        <v>0</v>
      </c>
    </row>
    <row r="12" spans="2:8" x14ac:dyDescent="0.25">
      <c r="B12" s="10" t="s">
        <v>12</v>
      </c>
      <c r="C12" s="12">
        <f t="shared" ref="C12:H12" si="0">SUM(C6:C11)</f>
        <v>92830</v>
      </c>
      <c r="D12" s="12">
        <f t="shared" si="0"/>
        <v>77839</v>
      </c>
      <c r="E12" s="12">
        <f t="shared" si="0"/>
        <v>84883</v>
      </c>
      <c r="F12" s="12">
        <f t="shared" si="0"/>
        <v>75884</v>
      </c>
      <c r="G12" s="12">
        <f t="shared" si="0"/>
        <v>94187</v>
      </c>
      <c r="H12" s="12">
        <f t="shared" si="0"/>
        <v>30456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9D45-C7B2-438B-823A-D3644014B168}">
  <dimension ref="D10:J15"/>
  <sheetViews>
    <sheetView showGridLines="0" topLeftCell="A4" workbookViewId="0">
      <selection activeCell="L14" sqref="L14"/>
    </sheetView>
  </sheetViews>
  <sheetFormatPr baseColWidth="10" defaultRowHeight="13.8" x14ac:dyDescent="0.25"/>
  <cols>
    <col min="1" max="3" width="11.5546875" style="3"/>
    <col min="4" max="4" width="20.88671875" style="3" customWidth="1"/>
    <col min="5" max="16384" width="11.5546875" style="3"/>
  </cols>
  <sheetData>
    <row r="10" spans="4:10" x14ac:dyDescent="0.25">
      <c r="E10" s="11">
        <v>46054</v>
      </c>
      <c r="F10" s="11">
        <v>46082</v>
      </c>
      <c r="G10" s="11">
        <v>46113</v>
      </c>
      <c r="H10" s="11">
        <v>46143</v>
      </c>
      <c r="I10" s="11">
        <v>46174</v>
      </c>
      <c r="J10" s="11">
        <v>46204</v>
      </c>
    </row>
    <row r="11" spans="4:10" x14ac:dyDescent="0.25">
      <c r="D11" s="10" t="s">
        <v>13</v>
      </c>
      <c r="E11" s="9">
        <f>'[1]Produccion MTD SHARE'!C24</f>
        <v>95875</v>
      </c>
      <c r="F11" s="9">
        <f>'[2]Produccion MTD SHARE'!C24</f>
        <v>41319</v>
      </c>
      <c r="G11" s="9">
        <f>'[3]Produccion MTD SHARE'!C24</f>
        <v>64054</v>
      </c>
      <c r="H11" s="9">
        <f>'[4]Produccion MTD SHARE'!C24</f>
        <v>90126</v>
      </c>
      <c r="I11" s="9">
        <f>[5]INFOGRAFIA!$C$24</f>
        <v>60848</v>
      </c>
      <c r="J11" s="9">
        <f>'[6]Produccion MTD SHARE'!$C$24</f>
        <v>41303</v>
      </c>
    </row>
    <row r="12" spans="4:10" x14ac:dyDescent="0.25">
      <c r="D12" s="10" t="s">
        <v>14</v>
      </c>
      <c r="E12" s="9">
        <f>'[1]Produccion MTD SHARE'!C25</f>
        <v>8828</v>
      </c>
      <c r="F12" s="9">
        <f>'[2]Produccion MTD SHARE'!C25</f>
        <v>8274</v>
      </c>
      <c r="G12" s="9">
        <f>'[3]Produccion MTD SHARE'!C25</f>
        <v>10592</v>
      </c>
      <c r="H12" s="9">
        <f>'[4]Produccion MTD SHARE'!C25</f>
        <v>13208</v>
      </c>
      <c r="I12" s="9">
        <f>'[5]PRODUCCION DIARIA JUNIO 2026'!$AH$38</f>
        <v>7789</v>
      </c>
      <c r="J12" s="9">
        <f>'[6]Produccion MTD SHARE'!$C$25</f>
        <v>6836</v>
      </c>
    </row>
    <row r="13" spans="4:10" x14ac:dyDescent="0.25">
      <c r="D13" s="10" t="s">
        <v>15</v>
      </c>
      <c r="E13" s="9">
        <f>'[1]Produccion MTD SHARE'!C26</f>
        <v>58948</v>
      </c>
      <c r="F13" s="9">
        <f>'[2]Produccion MTD SHARE'!C26</f>
        <v>22830</v>
      </c>
      <c r="G13" s="9">
        <f>'[3]Produccion MTD SHARE'!C26</f>
        <v>47957</v>
      </c>
      <c r="H13" s="9">
        <f>'[4]Produccion MTD SHARE'!C26</f>
        <v>33609</v>
      </c>
      <c r="I13" s="9">
        <f>'[5]PRODUCCION DIARIA JUNIO 2026'!$AH$39</f>
        <v>49730</v>
      </c>
      <c r="J13" s="9">
        <f>'[6]Produccion MTD SHARE'!$C$26</f>
        <v>35630</v>
      </c>
    </row>
    <row r="14" spans="4:10" x14ac:dyDescent="0.25">
      <c r="D14" s="10" t="s">
        <v>16</v>
      </c>
      <c r="E14" s="9">
        <f>'[1]Produccion MTD SHARE'!C28</f>
        <v>59142</v>
      </c>
      <c r="F14" s="9">
        <f>'[2]Produccion MTD SHARE'!$C$28</f>
        <v>25821</v>
      </c>
      <c r="G14" s="9">
        <f>'[3]Produccion MTD SHARE'!$C$28</f>
        <v>51198</v>
      </c>
      <c r="H14" s="9">
        <f>'[4]Produccion MTD SHARE'!$C$28</f>
        <v>55363</v>
      </c>
      <c r="I14" s="9">
        <f>[5]INFOGRAFIA!$C$28</f>
        <v>45850</v>
      </c>
      <c r="J14" s="9">
        <f>'[6]Produccion MTD SHARE'!$C$28</f>
        <v>31588</v>
      </c>
    </row>
    <row r="15" spans="4:10" x14ac:dyDescent="0.25">
      <c r="D15" s="10" t="s">
        <v>12</v>
      </c>
      <c r="E15" s="12">
        <f>SUM(E11:E14)</f>
        <v>222793</v>
      </c>
      <c r="F15" s="12">
        <f>F11+F12+F13+F14</f>
        <v>98244</v>
      </c>
      <c r="G15" s="12">
        <f>SUM(G11:G14)</f>
        <v>173801</v>
      </c>
      <c r="H15" s="12">
        <f>SUM(H11:H14)</f>
        <v>192306</v>
      </c>
      <c r="I15" s="12">
        <f>SUM(I11:I14)</f>
        <v>164217</v>
      </c>
      <c r="J15" s="12">
        <f>SUM(J11:J14)</f>
        <v>115357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E792-2010-4E9F-B5E9-5E391BDCC3EB}">
  <dimension ref="D8:K11"/>
  <sheetViews>
    <sheetView showGridLines="0" workbookViewId="0">
      <selection activeCell="K11" sqref="K11"/>
    </sheetView>
  </sheetViews>
  <sheetFormatPr baseColWidth="10" defaultRowHeight="13.8" x14ac:dyDescent="0.25"/>
  <cols>
    <col min="1" max="3" width="11.5546875" style="3"/>
    <col min="4" max="4" width="14.44140625" style="3" customWidth="1"/>
    <col min="5" max="16384" width="11.5546875" style="3"/>
  </cols>
  <sheetData>
    <row r="8" spans="4:11" x14ac:dyDescent="0.25">
      <c r="K8" s="1" t="s">
        <v>34</v>
      </c>
    </row>
    <row r="9" spans="4:11" x14ac:dyDescent="0.25">
      <c r="F9" s="6">
        <f>(F11-E11)/E11</f>
        <v>0.75750684789911626</v>
      </c>
      <c r="G9" s="6">
        <f>(G11-F11)/F11</f>
        <v>-7.6457095806622355E-2</v>
      </c>
      <c r="H9" s="6">
        <f>(H11-G11)/G11</f>
        <v>0.58835891230974968</v>
      </c>
      <c r="I9" s="6">
        <f t="shared" ref="I9" si="0">(I11-H11)/H11</f>
        <v>-0.36246090930959829</v>
      </c>
      <c r="J9" s="6">
        <f>(J11-I11)/I11</f>
        <v>-0.49875797880703077</v>
      </c>
      <c r="K9" s="23">
        <f>(K11-I11)/I11</f>
        <v>0.10273244662453218</v>
      </c>
    </row>
    <row r="10" spans="4:11" x14ac:dyDescent="0.25">
      <c r="E10" s="4">
        <v>46054</v>
      </c>
      <c r="F10" s="4">
        <v>46082</v>
      </c>
      <c r="G10" s="4">
        <v>46113</v>
      </c>
      <c r="H10" s="4">
        <v>46143</v>
      </c>
      <c r="I10" s="4">
        <v>46174</v>
      </c>
      <c r="J10" s="4">
        <v>46204</v>
      </c>
      <c r="K10" s="1"/>
    </row>
    <row r="11" spans="4:11" x14ac:dyDescent="0.25">
      <c r="D11" s="7" t="s">
        <v>32</v>
      </c>
      <c r="E11" s="9">
        <f>'[1]Produccion MTD SHARE'!$C$3+'[1]Produccion MTD SHARE'!$C$4+'[1]Produccion MTD SHARE'!$C$5+'[1]Produccion MTD SHARE'!$C$6+'[1]Produccion MTD SHARE'!$C$7</f>
        <v>19349</v>
      </c>
      <c r="F11" s="9">
        <f>'[2]Produccion MTD SHARE'!$C$3+'[2]Produccion MTD SHARE'!$C$4+'[2]Produccion MTD SHARE'!$C$5+'[2]Produccion MTD SHARE'!$C$6+'[2]Produccion MTD SHARE'!$C$7</f>
        <v>34006</v>
      </c>
      <c r="G11" s="9">
        <f>'[3]Produccion MTD SHARE'!$C$3+'[3]Produccion MTD SHARE'!$C$4+'[3]Produccion MTD SHARE'!$C$5+'[3]Produccion MTD SHARE'!$C$6+'[3]Produccion MTD SHARE'!$C$7</f>
        <v>31406</v>
      </c>
      <c r="H11" s="9">
        <f>'[4]Produccion MTD SHARE'!$C$3+'[4]Produccion MTD SHARE'!$C$4+'[4]Produccion MTD SHARE'!$C$5+'[4]Produccion MTD SHARE'!$C$6+'[4]Produccion MTD SHARE'!$C$7</f>
        <v>49884</v>
      </c>
      <c r="I11" s="9">
        <f>[5]INFOGRAFIA!$D$4</f>
        <v>31803</v>
      </c>
      <c r="J11" s="9">
        <f>'[6]Produccion MTD SHARE'!$E$3</f>
        <v>15941</v>
      </c>
      <c r="K11" s="9">
        <f>J11/'[6]PRODUCCION DIARIA JULIO 2026'!$AN$100*'[6]PRODUCCION DIARIA JULIO 2026'!$AO$100+J11</f>
        <v>35070.199999999997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8A82-306F-4266-957A-05AF884AA48C}">
  <dimension ref="D10:K13"/>
  <sheetViews>
    <sheetView showGridLines="0" tabSelected="1" workbookViewId="0">
      <selection activeCell="K13" sqref="K13"/>
    </sheetView>
  </sheetViews>
  <sheetFormatPr baseColWidth="10" defaultRowHeight="13.8" x14ac:dyDescent="0.25"/>
  <cols>
    <col min="1" max="16384" width="11.5546875" style="3"/>
  </cols>
  <sheetData>
    <row r="10" spans="4:11" x14ac:dyDescent="0.25">
      <c r="K10" s="1" t="s">
        <v>34</v>
      </c>
    </row>
    <row r="11" spans="4:11" x14ac:dyDescent="0.25">
      <c r="F11" s="23">
        <f t="shared" ref="F11:I11" si="0">(F13-E13)/E13</f>
        <v>1.6200536369109519E-2</v>
      </c>
      <c r="G11" s="23">
        <f t="shared" si="0"/>
        <v>0.66149620294070122</v>
      </c>
      <c r="H11" s="23">
        <f t="shared" si="0"/>
        <v>-2.5738273525884144E-2</v>
      </c>
      <c r="I11" s="23">
        <f t="shared" si="0"/>
        <v>0.75687905506571285</v>
      </c>
      <c r="J11" s="23">
        <f>(J13-I13)/I13</f>
        <v>-0.66857943677442566</v>
      </c>
      <c r="K11" s="23">
        <f>(K13-I13)/I13</f>
        <v>-0.27087476090373652</v>
      </c>
    </row>
    <row r="12" spans="4:11" x14ac:dyDescent="0.25">
      <c r="E12" s="4">
        <v>46054</v>
      </c>
      <c r="F12" s="4">
        <v>46082</v>
      </c>
      <c r="G12" s="4">
        <v>46113</v>
      </c>
      <c r="H12" s="4">
        <v>46143</v>
      </c>
      <c r="I12" s="4">
        <v>46174</v>
      </c>
      <c r="J12" s="4">
        <v>46204</v>
      </c>
      <c r="K12" s="1"/>
    </row>
    <row r="13" spans="4:11" x14ac:dyDescent="0.25">
      <c r="D13" s="7" t="s">
        <v>33</v>
      </c>
      <c r="E13" s="9">
        <f>'[1]Produccion MTD SHARE'!$C$9+'[1]Produccion MTD SHARE'!$C$10+'[1]Produccion MTD SHARE'!$C$11</f>
        <v>18271</v>
      </c>
      <c r="F13" s="9">
        <f>'[2]Produccion MTD SHARE'!$C$9+'[2]Produccion MTD SHARE'!$C$10+'[2]Produccion MTD SHARE'!$C$11</f>
        <v>18567</v>
      </c>
      <c r="G13" s="9">
        <f>'[3]Produccion MTD SHARE'!$C$9+'[3]Produccion MTD SHARE'!$C$10+'[3]Produccion MTD SHARE'!$C$11</f>
        <v>30849</v>
      </c>
      <c r="H13" s="9">
        <f>'[4]Produccion MTD SHARE'!$C$9+'[4]Produccion MTD SHARE'!$C$10+'[4]Produccion MTD SHARE'!$C$11</f>
        <v>30055</v>
      </c>
      <c r="I13" s="9">
        <f>[5]INFOGRAFIA!$D$9</f>
        <v>52803</v>
      </c>
      <c r="J13" s="9">
        <f>'[6]Produccion MTD SHARE'!$E$9</f>
        <v>17500</v>
      </c>
      <c r="K13" s="9">
        <f>J13/'[6]PRODUCCION DIARIA JULIO 2026'!$AN$100*'[6]PRODUCCION DIARIA JULIO 2026'!$AO$100+J13</f>
        <v>38500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Sapori Pruccion Mensual</vt:lpstr>
      <vt:lpstr>Comparativo vs Forecast</vt:lpstr>
      <vt:lpstr>Total Unidades Mensuales</vt:lpstr>
      <vt:lpstr>Total Cremigurt Unidades</vt:lpstr>
      <vt:lpstr>150 gr</vt:lpstr>
      <vt:lpstr>Hoja3</vt:lpstr>
      <vt:lpstr>700 gr</vt:lpstr>
      <vt:lpstr>Linea Azul</vt:lpstr>
      <vt:lpstr>POWER</vt:lpstr>
      <vt:lpstr>Frutas</vt:lpstr>
      <vt:lpstr>Cremosillo</vt:lpstr>
      <vt:lpstr>Gelatina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Romulo Enrique Delgado Correa</dc:creator>
  <cp:lastModifiedBy>Romulo Enrique Delgado Correa</cp:lastModifiedBy>
  <cp:lastPrinted>2026-06-01T15:37:20Z</cp:lastPrinted>
  <dcterms:created xsi:type="dcterms:W3CDTF">2026-04-29T17:08:47Z</dcterms:created>
  <dcterms:modified xsi:type="dcterms:W3CDTF">2026-07-15T19:25:53Z</dcterms:modified>
</cp:coreProperties>
</file>